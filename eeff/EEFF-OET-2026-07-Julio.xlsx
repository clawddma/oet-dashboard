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orre\Dropbox\ASESORIAS FINANCIERAS\2026\EEFF\"/>
    </mc:Choice>
  </mc:AlternateContent>
  <xr:revisionPtr revIDLastSave="0" documentId="13_ncr:1_{DD20C063-44D4-4560-8428-C38475B09755}" xr6:coauthVersionLast="47" xr6:coauthVersionMax="47" xr10:uidLastSave="{00000000-0000-0000-0000-000000000000}"/>
  <bookViews>
    <workbookView xWindow="-108" yWindow="-108" windowWidth="23256" windowHeight="12456" xr2:uid="{93FBDC51-FFDD-4499-BACD-C085A5BCE077}"/>
  </bookViews>
  <sheets>
    <sheet name="2.ESF" sheetId="1" r:id="rId1"/>
    <sheet name="3.ERI" sheetId="2" r:id="rId2"/>
    <sheet name="BALANCE POR TERCEROS " sheetId="3" r:id="rId3"/>
  </sheets>
  <externalReferences>
    <externalReference r:id="rId4"/>
    <externalReference r:id="rId5"/>
  </externalReferences>
  <definedNames>
    <definedName name="\w">#REF!</definedName>
    <definedName name="\z">#REF!</definedName>
    <definedName name="_1990">#REF!</definedName>
    <definedName name="_xlnm._FilterDatabase" localSheetId="0" hidden="1">'2.ESF'!$C$9:$G$10</definedName>
    <definedName name="_PAS1990">#REF!</definedName>
    <definedName name="_PYG1990">#REF!</definedName>
    <definedName name="_PYG1999">[2]RESULTADOS!$O$1:$R$63</definedName>
    <definedName name="_xlnm.Print_Area" localSheetId="0">'2.ESF'!$C$1:$H$73</definedName>
    <definedName name="_xlnm.Print_Area" localSheetId="1">'3.ERI'!$C$1:$H$86</definedName>
    <definedName name="AS2DocOpenMode" hidden="1">"AS2DocumentEdit"</definedName>
    <definedName name="BALANCE">#REF!</definedName>
    <definedName name="ESF.ACTUAL">'2.ESF'!$E$75</definedName>
    <definedName name="ESF.PREVIO">'2.ESF'!$F$75</definedName>
    <definedName name="FLUJO.ACTUAL">'[1]5.FLUJO DE EFECTIVO'!$G$100</definedName>
    <definedName name="FLUJO.PREVIO">'[1]5.FLUJO DE EFECTIVO'!$H$100</definedName>
    <definedName name="PAT.ACTUAL">'[1]4.CAMBIOS EN EL PAT'!$M$29</definedName>
    <definedName name="PAT.PREVIO">'[1]4.CAMBIOS EN EL PAT'!$M$20</definedName>
    <definedName name="PYG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0" i="2" l="1"/>
  <c r="C80" i="2"/>
  <c r="C71" i="2"/>
  <c r="G69" i="2"/>
  <c r="H69" i="2" s="1"/>
  <c r="F69" i="2"/>
  <c r="E69" i="2"/>
  <c r="F66" i="2"/>
  <c r="E66" i="2"/>
  <c r="G66" i="2" s="1"/>
  <c r="H66" i="2" s="1"/>
  <c r="C66" i="2"/>
  <c r="F65" i="2"/>
  <c r="F67" i="2" s="1"/>
  <c r="E65" i="2"/>
  <c r="C65" i="2"/>
  <c r="F64" i="2"/>
  <c r="E64" i="2"/>
  <c r="E67" i="2" s="1"/>
  <c r="G67" i="2" s="1"/>
  <c r="H67" i="2" s="1"/>
  <c r="C64" i="2"/>
  <c r="F61" i="2"/>
  <c r="E61" i="2"/>
  <c r="G61" i="2" s="1"/>
  <c r="H61" i="2" s="1"/>
  <c r="F60" i="2"/>
  <c r="E60" i="2"/>
  <c r="G60" i="2" s="1"/>
  <c r="H60" i="2" s="1"/>
  <c r="C60" i="2"/>
  <c r="G59" i="2"/>
  <c r="H59" i="2" s="1"/>
  <c r="F59" i="2"/>
  <c r="E59" i="2"/>
  <c r="C59" i="2"/>
  <c r="G58" i="2"/>
  <c r="H58" i="2" s="1"/>
  <c r="F58" i="2"/>
  <c r="E58" i="2"/>
  <c r="C58" i="2"/>
  <c r="G57" i="2"/>
  <c r="H57" i="2" s="1"/>
  <c r="F57" i="2"/>
  <c r="E57" i="2"/>
  <c r="C57" i="2"/>
  <c r="F56" i="2"/>
  <c r="F62" i="2" s="1"/>
  <c r="E56" i="2"/>
  <c r="E62" i="2" s="1"/>
  <c r="G62" i="2" s="1"/>
  <c r="H62" i="2" s="1"/>
  <c r="C56" i="2"/>
  <c r="G50" i="2"/>
  <c r="H50" i="2" s="1"/>
  <c r="F50" i="2"/>
  <c r="E50" i="2"/>
  <c r="C50" i="2"/>
  <c r="F49" i="2"/>
  <c r="E49" i="2"/>
  <c r="G49" i="2" s="1"/>
  <c r="H49" i="2" s="1"/>
  <c r="C49" i="2"/>
  <c r="G48" i="2"/>
  <c r="H48" i="2" s="1"/>
  <c r="F48" i="2"/>
  <c r="E48" i="2"/>
  <c r="C48" i="2"/>
  <c r="F47" i="2"/>
  <c r="E47" i="2"/>
  <c r="G47" i="2" s="1"/>
  <c r="H47" i="2" s="1"/>
  <c r="C47" i="2"/>
  <c r="F46" i="2"/>
  <c r="E46" i="2"/>
  <c r="G46" i="2" s="1"/>
  <c r="H46" i="2" s="1"/>
  <c r="C46" i="2"/>
  <c r="F45" i="2"/>
  <c r="G45" i="2" s="1"/>
  <c r="H45" i="2" s="1"/>
  <c r="E45" i="2"/>
  <c r="C45" i="2"/>
  <c r="F44" i="2"/>
  <c r="E44" i="2"/>
  <c r="G44" i="2" s="1"/>
  <c r="H44" i="2" s="1"/>
  <c r="C44" i="2"/>
  <c r="H43" i="2"/>
  <c r="G43" i="2"/>
  <c r="F43" i="2"/>
  <c r="E43" i="2"/>
  <c r="C43" i="2"/>
  <c r="G42" i="2"/>
  <c r="H42" i="2" s="1"/>
  <c r="F42" i="2"/>
  <c r="E42" i="2"/>
  <c r="C42" i="2"/>
  <c r="F41" i="2"/>
  <c r="E41" i="2"/>
  <c r="G41" i="2" s="1"/>
  <c r="H41" i="2" s="1"/>
  <c r="C41" i="2"/>
  <c r="G40" i="2"/>
  <c r="H40" i="2" s="1"/>
  <c r="F40" i="2"/>
  <c r="E40" i="2"/>
  <c r="C40" i="2"/>
  <c r="F39" i="2"/>
  <c r="E39" i="2"/>
  <c r="G39" i="2" s="1"/>
  <c r="H39" i="2" s="1"/>
  <c r="C39" i="2"/>
  <c r="F38" i="2"/>
  <c r="G38" i="2" s="1"/>
  <c r="H38" i="2" s="1"/>
  <c r="E38" i="2"/>
  <c r="C38" i="2"/>
  <c r="F37" i="2"/>
  <c r="G37" i="2" s="1"/>
  <c r="H37" i="2" s="1"/>
  <c r="E37" i="2"/>
  <c r="C37" i="2"/>
  <c r="F36" i="2"/>
  <c r="F51" i="2" s="1"/>
  <c r="E36" i="2"/>
  <c r="E51" i="2" s="1"/>
  <c r="G51" i="2" s="1"/>
  <c r="H51" i="2" s="1"/>
  <c r="C36" i="2"/>
  <c r="F33" i="2"/>
  <c r="F34" i="2" s="1"/>
  <c r="E33" i="2"/>
  <c r="G33" i="2" s="1"/>
  <c r="H33" i="2" s="1"/>
  <c r="F32" i="2"/>
  <c r="E32" i="2"/>
  <c r="G32" i="2" s="1"/>
  <c r="H32" i="2" s="1"/>
  <c r="C32" i="2"/>
  <c r="G31" i="2"/>
  <c r="H31" i="2" s="1"/>
  <c r="F31" i="2"/>
  <c r="E31" i="2"/>
  <c r="C31" i="2"/>
  <c r="G30" i="2"/>
  <c r="H30" i="2" s="1"/>
  <c r="F30" i="2"/>
  <c r="E30" i="2"/>
  <c r="C30" i="2"/>
  <c r="H29" i="2"/>
  <c r="G29" i="2"/>
  <c r="F29" i="2"/>
  <c r="E29" i="2"/>
  <c r="C29" i="2"/>
  <c r="F28" i="2"/>
  <c r="E28" i="2"/>
  <c r="G28" i="2" s="1"/>
  <c r="H28" i="2" s="1"/>
  <c r="C28" i="2"/>
  <c r="F27" i="2"/>
  <c r="G27" i="2" s="1"/>
  <c r="H27" i="2" s="1"/>
  <c r="E27" i="2"/>
  <c r="C27" i="2"/>
  <c r="H26" i="2"/>
  <c r="G26" i="2"/>
  <c r="F26" i="2"/>
  <c r="E26" i="2"/>
  <c r="C26" i="2"/>
  <c r="F25" i="2"/>
  <c r="E25" i="2"/>
  <c r="G25" i="2" s="1"/>
  <c r="H25" i="2" s="1"/>
  <c r="C25" i="2"/>
  <c r="F24" i="2"/>
  <c r="G24" i="2" s="1"/>
  <c r="H24" i="2" s="1"/>
  <c r="E24" i="2"/>
  <c r="C24" i="2"/>
  <c r="G23" i="2"/>
  <c r="H23" i="2" s="1"/>
  <c r="F23" i="2"/>
  <c r="E23" i="2"/>
  <c r="C23" i="2"/>
  <c r="H22" i="2"/>
  <c r="G22" i="2"/>
  <c r="F22" i="2"/>
  <c r="E22" i="2"/>
  <c r="C22" i="2"/>
  <c r="G21" i="2"/>
  <c r="H21" i="2" s="1"/>
  <c r="F21" i="2"/>
  <c r="E21" i="2"/>
  <c r="C21" i="2"/>
  <c r="F20" i="2"/>
  <c r="E20" i="2"/>
  <c r="G20" i="2" s="1"/>
  <c r="H20" i="2" s="1"/>
  <c r="C20" i="2"/>
  <c r="G19" i="2"/>
  <c r="H19" i="2" s="1"/>
  <c r="F19" i="2"/>
  <c r="E19" i="2"/>
  <c r="E34" i="2" s="1"/>
  <c r="G34" i="2" s="1"/>
  <c r="H34" i="2" s="1"/>
  <c r="C19" i="2"/>
  <c r="F15" i="2"/>
  <c r="G15" i="2" s="1"/>
  <c r="H15" i="2" s="1"/>
  <c r="E15" i="2"/>
  <c r="C15" i="2"/>
  <c r="F14" i="2"/>
  <c r="E14" i="2"/>
  <c r="G14" i="2" s="1"/>
  <c r="H14" i="2" s="1"/>
  <c r="C14" i="2"/>
  <c r="H13" i="2"/>
  <c r="G13" i="2"/>
  <c r="F13" i="2"/>
  <c r="F16" i="2" s="1"/>
  <c r="E13" i="2"/>
  <c r="E16" i="2" s="1"/>
  <c r="C13" i="2"/>
  <c r="C3" i="2"/>
  <c r="G61" i="1"/>
  <c r="G79" i="2" s="1"/>
  <c r="C61" i="1"/>
  <c r="C79" i="2" s="1"/>
  <c r="G60" i="1"/>
  <c r="G78" i="2" s="1"/>
  <c r="C60" i="1"/>
  <c r="C78" i="2" s="1"/>
  <c r="G59" i="1"/>
  <c r="G77" i="2" s="1"/>
  <c r="C59" i="1"/>
  <c r="C77" i="2" s="1"/>
  <c r="F49" i="1"/>
  <c r="E49" i="1"/>
  <c r="G49" i="1" s="1"/>
  <c r="H49" i="1" s="1"/>
  <c r="H48" i="1"/>
  <c r="G48" i="1"/>
  <c r="F48" i="1"/>
  <c r="E48" i="1"/>
  <c r="F47" i="1"/>
  <c r="E47" i="1"/>
  <c r="G47" i="1" s="1"/>
  <c r="H47" i="1" s="1"/>
  <c r="F46" i="1"/>
  <c r="G46" i="1" s="1"/>
  <c r="H46" i="1" s="1"/>
  <c r="E46" i="1"/>
  <c r="F45" i="1"/>
  <c r="E45" i="1"/>
  <c r="F41" i="1"/>
  <c r="G41" i="1" s="1"/>
  <c r="H41" i="1" s="1"/>
  <c r="E41" i="1"/>
  <c r="F39" i="1"/>
  <c r="F42" i="1" s="1"/>
  <c r="E39" i="1"/>
  <c r="G39" i="1" s="1"/>
  <c r="H39" i="1" s="1"/>
  <c r="F38" i="1"/>
  <c r="G38" i="1" s="1"/>
  <c r="H38" i="1" s="1"/>
  <c r="E38" i="1"/>
  <c r="H37" i="1"/>
  <c r="G35" i="1"/>
  <c r="H35" i="1" s="1"/>
  <c r="F35" i="1"/>
  <c r="E35" i="1"/>
  <c r="F34" i="1"/>
  <c r="G34" i="1" s="1"/>
  <c r="H34" i="1" s="1"/>
  <c r="E34" i="1"/>
  <c r="G33" i="1"/>
  <c r="H33" i="1" s="1"/>
  <c r="F33" i="1"/>
  <c r="E33" i="1"/>
  <c r="F32" i="1"/>
  <c r="G32" i="1" s="1"/>
  <c r="H32" i="1" s="1"/>
  <c r="E32" i="1"/>
  <c r="G31" i="1"/>
  <c r="H31" i="1" s="1"/>
  <c r="F31" i="1"/>
  <c r="E31" i="1"/>
  <c r="F30" i="1"/>
  <c r="G30" i="1" s="1"/>
  <c r="H30" i="1" s="1"/>
  <c r="E30" i="1"/>
  <c r="E36" i="1" s="1"/>
  <c r="F29" i="1"/>
  <c r="G29" i="1" s="1"/>
  <c r="H29" i="1" s="1"/>
  <c r="E29" i="1"/>
  <c r="H28" i="1"/>
  <c r="G24" i="1"/>
  <c r="H24" i="1" s="1"/>
  <c r="F24" i="1"/>
  <c r="E24" i="1"/>
  <c r="F23" i="1"/>
  <c r="E23" i="1"/>
  <c r="G23" i="1" s="1"/>
  <c r="H23" i="1" s="1"/>
  <c r="G22" i="1"/>
  <c r="H22" i="1" s="1"/>
  <c r="F22" i="1"/>
  <c r="E22" i="1"/>
  <c r="F21" i="1"/>
  <c r="E21" i="1"/>
  <c r="E25" i="1" s="1"/>
  <c r="G20" i="1"/>
  <c r="H20" i="1" s="1"/>
  <c r="F20" i="1"/>
  <c r="F25" i="1" s="1"/>
  <c r="E20" i="1"/>
  <c r="H19" i="1"/>
  <c r="H17" i="1"/>
  <c r="G17" i="1"/>
  <c r="F17" i="1"/>
  <c r="E17" i="1"/>
  <c r="F16" i="1"/>
  <c r="E16" i="1"/>
  <c r="G16" i="1" s="1"/>
  <c r="H16" i="1" s="1"/>
  <c r="H15" i="1"/>
  <c r="G15" i="1"/>
  <c r="F15" i="1"/>
  <c r="E15" i="1"/>
  <c r="F14" i="1"/>
  <c r="F18" i="1" s="1"/>
  <c r="E14" i="1"/>
  <c r="E18" i="1" s="1"/>
  <c r="E26" i="1" s="1"/>
  <c r="C7" i="1"/>
  <c r="C7" i="2" s="1"/>
  <c r="E52" i="2" l="1"/>
  <c r="E17" i="2"/>
  <c r="G16" i="2"/>
  <c r="G26" i="1"/>
  <c r="H26" i="1" s="1"/>
  <c r="F17" i="2"/>
  <c r="F52" i="2"/>
  <c r="F26" i="1"/>
  <c r="G65" i="2"/>
  <c r="H65" i="2" s="1"/>
  <c r="F36" i="1"/>
  <c r="F43" i="1" s="1"/>
  <c r="G56" i="2"/>
  <c r="H56" i="2" s="1"/>
  <c r="G14" i="1"/>
  <c r="G21" i="1"/>
  <c r="H21" i="1" s="1"/>
  <c r="G25" i="1"/>
  <c r="H25" i="1" s="1"/>
  <c r="G36" i="2"/>
  <c r="H36" i="2" s="1"/>
  <c r="G64" i="2"/>
  <c r="H64" i="2" s="1"/>
  <c r="E42" i="1"/>
  <c r="G42" i="1" s="1"/>
  <c r="H42" i="1" s="1"/>
  <c r="G45" i="1"/>
  <c r="F68" i="2" l="1"/>
  <c r="F70" i="2" s="1"/>
  <c r="F50" i="1" s="1"/>
  <c r="F51" i="1" s="1"/>
  <c r="F53" i="2"/>
  <c r="H14" i="1"/>
  <c r="G18" i="1"/>
  <c r="H18" i="1" s="1"/>
  <c r="H17" i="2"/>
  <c r="E43" i="1"/>
  <c r="G36" i="1"/>
  <c r="H36" i="1" s="1"/>
  <c r="F52" i="1"/>
  <c r="F76" i="1" s="1"/>
  <c r="H16" i="2"/>
  <c r="G52" i="2"/>
  <c r="E68" i="2"/>
  <c r="E70" i="2" s="1"/>
  <c r="E50" i="1" s="1"/>
  <c r="E53" i="2"/>
  <c r="G53" i="2" s="1"/>
  <c r="H53" i="2" s="1"/>
  <c r="H45" i="1"/>
  <c r="G17" i="2"/>
  <c r="F75" i="1" l="1"/>
  <c r="G50" i="1"/>
  <c r="E51" i="1"/>
  <c r="G68" i="2"/>
  <c r="H52" i="2"/>
  <c r="G43" i="1"/>
  <c r="E52" i="1"/>
  <c r="E75" i="1" l="1"/>
  <c r="E76" i="1"/>
  <c r="H43" i="1"/>
  <c r="H68" i="2"/>
  <c r="G70" i="2"/>
  <c r="H70" i="2" s="1"/>
  <c r="H50" i="1"/>
  <c r="G51" i="1"/>
  <c r="H51" i="1" s="1"/>
  <c r="G52" i="1" l="1"/>
  <c r="H52" i="1" s="1"/>
</calcChain>
</file>

<file path=xl/sharedStrings.xml><?xml version="1.0" encoding="utf-8"?>
<sst xmlns="http://schemas.openxmlformats.org/spreadsheetml/2006/main" count="15322" uniqueCount="7680">
  <si>
    <t>jul</t>
  </si>
  <si>
    <t>ESTADOS FINANCIEROS INDIVIDUALES</t>
  </si>
  <si>
    <t>MES</t>
  </si>
  <si>
    <t xml:space="preserve">ESTADO DE SITUACIÓN FINANCIERA </t>
  </si>
  <si>
    <t>AÑO FINAL</t>
  </si>
  <si>
    <t>Por el período terminados al 31 de julio de 2026 y 2025</t>
  </si>
  <si>
    <t>AÑO INICIAL</t>
  </si>
  <si>
    <t>Notas</t>
  </si>
  <si>
    <t>Julio 2026</t>
  </si>
  <si>
    <t>Julio 2025</t>
  </si>
  <si>
    <t>$ Var</t>
  </si>
  <si>
    <t>% Var</t>
  </si>
  <si>
    <t>ACTIVO</t>
  </si>
  <si>
    <t>Activo corriente</t>
  </si>
  <si>
    <t>Efectivo y equivalentes al efectivo</t>
  </si>
  <si>
    <t>Inversiones</t>
  </si>
  <si>
    <t>Cuentas comerciales por cobrar y otras cuentas por cobrar</t>
  </si>
  <si>
    <t>Inventarios</t>
  </si>
  <si>
    <t>Total activo corriente</t>
  </si>
  <si>
    <t>Activos no corriente</t>
  </si>
  <si>
    <t>Propiedad, planta y equipo</t>
  </si>
  <si>
    <t>Activos intangibles</t>
  </si>
  <si>
    <t>Activos diferidos</t>
  </si>
  <si>
    <t>Otros activos</t>
  </si>
  <si>
    <t>Activo por impuesto diferido</t>
  </si>
  <si>
    <t>Total activo no corriente</t>
  </si>
  <si>
    <t>TOTAL ACTIVOS</t>
  </si>
  <si>
    <t>PASIVO</t>
  </si>
  <si>
    <t>Pasivo corriente</t>
  </si>
  <si>
    <t>Obligaciones financieras</t>
  </si>
  <si>
    <t>ESTE VALOR ES MANUAL</t>
  </si>
  <si>
    <t>Cuentas por pagar a proveedores</t>
  </si>
  <si>
    <t>Cuentas comerciales por pagar y otras cuentas por pagar</t>
  </si>
  <si>
    <t>Impuestos, gravámenes y tasas</t>
  </si>
  <si>
    <t>Pasivo por beneficios a empleados</t>
  </si>
  <si>
    <t>Pasivos estimados y provisiones</t>
  </si>
  <si>
    <t>Anticipos recibidos</t>
  </si>
  <si>
    <t>Total pasivo corriente</t>
  </si>
  <si>
    <t>Pasivo no corriente</t>
  </si>
  <si>
    <t>Pasivo por impuesto diferido</t>
  </si>
  <si>
    <t xml:space="preserve"> Total pasivo no corriente</t>
  </si>
  <si>
    <t>TOTAL PASIVOS</t>
  </si>
  <si>
    <t>PATRIMONIO</t>
  </si>
  <si>
    <t>Capital emitido</t>
  </si>
  <si>
    <t>Prima en emisión de capital</t>
  </si>
  <si>
    <t>Utilidades del ejercicios en cuentas en participación</t>
  </si>
  <si>
    <t>Resultados acumulados</t>
  </si>
  <si>
    <t>Ajustes por adopción NIIF</t>
  </si>
  <si>
    <t>Resultado Del Ejercicio</t>
  </si>
  <si>
    <t>TOTAL PATRIMONIO</t>
  </si>
  <si>
    <t>TOTAL PASIVO Y PATRIMONIO</t>
  </si>
  <si>
    <t>Las notas son parte integral de los estados financieros individuales</t>
  </si>
  <si>
    <t>ELIZABETH SOTO MEJIA</t>
  </si>
  <si>
    <t>Revisor Fiscal</t>
  </si>
  <si>
    <t>Designado por TAX CONTADORES Y ABOGADOS S.A.S</t>
  </si>
  <si>
    <t>(Ver Certificación Adjunta)</t>
  </si>
  <si>
    <t>TP 265041-T</t>
  </si>
  <si>
    <t>(Ver Opinión  Adjunta)</t>
  </si>
  <si>
    <t>VERIFICACIÓN:</t>
  </si>
  <si>
    <t>ECUACIÓN PATRIMONIAL</t>
  </si>
  <si>
    <t>feb</t>
  </si>
  <si>
    <t xml:space="preserve">ESTADO DE RESULTADOS INTEGRAL </t>
  </si>
  <si>
    <t>INGRESOS OPERACIONALES</t>
  </si>
  <si>
    <t>Utilidad Bruta</t>
  </si>
  <si>
    <t>GASTROS ADMINISTRATIVOS</t>
  </si>
  <si>
    <t>Gastos en cuentas de participación</t>
  </si>
  <si>
    <t>Total gastos administrativos</t>
  </si>
  <si>
    <t>GASTOS DE VENTAS</t>
  </si>
  <si>
    <t>Total gastos de ventas</t>
  </si>
  <si>
    <t>Utilidad operativa</t>
  </si>
  <si>
    <t>OTROS INGRESOS</t>
  </si>
  <si>
    <t>Diversos</t>
  </si>
  <si>
    <t>Total otros ingresos</t>
  </si>
  <si>
    <t>OTROS GASTOS</t>
  </si>
  <si>
    <t>Total otros gastos</t>
  </si>
  <si>
    <t>Utilidad antes de impuestos</t>
  </si>
  <si>
    <t>Impuesto de renta y complementarios</t>
  </si>
  <si>
    <t>UTILIDAD (PÉRDIDA) DEL PERÍODO</t>
  </si>
  <si>
    <t>Libro Mayor</t>
  </si>
  <si>
    <t xml:space="preserve">OFTALMOLOGOS EL TESORO SAS 900755062-1 </t>
  </si>
  <si>
    <t>Libro: LIBRO-BASE - Moneda: COP - Cuentas: Mayores e Imputables</t>
  </si>
  <si>
    <t>Periodos: Julio 2026 - Julio 2026</t>
  </si>
  <si>
    <t>Cuenta</t>
  </si>
  <si>
    <t>Nombre Cuenta</t>
  </si>
  <si>
    <t>Saldo Anterior</t>
  </si>
  <si>
    <t>Débito</t>
  </si>
  <si>
    <t>Crédito</t>
  </si>
  <si>
    <t>Neto</t>
  </si>
  <si>
    <t>Saldo Final</t>
  </si>
  <si>
    <t>Activos</t>
  </si>
  <si>
    <t>Efectivo y Equivalentes del Efectivo</t>
  </si>
  <si>
    <t>Caja</t>
  </si>
  <si>
    <t>Caja General</t>
  </si>
  <si>
    <t>Caja menor OET</t>
  </si>
  <si>
    <t>Cajas Menores</t>
  </si>
  <si>
    <t>Caja ajustes año 2021</t>
  </si>
  <si>
    <t>Caja cruce de cuentas</t>
  </si>
  <si>
    <t>ADELANTE SOLUCIONES FINANCIERAS S.A.S.</t>
  </si>
  <si>
    <t>ALIDIA DEL SOCORRO CANO AGUIRRE</t>
  </si>
  <si>
    <t>ALLISON ZAHIRA ARIAS LOPEZ</t>
  </si>
  <si>
    <t>ANGEL DE JESUS GIL AVENDAÑO</t>
  </si>
  <si>
    <t>PA0898216</t>
  </si>
  <si>
    <t>ANGEL JAVIER PAZ ARROCHA</t>
  </si>
  <si>
    <t>ANGIE SALOME ECHEVERRI CARMONA</t>
  </si>
  <si>
    <t>NY3942BC6</t>
  </si>
  <si>
    <t>AZALIAH HAILEY CROES</t>
  </si>
  <si>
    <t>NY39442BC6</t>
  </si>
  <si>
    <t>BLACK MAMMOTH SURGICAL SAS</t>
  </si>
  <si>
    <t>CARLOS ALBERTO RESTREPO AREIZA</t>
  </si>
  <si>
    <t>CAROLINA SARDI</t>
  </si>
  <si>
    <t>CLAUDIA HENAO GARCIA</t>
  </si>
  <si>
    <t>CONSUELO RESTREPO</t>
  </si>
  <si>
    <t>DARWIN ALEXANDER BUSTAMANTE MONTOYA</t>
  </si>
  <si>
    <t>DIANA CRISTINA MIRA PATIÑO</t>
  </si>
  <si>
    <t>DORALBA NARANJO HENAO</t>
  </si>
  <si>
    <t>ELIANA LONDOÑO CANO</t>
  </si>
  <si>
    <t>ELIANA MARCELA URQUIJO RAMIREZ</t>
  </si>
  <si>
    <t>ELMER TORRES TORRES CASTRO</t>
  </si>
  <si>
    <t>ESTRADA VANEGAS S.A.S.</t>
  </si>
  <si>
    <t>FIORELLA CAROLINA BERARDINELLI MENDEZ</t>
  </si>
  <si>
    <t>FRANCISCO JAVIER REINA OSORIO</t>
  </si>
  <si>
    <t>GILMUNERAMDSAS</t>
  </si>
  <si>
    <t>GRECO ABOGADOS S.A.S</t>
  </si>
  <si>
    <t>INDIRA LUZ ARANGO TOVAR</t>
  </si>
  <si>
    <t>JON KEPPA BALPARDA ARIAS</t>
  </si>
  <si>
    <t>JUAN CARLOS GIL MUÑOZ</t>
  </si>
  <si>
    <t>JUAN GONZALO SANCHEZ MONTOYA</t>
  </si>
  <si>
    <t>JUAN PABLO BETANCUR PIEDRAHITA</t>
  </si>
  <si>
    <t>LAURA MONTOYA LOPEZ</t>
  </si>
  <si>
    <t>LUCAS POSADA AMAYA</t>
  </si>
  <si>
    <t>LUIS GUILLERMO JARAMILLO MEJIA</t>
  </si>
  <si>
    <t>MARIA CAROLINA SARDI</t>
  </si>
  <si>
    <t>MARIA GLORIA VELEZ DE VANEGAS</t>
  </si>
  <si>
    <t>MARIA SOLEDAD ZULUAGA GARCIA</t>
  </si>
  <si>
    <t>MARTA LUCIA HERRERA PEREZ</t>
  </si>
  <si>
    <t>MATTHEW LUKE RIVERA</t>
  </si>
  <si>
    <t>MEDDIPAY S.A.S.</t>
  </si>
  <si>
    <t>MEDELLIN LASER BORIS RAMIREZ S.A.S</t>
  </si>
  <si>
    <t>MERCEDES FONSECA FIGUEROA</t>
  </si>
  <si>
    <t>MIGUEL RAMIRO URIBE MOLINA</t>
  </si>
  <si>
    <t>NAHYR JAZMIN AMAYA GUZMAN</t>
  </si>
  <si>
    <t>NICOLLE TATIANA BOTERO MORA</t>
  </si>
  <si>
    <t>OSCAR ALVEIRO CARVAJAL USUGA</t>
  </si>
  <si>
    <t>RICHARD DUENAS</t>
  </si>
  <si>
    <t>A80131390</t>
  </si>
  <si>
    <t>RICHARD WILLIAM DUENAS</t>
  </si>
  <si>
    <t>SIMON FRANCO URIBE URIBE</t>
  </si>
  <si>
    <t>TATIANA HERNANDEZ SALAZAR</t>
  </si>
  <si>
    <t>Cuentas de Ahorro</t>
  </si>
  <si>
    <t>Bancos</t>
  </si>
  <si>
    <t>Cuenta Bancolombia ahorros OET</t>
  </si>
  <si>
    <t>Cuenta Bancolombia ahorros cuenta participación</t>
  </si>
  <si>
    <t>Cuenta BBVA Ahorros OET</t>
  </si>
  <si>
    <t>Cuenta Bancoomeva ahorros OET</t>
  </si>
  <si>
    <t>CTA BANCO CAJA SOCIAL OET</t>
  </si>
  <si>
    <t>Cuenta Bancolombia ahorros proyecto expansión</t>
  </si>
  <si>
    <t>Cuentas por Cobrar</t>
  </si>
  <si>
    <t>Clientes</t>
  </si>
  <si>
    <t>Clientes Nacionales</t>
  </si>
  <si>
    <t>AALIYAH VILLAVERDE IZQUIERDO</t>
  </si>
  <si>
    <t>ABELARDO VILLEGAS VELEZ</t>
  </si>
  <si>
    <t>ADA CAROLA HERMOSA RAMIREZ</t>
  </si>
  <si>
    <t>ADELE SOPHIE DIAZ PABON</t>
  </si>
  <si>
    <t>ADELINA HERNANDEZ JARAMILLO</t>
  </si>
  <si>
    <t>ADRIANA BAEZ CUADROS BAEZ</t>
  </si>
  <si>
    <t>Adriana Guerrero</t>
  </si>
  <si>
    <t>ADRIANA JANET GAVIRIA PALOMINO</t>
  </si>
  <si>
    <t>ADRIANA MARIA ALVAREZ CASTRILLON</t>
  </si>
  <si>
    <t>ADRIANA MARIA CUARTAS JARAMILLO</t>
  </si>
  <si>
    <t>ADRIANA MARIA GARCIA ZAPATA</t>
  </si>
  <si>
    <t>ADRIANA MARIA HURTADO JARAMILLO</t>
  </si>
  <si>
    <t>ADRIANA MARIA MOLINA YEPES</t>
  </si>
  <si>
    <t>ADRIANA MARIA MUNERA MONSALVE</t>
  </si>
  <si>
    <t>ADRIANA MARIA NICHOLLS VELEZ</t>
  </si>
  <si>
    <t>ADRIANA MARIA PALACIO URIBE</t>
  </si>
  <si>
    <t>ADRIANA MARIA RENGIFO GONZÁLEZ</t>
  </si>
  <si>
    <t>ADRIANA MORALES MARTINEZ</t>
  </si>
  <si>
    <t>ADRIANA PATRICIA SIERRA TOBON</t>
  </si>
  <si>
    <t>ADRIANA PEREZ ROLDAN</t>
  </si>
  <si>
    <t>ADRIANA SALET VAHOS MONSALVE</t>
  </si>
  <si>
    <t>ADRIANO ORELLANA SUAREZ</t>
  </si>
  <si>
    <t>AGUSTIN CARDONA MONTOYA</t>
  </si>
  <si>
    <t>AGUSTIN GIRALDO AVENDAÑO</t>
  </si>
  <si>
    <t>AGUSTIN GIRALDO GOMEZ</t>
  </si>
  <si>
    <t>AGUSTIN MEJIA OCHOA</t>
  </si>
  <si>
    <t>AGUSTIN PAZ MEDINA</t>
  </si>
  <si>
    <t>AGUSTIN POSADA ASTAIZA</t>
  </si>
  <si>
    <t>AGUSTIN RODRIGUEZ BOTERO</t>
  </si>
  <si>
    <t>AGUSTIN TRUJILLO LOURIDO</t>
  </si>
  <si>
    <t>AIDA LUZ CORDERO BARROSO</t>
  </si>
  <si>
    <t>AINOAH HERRERA GIRALDO</t>
  </si>
  <si>
    <t>ALBA CECILIA RESTREPO CESPEDES</t>
  </si>
  <si>
    <t>ALBA LILIANA HENAO CRESPO</t>
  </si>
  <si>
    <t>ALBA LUCIA RINCON ZULUAGA</t>
  </si>
  <si>
    <t>ALBA LUCIA TAPASCO GARZON</t>
  </si>
  <si>
    <t>ALBEIRO ANTONIO MUÑOZ ZEA</t>
  </si>
  <si>
    <t>ALBERTO FRANCO FRANCO POSADA</t>
  </si>
  <si>
    <t>ALBERTO HARLEN QUINTERO MOSQUERA</t>
  </si>
  <si>
    <t>ALEJANDRA MARIA JIMENEZ GOMEZ</t>
  </si>
  <si>
    <t>ALEJANDRA PALACIO ESCUDERO</t>
  </si>
  <si>
    <t>ALEJANDRO DARIO OLAYA BETANCUR</t>
  </si>
  <si>
    <t>ALEJANDRO GAITAN BAZURTO</t>
  </si>
  <si>
    <t>ALEJANDRO LONDOÑO VELEZ</t>
  </si>
  <si>
    <t>ALEJANDRO MEJIA MEJIA MOLINA</t>
  </si>
  <si>
    <t>ALEJANDRO PELAEZ TRUJILLO</t>
  </si>
  <si>
    <t>ALEJANDRO PIEDRAHITA TRUJILLO</t>
  </si>
  <si>
    <t>ALEJANDRO RAMIREZ ALZATE</t>
  </si>
  <si>
    <t>ALEJANDRO RESTREPO RESTREPO LOZANO</t>
  </si>
  <si>
    <t>ALEJANDRO TORRES HERRERA</t>
  </si>
  <si>
    <t>ALEJANDRO VALENCIA TORRES</t>
  </si>
  <si>
    <t>ALEJANDRO VEGA GIRALDO</t>
  </si>
  <si>
    <t>ALEX ARBEY ARENAS MONTOYA</t>
  </si>
  <si>
    <t>ALEXANDER SANCHEZ TANGARIFE</t>
  </si>
  <si>
    <t>ALEXANDRA AYOUB HURTADO</t>
  </si>
  <si>
    <t>ALEXANDRA MARIA ORTIZ ARANGO</t>
  </si>
  <si>
    <t>ALEXANDRA ROCIO MEJIA VELEZ</t>
  </si>
  <si>
    <t>ALFA AMIRA HERNANDEZ MARTINEZ</t>
  </si>
  <si>
    <t>ALFREDO GARTNER PEREZ</t>
  </si>
  <si>
    <t>ALFREDO VANEGAS PAEZ</t>
  </si>
  <si>
    <t>ALICIA CHICA CARDONA</t>
  </si>
  <si>
    <t>ALICIA GIRALDO AVENDAÑO</t>
  </si>
  <si>
    <t>ALICIA OSPINA OSPINA VELEZ</t>
  </si>
  <si>
    <t>ALICIA RESTREPO ARISTIZABAL</t>
  </si>
  <si>
    <t>ALINE SERHAN KARAM AL DEEN</t>
  </si>
  <si>
    <t>ALIRIO TAMANESIS TAMANESIS GONZALEZ</t>
  </si>
  <si>
    <t>ALIS DEL SOCORRO RODAS MEJIA</t>
  </si>
  <si>
    <t>ALISON ANDREA SANTIAGO RODRIGUEZ</t>
  </si>
  <si>
    <t>ALLAN JOSHUA JULIO LOPEZ</t>
  </si>
  <si>
    <t>ALLIANZ SEGUROS DE VIDA SA</t>
  </si>
  <si>
    <t>C29118367</t>
  </si>
  <si>
    <t>ALMA NYDIA ALMAODOVAR</t>
  </si>
  <si>
    <t>ALVARO ANDRES ZAPATA VELEZ</t>
  </si>
  <si>
    <t>ALVARO CASAS SAMPEDRO</t>
  </si>
  <si>
    <t>ALVARO HELI MARIN DUQUE</t>
  </si>
  <si>
    <t>ALVARO JARAMILLO JARAMILLO CARDENAS</t>
  </si>
  <si>
    <t>ALVARO PIO VALENCIA VELEZ</t>
  </si>
  <si>
    <t>ALVARO TAPIAS MILLAN</t>
  </si>
  <si>
    <t>ALWIN ALEXIS CROES ARAQUE</t>
  </si>
  <si>
    <t>AMALIA ARISTIZABAL GOMEZ</t>
  </si>
  <si>
    <t>AMALIA ECHAVARRIA CASTRO</t>
  </si>
  <si>
    <t>AMALIA LOPEZ JARAMILLO</t>
  </si>
  <si>
    <t>AMALIA ORLANDO SUAREZ</t>
  </si>
  <si>
    <t>AMALIA ZULETA VALENCIA</t>
  </si>
  <si>
    <t>AMANDA DE JESUS GOMEZ GOMEZ</t>
  </si>
  <si>
    <t>AMELIA GÓMEZ LONDOÑO</t>
  </si>
  <si>
    <t>AMELIA ORTIZ GIRALDO</t>
  </si>
  <si>
    <t>AMELIA RESTREPO JIMENEZ</t>
  </si>
  <si>
    <t>AMELIA ROLDAN ARBOLEDA</t>
  </si>
  <si>
    <t>AMPARO DE JESUS GOMEZ DUQUE</t>
  </si>
  <si>
    <t>AMPARO DUQUE DE EVANS</t>
  </si>
  <si>
    <t>AMPARO GAMBOA 0</t>
  </si>
  <si>
    <t>AMPARO MONCAYO ROSALES</t>
  </si>
  <si>
    <t>ANA ARACELY JIMENEZ MORENO</t>
  </si>
  <si>
    <t>ANA CECILIA MARTINEZ DE PALACIO</t>
  </si>
  <si>
    <t>ANA CECILIA VILLADA TORO</t>
  </si>
  <si>
    <t>ANA ISABELINA CAÑAS DE GRANDA</t>
  </si>
  <si>
    <t>ANA LUISA LOPEZ GARCIA</t>
  </si>
  <si>
    <t>ANA MARIA AGUILAR QUIROZ</t>
  </si>
  <si>
    <t>ANA MARIA ALVAREZ RUBIO</t>
  </si>
  <si>
    <t>ANA MARIA BETANCUR VARGAS</t>
  </si>
  <si>
    <t>ANA MARIA CARDONA ECHEVERRI</t>
  </si>
  <si>
    <t>ANA MARIA CASTAÑEDA ARANGO</t>
  </si>
  <si>
    <t>ANA MARIA GOMEZ RAMIREZ</t>
  </si>
  <si>
    <t>ANA MARIA HENAO BERNAL</t>
  </si>
  <si>
    <t>ANA MARIA HERNANDEZ GARCIA</t>
  </si>
  <si>
    <t>ANA MARIA LONDOÑO VILLA</t>
  </si>
  <si>
    <t>ANA MARIA LOPEZ RINCON</t>
  </si>
  <si>
    <t>ANA MARIA MARTINEZ ZABALA</t>
  </si>
  <si>
    <t>ANA MARIA TORO GALLEGO</t>
  </si>
  <si>
    <t>ANA MARIA ZULUAGA JARAMILLO</t>
  </si>
  <si>
    <t>ANA MARINA JIMENEZ POSADA</t>
  </si>
  <si>
    <t>ANA MARQUEZA RODRIGUEZ ARROYO</t>
  </si>
  <si>
    <t>ANA MILENA CALLE VALDES</t>
  </si>
  <si>
    <t>ANA PATRICIA MESA FRANCO</t>
  </si>
  <si>
    <t>ANA RUT PELAEZ DE VILLEGAS</t>
  </si>
  <si>
    <t>ANA SOFIA CHAVARRIA GARZON</t>
  </si>
  <si>
    <t>ANA SOFIA GÓMEZ LONDOÑO</t>
  </si>
  <si>
    <t>ANA VANEGAS JIMENEZ</t>
  </si>
  <si>
    <t>ANAHI ALEXANDRA VITERI REYES</t>
  </si>
  <si>
    <t>ANAIS CRISTINA VARGAS PEREZ</t>
  </si>
  <si>
    <t>ANDERSON ARLEY OVIEDO GUTIERREZ</t>
  </si>
  <si>
    <t>ANDREA CAROLINA UCROZ BENAVIDES</t>
  </si>
  <si>
    <t>ANDREA DE MUNARI</t>
  </si>
  <si>
    <t>ANDREA GARZON MORENO</t>
  </si>
  <si>
    <t>ANDREA PATRICIA GARCIA VELASQUEZ</t>
  </si>
  <si>
    <t>ANDREA PATRICIA MUNERA CASTAÑO</t>
  </si>
  <si>
    <t>ANDREA RENDON LLANOS</t>
  </si>
  <si>
    <t>ANDREA TOBON RESTREPO</t>
  </si>
  <si>
    <t>ANDRES ALEJANDRO SALAZAR CALDERON</t>
  </si>
  <si>
    <t>ANDRES BOTERO OCAMPO</t>
  </si>
  <si>
    <t>ANDRES DAVID LEGUIZAMON GONZALEZ</t>
  </si>
  <si>
    <t>ANDRES DE JESUS MESA LONDOÑO</t>
  </si>
  <si>
    <t>ANDRES ESTEBAN GIRALDO RUIZ</t>
  </si>
  <si>
    <t>ANDRES FELIPE ACEVEDO GOEZ</t>
  </si>
  <si>
    <t>ANDRES FELIPE ARANGO LONDOÑO</t>
  </si>
  <si>
    <t>ANDRES FELIPE GIRALDO DAVILA</t>
  </si>
  <si>
    <t>ANDRES FELIPE GONZALEZ OROZCO</t>
  </si>
  <si>
    <t>ANDRES FELIPE PETRO MONTERROSA</t>
  </si>
  <si>
    <t>ANDRES FELIPE RIOS OSORIO</t>
  </si>
  <si>
    <t>ANDRES FELIPE TOBON JIMENEZ</t>
  </si>
  <si>
    <t>ANDRES FELIPE VELEZ JOHNSON</t>
  </si>
  <si>
    <t>ANDRES MAURICIO MONTOYA GARCÍA</t>
  </si>
  <si>
    <t>ANDRES QUINTERO RESTREPO</t>
  </si>
  <si>
    <t>ANDRES STIWARD CALDERON SÁNCHEZ</t>
  </si>
  <si>
    <t>ANDRES VANEGAS LONDOÑO</t>
  </si>
  <si>
    <t>ANGELA MARIA CASTRILLON ORTIZ</t>
  </si>
  <si>
    <t>ANGIE KATHERINE HENAO NAVARRETE</t>
  </si>
  <si>
    <t>ANGIE PAOLA VASQUEZ ARBOLEDA</t>
  </si>
  <si>
    <t>ANGIE XIMENA ORTEGA PANTOJA</t>
  </si>
  <si>
    <t>RD6347727</t>
  </si>
  <si>
    <t>ANNY LIDACEL CABRAL SALVADOR</t>
  </si>
  <si>
    <t>ANNY TATIANA ARROYAVE QUINTERO</t>
  </si>
  <si>
    <t>ANTHONY JARAMILLO OLAYA</t>
  </si>
  <si>
    <t>ANTHONY SAMUEL OCAMPO RÍOS</t>
  </si>
  <si>
    <t>ANTONIA AGUDELO JIMENEZ</t>
  </si>
  <si>
    <t>ANTONIA ARBOLEDA ORREGO</t>
  </si>
  <si>
    <t>ANTONIA CALLE CALLE VERGARA</t>
  </si>
  <si>
    <t>ANTONIA HINCAPIE VILLA</t>
  </si>
  <si>
    <t>ANTONIA LOPEZ LONDOÑO</t>
  </si>
  <si>
    <t>ANTONIA ROLDAN GALLEGO</t>
  </si>
  <si>
    <t>ARELIS ALVAREZ ALVAREZ MUÑOZ</t>
  </si>
  <si>
    <t>ARGEMIRO DE JESUS MUÑOZ URIBE</t>
  </si>
  <si>
    <t>ARGENIS QUINTERO VALDERRAMA</t>
  </si>
  <si>
    <t>ARIA MEDINA VILLEGAS</t>
  </si>
  <si>
    <t>ARIANA LEIVA PARRA</t>
  </si>
  <si>
    <t>ARIANA MARULANDA VILLEGAS</t>
  </si>
  <si>
    <t>ARNOBIA CRISTINA MONTOYA VERGARA</t>
  </si>
  <si>
    <t>AUGUSTA GARCES GONZALEZ</t>
  </si>
  <si>
    <t>AURA DEL SOCORRO SALDARRIAGA MEJIA</t>
  </si>
  <si>
    <t>AURA ELVIA ZAPATA MUÑOZ</t>
  </si>
  <si>
    <t>AURA MARIA GRISALES AVENDAÑO</t>
  </si>
  <si>
    <t>AURA MARITZA PEÑUELA GAMEZ</t>
  </si>
  <si>
    <t>AURA ROJAS DE FLOREZ</t>
  </si>
  <si>
    <t>AURELIO GOMEZ GOMEZ GONZALEZ</t>
  </si>
  <si>
    <t>AURORA RAMIREZ SERMEÑO</t>
  </si>
  <si>
    <t>AVRIL ECHEVERRI VELASCO</t>
  </si>
  <si>
    <t>AXA COLPATRIA MEDICINA PREPAGA</t>
  </si>
  <si>
    <t>AXA COLPATRIA SEGUROS DE VIDA S.A.</t>
  </si>
  <si>
    <t>NX5L12J68</t>
  </si>
  <si>
    <t>AYRIANA MARIA TJIN KON FAT</t>
  </si>
  <si>
    <t>AYSHA VILLAVERDE IZQUIERDO</t>
  </si>
  <si>
    <t>BEATRIZ ELENA CASTAÑO RAMIREZ</t>
  </si>
  <si>
    <t>BEATRIZ ELENA GARCIA CORRALES</t>
  </si>
  <si>
    <t>BEATRIZ ELENA JIMENEZ PEREZ</t>
  </si>
  <si>
    <t>BEATRIZ ELENA MEJIA VARELAS</t>
  </si>
  <si>
    <t>BEATRIZ ELENA URIBE ESCOBAR</t>
  </si>
  <si>
    <t>BEATRIZ EUGENIA TORO PALACIO</t>
  </si>
  <si>
    <t>BEATRIZ HELENA RODADO GRIJALBA</t>
  </si>
  <si>
    <t>BEATRIZ LUCIA VELEZ ECHAVARRIA</t>
  </si>
  <si>
    <t>BEATRIZ ZULEMA FORONDA MONTOYA</t>
  </si>
  <si>
    <t>BELEN LOPEZ LONDOÑO</t>
  </si>
  <si>
    <t>BELEN VARELA VARELA RIVAS</t>
  </si>
  <si>
    <t>BELLAIRE DEL PILAR OROZCO CASTRILLON</t>
  </si>
  <si>
    <t>BERNARDA ESTHER PEREZ ARANGO</t>
  </si>
  <si>
    <t>BERTA OLIVA MARIN GARCIA</t>
  </si>
  <si>
    <t>BETSY PATRICIA PAREJA IBARRA</t>
  </si>
  <si>
    <t>BIBIANA DONADO ENCISO</t>
  </si>
  <si>
    <t>BIBIANA MARIA ACOSTA RINCON</t>
  </si>
  <si>
    <t>BIBIANA MARIA ARBELAEZ CORREA</t>
  </si>
  <si>
    <t>BILLI ALEXANDER VARGAS SALAS</t>
  </si>
  <si>
    <t>A08407701</t>
  </si>
  <si>
    <t>BLAIR FITTS PORTER</t>
  </si>
  <si>
    <t>BLANCA CECILIA PEREZ AGUIRRE</t>
  </si>
  <si>
    <t>BLANCA EUGENIA MONSALVE RUIZ</t>
  </si>
  <si>
    <t>BLANCA FABIOLA GALLEGO RESTREPO</t>
  </si>
  <si>
    <t>BLANCA INES MONTOYA CARDONA</t>
  </si>
  <si>
    <t>BLANCA JANNETH YEPES ALVAREZ</t>
  </si>
  <si>
    <t>BLANCA MARGARITA GONZALEZ DE RESTREPO</t>
  </si>
  <si>
    <t>BLANCA NUBIA GIRALDO AGUDELO</t>
  </si>
  <si>
    <t>BORIS MAURICIO ARROYAVE CORREA</t>
  </si>
  <si>
    <t>AV152151</t>
  </si>
  <si>
    <t>BRANDON MARLON TABARES CONTRERAS</t>
  </si>
  <si>
    <t>BRANKA GUJANICIC</t>
  </si>
  <si>
    <t>BREIBIS MOSQUERA MOSQUERA</t>
  </si>
  <si>
    <t>NX8FH9KL6</t>
  </si>
  <si>
    <t>BRYAN YERSEY LAMPE</t>
  </si>
  <si>
    <t>BYRON ALEXANDER PORTILLA BENAVIDES</t>
  </si>
  <si>
    <t>NPPJL6JD5</t>
  </si>
  <si>
    <t>CAITLYN MARIE ROJER</t>
  </si>
  <si>
    <t>CAMILA ANDREA GARCIA BAQUERO</t>
  </si>
  <si>
    <t>CAMILA CATAÑO GOMEZ</t>
  </si>
  <si>
    <t>CAMILA PIEDRAHITA ESTRADA</t>
  </si>
  <si>
    <t>CAMILO ANDRES URIBE AGUIAR</t>
  </si>
  <si>
    <t>CARLINA VILLA DE CIFUENTES</t>
  </si>
  <si>
    <t>CARLO GIOVANNI MUSTO REINA</t>
  </si>
  <si>
    <t>CARLOS ALBERTO BELTRAN RUIZ</t>
  </si>
  <si>
    <t>CARLOS ALBERTO CALLE URIBE</t>
  </si>
  <si>
    <t>PAA861672</t>
  </si>
  <si>
    <t>CARLOS ALBERTO FAJARDO GEREZ</t>
  </si>
  <si>
    <t>CARLOS ALBERTO GONZALEZ TOBON</t>
  </si>
  <si>
    <t>CARLOS ALBERTO OSPINA HINCAPIE</t>
  </si>
  <si>
    <t>CARLOS ALFONSO DURAN SAENZ</t>
  </si>
  <si>
    <t>CARLOS ANDRES BUSTAMANTE PUERTA</t>
  </si>
  <si>
    <t>CARLOS ANDRES GRACIANO ARISTIZABAL</t>
  </si>
  <si>
    <t>CARLOS ANDRES HURTADO RESTREPO</t>
  </si>
  <si>
    <t>CARLOS EDUARDO LONDOÑO MONTOYA</t>
  </si>
  <si>
    <t>CARLOS ENRIQUE AGUDELO SOLIS</t>
  </si>
  <si>
    <t>CARLOS JULIO CASTAÑO CEBALLOS</t>
  </si>
  <si>
    <t>CARLOS LUIZ CABREJA</t>
  </si>
  <si>
    <t>CARLOS MARIO MAYA OCHOA</t>
  </si>
  <si>
    <t>CARLOS MARIO RESTREPO ARROYAVE</t>
  </si>
  <si>
    <t>CARLOS MAURICIO PIÑERES VALENCIA</t>
  </si>
  <si>
    <t>CARMEN LUCIA ZAPATA DEL VALLE</t>
  </si>
  <si>
    <t>CARMEN LUISA FERNANDEZ DE DIOSA</t>
  </si>
  <si>
    <t>CARMENZA DEL SOCORRO JARAMILLO DE MEJIA</t>
  </si>
  <si>
    <t>CAROLINA BETANCUR BETANCUR GONZALEZ</t>
  </si>
  <si>
    <t>CAROLINA CASTAÑEDA POSADA</t>
  </si>
  <si>
    <t>CAROLINA CORREA GUERRA</t>
  </si>
  <si>
    <t>CAROLINA GRILLO TARCHOPULOS</t>
  </si>
  <si>
    <t>CAROLINA ISELA MURILLO CHAVERRA</t>
  </si>
  <si>
    <t>CAROLINA MARIA QUINTERO ARIAS</t>
  </si>
  <si>
    <t>CAROLINA MEJIA ECHEVERRY</t>
  </si>
  <si>
    <t>CAROLINA SALAZAR SALAZAR GALLO</t>
  </si>
  <si>
    <t>CAROLINA SIERRA MUNERA</t>
  </si>
  <si>
    <t>CAROLINA SUAREZ ARANGO</t>
  </si>
  <si>
    <t>CATALINA ALZATE WIEDEMANN</t>
  </si>
  <si>
    <t>CATALINA DIEZ CARMONA</t>
  </si>
  <si>
    <t>CATALINA LOPERA EUSSE</t>
  </si>
  <si>
    <t>CATALINA MARIA ZEA MONTOYA</t>
  </si>
  <si>
    <t>CATALINA MESA ARANGO</t>
  </si>
  <si>
    <t>CATALINA VARGAS CANDAMIL</t>
  </si>
  <si>
    <t>CECILIA MUÑOZ FERNANDEZ</t>
  </si>
  <si>
    <t>CELESTE LONGAS VALENCIA</t>
  </si>
  <si>
    <t>CELIA JARAMILLO DE ZULUAGA</t>
  </si>
  <si>
    <t>CESAR AUGUSTO ACEVEDO QUICENO</t>
  </si>
  <si>
    <t>CESAR AUGUSTO GOMEZ BETANCUR</t>
  </si>
  <si>
    <t>CESAR AUGUSTO GUTIERREZ GOMEZ</t>
  </si>
  <si>
    <t>CESAR AUGUSTO VANEGAS PEREZ</t>
  </si>
  <si>
    <t>CESAR DARIO PATIÑO LEMOS</t>
  </si>
  <si>
    <t>CESAR HERNANDO SEGURA LATORRE</t>
  </si>
  <si>
    <t>CESAR LUPERCIO BOJACA ALONSO</t>
  </si>
  <si>
    <t>CHARLIN MELISA RESTREPO ISAZA</t>
  </si>
  <si>
    <t>CINDY DANINI DIEGO NAVARRO</t>
  </si>
  <si>
    <t>CINDY YULIANA CARTAGENA MONTOYA</t>
  </si>
  <si>
    <t>CIPRIANO GOMEZ ARANGO</t>
  </si>
  <si>
    <t>CIPRIANO TREJO ALDANA</t>
  </si>
  <si>
    <t>CLARA INES PELAEZ PELAEZ</t>
  </si>
  <si>
    <t>CLARA INES VARGAS PATIÑO</t>
  </si>
  <si>
    <t>CLARA XIMENA VELEZ JARAMILLO</t>
  </si>
  <si>
    <t>CLAUDIA ASTRID OSORIO VILLA</t>
  </si>
  <si>
    <t>CLAUDIA CRISTINA GIRALDO NARANJO</t>
  </si>
  <si>
    <t>CLAUDIA ELENA GIRALDO SIERRA</t>
  </si>
  <si>
    <t>CLAUDIA ISABEL OSPINA TREJOS</t>
  </si>
  <si>
    <t>CLAUDIA JANETH RAMIREZ SUAREZ</t>
  </si>
  <si>
    <t>CLAUDIA MEZA DEVILLE</t>
  </si>
  <si>
    <t>CLAUDIA MILENA OCAMPO LOPEZ</t>
  </si>
  <si>
    <t>CLAUDIA MILENA ORTEGA MORENO</t>
  </si>
  <si>
    <t>CLAUDIA OLIVA GOMEZ ZAPATA</t>
  </si>
  <si>
    <t>CLAUDIA PATRICIA CORREA BEDOYA</t>
  </si>
  <si>
    <t>CLAUDIA PATRICIA MEJIA OSORIO</t>
  </si>
  <si>
    <t>CLAUDIA PATRICIA RODRIGUEZ PANTOJA</t>
  </si>
  <si>
    <t>CLAUDIO MARCELO ARBELAEZ GOMEZ</t>
  </si>
  <si>
    <t>CLEIDY YOHANA MONTOYA CORTES</t>
  </si>
  <si>
    <t>CLEMENCIA MARIA DUQUE DE OCHOA</t>
  </si>
  <si>
    <t>COLMEDICA MEDICINA PREPAGADA S. A.</t>
  </si>
  <si>
    <t>COMPAÑIA DE SEGUROS BOLIVAR S.</t>
  </si>
  <si>
    <t>COMPAÑIA DE SEGUROS COLSANITAS S.A.</t>
  </si>
  <si>
    <t>CONRADO DE JESUS GALLO CALDERON</t>
  </si>
  <si>
    <t>CONSTANZA SANCHEZ GIRALDO</t>
  </si>
  <si>
    <t>CONSTRUARQUITECTURA S.A.S.</t>
  </si>
  <si>
    <t>CONSUELO MARQUEZ DE OBRIEN</t>
  </si>
  <si>
    <t>COOMEVA  MEDICINA PREPAGADA S.</t>
  </si>
  <si>
    <t>CRISTIAN CAMILO ARCILA CASTRO</t>
  </si>
  <si>
    <t>CRISTIAN CAMILO GOMEZ PELAEZ</t>
  </si>
  <si>
    <t>CRISTIAN CAMILO MEJIA GOMEZ</t>
  </si>
  <si>
    <t>CRISTIAN CAMILO TOBON GONZALEZ</t>
  </si>
  <si>
    <t>CRISTIAN DIEGO DE JESUS GARCIA MESA</t>
  </si>
  <si>
    <t>CRISTIAN ROJO RESTREPO</t>
  </si>
  <si>
    <t>CRISTOBAL ARROYAVE ZULUAGA</t>
  </si>
  <si>
    <t>CRUZ CONSUELO RENDON FRANCO</t>
  </si>
  <si>
    <t>CRUZ DELINA ACEVEDO GELVEZ</t>
  </si>
  <si>
    <t>CRUZ EDELI TORO URIBE</t>
  </si>
  <si>
    <t>DAANISH TARIQ AZIM</t>
  </si>
  <si>
    <t>DAHIANA MICHEL BETANCUR LOPEZ</t>
  </si>
  <si>
    <t>DAHYANA ANDREA RAMIREZ ERAZO</t>
  </si>
  <si>
    <t>DAINA TATIANA AGUDELO CASTRO</t>
  </si>
  <si>
    <t>DAMARIS GONZALEZ BERMUDEZ</t>
  </si>
  <si>
    <t>DANA VALENTINA AREIZA MORALES</t>
  </si>
  <si>
    <t>DANEISY GRANADA VALENCIA</t>
  </si>
  <si>
    <t>DANIEL ANDRES ALVAREZ GALVAN</t>
  </si>
  <si>
    <t>DANIEL FELIPE AGUDELO TABORDA</t>
  </si>
  <si>
    <t>DANIEL FERRER RESTREPO</t>
  </si>
  <si>
    <t>DANIEL MARTINEZ ESTRADA</t>
  </si>
  <si>
    <t>DANIEL PAJON TORO</t>
  </si>
  <si>
    <t>DANIEL STIWAR TORO CASTAÑO</t>
  </si>
  <si>
    <t>DANIEL VALENCIA VALENCIA MUNERA</t>
  </si>
  <si>
    <t>DANIELA DUQUE RODRIGUEZ</t>
  </si>
  <si>
    <t>DANIELA EUSSE SILVA</t>
  </si>
  <si>
    <t>DANIELA SALAZAR LONDOÑO</t>
  </si>
  <si>
    <t>DANIELA SOFIA RAMIREZ CARRERO</t>
  </si>
  <si>
    <t>DANIELA VALENTINA HIGUERA DUITAMA</t>
  </si>
  <si>
    <t>DANIELA VARGAS MENDOZA</t>
  </si>
  <si>
    <t>DANNA PAOLA MORENO JIMENEZ</t>
  </si>
  <si>
    <t>DARLING URREA URREA BAENA</t>
  </si>
  <si>
    <t>DASHA MAYORCA GONZALEZ</t>
  </si>
  <si>
    <t>DAVID ANDRES RAMIREZ OBANDO</t>
  </si>
  <si>
    <t>A08838677</t>
  </si>
  <si>
    <t>DAVID ANTHONY MOYER</t>
  </si>
  <si>
    <t>DAVID FADEL YURGAKY LUNA</t>
  </si>
  <si>
    <t>DAVID FERNEY SANCHEZ MARTINEZ</t>
  </si>
  <si>
    <t>DAVID GONZALEZ OSPINA</t>
  </si>
  <si>
    <t>DAVID RAMIREZ ECHAVARRIA</t>
  </si>
  <si>
    <t>DAVID STEVEN GARCIA ACEVEDO</t>
  </si>
  <si>
    <t>DAVID VARGAS SALDARRIAGA</t>
  </si>
  <si>
    <t>DAVID VELEZ VELEZ</t>
  </si>
  <si>
    <t>DAYANA ISABEL GIRALDO JARAMILLO</t>
  </si>
  <si>
    <t>DAYRON ARLEY BLANDON LOPEZ</t>
  </si>
  <si>
    <t>DEBRA R THIBODEAU</t>
  </si>
  <si>
    <t>DEIBY ALEJANDRO ROMAN GALLEGO</t>
  </si>
  <si>
    <t>DEICY CAROLINA LOPERA RENDON</t>
  </si>
  <si>
    <t>DEISY JOHANA GUIRAL AGUDELO</t>
  </si>
  <si>
    <t>DEIVYS STIVEN MARTINEZ HERNANDEZ</t>
  </si>
  <si>
    <t>DENNIS WAYNE OATES</t>
  </si>
  <si>
    <t>RD7860576</t>
  </si>
  <si>
    <t>DENNY ALEXANDRA LOPEZ ESPINAL</t>
  </si>
  <si>
    <t>NTCL922F5</t>
  </si>
  <si>
    <t>DEWI LUNA SCHILDER SCHILDER</t>
  </si>
  <si>
    <t>DIANA CAROLINA VALLEJO MORA</t>
  </si>
  <si>
    <t>DIANA CATALINA PATIÑO CANO</t>
  </si>
  <si>
    <t>DIANA CECILIA MACHADO RAMIREZ</t>
  </si>
  <si>
    <t>DIANA ELIZABETH RESTREPO MARTINEZ</t>
  </si>
  <si>
    <t>DIANA EUGENIA SOLORZANO OSORIO</t>
  </si>
  <si>
    <t>DIANA LORENA BLANDON VALLEJO</t>
  </si>
  <si>
    <t>DIANA LUCIA JIMENEZ MARQUEZ</t>
  </si>
  <si>
    <t>DIANA MARCELLA PALACIO RIVERA</t>
  </si>
  <si>
    <t>DIANA MARIA BEDOYA RESTREPO</t>
  </si>
  <si>
    <t>DIANA MARIA BUITRAGO GOMEZ</t>
  </si>
  <si>
    <t>DIANA MARIA CUARTAS MESA</t>
  </si>
  <si>
    <t>DIANA MARIA GRANDA PEREZ</t>
  </si>
  <si>
    <t>DIANA MARIA MAYA SIERRA</t>
  </si>
  <si>
    <t>DIEGO ALEJANDRO CASTAÑO VILLA</t>
  </si>
  <si>
    <t>DIEGO ANDRES RICARDO MENDOZA</t>
  </si>
  <si>
    <t>DIEGO FARID GUZMAN SILVA</t>
  </si>
  <si>
    <t>DIEGO FERNANDO MARTINEZ OSORIO</t>
  </si>
  <si>
    <t>DIEGO FERNANDO RESTREPO VELEZ</t>
  </si>
  <si>
    <t>DIEGO LEON GOMEZ HENAO</t>
  </si>
  <si>
    <t>DOLLY NORELLY PIMENTEL GARCIA</t>
  </si>
  <si>
    <t>DORA EUGENIA VILLEGAS PELAEZ</t>
  </si>
  <si>
    <t>DORA GLADYS MEJIA JARAMILLO</t>
  </si>
  <si>
    <t>DORA ROCIO GOMEZ ZAPATA</t>
  </si>
  <si>
    <t>DUBERNEY CARO GONZALEZ</t>
  </si>
  <si>
    <t>DURLEY ANDREA ZAPATA ARANGO</t>
  </si>
  <si>
    <t>DUVAN ALBERTO LOPEZ ESTRADA</t>
  </si>
  <si>
    <t>A8239503</t>
  </si>
  <si>
    <t>EDA PEARL SIMPSON</t>
  </si>
  <si>
    <t>EDDY SANTIAGO QUINTERO MARTINEZ</t>
  </si>
  <si>
    <t>EDINSO ADRIAN GARCIA CARMONA</t>
  </si>
  <si>
    <t>EDITH SEPULVEDA ALVAREZ</t>
  </si>
  <si>
    <t>NVRL93231</t>
  </si>
  <si>
    <t>EDMUND ROY VILCHEZ HARMS</t>
  </si>
  <si>
    <t>EDUARDO VILLEGAS ARANGO</t>
  </si>
  <si>
    <t>EDWAR ANTONIO HERNANDEZ GIRALDO</t>
  </si>
  <si>
    <t>EDWAR ENRIQUE EGURROLA HERNÁNDEZ</t>
  </si>
  <si>
    <t>EDWIN ALBERTO TOBON JARAMILLO</t>
  </si>
  <si>
    <t>EDWIN FERNANDO GARCIA CORREA</t>
  </si>
  <si>
    <t>EDWIN YODIMIR RAMOS MENDOZA</t>
  </si>
  <si>
    <t>EIBAR HURTADO VILLEGAS</t>
  </si>
  <si>
    <t>ELCY TATIANA LOPEZ RUEDA</t>
  </si>
  <si>
    <t>ELDA NUBIA MEJIA JARAMILLO</t>
  </si>
  <si>
    <t>ELIANA MARCELA SANCHEZ RUIZ</t>
  </si>
  <si>
    <t>ELIANA MARIA JARAMILLO RODRIGUEZ</t>
  </si>
  <si>
    <t>ELIANA PRECIADO GARCIA</t>
  </si>
  <si>
    <t>ELIAS ARISTIZABAL FERIA</t>
  </si>
  <si>
    <t>ELIAS BERROCAL PASTOR</t>
  </si>
  <si>
    <t>ELISA ECHEVERRIA BOTERO</t>
  </si>
  <si>
    <t>ELIZABETH CIFUENTES SANCHEZ</t>
  </si>
  <si>
    <t>ELIZABETH CRISTINA ECHEVERRI GOMEZ</t>
  </si>
  <si>
    <t>ELIZABETH GOMEZ SOTO</t>
  </si>
  <si>
    <t>ELIZABETH PIEDRAHITA GUIRAL</t>
  </si>
  <si>
    <t>ELKIN DARIO OSPINA CATAÑO</t>
  </si>
  <si>
    <t>ELLY YASMIN ZULUAGA SALAZAR</t>
  </si>
  <si>
    <t>ELOISA FRANCO PEREZ</t>
  </si>
  <si>
    <t>ELOY ENRIQUE RAMIREZ</t>
  </si>
  <si>
    <t>ELVA MONTAÑO GARCIA</t>
  </si>
  <si>
    <t>ELVIA JIMENEZ DE URREA</t>
  </si>
  <si>
    <t>ELVIA ROCIO BUSTAMANTE GARCIA</t>
  </si>
  <si>
    <t>EMANUEL ARBELAEZ RUIZ</t>
  </si>
  <si>
    <t>EMANUEL TRIANA MESA</t>
  </si>
  <si>
    <t>EMILIA ARBELAEZ QUINTERO</t>
  </si>
  <si>
    <t>EMILIA GIRALDO GOMEZ</t>
  </si>
  <si>
    <t>EMILIA LONDOÑO ARRUBLA</t>
  </si>
  <si>
    <t>EMILIA LONGAS VALENCIA</t>
  </si>
  <si>
    <t>EMILIANA CARTAGENA GIRALDO</t>
  </si>
  <si>
    <t>EMILIANA CASTILLO MONTOYA</t>
  </si>
  <si>
    <t>EMILIANA TORO MADRID</t>
  </si>
  <si>
    <t>EMILIANO DURANGO PINZON</t>
  </si>
  <si>
    <t>EMILIANO MUÑOZ MANCO</t>
  </si>
  <si>
    <t>EMILIO AGUDELO RIVERA</t>
  </si>
  <si>
    <t>EMILIO PEREZ MALDONADO</t>
  </si>
  <si>
    <t>EMILIO QUIROZ PINEDO</t>
  </si>
  <si>
    <t>EMILIO VELANDIA PEREZ</t>
  </si>
  <si>
    <t>EMILY PARRA QUINTERO</t>
  </si>
  <si>
    <t>EMMA GOMEZ AMADOR</t>
  </si>
  <si>
    <t>EMMILY HERNANDEZ CASTRO</t>
  </si>
  <si>
    <t>ERIC STEFAN STEFAN TIMLIN</t>
  </si>
  <si>
    <t>ERICA MARIA RESTREPO ZAPATA</t>
  </si>
  <si>
    <t>ERIK MARCO ANTONIO GARCIA MUÑOZ</t>
  </si>
  <si>
    <t>ERIKA MARIA MOLINA MURIEL</t>
  </si>
  <si>
    <t>ERNESTO LEON MENDOZA RODRIGUEZ</t>
  </si>
  <si>
    <t>ESTEBAN JIMENEZ MARQUEZ</t>
  </si>
  <si>
    <t>ESTEBAN RAMIREZ DIOSA</t>
  </si>
  <si>
    <t>ESTEFANIA ARBOLEDA MARIN</t>
  </si>
  <si>
    <t>ESTEFANIA CARDONA JARAMILLO</t>
  </si>
  <si>
    <t>ESTEFANIA OROZCO OROZCO TABARES</t>
  </si>
  <si>
    <t>ESTEFANIA VANEGAS LONDOÑO</t>
  </si>
  <si>
    <t>ESTHEFANY YESENIA LINARES DABOIN</t>
  </si>
  <si>
    <t>ESTRADEZ S.A.S.</t>
  </si>
  <si>
    <t>EUGENIO PALACIO ROLDAN</t>
  </si>
  <si>
    <t>EVANELDO HONORATO XAVIER</t>
  </si>
  <si>
    <t>FABIO ANDRES JARAMIILO RAMIREZ</t>
  </si>
  <si>
    <t>FACUNDO ROMERO SYMENS</t>
  </si>
  <si>
    <t>NXH47H5D7</t>
  </si>
  <si>
    <t>FAIDY FARA BERNARDINA</t>
  </si>
  <si>
    <t>FAIRUZ BETINA NAVARRO DE LEON</t>
  </si>
  <si>
    <t>FANNY PALACIO DE GIRALDO</t>
  </si>
  <si>
    <t>FARLEY JANETH CASTRILLON MARIN</t>
  </si>
  <si>
    <t>FATIMA CHIQUINQUIRA ACOSTA DE FREITAS</t>
  </si>
  <si>
    <t>FEDERICO NARANJO GOMEZ</t>
  </si>
  <si>
    <t>FELIPE ALBERTO AGUDELO OSPINA</t>
  </si>
  <si>
    <t>PA1362925</t>
  </si>
  <si>
    <t>FELIPE ROMERO CASTILLO</t>
  </si>
  <si>
    <t>FELIX RICARDO GARZON ROJAS</t>
  </si>
  <si>
    <t>FERGIE PAMELA MONTOYA RAMIREZ</t>
  </si>
  <si>
    <t>FERNANDO ANTONIO LOPEZ JARAMILLO</t>
  </si>
  <si>
    <t>FERNANDO ARBELAEZ SOTO</t>
  </si>
  <si>
    <t>FERNANDO MOLINA CASTRILLON</t>
  </si>
  <si>
    <t>FLOR DE LIS ESTRADA</t>
  </si>
  <si>
    <t>FLOR EDILMA LOPEZ VILLA</t>
  </si>
  <si>
    <t>FLOR ELVA ALVAREZ MONTOYA</t>
  </si>
  <si>
    <t>FLORENCIA ARANGO GAVIRIA</t>
  </si>
  <si>
    <t>FRANCI SMITH ROBAYO RODRIGUEZ</t>
  </si>
  <si>
    <t>FRANCISCA MARLENY GOMEZ MONTOYA</t>
  </si>
  <si>
    <t>FRANCISCO JAVIER ALVAREZ RAMIREZ</t>
  </si>
  <si>
    <t>FRANCISCO JOSE SIERRA</t>
  </si>
  <si>
    <t>FRANCO AGUIRRE CORDOBA</t>
  </si>
  <si>
    <t>FRANCO CARDONA ZAPATA</t>
  </si>
  <si>
    <t>FRANCY CATALINA RAMIREZ CIRO</t>
  </si>
  <si>
    <t>FREDY LOPEZ SUAREZ</t>
  </si>
  <si>
    <t>FREYDEN EMILIO RAMIREZ GOMEZ</t>
  </si>
  <si>
    <t>GABRIEL GIRALDO OCHOA</t>
  </si>
  <si>
    <t>GABRIEL JAIME GOMEZ LONDOÑO</t>
  </si>
  <si>
    <t>GABRIEL JAIME NARANJO MONTOYA</t>
  </si>
  <si>
    <t>GABRIEL JESUS CHIRINOS COLINA</t>
  </si>
  <si>
    <t>GABRIEL MATIAS MORA FRANCO</t>
  </si>
  <si>
    <t>GABRIELA GIL LOPEZ</t>
  </si>
  <si>
    <t>GABRIELA MONTOYA CALLE</t>
  </si>
  <si>
    <t>GABRIELA OCAMPO OLARTE</t>
  </si>
  <si>
    <t>GERALDINE GOMEZ ACOSTA</t>
  </si>
  <si>
    <t>GERALDINE JULIETH CABREJO GARCIA</t>
  </si>
  <si>
    <t>GERARDO LUNA SALAZAR</t>
  </si>
  <si>
    <t>GERMAN AGUDELO MARULANDA</t>
  </si>
  <si>
    <t>GERMAN AUGUSTO AMAYA SALCEDO</t>
  </si>
  <si>
    <t>GERMAN PEREZ RESTREPO</t>
  </si>
  <si>
    <t>GERSON DANIEL MARIN SUÑIGA</t>
  </si>
  <si>
    <t>GI GROUP STAFFING S.A.S.</t>
  </si>
  <si>
    <t>GILBERTO GIRALDO GIRALDO GOMEZ</t>
  </si>
  <si>
    <t>GILMA DEL SOCORRO JARAMILLO GALLO</t>
  </si>
  <si>
    <t>GLADIS EMILCE RIVERA LOIZA</t>
  </si>
  <si>
    <t>GLADIS STELLA ARIAS PINEDA</t>
  </si>
  <si>
    <t>GLADYS QUINTERO DE GALVEZ</t>
  </si>
  <si>
    <t>GLEDIS AMADOR CASTILLA</t>
  </si>
  <si>
    <t>GLEN ESNEYDER ESCUDERO CUARTAS</t>
  </si>
  <si>
    <t>GLORIA AMPARO USMA RIVERA</t>
  </si>
  <si>
    <t>GLORIA DEL SOCORRO USMA GONZALEZ</t>
  </si>
  <si>
    <t>GLORIA ELENA RIOS LENIS</t>
  </si>
  <si>
    <t>GLORIA IDALIDA JIMENEZ QUINTERO</t>
  </si>
  <si>
    <t>GLORIA JOSEFA NUÑEZ RAMIREZ</t>
  </si>
  <si>
    <t>GLORIA LUCY URIBE MARTINEZ</t>
  </si>
  <si>
    <t>GLORIA MARIA GOMEZ GIRALDO</t>
  </si>
  <si>
    <t>GLORIA MARIA JARAMILLO ACOSTA</t>
  </si>
  <si>
    <t>GLORIA MARIA RESTREPO VELEZ</t>
  </si>
  <si>
    <t>GLORIA MERCEDES CALLE GALLEGO</t>
  </si>
  <si>
    <t>GLORIA NELLY PERILLA SILVA</t>
  </si>
  <si>
    <t>GLORIA PATRICIA PEREZ SANCHEZ</t>
  </si>
  <si>
    <t>GLORIA PATRICIA TORO BUITRAGO</t>
  </si>
  <si>
    <t>GLORIA STELLA BURGOS RESTREPO</t>
  </si>
  <si>
    <t>GRECIA ALESSANDRA ORELLANA SUAREZ</t>
  </si>
  <si>
    <t>GREETY PATRICIA MEJIA ROCHA</t>
  </si>
  <si>
    <t>GREGORIO GOMEZ ARANGO</t>
  </si>
  <si>
    <t>GUADALUPE CALLE CALLE VERGARA</t>
  </si>
  <si>
    <t>GUADALUPE CASTAÑO ZEA</t>
  </si>
  <si>
    <t>GUADALUPE LONDOÑO LOPERA</t>
  </si>
  <si>
    <t>GUADALUPE MORA FRANCO</t>
  </si>
  <si>
    <t>GUIABIEN ASESORES EN SEGUROS LTDA</t>
  </si>
  <si>
    <t>GUIDO CARLESSO 0</t>
  </si>
  <si>
    <t>GUILLERMO ANTONIO GONZALEZ QUIJANO</t>
  </si>
  <si>
    <t>GUILLERMO LEON BETANCUR SANCHEZ</t>
  </si>
  <si>
    <t>GUILLERMO LEON OSSA GARCIA</t>
  </si>
  <si>
    <t>GUILLERMO PALACIO VELEZ</t>
  </si>
  <si>
    <t>GULLERMO LEON MOLINA GONZALEZ</t>
  </si>
  <si>
    <t>GUSTAVO ADOLFO TRUJILLO OSORIO</t>
  </si>
  <si>
    <t>GUSTAVO ALONSO VELEZ MADRID</t>
  </si>
  <si>
    <t>A54673988</t>
  </si>
  <si>
    <t>GUSTAVO ENRIQUE PUENTE</t>
  </si>
  <si>
    <t>GUSTAVO VELASQUEZ MEJIA</t>
  </si>
  <si>
    <t>GUSTAVO WBEIMAR MADRID VASQUEZ</t>
  </si>
  <si>
    <t>NY3J8KCD6</t>
  </si>
  <si>
    <t>GYSELA SIXTA DAAL</t>
  </si>
  <si>
    <t>HANIN SERHAN KARAM AL DEEN</t>
  </si>
  <si>
    <t>NTR948CC8</t>
  </si>
  <si>
    <t>HASSANA SADIRA PARDO</t>
  </si>
  <si>
    <t>HAYSHELL BYFRANCE PINEDA CADAVID</t>
  </si>
  <si>
    <t>HECTOR GERMAN HERNANDEZ GIRALDO</t>
  </si>
  <si>
    <t>HECTOR HUGO RAMIREZ VALENCIA</t>
  </si>
  <si>
    <t>HELENA SALDARRIAGA MARIN</t>
  </si>
  <si>
    <t>HELENA TORO TORO LONDOÑO</t>
  </si>
  <si>
    <t>HENRRY FRANCISCO QUINTERO GUERRERO</t>
  </si>
  <si>
    <t>HENRY CABALLERO RODRIGUEZ</t>
  </si>
  <si>
    <t>HENRY RAFAEL OCANDO DURAN</t>
  </si>
  <si>
    <t>A32675366</t>
  </si>
  <si>
    <t>HERBERT MALLIN MC KAY JR</t>
  </si>
  <si>
    <t>HERIBERTO RENDON OSORIO</t>
  </si>
  <si>
    <t>HILDA MARGARITA HERNÁNDEZ BALDERRAMA</t>
  </si>
  <si>
    <t>HILENA RINCON ESPITIA</t>
  </si>
  <si>
    <t>IDA PATRICIA REVELO RENDON</t>
  </si>
  <si>
    <t>ILCI MILENA PEREZ NIETO</t>
  </si>
  <si>
    <t>ILIANA BEATRIZ CARRERO JIMENEZ</t>
  </si>
  <si>
    <t>INES MORELIA ESCALANTE DE RENDON</t>
  </si>
  <si>
    <t>INGE RENTAL S.A.S</t>
  </si>
  <si>
    <t>INGMAR ALBERTUS GERARD OUKES</t>
  </si>
  <si>
    <t>INGRID PAOLA SILVA GALINDO</t>
  </si>
  <si>
    <t>INGRID PATRICIA DE LA OSSA CHICO</t>
  </si>
  <si>
    <t>INSTITUTO NACIONAL DE INVESTIGACION EN OFTALMOLOGI</t>
  </si>
  <si>
    <t>IOHAN ANDRES PATIÑO RODRIGUEZ</t>
  </si>
  <si>
    <t>ISAAC CORTES CALLEJAS</t>
  </si>
  <si>
    <t>ISAAC PENHA DUQUE</t>
  </si>
  <si>
    <t>ISAAC RAMIREZ BOTERO</t>
  </si>
  <si>
    <t>ISABEL ALVARAN DE RESTREPO</t>
  </si>
  <si>
    <t>ISABEL CRISTINA AGUIRRE PALACIO</t>
  </si>
  <si>
    <t>ISABEL CRISTINA CARDONA HIGUITA</t>
  </si>
  <si>
    <t>ISABEL CRISTINA MERINO ARISTIZABAL</t>
  </si>
  <si>
    <t>ISABEL CRISTINA OROZCO CASTRILLON</t>
  </si>
  <si>
    <t>ISABEL MARTINEZ VILLARRAGA</t>
  </si>
  <si>
    <t>ISABEL MUNERA GIRALDO</t>
  </si>
  <si>
    <t>ISABELA VILLA MARTINEZ</t>
  </si>
  <si>
    <t>ISABELLA FAJARDO HERNANDEZ</t>
  </si>
  <si>
    <t>ISABELLA GIRALDO HIGUITA</t>
  </si>
  <si>
    <t>ISABELLA GIRALDO MEJIA</t>
  </si>
  <si>
    <t>ISABELLA MESA VILLEGAS</t>
  </si>
  <si>
    <t>ISABELLA OSORNO CALDERON</t>
  </si>
  <si>
    <t>ISABELLA RUIZ PULGARIN</t>
  </si>
  <si>
    <t>ISABELLA SANCHEZ BARRAZA</t>
  </si>
  <si>
    <t>ISABELLA SWANWICK ZAPATA</t>
  </si>
  <si>
    <t>ISABELLE RODRIGUEZ RODRIGUEZ</t>
  </si>
  <si>
    <t>ISAK STRUGAR VALLEJO</t>
  </si>
  <si>
    <t>ISLANYI SOFIA VILLA RAMIREZ</t>
  </si>
  <si>
    <t>IVAN DARIO MEJIA ARROYAVE</t>
  </si>
  <si>
    <t>IVAN DARIO TORRES ESCOBAR</t>
  </si>
  <si>
    <t>IVONNE JULIANA ARDILA MACAREO</t>
  </si>
  <si>
    <t>JACOBO RESTREPO VARGAS</t>
  </si>
  <si>
    <t>JACOBO TRIANA TRIANA CARDENAS</t>
  </si>
  <si>
    <t>JACQUELINE BURGOS ALVAREZ</t>
  </si>
  <si>
    <t>JADE LEANA GREEN MASON</t>
  </si>
  <si>
    <t>JAIBER ALONSO MONTOYA DIAZ</t>
  </si>
  <si>
    <t>JAIME ALBERTO OCAMPO LOPERA</t>
  </si>
  <si>
    <t>JAIME ALBERTO SUAREZ ZAPATA</t>
  </si>
  <si>
    <t>JAIME ALONSO LOPERA AGUDELO</t>
  </si>
  <si>
    <t>JAIME ANDRES SANCHEZ FERNANDEZ</t>
  </si>
  <si>
    <t>JAIME DE LOS RIOS DE LOS RIOS GUTIERREZ</t>
  </si>
  <si>
    <t>JAIME EDUARDO DUQUE ROBLEDO</t>
  </si>
  <si>
    <t>JAIME ERNESTO BUSTAMANTE MONSALVE</t>
  </si>
  <si>
    <t>JAINIBER SANTA NIETO</t>
  </si>
  <si>
    <t>JAIRO ALBERTO AZCARATE ABADIA</t>
  </si>
  <si>
    <t>JAMER ALONSO TABARES ZAPATA</t>
  </si>
  <si>
    <t>JANELLYS SUAREZ ROBLES</t>
  </si>
  <si>
    <t>JASMIN LILIANA CHAVEZ MUÑOZ</t>
  </si>
  <si>
    <t>JAVIER ALONSO ALVAREZ SANCHEZ</t>
  </si>
  <si>
    <t>JAVIER FAJARDO GEREZ</t>
  </si>
  <si>
    <t>JEAN CARLOS CANO GONZALEZ</t>
  </si>
  <si>
    <t>JEFFERSON DANILO GRACIANO VILLEGAS</t>
  </si>
  <si>
    <t>JEISON ALEJANDRO VELEZ QUICENO</t>
  </si>
  <si>
    <t>JEISON FERNANDO RAMOS IBAÑEZ</t>
  </si>
  <si>
    <t>JEMIE VILEIDY HERNANDEZ MESA</t>
  </si>
  <si>
    <t>JENNIFER PAOLA VERGARA ALZATE</t>
  </si>
  <si>
    <t>JENNY ESTELA LOPEZ GAVIRIA</t>
  </si>
  <si>
    <t>JEOVANI ALVAREZ CASTAÑO</t>
  </si>
  <si>
    <t>JEREMIAH BIVINS 0</t>
  </si>
  <si>
    <t>JERMINSON ALZATE TABORDA</t>
  </si>
  <si>
    <t>JERONIMO DOMINGUEZ MARTINEZ</t>
  </si>
  <si>
    <t>JERONIMO ESCUDERO GAVIRIA</t>
  </si>
  <si>
    <t>JERONIMO GONZALEZ GOMEZ</t>
  </si>
  <si>
    <t>JERONIMO PINEDA ALVAREZ</t>
  </si>
  <si>
    <t>JERONIMO POSADA ASTAIZA</t>
  </si>
  <si>
    <t>JERONIMO QUINTERO GIRALDO</t>
  </si>
  <si>
    <t>JERSON DE JESUS SANTANA HIGUITA</t>
  </si>
  <si>
    <t>JESHIA ALEJANDRA BRAVO FORERO</t>
  </si>
  <si>
    <t>JESMAR JOSE RIVERA PINERO</t>
  </si>
  <si>
    <t>JESSICA ANNE LODGE HERRERA</t>
  </si>
  <si>
    <t>JESSICA FERNANDA ARANGO ROJAS</t>
  </si>
  <si>
    <t>JESSICA JULIETH LONDOÑO CASTAÑO</t>
  </si>
  <si>
    <t>JESSICA KATERINE AUCIQUE RODRIGUEZ</t>
  </si>
  <si>
    <t>JESSICA MILENA GALLO GIRALDO</t>
  </si>
  <si>
    <t>JESSICA PAOLA OSORIO JARAMILLO</t>
  </si>
  <si>
    <t>JESUS ANTONIO MOLINA JARAMILLO</t>
  </si>
  <si>
    <t>JESUS MARIA CORRALES GRANDA</t>
  </si>
  <si>
    <t>JESUS MARIA ESPINOSA QUICENO</t>
  </si>
  <si>
    <t>JHON ALEXANDER GOMEZ MUÑOZ</t>
  </si>
  <si>
    <t>JHON EDGARDO MORA ANGARITA</t>
  </si>
  <si>
    <t>JHON FREDIS ASPRILLA IBARGUEN</t>
  </si>
  <si>
    <t>JHON JAIME CASTRO RIOS</t>
  </si>
  <si>
    <t>JHONATAN CORREA NARVAEZ</t>
  </si>
  <si>
    <t>JHONIER ALEJANDRO CAICEDO GONZALEZ</t>
  </si>
  <si>
    <t>JOANNE NAYELY CAMACHO HERNANDEZ</t>
  </si>
  <si>
    <t>JOAQUIN FERNANDO GONZALEZ MARTINEZ</t>
  </si>
  <si>
    <t>JOEL MORENO SANCHEZ</t>
  </si>
  <si>
    <t>JOHAN SEBASTIAN FERIA ARIAS</t>
  </si>
  <si>
    <t>JOHAN STIVEN TINJACA TOCORA</t>
  </si>
  <si>
    <t>JOHANA ALZATE SOTO</t>
  </si>
  <si>
    <t>JOHANA MARCELA TABORDA RESTREPO</t>
  </si>
  <si>
    <t>JOHANNA ALVAREZ PAGAN</t>
  </si>
  <si>
    <t>JOHANNA CAROLINA RODRIGUEZ MUÑOZ</t>
  </si>
  <si>
    <t>JOHN DAVID HENAO CHAUX</t>
  </si>
  <si>
    <t>JOHN FELIPE TOBON HOYOS</t>
  </si>
  <si>
    <t>JOHN GOMEZ BUITRAGO</t>
  </si>
  <si>
    <t>JOHN JAIRO ZAPATA BETANCUR</t>
  </si>
  <si>
    <t>JOLY JUDITH CONEO VILLADIEGO</t>
  </si>
  <si>
    <t>JONATAN STIVEN ZAPATA ZAPATA</t>
  </si>
  <si>
    <t>JONATHAN OSWALDO MUESES TARAZONA</t>
  </si>
  <si>
    <t>JORGE ALBEIRO SALAZAR AGUDELO</t>
  </si>
  <si>
    <t>JORGE ALBERTO DUQUE SUAREZ</t>
  </si>
  <si>
    <t>JORGE ALBERTO HERNANDEZ PATIÑO</t>
  </si>
  <si>
    <t>JORGE ANDRES ARIAS BARRERA</t>
  </si>
  <si>
    <t>JORGE ANDRES PARRA JARAMILLO</t>
  </si>
  <si>
    <t>JORGE EDUARDO PELAEZ VANEGAS</t>
  </si>
  <si>
    <t>JORGE EDUARDO ROSAS GIL</t>
  </si>
  <si>
    <t>JORGE ELIECER ESTRADA HERNANDEZ</t>
  </si>
  <si>
    <t>JORGE FERNANDEZ DUQUE</t>
  </si>
  <si>
    <t>JORGE HUMBERTO CADAVID JARAMILLO</t>
  </si>
  <si>
    <t>JORGE IGNACIO MEJIA MONTOYA</t>
  </si>
  <si>
    <t>JORGE IVAN LONDOÑO ARROYAVE</t>
  </si>
  <si>
    <t>JORGE LUIS GONZALEZ SALGADO</t>
  </si>
  <si>
    <t>JORGE LUIS MACÍAS MARVEZ</t>
  </si>
  <si>
    <t>JORGE MARIO LOPEZ GIL</t>
  </si>
  <si>
    <t>JORGE MARIO RIOS FERGUSSON</t>
  </si>
  <si>
    <t>JORGE RAMON JANNA DAVID</t>
  </si>
  <si>
    <t>JORGE RICARDO ROMERO FLORIDO</t>
  </si>
  <si>
    <t>JOSE ALEJANDRO GOMEZ MESA</t>
  </si>
  <si>
    <t>JOSE ANTONIO KELLY GUERRERO</t>
  </si>
  <si>
    <t>JOSE DAGOBER AGUIRRE LONDOÑO</t>
  </si>
  <si>
    <t>JOSE DANIEL PUENTE RODRIGUEZ</t>
  </si>
  <si>
    <t>JOSE DAVID ARBELAEZ RUA</t>
  </si>
  <si>
    <t>JOSE DIDIER ZAPATA SUAREZ</t>
  </si>
  <si>
    <t>JOSE ISNEL RIVERA RAMIREZ</t>
  </si>
  <si>
    <t>JOSE LUIS NAVARRO AGUIRRE</t>
  </si>
  <si>
    <t>JOSE LUIS SUAREZ LEDESMA</t>
  </si>
  <si>
    <t>JOSE MABEL MOSQUERA AGUILAR</t>
  </si>
  <si>
    <t>JOSE MIGUEL TORRES VALENCIA</t>
  </si>
  <si>
    <t>JUAN ALEJANDRO SUCERQUIA GIRALDO</t>
  </si>
  <si>
    <t>JUAN ANGEL ARANGO RESTREPO</t>
  </si>
  <si>
    <t>JUAN ANTONIO MARQUEZ GOMEZ</t>
  </si>
  <si>
    <t>JUAN CAMILO HERRERA DIAZ</t>
  </si>
  <si>
    <t>JUAN CAMILO OSORIO ACEVEDO</t>
  </si>
  <si>
    <t>JUAN CAMILO TAMAYO VELEZ</t>
  </si>
  <si>
    <t>JUAN CARLOS GALLO CALDERON</t>
  </si>
  <si>
    <t>JUAN CARLOS GOMEZ ZULUAGA</t>
  </si>
  <si>
    <t>JUAN CARLOS POSADA GONZALEZ</t>
  </si>
  <si>
    <t>JUAN CARLOS RODRIGUEZ GARCES</t>
  </si>
  <si>
    <t>JUAN CARLOS SIERRA LARROTA</t>
  </si>
  <si>
    <t>JUAN CIPRIANO SALAZAR</t>
  </si>
  <si>
    <t>JUAN DAVID ENCISO BOLAÑOS</t>
  </si>
  <si>
    <t>A69431068</t>
  </si>
  <si>
    <t>JUAN DAVID MUNERA</t>
  </si>
  <si>
    <t>JUAN DAVID QUINTERO ESCOBAR</t>
  </si>
  <si>
    <t>JUAN DAVID VALENCIA ECHEVERRI</t>
  </si>
  <si>
    <t>JUAN DIEGO MARIN TOBON</t>
  </si>
  <si>
    <t>JUAN DIEGO ROMAN RIOS</t>
  </si>
  <si>
    <t>JUAN ESTEBAN ALVAREZ TABORDA</t>
  </si>
  <si>
    <t>JUAN ESTEBAN DIAZ RODAS</t>
  </si>
  <si>
    <t>JUAN ESTEBAN ESTRADA ESTRADA</t>
  </si>
  <si>
    <t>JUAN ESTEBAN GALLEGO QUIROZ</t>
  </si>
  <si>
    <t>JUAN FELIPE MALDONADO LOPEZ</t>
  </si>
  <si>
    <t>JUAN FERNANDO PAREJA MESA</t>
  </si>
  <si>
    <t>JUAN FERNANDO POSADA GALLEGO</t>
  </si>
  <si>
    <t>JUAN FERNANDO RODRIGUEZ OROZCO</t>
  </si>
  <si>
    <t>JUAN FERNANDO VELEZ PALACIO</t>
  </si>
  <si>
    <t>JUAN FERNANDO VELEZ RENDON</t>
  </si>
  <si>
    <t>JUAN GERRADO ALVARAN HINCAPIE</t>
  </si>
  <si>
    <t>JUAN GONZALO ARISTIZABAL VASQUEZ</t>
  </si>
  <si>
    <t>JUAN GUILLERMO RESTREPO GAVIRIA</t>
  </si>
  <si>
    <t>JUAN GUILLERMO SANCHEZ CARMONA</t>
  </si>
  <si>
    <t>JUAN GUILLERMO VELEZ PALACIO</t>
  </si>
  <si>
    <t>JUAN GUILLERMO VELEZ RESTREPO</t>
  </si>
  <si>
    <t>JUAN JOSE ARRIETA DIAZ</t>
  </si>
  <si>
    <t>JUAN JOSE CARDONA REYES</t>
  </si>
  <si>
    <t>JUAN JOSE CARO CASTRILLON</t>
  </si>
  <si>
    <t>JUAN JOSE CAÑOLA CARDONA</t>
  </si>
  <si>
    <t>JUAN JOSE GARCIA ROBLEDO</t>
  </si>
  <si>
    <t>JUAN JOSE GOMEZ AGUDELO</t>
  </si>
  <si>
    <t>JUAN JOSE MORALES BROME</t>
  </si>
  <si>
    <t>JUAN JOSE VILLANUEVA MANSERA</t>
  </si>
  <si>
    <t>JUAN MANUEL AGUILAR ZAPATA</t>
  </si>
  <si>
    <t>JUAN MANUEL AGUINAGA RIVERA</t>
  </si>
  <si>
    <t>JUAN MANUEL MOLINA GAMBOA</t>
  </si>
  <si>
    <t>JUAN MANUEL RIOS CARDONA</t>
  </si>
  <si>
    <t>JUAN MIGUEL LOTERO HURTADO</t>
  </si>
  <si>
    <t>JUAN MIGUEL POSADA RESTREPO</t>
  </si>
  <si>
    <t>JUAN MIGUEL ZAPATA SUAREZ</t>
  </si>
  <si>
    <t>JUAN PABLO BELTRAN REINEMER</t>
  </si>
  <si>
    <t>JUAN PABLO GANDARA VEGA</t>
  </si>
  <si>
    <t>JUAN PABLO RESTREPO RESTREPO</t>
  </si>
  <si>
    <t>BE406098</t>
  </si>
  <si>
    <t>JUAN PABLO RODAS GUTIERREZ</t>
  </si>
  <si>
    <t>JUAN PABLO VELEZ CARDONA</t>
  </si>
  <si>
    <t>JUAN RAMON BELTRAN ZAPATA</t>
  </si>
  <si>
    <t>JUAN SAMIR URREGO ECHAVARRIA</t>
  </si>
  <si>
    <t>JUAN SEBASTIAN FAJARDO BEJARANO</t>
  </si>
  <si>
    <t>JUAN SEBASTIAN GONZALEZ DUQUE</t>
  </si>
  <si>
    <t>JUAN SEBASTIAN JIMENEZ ZAPATA</t>
  </si>
  <si>
    <t>JUAN SOLORZANO ALVAREZ</t>
  </si>
  <si>
    <t>JUANITA GARCES VASCO</t>
  </si>
  <si>
    <t>JUANITA PEREZ RAMIREZ</t>
  </si>
  <si>
    <t>JUANITA SALAZAR SANCHEZ</t>
  </si>
  <si>
    <t>JUDITH GOMEZ VELILLA</t>
  </si>
  <si>
    <t>JUDY ANGELICA PINILLA TORRES</t>
  </si>
  <si>
    <t>JUDY VANESA PULGARIN VARGAS</t>
  </si>
  <si>
    <t>JULIA TORO TORO LONDOÑO</t>
  </si>
  <si>
    <t>JULIAN BOGALLO SALAZAR</t>
  </si>
  <si>
    <t>JULIAN DAVID CORREA LOPEZ</t>
  </si>
  <si>
    <t>JULIAN ESTEBAN ARROYAVE CARDONA</t>
  </si>
  <si>
    <t>JULIAN ESTIVEN JIMENEZ MARTINEZ</t>
  </si>
  <si>
    <t>JULIAN RESTREPO GARCES</t>
  </si>
  <si>
    <t>JULIANA ARBELAEZ MESA</t>
  </si>
  <si>
    <t>JULIANA CIFUENTES GUZMAN</t>
  </si>
  <si>
    <t>JULIANA DUQUE RODRIGUEZ</t>
  </si>
  <si>
    <t>JULIANA JAIMES JAIMES LOPEZ</t>
  </si>
  <si>
    <t>JULIANA MOSQUERA HERRERA</t>
  </si>
  <si>
    <t>JULIANA VÁSQUEZ ACOSTA</t>
  </si>
  <si>
    <t>JULIANA ZAPATA ZULETA</t>
  </si>
  <si>
    <t>JULIETA ARANGO JARAMILLO</t>
  </si>
  <si>
    <t>JULIETA MORALES ALVAREZ</t>
  </si>
  <si>
    <t>JULIETA OSSA ASCANIO</t>
  </si>
  <si>
    <t>JULIO CESAR DAVID MORENO</t>
  </si>
  <si>
    <t>JULIO CESAR LOPEZ SERNA</t>
  </si>
  <si>
    <t>KAMIR BERNARDO BOWEN</t>
  </si>
  <si>
    <t>KAREN JHOHANA CHAPARRO PEÑA</t>
  </si>
  <si>
    <t>KAREN MARGARITA RADA CORDOBA</t>
  </si>
  <si>
    <t>KAREN SULEIBY MORENO OCAMPO</t>
  </si>
  <si>
    <t>KAREN YANETH PABON MENDEZ</t>
  </si>
  <si>
    <t>KATTY REY DELGADO</t>
  </si>
  <si>
    <t>KELLY ALEJANDRA CASTAÑO LEZCANO</t>
  </si>
  <si>
    <t>KELLY JOHANA JIMENEZ MARIN</t>
  </si>
  <si>
    <t>KELLY JOHANNA OROZCO PEREZ</t>
  </si>
  <si>
    <t>KELLY YOHANA SANCHEZ MENDOZA</t>
  </si>
  <si>
    <t>KENDALL LONDOÑO ECHEVERRI</t>
  </si>
  <si>
    <t>KEVIN ALEXIS ARROYAVE URIBE</t>
  </si>
  <si>
    <t>A86812013</t>
  </si>
  <si>
    <t>LAARA TAYCE ESMAY</t>
  </si>
  <si>
    <t>LADY CAROLINA NARANJO FLOREZ</t>
  </si>
  <si>
    <t>LADY TATIANA ORTIZ VARGAS</t>
  </si>
  <si>
    <t>LAIDY NATALIA USUGA USUGA</t>
  </si>
  <si>
    <t>LAURA ASTORQUIZA AMEZQUITA</t>
  </si>
  <si>
    <t>LAURA BUILES CORREA</t>
  </si>
  <si>
    <t>LAURA CRISTINA ARIAS OTALVARO</t>
  </si>
  <si>
    <t>LAURA CRISTINA GARCIA CARDONA</t>
  </si>
  <si>
    <t>LAURA GIRALDO SUAREZ</t>
  </si>
  <si>
    <t>LAURA JARAMILLO TORO</t>
  </si>
  <si>
    <t>LAURA JULIANA GONZALEZ BETANCUR</t>
  </si>
  <si>
    <t>LAURA MARIN GOMEZ</t>
  </si>
  <si>
    <t>LAURA ROSA PIZAS</t>
  </si>
  <si>
    <t>LAURA VALERIA QUITIAN AREVALO</t>
  </si>
  <si>
    <t>LAURA VILLEGAS JARAMILLO</t>
  </si>
  <si>
    <t>LEIDY DAHIANA GARCES NARANJO</t>
  </si>
  <si>
    <t>LEIDY DANIELA JIMENEZ PAMPLONA</t>
  </si>
  <si>
    <t>LEIDY JOHANA AGUALIMPIA ORTIZ</t>
  </si>
  <si>
    <t>LEIDY JOHANA CORREA EUSSE</t>
  </si>
  <si>
    <t>LEIDY JOHANA MESA URIBE</t>
  </si>
  <si>
    <t>LEIDY JOHANA SERNA HIGUITA</t>
  </si>
  <si>
    <t>LEIDY JOHANNA USUGA MURIEL</t>
  </si>
  <si>
    <t>LEIDY LORENA LOPEZ VALENCIA</t>
  </si>
  <si>
    <t>LEIDY MARCELA GOMEZ ZULUAGA</t>
  </si>
  <si>
    <t>LEIDY VANESSA ZULUAGA CIRO</t>
  </si>
  <si>
    <t>LEIDY YOHANA PALACIO BOLIVAR</t>
  </si>
  <si>
    <t>LEIDY YULIANA RAMÍREZ ÁLVAREZ</t>
  </si>
  <si>
    <t>LEO GUZMAN CATAÑO</t>
  </si>
  <si>
    <t>LEONOR DEL SOCORRO NARANJO DE CHEVALIER</t>
  </si>
  <si>
    <t>LESLY YULIETH USMA BETANCUR</t>
  </si>
  <si>
    <t>LETICIA ORREGO PEREZ</t>
  </si>
  <si>
    <t>LHAY LOKRREN JIMENEZ LABRADOR</t>
  </si>
  <si>
    <t>LIBARDO DE JESUS MONSALVE GONZALEZ</t>
  </si>
  <si>
    <t>LIBIA CONSTANZA SILVA RAMIREZ</t>
  </si>
  <si>
    <t>A17589405</t>
  </si>
  <si>
    <t>LILA RIVEROS ORTIZ</t>
  </si>
  <si>
    <t>LILIANA ASTRID HENAO HENAO</t>
  </si>
  <si>
    <t>LILIANA BEDOYA BECERRA</t>
  </si>
  <si>
    <t>LILIANA MARIA DAVILA BRAVO</t>
  </si>
  <si>
    <t>LILIANA MARIA PEREZ VILLEGAS</t>
  </si>
  <si>
    <t>LILIANA MARIA VARELA POSADA</t>
  </si>
  <si>
    <t>LILIANA PATRICIA LOPEZ CARDENAS</t>
  </si>
  <si>
    <t>LINA JANETH ZAPATA HERNANDEZ</t>
  </si>
  <si>
    <t>LINA MARCELA GALEANO AGUDELO</t>
  </si>
  <si>
    <t>LINA MARIA AGUDELO GUTIERREZ</t>
  </si>
  <si>
    <t>LINA MARIA OQUENDO PUERTA</t>
  </si>
  <si>
    <t>LINA MARISOL VILLADA LOPEZ</t>
  </si>
  <si>
    <t>LINDA VALENTINA RIVERA PORRAS</t>
  </si>
  <si>
    <t>LIRIA DEL SOCORRO BEDOYA GUITIERREZ</t>
  </si>
  <si>
    <t>LIRIA PATRICIA SANCHEZ OSORIO</t>
  </si>
  <si>
    <t>LIZBETH GOMEZ RUBIO</t>
  </si>
  <si>
    <t>LIZETH ATENCIO ATENCIO PADILLA</t>
  </si>
  <si>
    <t>LIZETH YURANY NAVALES BORJA</t>
  </si>
  <si>
    <t>LORENA ANDREA VASQUEZ CORRALES</t>
  </si>
  <si>
    <t>LORENA EDITH VALLES PEÑA</t>
  </si>
  <si>
    <t>LORENA LONDOÑO CARDONA</t>
  </si>
  <si>
    <t>LORENZO AGUDELO URIBE</t>
  </si>
  <si>
    <t>LUCAS HERNANDEZ ARCILA</t>
  </si>
  <si>
    <t>LUCAS VASQUEZ GIRALDO</t>
  </si>
  <si>
    <t>LUCELLY ANDREA VILLAMIL TABORDA</t>
  </si>
  <si>
    <t>LUCELLY GALVIS VELEZ</t>
  </si>
  <si>
    <t>LUCIA MARGARITA BELLO CASSIANI</t>
  </si>
  <si>
    <t>LUCIA SALDARRIAGA LOPEZ</t>
  </si>
  <si>
    <t>LUCIANA MARIA RENDON HERNANDEZ</t>
  </si>
  <si>
    <t>LUCIANA MEJIA SALAZAR</t>
  </si>
  <si>
    <t>LUCIANA QUINTERO TABAREZ</t>
  </si>
  <si>
    <t>LUCIANA TAMAYO TAMAYO YEPES</t>
  </si>
  <si>
    <t>LUCIO ANGEL ARAGON</t>
  </si>
  <si>
    <t>LUCIO ARISTIZABAL ESTRADA</t>
  </si>
  <si>
    <t>LUCIO DOMINGUEZ MARTINEZ</t>
  </si>
  <si>
    <t>LUCY JOHANA ZOTA CASTRO</t>
  </si>
  <si>
    <t>LUCY STELLA ROSAS IBARRA</t>
  </si>
  <si>
    <t>LUIS ANDRES PINTO VALLEJO</t>
  </si>
  <si>
    <t>LUIS ANGEL VASQUEZ ENRIQUEZ</t>
  </si>
  <si>
    <t>LUIS ANTONIO CAPPELETTI TRUJILLO</t>
  </si>
  <si>
    <t>LUIS ARMANDO PULGAR CARROZ</t>
  </si>
  <si>
    <t>LUIS CARLOS LOPEZ SERNA</t>
  </si>
  <si>
    <t>LUIS FERNANDO GARCIA CORREA</t>
  </si>
  <si>
    <t>LUIS FERNANDO HERNANDEZ MURIEL</t>
  </si>
  <si>
    <t>LUIS FERNANDO JULIO DORIA</t>
  </si>
  <si>
    <t>LUIS FERNANDO MEJIA SALDARRIAGA</t>
  </si>
  <si>
    <t>LUIS GABRIEL POSADA CALLEJAS</t>
  </si>
  <si>
    <t>LUIS JOSE PALACIOS FUENMAYOR</t>
  </si>
  <si>
    <t>LUIS MEDARDO GOYES ALVARADO</t>
  </si>
  <si>
    <t>LUISA CHIMA S.A.S</t>
  </si>
  <si>
    <t>LUISA FERNANDA CASTAÑO RIOS</t>
  </si>
  <si>
    <t>LUISA FERNANDA GALLEGO ARBEALEZ</t>
  </si>
  <si>
    <t>LUISA FERNANDA GONZALEZ MONTES</t>
  </si>
  <si>
    <t>LUISA FERNANDA MARQUEZ GIRALDO</t>
  </si>
  <si>
    <t>LUISA FERNANDA RICO ALVAREZ</t>
  </si>
  <si>
    <t>LUISA FERNANDA TEJADA HERRERA</t>
  </si>
  <si>
    <t>LUISA MARIA GUERRERO HURTADO</t>
  </si>
  <si>
    <t>LUISA MARIA JIMENEZ PIPICANO</t>
  </si>
  <si>
    <t>LUISA MARIANA BETANCUR MAYA</t>
  </si>
  <si>
    <t>LUKAS CARTAGENA ARISTIZABAL</t>
  </si>
  <si>
    <t>LUZ ALEXI ACEVEDO GONZALEZ</t>
  </si>
  <si>
    <t>LUZ AMPARO GUTIERREZ YARCE</t>
  </si>
  <si>
    <t>LUZ ANGELICA ABADIA DURAN</t>
  </si>
  <si>
    <t>LUZ DARY LOPEZ USUGA</t>
  </si>
  <si>
    <t>LUZ DARY PEREZ</t>
  </si>
  <si>
    <t>LUZ ELENA CORREA ANGEL</t>
  </si>
  <si>
    <t>LUZ ELENA GIRALDO NARVAEZ</t>
  </si>
  <si>
    <t>LUZ ELENA GOMEZ GIRALDO</t>
  </si>
  <si>
    <t>LUZ ELENA RESTREPO GRANADA</t>
  </si>
  <si>
    <t>LUZ ELENA SOTO DE ZAPATA</t>
  </si>
  <si>
    <t>LUZ EMERITA CONDE</t>
  </si>
  <si>
    <t>LUZ HELENA VELASQUEZ ARANGO</t>
  </si>
  <si>
    <t>LUZ MARCELA OROZCO ALVAREZ</t>
  </si>
  <si>
    <t>LUZ MARGARITA MONTOYA ALVAREZ</t>
  </si>
  <si>
    <t>LUZ MARIELA OROZCO DE MACIAS</t>
  </si>
  <si>
    <t>LUZ MARINA ALVAREZ DE LONDOÑO</t>
  </si>
  <si>
    <t>LUZ MARINA CARVAJAL DIAZ</t>
  </si>
  <si>
    <t>LUZ MARINA TAMAYO CARTAGENA</t>
  </si>
  <si>
    <t>LUZ MARLENY SANTISIMA TRINIDAD</t>
  </si>
  <si>
    <t>LUZ MARY MARIN LONDOÑO</t>
  </si>
  <si>
    <t>LUZ MERY RESTREPO ORTIZ</t>
  </si>
  <si>
    <t>LUZ STELLA GOMEZ LOPEZ</t>
  </si>
  <si>
    <t>LUZ YURANY PEREZ ARANGO</t>
  </si>
  <si>
    <t>MACARENA ARROYAVE MARTINEZ</t>
  </si>
  <si>
    <t>MACARENA OLARTE GUTIERREZ</t>
  </si>
  <si>
    <t>MACARENA PINEDA ABAD</t>
  </si>
  <si>
    <t>MAGALIS DEL SOCORRO CARABALLO HERRERA</t>
  </si>
  <si>
    <t>MAGDA LILIANA CASTILLO</t>
  </si>
  <si>
    <t>MAGNOLIA DE JESUS CORREA LOPEZ</t>
  </si>
  <si>
    <t>MANDYS DEL VALLE DIAZ GUILARTE</t>
  </si>
  <si>
    <t>MANOLO ROBLES RESTREPO</t>
  </si>
  <si>
    <t>MANUEL ANTONIO RUENDES VEGA</t>
  </si>
  <si>
    <t>MANUELA CORTES IBARRA</t>
  </si>
  <si>
    <t>MANUELA FERNANDA PUERTA VELASQUEZ</t>
  </si>
  <si>
    <t>MANUELA GIRALDO ARANGO</t>
  </si>
  <si>
    <t>MANUELA GOMEZ VASQUEZ</t>
  </si>
  <si>
    <t>MANUELA QUINTERO VELEZ</t>
  </si>
  <si>
    <t>MANUELA TOBON OCAMPO</t>
  </si>
  <si>
    <t>MANUELA ZAPATA GARCIA</t>
  </si>
  <si>
    <t>MARCELA CALDERON GRANADA</t>
  </si>
  <si>
    <t>MARCELA ESCOBAR GIRALDO</t>
  </si>
  <si>
    <t>MARCELA MARÍA ARANGO CAÑÓN</t>
  </si>
  <si>
    <t>MARCELA OCHOA ZAPATA</t>
  </si>
  <si>
    <t>MARCELA YEZENIA TAMAYO GONZALEZ</t>
  </si>
  <si>
    <t>A35779819</t>
  </si>
  <si>
    <t>MARCIA A GOMEZ</t>
  </si>
  <si>
    <t>MARCO FIDEL TRESPALACIOS BULLOSO</t>
  </si>
  <si>
    <t>MARCO OESCH ORTIZ</t>
  </si>
  <si>
    <t>MARCOS BOTERO PELAEZ</t>
  </si>
  <si>
    <t>MARGARIA ISABEL ROSA SOCORRO LONDOÑO OBREGON</t>
  </si>
  <si>
    <t>P51520546671</t>
  </si>
  <si>
    <t>MARGARITA AVALOS 0</t>
  </si>
  <si>
    <t>MARGARITA DEL SOCORRO ACOSTA JARAMILLO</t>
  </si>
  <si>
    <t>MARGARITA DEL SOCORRO HERNANDEZ HERNANDEZ</t>
  </si>
  <si>
    <t>MARGARITA MARIA RAMIREZ JARAMILLO</t>
  </si>
  <si>
    <t>MARGARITA MARIA VARGAS GAVIRIA</t>
  </si>
  <si>
    <t>MARGARITA MARIA ZAPATA SILVA</t>
  </si>
  <si>
    <t>MARGARITA OLARTE RIVAS</t>
  </si>
  <si>
    <t>MARGARITA RESTREPO RESTREPO</t>
  </si>
  <si>
    <t>MARIA ADIELA LOPEZ CORTES</t>
  </si>
  <si>
    <t>MARIA ALEJANDRA ACOSTA MESA</t>
  </si>
  <si>
    <t>MARIA ALEJANDRA ARCILA VELEZ</t>
  </si>
  <si>
    <t>MARIA ALEJANDRA BETANCUR ALZATE</t>
  </si>
  <si>
    <t>MARIA ALEJANDRA CARDENAS GUTIERREZ</t>
  </si>
  <si>
    <t>MARIA ALEJANDRA CORREA ARROYO</t>
  </si>
  <si>
    <t>MARIA ALEJANDRA FALLA CUARTAS</t>
  </si>
  <si>
    <t>MARIA ALEJANDRA MERINO ROLDAN</t>
  </si>
  <si>
    <t>MARIA ALEJANDRA TANGARIFE CIRO</t>
  </si>
  <si>
    <t>MARIA ALEJANDRA URIBE ACOSTA</t>
  </si>
  <si>
    <t>GC5493616</t>
  </si>
  <si>
    <t>MARIA ANGELICA DAVILA TRUELO</t>
  </si>
  <si>
    <t>MARIA ANTONIETA PELAEZ PELAEZ</t>
  </si>
  <si>
    <t>MARIA AZUCENA MIRANDA SIERRA</t>
  </si>
  <si>
    <t>MARIA CAMILA BUSTAMANTE GONZALEZ</t>
  </si>
  <si>
    <t>MARIA CAMILA CAÑOLA CARDONA</t>
  </si>
  <si>
    <t>MARIA CAMILA GALEANO VELEZ</t>
  </si>
  <si>
    <t>MARIA CAMILA GIRALDO PEREZ</t>
  </si>
  <si>
    <t>MARIA CAMILA GOMEZ AGUDELO</t>
  </si>
  <si>
    <t>MARIA CAMILA PELAEZ LOPEZ</t>
  </si>
  <si>
    <t>MARIA CAMILA SOLANO TORRES</t>
  </si>
  <si>
    <t>MARIA CAMILA VALENCIA SALAZAR</t>
  </si>
  <si>
    <t>MARIA CAMILA VASQUEZ RESTREPO</t>
  </si>
  <si>
    <t>MARIA CAROLINA VILLADIEGO MALDONADO</t>
  </si>
  <si>
    <t>MARIA CATALINA PAREJA GARRO</t>
  </si>
  <si>
    <t>MARIA CLARA RESTREPO GONZALEZ</t>
  </si>
  <si>
    <t>MARIA CRISTINA ANGULO CARDONA</t>
  </si>
  <si>
    <t>MARIA CRISTINA FRANCO ARROYAVE</t>
  </si>
  <si>
    <t>MARIA DEL CARMEN MENSOZA DE AGUAS</t>
  </si>
  <si>
    <t>MARIA DEL CARMEN ZAPATA HERNANDEZ</t>
  </si>
  <si>
    <t>MARIA DEL PILAR ABRIL SALGADO</t>
  </si>
  <si>
    <t>MARIA DEL PILAR MONTOYA ARANGO</t>
  </si>
  <si>
    <t>MARIA DEL SOCORRO PINEDA BASTIDAS</t>
  </si>
  <si>
    <t>MARIA DELFINA PEREZ MONTENEGRO</t>
  </si>
  <si>
    <t>MARIA DOLLY CANO DE CARMONA</t>
  </si>
  <si>
    <t>MARIA EDILMA CORTINEZ VARGAS</t>
  </si>
  <si>
    <t>MARIA EDILMA TOBON VELASQUEZ</t>
  </si>
  <si>
    <t>MARIA ELENA VILLEGAS PELAEZ</t>
  </si>
  <si>
    <t>MARIA ELIZABETH DURANGO RUIZ</t>
  </si>
  <si>
    <t>MARIA ESTELLA PEREZ CARDENAS</t>
  </si>
  <si>
    <t>MARIA EUGENIA BENJUMEA DE VILLEGAS</t>
  </si>
  <si>
    <t>MARIA EUGENIA CARDENAS JARAMILLO</t>
  </si>
  <si>
    <t>MARIA EUGENIA CASTILLO QUINTERO</t>
  </si>
  <si>
    <t>MARIA EUGENIA DE SOCORRO SOCORRO</t>
  </si>
  <si>
    <t>MARIA EULALIA RODRIGUEZ LONDOÑO</t>
  </si>
  <si>
    <t>MARIA FERNANDA GRANADOS IBARRA</t>
  </si>
  <si>
    <t>MARIA FERNANDA HENAO LOPEZ</t>
  </si>
  <si>
    <t>MARIA FERNANDA HOYOS RINCON</t>
  </si>
  <si>
    <t>MARIA FERNANDA MONTOYA MONTOYA</t>
  </si>
  <si>
    <t>MARIA FERNANDA SOTO LARA</t>
  </si>
  <si>
    <t>MARIA FIDELFIA RESTREPO CRUZ</t>
  </si>
  <si>
    <t>MARIA GABRIELA GARZON PEREZ</t>
  </si>
  <si>
    <t>MARIA GLORIA MOLINA DE LOPEZ</t>
  </si>
  <si>
    <t>MARIA ISABEL CORREA OCHOA</t>
  </si>
  <si>
    <t>MARIA ISABEL GUTIERREZ PALACIO</t>
  </si>
  <si>
    <t>MARIA ISABEL PADILLA DOMINGUEZ</t>
  </si>
  <si>
    <t>MARIA ISABEL POSADA PALACIO</t>
  </si>
  <si>
    <t>MARIA JOSE BEDOYA CARMONA</t>
  </si>
  <si>
    <t>MARIA JOSE BOTERO VELEZ</t>
  </si>
  <si>
    <t>MARIA JULIANA QUITIAN AREVALO</t>
  </si>
  <si>
    <t>MARIA KAMILA PARRA MOSQUERA</t>
  </si>
  <si>
    <t>MARIA LIRIA PALACIO DE MEDINA</t>
  </si>
  <si>
    <t>MARIA LUNA FLOREZ RESTREPO</t>
  </si>
  <si>
    <t>MARIA LUZ ELENA CUERVO FLOREZ</t>
  </si>
  <si>
    <t>MARIA MAGDALENA PINEDA ACEVEDO</t>
  </si>
  <si>
    <t>MARIA MERCEDES RODRIGUEZ RIVERA</t>
  </si>
  <si>
    <t>MARIA MERCEDES VALDERRAMA ANDRADE</t>
  </si>
  <si>
    <t>MARIA NANCY MUÑOZ RAMIREZ</t>
  </si>
  <si>
    <t>MARIA NATALIA URIBE CEBALLOS</t>
  </si>
  <si>
    <t>MARIA ODILIA PEREZ DE BEDOYA</t>
  </si>
  <si>
    <t>MARIA PATRICIA GAMBOA BENITEZ</t>
  </si>
  <si>
    <t>MARIA PATRICIA MERIZALDE LONDOÑO</t>
  </si>
  <si>
    <t>MARIA PAZ JARAMILLO ACOSTA</t>
  </si>
  <si>
    <t>MARIA PIEDAD TABARES CARDONA</t>
  </si>
  <si>
    <t>MARIA PRIMITIVA CUBIDES RONCANCIO</t>
  </si>
  <si>
    <t>MARIA ROCIO MORALES OCHOA</t>
  </si>
  <si>
    <t>MARIA ROSALBA AGUDELO TORRES</t>
  </si>
  <si>
    <t>MARIA SALDARRIAGA LOPEZ</t>
  </si>
  <si>
    <t>MARIA SOFIA MADRIGAL JIMENEZ</t>
  </si>
  <si>
    <t>MARIA TERESA CEBALLOS ZULETA</t>
  </si>
  <si>
    <t>MARIA TULIA BEATRIZ COCK RESTREPO</t>
  </si>
  <si>
    <t>MARIA TULIA LONDOÑO DE OSORNO</t>
  </si>
  <si>
    <t>MARIA VALENTINA TORRES BERMUDEZ</t>
  </si>
  <si>
    <t>MARIA VICTORIA MONTOYA RESTREPO</t>
  </si>
  <si>
    <t>MARIA VICTORIA MUÑOZ CANO</t>
  </si>
  <si>
    <t>MARIA VILLEGAS GRISALES</t>
  </si>
  <si>
    <t>MARIA VIRGINIA POSADA DE DUPERLY</t>
  </si>
  <si>
    <t>MARIA XIMENA DE LEON ATEHORTUA</t>
  </si>
  <si>
    <t>MARIA YANET PINEDA GIRALDO</t>
  </si>
  <si>
    <t>MARIA YOLANDA ARANGO ARANGO</t>
  </si>
  <si>
    <t>MARIA YOLANDA TAMAYO ESCOBAR</t>
  </si>
  <si>
    <t>MARIAJOSE MURILLO LONDOÑO</t>
  </si>
  <si>
    <t>MARIANA ESTRADA 0</t>
  </si>
  <si>
    <t>MARIANA GARCIA RESTREPO</t>
  </si>
  <si>
    <t>MARIANA HINCAPIE CARMONA</t>
  </si>
  <si>
    <t>MARIANA MARTINEZ GOMEZ</t>
  </si>
  <si>
    <t>MARIANA OSORIO ARENAS</t>
  </si>
  <si>
    <t>MARIBEL VALDERRAMA ALZATE</t>
  </si>
  <si>
    <t>MARIELA DE JESUS OSORIO BAENA</t>
  </si>
  <si>
    <t>C39780262</t>
  </si>
  <si>
    <t>MARIELIS SIERRA ALMODOVAR</t>
  </si>
  <si>
    <t>MARILUZ URREGO FRANCO</t>
  </si>
  <si>
    <t>MARILYN LEDESMA YEPES</t>
  </si>
  <si>
    <t>MARIO ALBERTO BARRADA MEJIA</t>
  </si>
  <si>
    <t>MARIO ANDRES RAMIREZ ARANZAZU</t>
  </si>
  <si>
    <t>MARISOL GALLO ORTIZ</t>
  </si>
  <si>
    <t>MARISOL LONDOÑO GUTIERREZ</t>
  </si>
  <si>
    <t>MARISOL RUSSI RUSSI SANCHEZ</t>
  </si>
  <si>
    <t>MARITZA JAQUELINE GUTIERREZ ERAZO</t>
  </si>
  <si>
    <t>AD080676</t>
  </si>
  <si>
    <t>MARK RAMNARINE PERTAB</t>
  </si>
  <si>
    <t>MARLON GIRALDO RAMIREZ</t>
  </si>
  <si>
    <t>MARTA INES ARENAS ORREGO</t>
  </si>
  <si>
    <t>MARTA RUBY CASTRO DUQUE</t>
  </si>
  <si>
    <t>MARTHA CECILIA MUÑOZ VAHOS</t>
  </si>
  <si>
    <t>MARTHA DOLLY GOMEZ GOMEZ</t>
  </si>
  <si>
    <t>MARTHA ELENA BADEL RUEDA</t>
  </si>
  <si>
    <t>MARTHA ELENA RIVILLAS</t>
  </si>
  <si>
    <t>MARTHA ELENA VERA DE GOMEZ</t>
  </si>
  <si>
    <t>MARTHA HELENA ZAPATA MUÑOZ</t>
  </si>
  <si>
    <t>MARTHA LIGIA RESTREPO GAVIRIA</t>
  </si>
  <si>
    <t>MARTHA LUCIA SOTO OSPINA</t>
  </si>
  <si>
    <t>MARTHA OFELIA LOPEZ TABARES</t>
  </si>
  <si>
    <t>MARTHA ZULAY IBARRA RODRIGUEZ</t>
  </si>
  <si>
    <t>MARTIN AGUDELO RIVERA</t>
  </si>
  <si>
    <t>MARTIN BOTERO GIRALDO</t>
  </si>
  <si>
    <t>MARTINA TORO MADRID</t>
  </si>
  <si>
    <t>A42785919</t>
  </si>
  <si>
    <t>MARY FRANCES BARRETT</t>
  </si>
  <si>
    <t>MARY JULIETH DUQUE HOYOS</t>
  </si>
  <si>
    <t>MARY LUZ GARCIA GOMEZ</t>
  </si>
  <si>
    <t>MARY LUZ RAIGOZA HERRERA</t>
  </si>
  <si>
    <t>MARYORI ELENA LOPEZ AGUDELO</t>
  </si>
  <si>
    <t>MARÍA DEL MAR RENDON HERNANDEZ</t>
  </si>
  <si>
    <t>MASSIMO MEJIA ESCOBAR</t>
  </si>
  <si>
    <t>MATEO GAMBOA BELLO</t>
  </si>
  <si>
    <t>MATEO GOMEZ ECHEVERRÍA</t>
  </si>
  <si>
    <t>MATEO HERRERA HERRERA SUAREZ</t>
  </si>
  <si>
    <t>MATEO SEPULVEDA AGUDELO</t>
  </si>
  <si>
    <t>MATIAS ARANGO ARBELAEZ</t>
  </si>
  <si>
    <t>MATIAS MAYA MARIN</t>
  </si>
  <si>
    <t>MATIAS MURILLO MURILLO MUÑOZ</t>
  </si>
  <si>
    <t>MATIAS RESTREPO PASOS</t>
  </si>
  <si>
    <t>MATIAS SALDARRIAGA LOPEZ</t>
  </si>
  <si>
    <t>MATIAS SERNA SERNA YUSTI</t>
  </si>
  <si>
    <t>MATIAS VARGAS POSADA</t>
  </si>
  <si>
    <t>A62770251</t>
  </si>
  <si>
    <t>MATTHEW MARIN 0</t>
  </si>
  <si>
    <t>MAURA YLIANA NAJERA GUZMAN</t>
  </si>
  <si>
    <t>MAURICIO DEL NIÑO JESUS OSPINA ECHAVARRIA</t>
  </si>
  <si>
    <t>MAURICIO GONZALEZ HERNANDEZ</t>
  </si>
  <si>
    <t>MAURICIO NUÑEZ REMOLINA</t>
  </si>
  <si>
    <t>MAXIMILIANO MARTINEZ CETRE</t>
  </si>
  <si>
    <t>MAXIMILIANO PELAEZ URIBE</t>
  </si>
  <si>
    <t>MAXIMILIANO PEREZ CASTRO</t>
  </si>
  <si>
    <t>MAXIMO HERRERA ALVARADO</t>
  </si>
  <si>
    <t>B01216648</t>
  </si>
  <si>
    <t>MAYKOL ESTEBAN DURAN TORRES</t>
  </si>
  <si>
    <t>MEDICAL TRIP COLOMBIA S.A.S.</t>
  </si>
  <si>
    <t>MEDPLUS MEDICINA PREPAGADA S.A</t>
  </si>
  <si>
    <t>MELANNIE NICOLE MARIN FLORES</t>
  </si>
  <si>
    <t>MELISA GUTIERREZ LONDOÑO</t>
  </si>
  <si>
    <t>MELISSA ANDREA GARCIA SALAZAR</t>
  </si>
  <si>
    <t>MELISSA GOMEZ CIFUENTES</t>
  </si>
  <si>
    <t>MELISSA PINEDA GAVIRIA</t>
  </si>
  <si>
    <t>MERY YIRLESA RENTERIA MARTINEZ</t>
  </si>
  <si>
    <t>AS254774</t>
  </si>
  <si>
    <t>MEYER OHAYON</t>
  </si>
  <si>
    <t>MIA COSSIO GONZALEZ</t>
  </si>
  <si>
    <t>MIA ISABEL VALENCIA RUIZ</t>
  </si>
  <si>
    <t>CFL9H6PF4</t>
  </si>
  <si>
    <t>MICHAEL FLORIAN TURK</t>
  </si>
  <si>
    <t>MICHEEL CIRO CORTES</t>
  </si>
  <si>
    <t>MIGUEL ANGEL CRIOLLO PINEDA</t>
  </si>
  <si>
    <t>MIGUEL ANTONIO JARAMILLO NOGUERA</t>
  </si>
  <si>
    <t>MIGUEL FRANCISCO BUITRAGO BOTERO</t>
  </si>
  <si>
    <t>MIGUEL LUIS ANGEL EMANNUELLI</t>
  </si>
  <si>
    <t>MIGUEL SANCHEZ SANCHEZ</t>
  </si>
  <si>
    <t>NM33JCHC5</t>
  </si>
  <si>
    <t>MIKE VAN DER WERK</t>
  </si>
  <si>
    <t>MIKEL VARGAS MUÑOZ</t>
  </si>
  <si>
    <t>MILENA RODRIGUEZ MORALES</t>
  </si>
  <si>
    <t>MIRANDA ROMAN ROMAN HERRERA</t>
  </si>
  <si>
    <t>MIRIAM DEL SOCORRO ESCOBAR BENITEZ</t>
  </si>
  <si>
    <t>MONICA ALEJANDRA BETANCUR MONTOYA</t>
  </si>
  <si>
    <t>MONICA LILIANA RESTREPO GUTIERREZ</t>
  </si>
  <si>
    <t>MONICA MARIA GUERRERO AGUDELO</t>
  </si>
  <si>
    <t>MONTSERRAT FRANCO PEREZ</t>
  </si>
  <si>
    <t>MUHAMMAD SERHAN KARAM AL DEEN</t>
  </si>
  <si>
    <t>NADIR YOHANA MARIN LOPEZ</t>
  </si>
  <si>
    <t>NADYA JULIETH RIVILLAS URREGO</t>
  </si>
  <si>
    <t>NANCY CAROLINA CORREDOR LOPEZ</t>
  </si>
  <si>
    <t>NANCY SARASTY MADROÑERO</t>
  </si>
  <si>
    <t>NANCY SUAREZ VICTORIA</t>
  </si>
  <si>
    <t>NATALIA HERNANDEZ GONZALEZ</t>
  </si>
  <si>
    <t>NATALIA LOPEZ POSADA</t>
  </si>
  <si>
    <t>NATALIA MARIA GARCIA LOTERO</t>
  </si>
  <si>
    <t>NATALIA MARIA TAMAYO VELEZ</t>
  </si>
  <si>
    <t>NATALIA MORENO MONTOYA</t>
  </si>
  <si>
    <t>NATALIA PULIDO ZAPATA</t>
  </si>
  <si>
    <t>NATALIA SOFIA ALBARRACIN NEGRETE</t>
  </si>
  <si>
    <t>NATALIA VANESA ROJAS</t>
  </si>
  <si>
    <t>NATALIA VILLEGAS CARDONA</t>
  </si>
  <si>
    <t>NATHALIA DE ALMEIDA OLIVEIRA</t>
  </si>
  <si>
    <t>NATHALY OSORNO CARDONA</t>
  </si>
  <si>
    <t>NEIVER ANTONIO TAPIA ESCOBAR</t>
  </si>
  <si>
    <t>NELLY ELENA LEONOR ALBACARYS DE MUCI</t>
  </si>
  <si>
    <t>NELSON DE JESUS CARDENAS GONZALEZ</t>
  </si>
  <si>
    <t>NELSON FERNEY GUISAO OSPINA</t>
  </si>
  <si>
    <t>NESTOR ALFONSO LOPEZ POMPEY</t>
  </si>
  <si>
    <t>NESTOR EMILIO METAUTE LONDOÑO</t>
  </si>
  <si>
    <t>NEUROMEDICA S.A.S</t>
  </si>
  <si>
    <t>NHORA DELGADO OROZCO</t>
  </si>
  <si>
    <t>NICOL MARTINEZ QUINTERO</t>
  </si>
  <si>
    <t>A42125057</t>
  </si>
  <si>
    <t>NICOLAS ANDREW VALLE QUINTERO</t>
  </si>
  <si>
    <t>NICOLAS ANTONIO QUINTERO GÓMEZ</t>
  </si>
  <si>
    <t>NICOLAS PINEDA PINEDA ALVAREZ</t>
  </si>
  <si>
    <t>NICOLAS VANEGAS PULGARIN</t>
  </si>
  <si>
    <t>NICOLE MARIE OLIVEIRA</t>
  </si>
  <si>
    <t>A48478808</t>
  </si>
  <si>
    <t>NICOLE TERESA HERNANDEZ</t>
  </si>
  <si>
    <t>NICOLL DALLANA SUAREZ RODRIGUEZ</t>
  </si>
  <si>
    <t>NOLTTY ARCILA ARANGO</t>
  </si>
  <si>
    <t>NORA BEATRIZ MONTOYA VALENCIA</t>
  </si>
  <si>
    <t>NORA ELENA VILLA PALACIO</t>
  </si>
  <si>
    <t>NORA MILENA VASQUEZ DIEZ</t>
  </si>
  <si>
    <t>NORBEY ALONSO AGUDELO CIRO</t>
  </si>
  <si>
    <t>NNP19F583</t>
  </si>
  <si>
    <t>NORMAN CRESCENCIO ETIENNE BULBAI</t>
  </si>
  <si>
    <t>OFTALMOSALUD ESCOBAR S.A.S</t>
  </si>
  <si>
    <t>OLGA BIBIANA GIRALDO JARAMILLO</t>
  </si>
  <si>
    <t>OLGA DE JESUS RODRIGUEZ RODRIGUEZ</t>
  </si>
  <si>
    <t>OLGA ELENA GONZALEZ VILLA</t>
  </si>
  <si>
    <t>OLGA LUCIA MONTOYA POSADA</t>
  </si>
  <si>
    <t>OLGA LUCIA POSADA DE ESCOBAR</t>
  </si>
  <si>
    <t>OLGA LUCIA VERGARA SOLANO</t>
  </si>
  <si>
    <t>OLGA LUCIA VILLA GAVIRIA</t>
  </si>
  <si>
    <t>OLGA MARIA BERNAL GUTIERREZ</t>
  </si>
  <si>
    <t>OLIVIA BEDOYA POSADA</t>
  </si>
  <si>
    <t>OLIVIA BERDUGO CARDENAS</t>
  </si>
  <si>
    <t>OLIVIA ECHAVARRIA CASTRO</t>
  </si>
  <si>
    <t>OLIVIA GUTIERREZ QUINTERO</t>
  </si>
  <si>
    <t>OMAIRA ERASO NOGUERA</t>
  </si>
  <si>
    <t>OMAR CAMILO RESTREPO TEJADA</t>
  </si>
  <si>
    <t>OMAR DE JESUS HOYOS AGUDELO</t>
  </si>
  <si>
    <t>OMAR PEDROZA PARRA PARRA</t>
  </si>
  <si>
    <t>ORFILIA RESTREPO VELEZ</t>
  </si>
  <si>
    <t>ORLANDO DE JESUS CASTRILLON GALLEGO</t>
  </si>
  <si>
    <t>OSCAR ALBERTO DUQUE VALENCIA</t>
  </si>
  <si>
    <t>OSCAR DIEGO JARAMILLO FERNANDEZ</t>
  </si>
  <si>
    <t>OSCAR GIOVANNI TRUJILLO VEGA</t>
  </si>
  <si>
    <t>OSCAR JAVIER BLANCO RODRIGUEZ</t>
  </si>
  <si>
    <t>OSCAR JAVIER GUEVARA FALLA</t>
  </si>
  <si>
    <t>OSCAR VIVEROS RIOS</t>
  </si>
  <si>
    <t>OSWALDO DE JESUS GALLEGO CANO</t>
  </si>
  <si>
    <t>PABLO GIRALDO LOPEZ</t>
  </si>
  <si>
    <t>PABLO QUINTERO JIMENEZ</t>
  </si>
  <si>
    <t>PALOMA SANCHEZ VELEZ</t>
  </si>
  <si>
    <t>PAOLA ANDREA DUQUE HOYOS</t>
  </si>
  <si>
    <t>PAOLA ANDREA GARCIA HERRERA</t>
  </si>
  <si>
    <t>PAOLA MARCELA HERNANDEZ VEGA</t>
  </si>
  <si>
    <t>PATRICIA ELENA LOPEZ URIBE</t>
  </si>
  <si>
    <t>PATRICIA ESTHER GALLO CALDERÓN</t>
  </si>
  <si>
    <t>PATRICIA HELENA MARTINEZ CORREA</t>
  </si>
  <si>
    <t>PATRICIA PALACIO PALACIO URIBE</t>
  </si>
  <si>
    <t>C4WJL7L9G</t>
  </si>
  <si>
    <t>PATRICK 0 FISCHER</t>
  </si>
  <si>
    <t>PAULA ANDREA CALLE SANCHEZ</t>
  </si>
  <si>
    <t>PAULA ANDREA GOMEZ ORTIZ</t>
  </si>
  <si>
    <t>PAULA ANDREA RESTREPO PINEDA</t>
  </si>
  <si>
    <t>PAULA ANDREA ZULUAGA GALLEGO</t>
  </si>
  <si>
    <t>PAULA CRISTINA VERGARA TOBON</t>
  </si>
  <si>
    <t>PAULA KATERINE ZULUAGA JIMENEZ</t>
  </si>
  <si>
    <t>PAULA URREGO ACEVEDO</t>
  </si>
  <si>
    <t>PAULINA ANDREA AREIZA ADARVE</t>
  </si>
  <si>
    <t>PAULINA MATALLANA ESCOBAR</t>
  </si>
  <si>
    <t>PAULO CESAR VERA</t>
  </si>
  <si>
    <t>PEDRO BARRERA DOMINGUEZ</t>
  </si>
  <si>
    <t>PEDRO CALLE CALLE VERGARA</t>
  </si>
  <si>
    <t>PEDRO PEREZ FARIAS</t>
  </si>
  <si>
    <t>PETER MINDER 0</t>
  </si>
  <si>
    <t>PRINCE MARIA BEATRIZ ZUREK MEJIA</t>
  </si>
  <si>
    <t>PRINCESA TACHAU SECO</t>
  </si>
  <si>
    <t>RAFAEL ABADIA MAYA QUIROZ</t>
  </si>
  <si>
    <t>RAFAEL ANDRES BOLAÑOS PINO</t>
  </si>
  <si>
    <t>RAFAEL ANTONIO HERNANDEZ VALENCIA</t>
  </si>
  <si>
    <t>RAFAEL EDUARDO GOMEZ ORTIZ</t>
  </si>
  <si>
    <t>RAFAEL JOSE PELAEZ PELAEZ</t>
  </si>
  <si>
    <t>RAFAEL PEREZ 0</t>
  </si>
  <si>
    <t>RAMIRO ARANGO ESCOBAR</t>
  </si>
  <si>
    <t>PA1420924</t>
  </si>
  <si>
    <t>RAUL BYER 0</t>
  </si>
  <si>
    <t>RAUL DARIO ECHVERRI ARROYAVE</t>
  </si>
  <si>
    <t>REBECA RODRIGUEZ DE CABALLERO</t>
  </si>
  <si>
    <t>REBECA SERNA SERNA AGUDELO</t>
  </si>
  <si>
    <t>REBECCA ISABEL AUGUSTA TONCEL</t>
  </si>
  <si>
    <t>REFA URRUTIA MURILLO</t>
  </si>
  <si>
    <t>REGINA AMPARO BERRIO CATAÑO</t>
  </si>
  <si>
    <t>RENE MAURICIO PATIÑO PARDO</t>
  </si>
  <si>
    <t>RICARDO ARBEY RIVERA MESA</t>
  </si>
  <si>
    <t>RICARDO DE ZUBIRIA CANO</t>
  </si>
  <si>
    <t>RICARDO REBOLLEDO BARRIOS</t>
  </si>
  <si>
    <t>RITA MARIA MARTINEZ PEREIRA</t>
  </si>
  <si>
    <t>A36077106</t>
  </si>
  <si>
    <t>ROBERT ERNEST LESTER</t>
  </si>
  <si>
    <t>ROBERTO ALEJANDRO PHILLIPS VILLAVECES</t>
  </si>
  <si>
    <t>ROCIO LEONOR PALACIOS ROMERO</t>
  </si>
  <si>
    <t>RODRIGO HERNAN CARVAJAL ARCILA</t>
  </si>
  <si>
    <t>ROGER MUÑOZ CARVAJAL</t>
  </si>
  <si>
    <t>ROSA ELENA FRANCO DE ARENAS</t>
  </si>
  <si>
    <t>ROSA HELENA DIAZ VARGAS</t>
  </si>
  <si>
    <t>ROSA MARGARITA VELASQUEZ GARCES</t>
  </si>
  <si>
    <t>ROSA MARINA FRANCO CRESPO</t>
  </si>
  <si>
    <t>ROSARIO OSPINA OSPINA VELEZ</t>
  </si>
  <si>
    <t>ROSMERY ALVAREZ ALVAREZ PARDO</t>
  </si>
  <si>
    <t>ROYAL BIOCHEM GROUP S.A.S</t>
  </si>
  <si>
    <t>RUBEN GRANADOS 0</t>
  </si>
  <si>
    <t>RUBEN OCAMPO ORDUZ</t>
  </si>
  <si>
    <t>RUTH MARY RIVERO FREYTEZ</t>
  </si>
  <si>
    <t>RUTH NELLY OSORIO GARCIA</t>
  </si>
  <si>
    <t>SAADIA CONSTANZA ALVAREZ PIMENTEL</t>
  </si>
  <si>
    <t>SALMA KATTOUR JIMENEZ</t>
  </si>
  <si>
    <t>SALMA MONTOYA CANO</t>
  </si>
  <si>
    <t>SALMA SOFIA SEVERINI CERVANTES</t>
  </si>
  <si>
    <t>SALOME ISAZA QUINTERO</t>
  </si>
  <si>
    <t>SALVADOR AGUDELO RIVERA</t>
  </si>
  <si>
    <t>SALVADOR MARIN MONTOYA</t>
  </si>
  <si>
    <t>SALVADOR PAZ MEDINA</t>
  </si>
  <si>
    <t>SALVADOR VALENCIA TOBON</t>
  </si>
  <si>
    <t>A50501078</t>
  </si>
  <si>
    <t>SAMANTHA MARGARITA MONDY</t>
  </si>
  <si>
    <t>SAMIRA HERMINDA RUEDA VALOYES</t>
  </si>
  <si>
    <t>SAMUEL ACEVEDO TABORDA</t>
  </si>
  <si>
    <t>SAMUEL ANDRES RAMIREZ CARRERO</t>
  </si>
  <si>
    <t>SAMUEL GRANADA ZABALA</t>
  </si>
  <si>
    <t>SANDRA GIRLESA LONDOÑO GALLEGO</t>
  </si>
  <si>
    <t>SANDRA GIRLEZA GALLEGO SOLANO</t>
  </si>
  <si>
    <t>SANDRA ISABEL AGUIRRE GONZALEZ</t>
  </si>
  <si>
    <t>SANDRA LILIANA BEDOYA ARTEAGA</t>
  </si>
  <si>
    <t>SANDRA MILENA ALVAREZ</t>
  </si>
  <si>
    <t>SANDRA MILENA CARVAJAL GARCIA</t>
  </si>
  <si>
    <t>SANDRA MILENA COSSIO ECHEVERRI</t>
  </si>
  <si>
    <t>SANDRA MILENA MORALES CARDONA</t>
  </si>
  <si>
    <t>SANDRA MILENA NIÑO FORERO</t>
  </si>
  <si>
    <t>SANDRA MILENA RAMIREZ CARDONA</t>
  </si>
  <si>
    <t>SANDRA YANED MARIN OCHOA</t>
  </si>
  <si>
    <t>SANDRI CAMILA ROJAS PAEZ</t>
  </si>
  <si>
    <t>SANDY RUSENSTROM MEDINA</t>
  </si>
  <si>
    <t>SANTIAGO ARENAS DAVID</t>
  </si>
  <si>
    <t>SANTIAGO ATEHORTUA RIVERA</t>
  </si>
  <si>
    <t>SANTIAGO CABALLERO PEREZ</t>
  </si>
  <si>
    <t>SANTIAGO GOMEZ DUQUE</t>
  </si>
  <si>
    <t>SANTIAGO VASQUEZ ZULUAGA</t>
  </si>
  <si>
    <t>SANTIAGO VELASQUEZ AMAYA</t>
  </si>
  <si>
    <t>SANTINO MARIN AGUDELO</t>
  </si>
  <si>
    <t>SARA CHICA CALDERON</t>
  </si>
  <si>
    <t>SARA CUELLO CASTRO</t>
  </si>
  <si>
    <t>SARA ISABEL VALENCIA MESA</t>
  </si>
  <si>
    <t>SARA MARIA PEREZ RENDON</t>
  </si>
  <si>
    <t>SARAH RIVERA GIRALDO</t>
  </si>
  <si>
    <t>SEBASTIAN FLOREZ CASTILLO</t>
  </si>
  <si>
    <t>SEBASTIAN MIRA OCAMPO</t>
  </si>
  <si>
    <t>SEBASTIAN PALACIO GARCIA</t>
  </si>
  <si>
    <t>SEBASTIAN RODRIGUEZ RODRIGUEZ ALZATE</t>
  </si>
  <si>
    <t>SEBASTIAN SIERRA URIBE</t>
  </si>
  <si>
    <t>Seguros de vida Suramericana</t>
  </si>
  <si>
    <t>SEINDY GERMAN CASTILLO CHAVEZ</t>
  </si>
  <si>
    <t>SELENA HERNANDEZ SALAZAR</t>
  </si>
  <si>
    <t>SERGIO AURELIO PUERTA HERNANDEZ</t>
  </si>
  <si>
    <t>SERGIO DANIEL RUA LOPEZ</t>
  </si>
  <si>
    <t>SERGIO IVAN CADAVID HERRERA</t>
  </si>
  <si>
    <t>SERGIO LUIS BERNAL CORTES</t>
  </si>
  <si>
    <t>SERGIO MARIO MENDEZ PATIÑO</t>
  </si>
  <si>
    <t>SHAILA RAEN NICHOLSON</t>
  </si>
  <si>
    <t>SHARON PATRICIA BERTEL MONTALVO</t>
  </si>
  <si>
    <t>SHILOOH ARRIETA MADRID</t>
  </si>
  <si>
    <t>SILVIA ARBELAEZ RODADO</t>
  </si>
  <si>
    <t>SILVIA ESTER CALLE GALLO</t>
  </si>
  <si>
    <t>SIMON ESCUDERO GAVIRIA</t>
  </si>
  <si>
    <t>SIMON FELIPE GONZALEZ BEDOYA</t>
  </si>
  <si>
    <t>SIMON FONSECA ARBOLEDA</t>
  </si>
  <si>
    <t>SIMON PALACIOS ECHEVERRI</t>
  </si>
  <si>
    <t>SIMON PIEDRAHITA MEJIA</t>
  </si>
  <si>
    <t>SIRSABEL ESPINOSA RICO</t>
  </si>
  <si>
    <t>SOFIA ARISTIZABAL HINCAPIE</t>
  </si>
  <si>
    <t>SOFIA BOTERO GIRALDO</t>
  </si>
  <si>
    <t>SOFIA DIAZ NOREÑA</t>
  </si>
  <si>
    <t>SOFIA ECHEVERRI GOMEZ</t>
  </si>
  <si>
    <t>SOFIA LONDOÑO CORDOBA</t>
  </si>
  <si>
    <t>SOFIA OSPINA PIZANO</t>
  </si>
  <si>
    <t>SONIA CRISTINA MEJIA CUARTAS</t>
  </si>
  <si>
    <t>SOPHIA TORRES ZULUAGA</t>
  </si>
  <si>
    <t>STEFANIA VIANA OLAYA</t>
  </si>
  <si>
    <t>STEFANY CUASPUD GUEVARA</t>
  </si>
  <si>
    <t>TC068882</t>
  </si>
  <si>
    <t>STEPHANIE RAMPERSAD 0</t>
  </si>
  <si>
    <t>SULDERY HENAO ALZATE</t>
  </si>
  <si>
    <t>SULEYDY CAROLINA MONTOYA CHAVERRA</t>
  </si>
  <si>
    <t>SUSANA ANDREA ZULUAGA VALENCIA</t>
  </si>
  <si>
    <t>SUSANA LONDOÑO SALAZAR</t>
  </si>
  <si>
    <t>SUSANA OVIEDO NARANJO</t>
  </si>
  <si>
    <t>NW303K1D5</t>
  </si>
  <si>
    <t>SUYENNE WIDALYS TROMP</t>
  </si>
  <si>
    <t>A11107486</t>
  </si>
  <si>
    <t>SYARA LOPEZ MEJIA</t>
  </si>
  <si>
    <t>TANIA FERNANDA MELO OJEDA</t>
  </si>
  <si>
    <t>TATIANA ALEJANDRA ORLAS DEL RIO</t>
  </si>
  <si>
    <t>TATIANA ANDREA RAMIREZ GOMEZ</t>
  </si>
  <si>
    <t>TATIANA BEDOYA GALLEGO</t>
  </si>
  <si>
    <t>TATIANA MARIA BETANCUR CARDENAS</t>
  </si>
  <si>
    <t>TATIANA MOSQUERA SALCEDO</t>
  </si>
  <si>
    <t>TATIANA RESTREPO GARCÍA</t>
  </si>
  <si>
    <t>TERESA DE JESUS GOMEZ VELEZ</t>
  </si>
  <si>
    <t>TERESA DE JESUS MONTOYA OCAMPO</t>
  </si>
  <si>
    <t>TERESITA DE DOLORES PIEDRAHITA MOLINA</t>
  </si>
  <si>
    <t>TERESITA DEL JESUS GONZALEZ DE CASTAÑO</t>
  </si>
  <si>
    <t>X8919854</t>
  </si>
  <si>
    <t>THEO PIERRE LUCAS GUSTINCIC</t>
  </si>
  <si>
    <t>THIAGO MUÑOZ JIMENEZ</t>
  </si>
  <si>
    <t>TOMAS DANIEL VASQUEZ MARIN</t>
  </si>
  <si>
    <t>TOMAS DAVID MESA TORRES</t>
  </si>
  <si>
    <t>TOMAS GIRALDO MEJIA</t>
  </si>
  <si>
    <t>TOMAS OSORIO SANCHEZ</t>
  </si>
  <si>
    <t>TOMAS VARGAS MUÑOZ</t>
  </si>
  <si>
    <t>AY943656</t>
  </si>
  <si>
    <t>TOVE PICHLEROVA NEL</t>
  </si>
  <si>
    <t>TREIZY MARIA IBAÑEZ MARRIAGA</t>
  </si>
  <si>
    <t>TULIO ERNESTO ZULOAGA PEREZ</t>
  </si>
  <si>
    <t>TULIO EUSTACIO MANTILLA VARGAS</t>
  </si>
  <si>
    <t>VALENTIN ARRIETA PLATA</t>
  </si>
  <si>
    <t>VALENTIN ENCISO PELAEZ</t>
  </si>
  <si>
    <t>VALENTINA ARANGO ARBELAEZ</t>
  </si>
  <si>
    <t>VALENTINA BETANCUR SALAZAR</t>
  </si>
  <si>
    <t>VALENTINA GUISAO FLOREZ</t>
  </si>
  <si>
    <t>VALENTINA LENIS CAICEDO</t>
  </si>
  <si>
    <t>VALENTINA MORALES GOMEZ</t>
  </si>
  <si>
    <t>VALENTINA MUÑOZ HOYOS</t>
  </si>
  <si>
    <t>VALENTINA NARANJO BERMUDEZ</t>
  </si>
  <si>
    <t>VALENTINA OCAMPO TAMAYO</t>
  </si>
  <si>
    <t>VALENTINA PEREIRA CARDONA</t>
  </si>
  <si>
    <t>VALENTINA SAENZ RICAURTE</t>
  </si>
  <si>
    <t>VALENTINA SUAREZ MARQUEZ</t>
  </si>
  <si>
    <t>VALENTINO KRIS BOYES</t>
  </si>
  <si>
    <t>VALERIA ARBELAEZ RODADO</t>
  </si>
  <si>
    <t>VALERIA QUIROZ PINEDO</t>
  </si>
  <si>
    <t>VALERIA RIOS CALLE</t>
  </si>
  <si>
    <t>VALERIA RIVERA URIBE</t>
  </si>
  <si>
    <t>VALERIA TOBON QUINTERO</t>
  </si>
  <si>
    <t>VANESSA ARANGO ROJAS</t>
  </si>
  <si>
    <t>VANESSA MARELY ARISTIZABAL ANGEL</t>
  </si>
  <si>
    <t>VANESSA RAMIREZ MENESES</t>
  </si>
  <si>
    <t>A87323613</t>
  </si>
  <si>
    <t>VAUGHN DACOSTA BROWN</t>
  </si>
  <si>
    <t>VERENA JISETTE MORRON DONADO</t>
  </si>
  <si>
    <t>VERONICA BUSTAMANTE BUSTAMANTE MARISCAL</t>
  </si>
  <si>
    <t>VERONICA OYUELA DE GUZMAN</t>
  </si>
  <si>
    <t>VICENTE ARROYAVE ZULUAGA</t>
  </si>
  <si>
    <t>VICENTE CORREA GOMEZ</t>
  </si>
  <si>
    <t>VICENTE CORREA MERINO</t>
  </si>
  <si>
    <t>VICTOR ENRIQUE GONZALEZ PEREZ</t>
  </si>
  <si>
    <t>VICTORIA BRAND VANEGAS</t>
  </si>
  <si>
    <t>VICTORIA TORRES STAKEM</t>
  </si>
  <si>
    <t>VIRGILIO EDUARDO VANEGAS MARTINEZ</t>
  </si>
  <si>
    <t>VIRGINIA TEJADA MARQUEZ</t>
  </si>
  <si>
    <t>VIVIAN LISETH BERTEL LONDOÑO</t>
  </si>
  <si>
    <t>VLADIMIR GONZALEZ 0</t>
  </si>
  <si>
    <t>WENDY JOHANA RENDON MARTINEZ</t>
  </si>
  <si>
    <t>WILDER ZAPATA ZAPATA URIBE</t>
  </si>
  <si>
    <t>WILIAM ALBERTO GALLO VALENCIA</t>
  </si>
  <si>
    <t>WILLIAM HERNANDEZ 0</t>
  </si>
  <si>
    <t>WILLIAM LINARES BERNAL</t>
  </si>
  <si>
    <t>WILLIAM NARANJO NARANJO CARDENAS</t>
  </si>
  <si>
    <t>WILLIAM SEGUNDO HOYOS MORALES</t>
  </si>
  <si>
    <t>WILMAR LOZANO MOSQUERA</t>
  </si>
  <si>
    <t>WILMER ANTONIO CARE FUERTES</t>
  </si>
  <si>
    <t>WILYER YAIR GIRALDO ARIAS</t>
  </si>
  <si>
    <t>XINIA MILENA CASTAÑEDA TAMAYO</t>
  </si>
  <si>
    <t>YANET BETANCOURT OLAYA</t>
  </si>
  <si>
    <t>YANYELINE PATRICIA BUENO LOAIZA</t>
  </si>
  <si>
    <t>YAQUELINE CARDENAS GALLEGO</t>
  </si>
  <si>
    <t>YEIMMY LILIANA LEMUS MORA</t>
  </si>
  <si>
    <t>YEIMY LORENA BAÑOL MONTOYA</t>
  </si>
  <si>
    <t>YEIMY LUCIA ARCOS TORRES</t>
  </si>
  <si>
    <t>YELINA ANDREA RUEDA JARAMILLO</t>
  </si>
  <si>
    <t>YENIFER MEJIA MONTOYA</t>
  </si>
  <si>
    <t>YENNY PIEDAD POLANCO PEÑA</t>
  </si>
  <si>
    <t>YESENIA ANDREA ACEVEDO ALVAREZ</t>
  </si>
  <si>
    <t>YESSICA JHOANA CIRO JIMENEZ</t>
  </si>
  <si>
    <t>YESSICA TATIANA POSADA GIRALDO</t>
  </si>
  <si>
    <t>YILMAR CUESTA MOSQUERA</t>
  </si>
  <si>
    <t>YINA MILENA CHAVARRIA ECHAVARRIA</t>
  </si>
  <si>
    <t>YIRA CAROLINA PEREZ ABIANTUN</t>
  </si>
  <si>
    <t>YOHANNETH PAOLA REYES TORRES</t>
  </si>
  <si>
    <t>YOJAIRO GARCIA MOZO</t>
  </si>
  <si>
    <t>YOLANDA ARANGO CAMACHO</t>
  </si>
  <si>
    <t>YOSELIN ALEJANDRA TORRES JIMENEZ</t>
  </si>
  <si>
    <t>YUCEPE ADOLFO BULA LEZCANO</t>
  </si>
  <si>
    <t>YUDI ANDREA GOMEZ RIOS</t>
  </si>
  <si>
    <t>YULESSY VALENCIA MUÑOZ</t>
  </si>
  <si>
    <t>YULEY DAYANA MUÑOZ CALLE</t>
  </si>
  <si>
    <t>YULIANA ANDREA AGUDELO MACIAS</t>
  </si>
  <si>
    <t>YULIANA ANDREA VELEZ VELEZ</t>
  </si>
  <si>
    <t>YULIANA MARCELA CASTRO HERRERA</t>
  </si>
  <si>
    <t>YULIER GARCIA HENAO</t>
  </si>
  <si>
    <t>YULIETH ANDREA CUADROS ZAPATA</t>
  </si>
  <si>
    <t>YULIETH DAYANA COTAZO MAQUILLO</t>
  </si>
  <si>
    <t>YULISSA RUIZ FONNEGRA</t>
  </si>
  <si>
    <t>YUMEY ALEJANDRA OROZCO CARDONA</t>
  </si>
  <si>
    <t>YURANY MUÑOZ SANTANILLA</t>
  </si>
  <si>
    <t>ZOLLANGI GIRALDO LOPEZ</t>
  </si>
  <si>
    <t>ZORAIDA ANDREA USUGA GRACIANO</t>
  </si>
  <si>
    <t>ZULY ENERIETH BARRIOS QUINTERO</t>
  </si>
  <si>
    <t>Cuentas por cobrar vinculados económicos</t>
  </si>
  <si>
    <t>Alfiliadas</t>
  </si>
  <si>
    <t>VISION EL TESORO SAS</t>
  </si>
  <si>
    <t>Cuentas por cobrar socios o accionistas</t>
  </si>
  <si>
    <t>Cuentas por cobrar socios</t>
  </si>
  <si>
    <t>JORGE EMILIO JARAMILLO NOGUERA</t>
  </si>
  <si>
    <t>MIGUEL ANTONIO JARAMILLO MARTINEZ</t>
  </si>
  <si>
    <t>Anticipos</t>
  </si>
  <si>
    <t>Anticipos a Proveedores</t>
  </si>
  <si>
    <t>AKIS VISION SAS</t>
  </si>
  <si>
    <t>ALIANZA FIDUCIARIA</t>
  </si>
  <si>
    <t>ANALTEC LABORATORIOS S.A.S</t>
  </si>
  <si>
    <t>ANDREINA PEÑA HERMIDA</t>
  </si>
  <si>
    <t>ANYER BORGES NOGUERA</t>
  </si>
  <si>
    <t>AQUACOOL S.A.S</t>
  </si>
  <si>
    <t>ASESORES BIOCIENTIFICOS ASOCIADOS S.A.S.</t>
  </si>
  <si>
    <t>Banco Davivienda SA</t>
  </si>
  <si>
    <t>BIOPROT SALUD VISUAL Y OCULAR S.A.S</t>
  </si>
  <si>
    <t>CAMARA DE COMERCIO</t>
  </si>
  <si>
    <t>COBO MEDICAL S.A.S</t>
  </si>
  <si>
    <t>CONTACTO ARQUITECTURA S.A.S</t>
  </si>
  <si>
    <t>DANILO PEÑA HEMIDA</t>
  </si>
  <si>
    <t>EMPRESAS PUBLICAS DE MEDELLIN E.S.P.</t>
  </si>
  <si>
    <t>GRUPO ECHAVARRIA RUA S.A.S.</t>
  </si>
  <si>
    <t>HEALTH TEX SAS</t>
  </si>
  <si>
    <t>HIGH LIGHTS SAS</t>
  </si>
  <si>
    <t>INDUSTRIAS CORY SAS</t>
  </si>
  <si>
    <t>INOFTAL INVESTIGACIONES E INNOVAVIONES OFTALMOLOGICAS SAS</t>
  </si>
  <si>
    <t>INSTRUMECOL S.A.S.</t>
  </si>
  <si>
    <t>INSUMOS CLINICOS Y HOSPITALARIOS DE COLOMBIA SAS</t>
  </si>
  <si>
    <t>JADER ANTONIO OSORIO ZAPATA</t>
  </si>
  <si>
    <t>JOHN JAIRO MESA POSADA</t>
  </si>
  <si>
    <t>JUAN SEBASTIAN GUERRERO REY</t>
  </si>
  <si>
    <t>LABORATORIO CLINICO HEMATOLOGICO S.A.S</t>
  </si>
  <si>
    <t>LABORATORIOS ALCON DE COLOMBIA</t>
  </si>
  <si>
    <t>LABORATORIOS RETINA S.A.S</t>
  </si>
  <si>
    <t>LITOQUINTERO COMPAÑIA S.A.S</t>
  </si>
  <si>
    <t>LUXOTTICA OF COLOMBIA SAS</t>
  </si>
  <si>
    <t>MARCO TULIO GONZALEZ ALVAREZ</t>
  </si>
  <si>
    <t>MAURICIO AGUDELO CARDONA</t>
  </si>
  <si>
    <t>MEDICOX LTDA</t>
  </si>
  <si>
    <t>MEGA STORAGE COLOMBIA SAS</t>
  </si>
  <si>
    <t>MELISSA ALVARAN MEJIA</t>
  </si>
  <si>
    <t>MESSER COLOMBIA S.A.</t>
  </si>
  <si>
    <t>NATALIA VILLEGAS BERNAL</t>
  </si>
  <si>
    <t>NOVUSMED SAS</t>
  </si>
  <si>
    <t>OFTALMOQUIMICA S.A.</t>
  </si>
  <si>
    <t>PARTNERS TELECOM COLOMBIA S.A.S.</t>
  </si>
  <si>
    <t>PAULA ANDREA PALACIO URIBE</t>
  </si>
  <si>
    <t>R.P DENTAL SA</t>
  </si>
  <si>
    <t>RAFAEL ANGEL OCHOA URDANETA</t>
  </si>
  <si>
    <t>RETINA FINANCIERA S.A.S.</t>
  </si>
  <si>
    <t>ROCOL INTERNATIONAL S.A.S</t>
  </si>
  <si>
    <t>RONELLY S.A.S.</t>
  </si>
  <si>
    <t>SANTIAGO DIAZ VELEZ</t>
  </si>
  <si>
    <t>SEGUROS DE VIDA ALFA S.A.</t>
  </si>
  <si>
    <t>SEGUROS GENERALES SURAMERICANA</t>
  </si>
  <si>
    <t>SOCIEDAD CAMERAL DE CERTIFICACION DIGITAL CERTICAMARA S A</t>
  </si>
  <si>
    <t>SUMINISTROS OFTALMOLOGICOS S.A.S</t>
  </si>
  <si>
    <t>TECNOMEDICA MD S.A.S</t>
  </si>
  <si>
    <t>UNE EPM TELECOMUNICACIONES S.A</t>
  </si>
  <si>
    <t>WOWDOM SAS</t>
  </si>
  <si>
    <t>YULIANA LLANO NARANJO</t>
  </si>
  <si>
    <t>Anticipos a Trabajadores</t>
  </si>
  <si>
    <t>Dayana Marcela Sanchez Castaño</t>
  </si>
  <si>
    <t>LAURA ALEJANDRA GARCIA SALAZAR</t>
  </si>
  <si>
    <t>SALVADOR CARREÑO CARREÑO</t>
  </si>
  <si>
    <t>SALVADOR LUIS CARREÑO CARREÑO</t>
  </si>
  <si>
    <t>Activos Fiscales</t>
  </si>
  <si>
    <t>Retención en la Fuente</t>
  </si>
  <si>
    <t>Retención en la Fuente Honorarios 11%</t>
  </si>
  <si>
    <t>AGROFERRETERIA LOS OBREROS SAS</t>
  </si>
  <si>
    <t>Retención en la Fuente Servicios IPS 2%</t>
  </si>
  <si>
    <t>JOHAN SNEIDER LOPEZ AGUIRRE</t>
  </si>
  <si>
    <t>MARIA ALEJANDRA MUNERA GARCES</t>
  </si>
  <si>
    <t>YEIFER STEVEN PEREZ BUSTAMANTE</t>
  </si>
  <si>
    <t>Retención en la fuente 1.5%</t>
  </si>
  <si>
    <t>Banco Caja Social BCSC SA</t>
  </si>
  <si>
    <t>Bancolombia</t>
  </si>
  <si>
    <t>Cierre Retefuente anual</t>
  </si>
  <si>
    <t>U.A.E. DIRECCION DE IMPUESTOS Y ADUANAS NACIONALES</t>
  </si>
  <si>
    <t>Impuesto de Industria y Comercio Retenido</t>
  </si>
  <si>
    <t>Impuesto de Industria y Comercio Retenido 0.2%</t>
  </si>
  <si>
    <t>Sobrantes en liquidación privada de impuestos</t>
  </si>
  <si>
    <t>Saldo a favor renta</t>
  </si>
  <si>
    <t>Autorretención Especial por Renta</t>
  </si>
  <si>
    <t>Autorretención Especial por Renta 1.10%</t>
  </si>
  <si>
    <t>OFTALMOLOGOS EL TESORO SAS</t>
  </si>
  <si>
    <t>Cuentas por Cobrar a Trabajadores</t>
  </si>
  <si>
    <t>Otras Cuentas por Cobrar a Trabajadores</t>
  </si>
  <si>
    <t>ANGELA MARIA ALVAREZ LOPEZ</t>
  </si>
  <si>
    <t>CAROLINA AGUDELO CORREA</t>
  </si>
  <si>
    <t>CAROLINA OVIEDO NARANJO</t>
  </si>
  <si>
    <t>CLAUDIA PATRICIA LLANOS</t>
  </si>
  <si>
    <t>DANIEL STIVEN MARIN GARCIA</t>
  </si>
  <si>
    <t>DIANA MARITZA RESTREPO GIRALDO</t>
  </si>
  <si>
    <t>Dorreymar Coromoto Tovar Noguera</t>
  </si>
  <si>
    <t>ERIC ALFONSO TORRES ALVARES</t>
  </si>
  <si>
    <t>JEAN CARLOS MARQUEZ GONZALEZ</t>
  </si>
  <si>
    <t>JHON JAIRO GALEANO PARRA</t>
  </si>
  <si>
    <t>KELLY MARIANA ESCOBAR ALZATE</t>
  </si>
  <si>
    <t>LINA MARCELA MOLINA ZAPATA</t>
  </si>
  <si>
    <t>MAYELIS MARIA GARCIA VILORIA</t>
  </si>
  <si>
    <t>SANDRA MILENA MUÑOZ VASQUEZ</t>
  </si>
  <si>
    <t>Depositarios</t>
  </si>
  <si>
    <t>Cuentas por Cobrar a Terceros</t>
  </si>
  <si>
    <t>CLAUDIA MARCELA VANEGAS RAMIREZ</t>
  </si>
  <si>
    <t>JORGE ALEJANDRO JARAMILLO HENRIQUEZ</t>
  </si>
  <si>
    <t>JOSE AGUSTIN JARAMILLO SOLA</t>
  </si>
  <si>
    <t>LUZ DANELLY GAVIRIA GIRALDO</t>
  </si>
  <si>
    <t>RICARDO JOSE NEIRA</t>
  </si>
  <si>
    <t>TRINIDAD RODRIGUEZ DE PIEDRAHITA DE PIEDRAHITA</t>
  </si>
  <si>
    <t>VISION INTEGRADOS S.A.S</t>
  </si>
  <si>
    <t>YISSEL ARANGO ARROYAVE</t>
  </si>
  <si>
    <t>Inventario</t>
  </si>
  <si>
    <t>Inventario de Mercancías No Fabricadas por la Empresa</t>
  </si>
  <si>
    <t>Inventario de insumos</t>
  </si>
  <si>
    <t>Propiedad Planta y Equipo</t>
  </si>
  <si>
    <t>Construcciones en curso</t>
  </si>
  <si>
    <t>Construcciones y edificaciones en curso</t>
  </si>
  <si>
    <t>Iva mayor valor construccion en proceso</t>
  </si>
  <si>
    <t>Construcciones y Edificaciones</t>
  </si>
  <si>
    <t>Mejoras en propiedad ajena</t>
  </si>
  <si>
    <t>ALBERT NUÑEZ</t>
  </si>
  <si>
    <t>ALMACENES CORONA S.A.S</t>
  </si>
  <si>
    <t>ANTISOLAR ALEMANA S.A.S</t>
  </si>
  <si>
    <t>AVP DISEÑOS Y MONTAJES ME</t>
  </si>
  <si>
    <t>BYLIN S.A.S</t>
  </si>
  <si>
    <t>CONSTRUCCIONES DUMOVA SAS</t>
  </si>
  <si>
    <t>CRISTIAN MENA</t>
  </si>
  <si>
    <t>ECOELECTRICA Y TELECOMUNICACIONES S.A.S.</t>
  </si>
  <si>
    <t>ENRIQUE SALCEDO</t>
  </si>
  <si>
    <t>FRIO AIRE ACONDICIONADO Y VENTILACION MEDICA S.A.S</t>
  </si>
  <si>
    <t>HECTOR DARIO GONZALEZ ARANGO</t>
  </si>
  <si>
    <t>JOSE GONZALEZ</t>
  </si>
  <si>
    <t>JUAN CARLOS SALAZAR</t>
  </si>
  <si>
    <t>JUAN CORTEZ</t>
  </si>
  <si>
    <t>LA ESTACION FERRETERA SAS</t>
  </si>
  <si>
    <t>LEONARDO PEÑA</t>
  </si>
  <si>
    <t>MADECENTRO COLOMBIA SAS</t>
  </si>
  <si>
    <t>OSCAR PORRAS</t>
  </si>
  <si>
    <t>REDEX INGENIEROS SAS</t>
  </si>
  <si>
    <t>SANTIAGO ESCOBAR</t>
  </si>
  <si>
    <t>SANTIAGO URREGO LONDOÑO</t>
  </si>
  <si>
    <t>SODIMAC COLOMBIA S A</t>
  </si>
  <si>
    <t>SURAMERICANA COMERCIAL SAS</t>
  </si>
  <si>
    <t>YUBER PEREZ</t>
  </si>
  <si>
    <t>Iva mayor valor mejoras en propiedad ajena</t>
  </si>
  <si>
    <t>Construcciones y Edificaciones Oficinas</t>
  </si>
  <si>
    <t>MARIA ANTONIA GONZALEZ RESTREPO</t>
  </si>
  <si>
    <t>Maquinaria y Equipo</t>
  </si>
  <si>
    <t>Maquinaria, Equipo y Herramientas</t>
  </si>
  <si>
    <t>ACM LIGHT LLC</t>
  </si>
  <si>
    <t>DAMSTECH S.A.S.</t>
  </si>
  <si>
    <t>EQUIBIOMEDIC S.A.S</t>
  </si>
  <si>
    <t>LAINEKER ROMAN CASTAÑEDA</t>
  </si>
  <si>
    <t>MODELOS RECLINOMATIC S.A.S.</t>
  </si>
  <si>
    <t>NATALIA GOMEZ GOMEZ</t>
  </si>
  <si>
    <t>OPIMED SAS</t>
  </si>
  <si>
    <t>SOPORTE VITAL S.A.</t>
  </si>
  <si>
    <t>TECNICA ELECTRO MEDICA S.A.</t>
  </si>
  <si>
    <t>Equipos Alcon</t>
  </si>
  <si>
    <t>Equipo Statim</t>
  </si>
  <si>
    <t>Equipos cuenta en participacion</t>
  </si>
  <si>
    <t>LASER LOCATORS</t>
  </si>
  <si>
    <t>Iva mayor valor maquinaria y equipo</t>
  </si>
  <si>
    <t>Equipo de Oficina</t>
  </si>
  <si>
    <t>Equipo de Oficina Muebles y Enseres</t>
  </si>
  <si>
    <t>ANDREA CAROLINA CHIA</t>
  </si>
  <si>
    <t>ARMONIA DECORACION S.A.S</t>
  </si>
  <si>
    <t>COLOMBIANA DE COMERCIO S.A.</t>
  </si>
  <si>
    <t>DESARROLLO MOBILIARIO S.A.S</t>
  </si>
  <si>
    <t>DIMAKER S.A.S</t>
  </si>
  <si>
    <t>DISTRIBUIDORA MATEC S.A.S</t>
  </si>
  <si>
    <t>DURATA S.A.S</t>
  </si>
  <si>
    <t>EBANISTERIA ADRISSA S.A.S</t>
  </si>
  <si>
    <t>GINEVRA SAS</t>
  </si>
  <si>
    <t>INDUSTRIAS METALICAS LOS PINOS S.A.</t>
  </si>
  <si>
    <t>INYERMAN DANOVIS AVENDAÑO AMAYA</t>
  </si>
  <si>
    <t>MUMA S.A.S</t>
  </si>
  <si>
    <t>ROBERTO DE JESUS MONTOYA MONCADA</t>
  </si>
  <si>
    <t>SANDRA MILENA SERNA PARADA</t>
  </si>
  <si>
    <t>WILLIAM DE JESUS TORO HENAO</t>
  </si>
  <si>
    <t>Iva mayor valor muebles y enseres</t>
  </si>
  <si>
    <t>Equipo de Oficina Equipos</t>
  </si>
  <si>
    <t>CRISTIAN CAMILO OSPINA GARCIA</t>
  </si>
  <si>
    <t>SOLUCIONES DPV S.A.S</t>
  </si>
  <si>
    <t>Iva mayor valor Equipos de oficina</t>
  </si>
  <si>
    <t>Otros Equipo de Oficina</t>
  </si>
  <si>
    <t>Equipo de Cómputo y Comunicación</t>
  </si>
  <si>
    <t>Equipos de Procesamientos de Datos</t>
  </si>
  <si>
    <t>CARLOS ANDRS MEJIA TORO</t>
  </si>
  <si>
    <t>COOL SYSTEMS S.A.S.</t>
  </si>
  <si>
    <t>DANIEL ALEJANDRO ARISTIZABAL SERNA</t>
  </si>
  <si>
    <t>EDWIN ALEJANDRO RIVERA URREGO</t>
  </si>
  <si>
    <t>GRUPO LEDACOM S.A.S</t>
  </si>
  <si>
    <t>MAC CENTER COLOMBIA SOCIEDAD POR ACCIONES SIMPLIFICADA</t>
  </si>
  <si>
    <t>Iva mayor valor e procesamiento e datos</t>
  </si>
  <si>
    <t>Equipos de Telecomunicaciones</t>
  </si>
  <si>
    <t>INVERSIONES ONFLY S.A.S</t>
  </si>
  <si>
    <t>Iva mayor valor equipo telecomunicaciones</t>
  </si>
  <si>
    <t>Equipo médico científico</t>
  </si>
  <si>
    <t>Equipo oftalmológico</t>
  </si>
  <si>
    <t>JONATHAN ALEXANDER VASQUEZ GONZALEZ</t>
  </si>
  <si>
    <t>Camilla</t>
  </si>
  <si>
    <t>C.I COTECNA S.A.S.</t>
  </si>
  <si>
    <t>Iva mayor valor equipo médico</t>
  </si>
  <si>
    <t>Depreciación Acumulada</t>
  </si>
  <si>
    <t>Depreciación Construcciones y Edificaciones</t>
  </si>
  <si>
    <t>Depreciación Equipo de Oficina</t>
  </si>
  <si>
    <t>Depreciación Equipo de Computo y Comunicación</t>
  </si>
  <si>
    <t>Depreciación equipos medicos</t>
  </si>
  <si>
    <t>Deprecición equipos medicos</t>
  </si>
  <si>
    <t>Diferidos</t>
  </si>
  <si>
    <t>Gastos Pagados por Anticipado</t>
  </si>
  <si>
    <t>Gastos Pagados por Anticipado Seguros y Finanzas</t>
  </si>
  <si>
    <t>Iva maor valor gastos pagados por anticipado seguros</t>
  </si>
  <si>
    <t>Otros Gastos Pagados por Anticipado</t>
  </si>
  <si>
    <t>Iva mayor valor Otros gastos pagados por anticipado</t>
  </si>
  <si>
    <t>Pasivos</t>
  </si>
  <si>
    <t>Pasivos Financieros</t>
  </si>
  <si>
    <t>Pasivos Financieros Bancos Nacionales</t>
  </si>
  <si>
    <t>Pasivos Financieros Bancos Nacionales Pagarés</t>
  </si>
  <si>
    <t>Pasivos Financieros Bancoomeva crédito rotativo 027031</t>
  </si>
  <si>
    <t>Bancoomeva</t>
  </si>
  <si>
    <t>Leasing Davivienda</t>
  </si>
  <si>
    <t>Pasivos fianncieros Banco caja social 31006702865</t>
  </si>
  <si>
    <t>Pasivos Financieros Banco caja social 31006786281</t>
  </si>
  <si>
    <t>Pasivos financieros Bancolombia Cesantías</t>
  </si>
  <si>
    <t>Pasivos Financieros Bancos Nacionales Tarjetas de Crédito</t>
  </si>
  <si>
    <t>Pasivos Financieros Bancoomeva Tarjetas de Crédito</t>
  </si>
  <si>
    <t>Pasivos Financieros Banco Caja Social TC MAJM</t>
  </si>
  <si>
    <t>Pasivos Financieros Banco Caja Social TC MAJN</t>
  </si>
  <si>
    <t>Pasivos Financieros Corporaciones Financieras</t>
  </si>
  <si>
    <t>Pasivos Financieros Corporaciones Financieras Pagarés</t>
  </si>
  <si>
    <t>Proveedores</t>
  </si>
  <si>
    <t>Proveedores Nacionales</t>
  </si>
  <si>
    <t>ACCIONE S.A.S.</t>
  </si>
  <si>
    <t>ACRILICOS COLOMBIA S.A.S</t>
  </si>
  <si>
    <t>ADRIANA GUERRERO GOMEZ</t>
  </si>
  <si>
    <t>AJL OPHTHALMIC SAS</t>
  </si>
  <si>
    <t>ALEJANDRO LEON UPEGUI SALDARRIAGA</t>
  </si>
  <si>
    <t>ALEJANDRO VELEZ ESCOBAR</t>
  </si>
  <si>
    <t>ALMACENES EXITO SA</t>
  </si>
  <si>
    <t>ANA LUCIA CADAVID VELASQUEZ</t>
  </si>
  <si>
    <t>ANDREC CORPORATION S.A</t>
  </si>
  <si>
    <t>ANDREC SURGICAL S.A</t>
  </si>
  <si>
    <t>ANGELICA MARIA HERRERA ALZATE</t>
  </si>
  <si>
    <t>ARCHIES COMPANY S.A.S</t>
  </si>
  <si>
    <t>ASTRID YULIETH LOPEZ USME</t>
  </si>
  <si>
    <t>BAYER S.A.</t>
  </si>
  <si>
    <t>BIOTECH HEALTH CARE COLOMBIA SAS</t>
  </si>
  <si>
    <t>BITRIX COLOMBIA S.A.S</t>
  </si>
  <si>
    <t>Caja de Compensación Familiar de Antioquia - Comfama</t>
  </si>
  <si>
    <t>CEDIMED S.A.S.</t>
  </si>
  <si>
    <t>CENTRAL COMERCIALIZADORA DE INTERNET S.A.S.</t>
  </si>
  <si>
    <t>CLAUDIA PATRICIA ACOSTA CADAVID</t>
  </si>
  <si>
    <t>COLOMBIA MOVIL SA ESP</t>
  </si>
  <si>
    <t>COMEDICA S.A.S</t>
  </si>
  <si>
    <t>COMERCIALIZADORA ARTURO CALLE S.A.S.</t>
  </si>
  <si>
    <t>COMPAÑIA DE ALIMENTOS COLOMBIANOS CALCO SA</t>
  </si>
  <si>
    <t>CRECIENDO CON CARIÑO SAS</t>
  </si>
  <si>
    <t>DEPÓSITO DE DROGAS MÓNACO S.A</t>
  </si>
  <si>
    <t>DIANA MARIA FRANCO SUAREZ</t>
  </si>
  <si>
    <t>DISTRIBUCION Y DECORACION S.A.S</t>
  </si>
  <si>
    <t>DISTRIBUIDORA DE INSUMOS MEDICOS DIMEX S.A.S.</t>
  </si>
  <si>
    <t>DISTRIBUIDORA PASTEUR</t>
  </si>
  <si>
    <t>DOCTOR JESUS RIOS SAS</t>
  </si>
  <si>
    <t>IE9852817J</t>
  </si>
  <si>
    <t>DROPBOX INTERNATIONAL UNLIMITED COMPANY</t>
  </si>
  <si>
    <t>EL PUNTO DE LAS VARIEDADES S.A.S</t>
  </si>
  <si>
    <t>ESPECIALIDADES OFTALMOLOGICAS S.A</t>
  </si>
  <si>
    <t>EVANCE S.A.S.</t>
  </si>
  <si>
    <t>FACTOR ESTRATEGICO SAS</t>
  </si>
  <si>
    <t>FRANCORP S.A.S.</t>
  </si>
  <si>
    <t>FUTESALUD I.P.S  S.A.S</t>
  </si>
  <si>
    <t>GASEOSAS POSADA TOBON S A</t>
  </si>
  <si>
    <t>GLOBAL CONSULTORES INTEGRALES S.A.S.</t>
  </si>
  <si>
    <t>GLORIA EMILIA CALDERON HIGUITA</t>
  </si>
  <si>
    <t>GOOGLE LLCC</t>
  </si>
  <si>
    <t>GRAPHIC SHOP DIGITAL S.A.S.</t>
  </si>
  <si>
    <t>GRUPO COLORS EQUIPO S.A.S</t>
  </si>
  <si>
    <t>GRUPO DANFER DE COLOMBIA S.A.S.</t>
  </si>
  <si>
    <t>GRUPO FOKUSS S.A.S</t>
  </si>
  <si>
    <t>GRUPO JPC SAS</t>
  </si>
  <si>
    <t>GRUPO NONNA S.A.S.</t>
  </si>
  <si>
    <t>H&amp;M HENNES &amp; MAURITZ COLOMBIA S.A.S</t>
  </si>
  <si>
    <t>I R C C S.A.S INDUSTRIA DE RESTAURANTES CASUALES S.A.S</t>
  </si>
  <si>
    <t>INSTRUMENTADORAS REMA S.A.S.</t>
  </si>
  <si>
    <t>INVERSIONES FARMACEUTICAS ALIADAS S.A.S</t>
  </si>
  <si>
    <t>INVERSIONES SUB CUCUTA S.A.S</t>
  </si>
  <si>
    <t>INVERSORA TLT S.A.S</t>
  </si>
  <si>
    <t>IRWIN MICHELL DAZA SARMIENTO</t>
  </si>
  <si>
    <t>JHON FREDDY BAYONA RESTREPO</t>
  </si>
  <si>
    <t>JIPER SAS</t>
  </si>
  <si>
    <t>JOHN JAIRO ARIAS</t>
  </si>
  <si>
    <t>JORGE VICTOR JARAMILLO MARTINEZ</t>
  </si>
  <si>
    <t>JUAN DAVID GARCIA CARVAJAL</t>
  </si>
  <si>
    <t>JUAN ESTEBAN MIRA DIAZ</t>
  </si>
  <si>
    <t>JUAN FERNANDO PELAEZ TIRADO</t>
  </si>
  <si>
    <t>JUAN MANUEL VELEZ CAÑOLA</t>
  </si>
  <si>
    <t>L&amp;C S.A.S.</t>
  </si>
  <si>
    <t>LABORATORIOS OFTAMOLOGICOS S.A.S</t>
  </si>
  <si>
    <t>LATIN LOGISTICS COLOMBIA SAS</t>
  </si>
  <si>
    <t>LAVADOS INDUSTRIALES SAS</t>
  </si>
  <si>
    <t>LEN TECH S.A</t>
  </si>
  <si>
    <t>LIBERTY NETWORKS DE COLOMBIA S.A.S.</t>
  </si>
  <si>
    <t>LINARQ S.A.S</t>
  </si>
  <si>
    <t>LINDA BLEYDY DEL CARMEN ESPINOSA GALVIS</t>
  </si>
  <si>
    <t>LIVING RESTAURANTE SAS</t>
  </si>
  <si>
    <t>LONNY DIORMAN MORALES AGUDELO</t>
  </si>
  <si>
    <t>LUIS GERARDO ESCALONA CASANOVA</t>
  </si>
  <si>
    <t>MAGISTRAL DE COLOMBIA S.A.S</t>
  </si>
  <si>
    <t>MARIA ALEJANDRA PACHECO LONDOÑO</t>
  </si>
  <si>
    <t>MARIA DANIELA SIERRA VILLA</t>
  </si>
  <si>
    <t>MARTIN ZAPATA PALACIO</t>
  </si>
  <si>
    <t>IE9692928F</t>
  </si>
  <si>
    <t>META PLATAFORMS IRELAND LIMITED</t>
  </si>
  <si>
    <t>MISTURA TESORO GASTRONOMICO S.A.S</t>
  </si>
  <si>
    <t>MONICA PULGARIN ALCARAZ</t>
  </si>
  <si>
    <t>NELCY PEREZ</t>
  </si>
  <si>
    <t>NESTLE DE COLOMBIA SA</t>
  </si>
  <si>
    <t>NESTOR FRANCISCO GIL ROJAS</t>
  </si>
  <si>
    <t>Nora Rocio Gutierrez Orrego</t>
  </si>
  <si>
    <t>NUESTRA COCINA ARTESANAL S.A.S.</t>
  </si>
  <si>
    <t>OFTAMEDIC SAS</t>
  </si>
  <si>
    <t>OPERADOR FARMACEUTICO Y DISPOSITIVOS PARA LA SALUD S.A.S</t>
  </si>
  <si>
    <t>OSCAR HAROLD FREYDELL VALENCIA</t>
  </si>
  <si>
    <t>PAN AMERICAN LIFE DE COLOMBIA COMPAÑIA DE SEGUROS S. A.</t>
  </si>
  <si>
    <t>PANADERIA CHIPRE S.A.S</t>
  </si>
  <si>
    <t>PANAMERICAN INSTRUMENTS LTDA</t>
  </si>
  <si>
    <t>PANAMERICANA LIBRERIA Y PAPELERIA SA</t>
  </si>
  <si>
    <t>PARQUE COMERCIAL EL TESORO PH</t>
  </si>
  <si>
    <t>PATRICIA OSPINA</t>
  </si>
  <si>
    <t>PEOPLE PASS S.A.S</t>
  </si>
  <si>
    <t>PHARMAPLUS S.A.S</t>
  </si>
  <si>
    <t>POWER MEDICAL S.A.S.</t>
  </si>
  <si>
    <t>PRICESMART COLOMBIA S.A.S.</t>
  </si>
  <si>
    <t>RAILWAY CORPORATION</t>
  </si>
  <si>
    <t>REDEBAN S.A.</t>
  </si>
  <si>
    <t>REPRESENTACIONES FARMACEUTICAS GALEX S.A.S.</t>
  </si>
  <si>
    <t>REPRESENTACIONES Y DISTRIBUCIONES HOSPITALARIAS S.A.S</t>
  </si>
  <si>
    <t>SERVICIOS GENERALES SURAMERICANA S. A.S</t>
  </si>
  <si>
    <t>SIMON URIBE VARGAS</t>
  </si>
  <si>
    <t>SMART SYSTEMS AND MEDICAL ART S.A.S</t>
  </si>
  <si>
    <t>STERIL LTDA</t>
  </si>
  <si>
    <t>SUSABER S.A.S</t>
  </si>
  <si>
    <t>SUSANA GOMEZ PATIÑO</t>
  </si>
  <si>
    <t>T&amp;U IMPORTACIONES S.A.S</t>
  </si>
  <si>
    <t>TATIANA HERRERA CHALARCA</t>
  </si>
  <si>
    <t>TCC GLOBAL MENSAJERIA S.A.S</t>
  </si>
  <si>
    <t>TEARSPA S.A.S</t>
  </si>
  <si>
    <t>UDP SOPORTE Y COMUNICACIONES S</t>
  </si>
  <si>
    <t>UPP MARKETING COLOMBIA S.A.S</t>
  </si>
  <si>
    <t>VACUNAS TESORO S.A.S.</t>
  </si>
  <si>
    <t>VISION PARTNERS SAS</t>
  </si>
  <si>
    <t>XIMENA CARDOZO DAVILA</t>
  </si>
  <si>
    <t>YENNY LLANO NARANJO</t>
  </si>
  <si>
    <t>Proveedores Nacionales a largo plazo</t>
  </si>
  <si>
    <t>Cuentas por Pagar</t>
  </si>
  <si>
    <t>Costos y Gastos por Pagar</t>
  </si>
  <si>
    <t>Cuentas por pagar</t>
  </si>
  <si>
    <t>EN-FIRME SAS</t>
  </si>
  <si>
    <t>LUCIANA MORA ARANGO</t>
  </si>
  <si>
    <t>Acredores oficiales</t>
  </si>
  <si>
    <t>Acreedores oficiales impuestos</t>
  </si>
  <si>
    <t>RF por Renta por pagar</t>
  </si>
  <si>
    <t>Ica por pagar</t>
  </si>
  <si>
    <t>DISTRITO ESPECIAL DE CIENCIA TECNOLOGIA E INNOVACION DE MEDELLIN</t>
  </si>
  <si>
    <t>Retención en la Fuente Salarios y Pagos Laborales</t>
  </si>
  <si>
    <t>NATALIA ANDREA CIFUENTES RIOS</t>
  </si>
  <si>
    <t>Retención en la Fuente Independientes</t>
  </si>
  <si>
    <t>Pago retención salarios y pagos laborales</t>
  </si>
  <si>
    <t>Retención en la Fuente - Honorarios</t>
  </si>
  <si>
    <t>Retención en la Fuente Honorarios 10%</t>
  </si>
  <si>
    <t>RODRIGO CARDENAS BOTERO</t>
  </si>
  <si>
    <t>GRUPO GIS SAS</t>
  </si>
  <si>
    <t>LANGUAGE CENTERS NETWORK SAS</t>
  </si>
  <si>
    <t>Pago retención honorarios</t>
  </si>
  <si>
    <t>Retención en la Fuente - Comisiones</t>
  </si>
  <si>
    <t>Retención en la Fuente Comisiones 11%</t>
  </si>
  <si>
    <t>Retención en la Fuente - Servicios</t>
  </si>
  <si>
    <t>Retención en la Fuente Servicios 1%</t>
  </si>
  <si>
    <t>Retención en la Fuente Servicios 3.5%</t>
  </si>
  <si>
    <t>Loggro S.A.S.</t>
  </si>
  <si>
    <t>Retención en la Fuente Servicios 4%</t>
  </si>
  <si>
    <t>JULIAN IGNACIO OSORNO PATIÑO</t>
  </si>
  <si>
    <t>Retención en la Fuente Servicios AIU 2%</t>
  </si>
  <si>
    <t>Pago retefuente servicios</t>
  </si>
  <si>
    <t>Retención en la Fuente - Arrendamientos</t>
  </si>
  <si>
    <t>Retención en la Fuente Arrendamientos Bienes Muebles 4%</t>
  </si>
  <si>
    <t>Retención en la Fuente Arrendamientos Bienes Inmuebles 3.5%</t>
  </si>
  <si>
    <t>Pago retefuente arrendamientos</t>
  </si>
  <si>
    <t>Retención en la Fuente - Rendimientos Financieros</t>
  </si>
  <si>
    <t>Retención en la Fuente Rendimientos Financieros 7%</t>
  </si>
  <si>
    <t>Pago retefuente Rendimientos financieros</t>
  </si>
  <si>
    <t>Retención en la Fuente - Compras</t>
  </si>
  <si>
    <t>Retención en la Fuente Compras 2.5%</t>
  </si>
  <si>
    <t>A.A. INNOVACION MEDICAL INDUSTRIAL S.A.</t>
  </si>
  <si>
    <t>B M K OPTICAL EQUIPMENT LTDA</t>
  </si>
  <si>
    <t>INNOVAR TECNOLOGIA BIOMEDICA S A S</t>
  </si>
  <si>
    <t>MARIO ANDRES DIEZ RICAURTE</t>
  </si>
  <si>
    <t>ORTOMED SAS</t>
  </si>
  <si>
    <t>Pago retefuente compras</t>
  </si>
  <si>
    <t>Autorretenciones Renta</t>
  </si>
  <si>
    <t>Impuesto a las Ventas Retenido</t>
  </si>
  <si>
    <t>IVA Retenido a Proveedores del Régimen Ordinario</t>
  </si>
  <si>
    <t>Reteiva a Prov. del Ordinario Gastos - IVA 19%</t>
  </si>
  <si>
    <t>IVA Retenido a Proveedores del Simple</t>
  </si>
  <si>
    <t>Reteiva a Prov. del Simple Compras - IVA 19%</t>
  </si>
  <si>
    <t>ELECTRO INNOVACION J V SAS</t>
  </si>
  <si>
    <t>Pago Retención en la Fuente por IVA</t>
  </si>
  <si>
    <t>Retenciones y Aportes de Nómina</t>
  </si>
  <si>
    <t>Aportes a Entidades Promotoras de Salud EPS</t>
  </si>
  <si>
    <t>Aportes a Salud Sura</t>
  </si>
  <si>
    <t>ADRIANA MARIA HERNANDEZ VILLA</t>
  </si>
  <si>
    <t>ALBA MERY GALLEGO GALLEGO</t>
  </si>
  <si>
    <t>BLANCA LISDEY PULGARIN GALLEGO</t>
  </si>
  <si>
    <t>CINDY TATIANA GUZMAN TAMYO</t>
  </si>
  <si>
    <t>Compañia Suramericana de Servicios de Salud S.A. - Susalud</t>
  </si>
  <si>
    <t>DANIELA SEUCELLY VELASQUEZ SALAZAR</t>
  </si>
  <si>
    <t>Daniela Stephanie Jaramillo Franco</t>
  </si>
  <si>
    <t>E.P.S. Sanitas S.A.</t>
  </si>
  <si>
    <t>EDWIN JAVIER PARRA GOMEZ</t>
  </si>
  <si>
    <t>JONATHAN DELGADO JARAMILLO</t>
  </si>
  <si>
    <t>JUAN MIGUEL JARAMILLO NOGUERA</t>
  </si>
  <si>
    <t>JULIAN MARTINEZ PATIÑO</t>
  </si>
  <si>
    <t>KAROL VIVIANA RAMIREZ MARIN</t>
  </si>
  <si>
    <t>KATHERINE CANO LARGO</t>
  </si>
  <si>
    <t>LEIDY JOHANNA SALDARRIAGA TRUJILLO</t>
  </si>
  <si>
    <t>LILIA CRISTINA SARDI CORREA</t>
  </si>
  <si>
    <t>LISBETH YURANY URREGO URREA</t>
  </si>
  <si>
    <t>LYLLIAM OFELIA VASQUEZ GAVIRIA</t>
  </si>
  <si>
    <t>MARIA ALEJANDRA ESPINOSA DURANGO</t>
  </si>
  <si>
    <t>MARIA ISABEL TAPIAS GOMEZ</t>
  </si>
  <si>
    <t>MARIA TERESA GONZALEZ MARQUEZ</t>
  </si>
  <si>
    <t>MARY LUZ DAVILA GRAJALES</t>
  </si>
  <si>
    <t>Nueva Promotora de Salud - Nueva EPS</t>
  </si>
  <si>
    <t>PAOLA ANDREA GOMEZ ARANGO</t>
  </si>
  <si>
    <t>Salud Total S.A. EPS</t>
  </si>
  <si>
    <t>SILVIA PATRICIA GRACIANO GARCIA</t>
  </si>
  <si>
    <t>SINDY JOHANA HERNANDEZ RIOS</t>
  </si>
  <si>
    <t>TATIANA BERRIO URREA</t>
  </si>
  <si>
    <t>TATIANA NAVA GIRALDO</t>
  </si>
  <si>
    <t>Valentina Layos Layos</t>
  </si>
  <si>
    <t>VALENTINA QUINTERO RESTREPO</t>
  </si>
  <si>
    <t>VANESSA BUITRAGO CARDONA</t>
  </si>
  <si>
    <t>VERONICA ARROYAVE ROMAN</t>
  </si>
  <si>
    <t>YEIMY MARLOY GALLEGO ESPEJO</t>
  </si>
  <si>
    <t>YULIET TATIANA ARANGO ZAPATA</t>
  </si>
  <si>
    <t>Aportes a Salud Total</t>
  </si>
  <si>
    <t>JUAN CAMILO URREGO YEPES</t>
  </si>
  <si>
    <t>Aportes a Nueva EPS</t>
  </si>
  <si>
    <t>Aportes a Sanitas</t>
  </si>
  <si>
    <t>SANDRA MILENA JARAMILLO PARRA</t>
  </si>
  <si>
    <t>Aportes a administradoras de Riesgos Laborales</t>
  </si>
  <si>
    <t>Colmena Riesgos Profesionales S.A.</t>
  </si>
  <si>
    <t>Aportes al ICBF, SENA y Cajas de Compensación</t>
  </si>
  <si>
    <t>DANITH YEPEZ PEDROZO</t>
  </si>
  <si>
    <t>Embargos Judiciales</t>
  </si>
  <si>
    <t>Libranzas</t>
  </si>
  <si>
    <t>Fondos</t>
  </si>
  <si>
    <t>Aportes a Pensión Protección</t>
  </si>
  <si>
    <t>ISABEL CRISTINA MONTOYA</t>
  </si>
  <si>
    <t>MARLENY ARIAS ALZATE</t>
  </si>
  <si>
    <t>Nairmil Yaneth Marquez Quevedo</t>
  </si>
  <si>
    <t>Protección (Fondo de Pensiones) S.A.</t>
  </si>
  <si>
    <t>Acreedores - Depositarios</t>
  </si>
  <si>
    <t>Fondos de Cesantías y/o Pensiones</t>
  </si>
  <si>
    <t>Aportes pension Protección</t>
  </si>
  <si>
    <t>Aportes pension Porvenir</t>
  </si>
  <si>
    <t>Porvenir (Fondo de Pensiones) S.A.</t>
  </si>
  <si>
    <t>Aportes pension Colpensiones</t>
  </si>
  <si>
    <t>Administradora Colombiana de Pensiones - Colpensiones</t>
  </si>
  <si>
    <t>Colfondos (Fondo de Pensiones)</t>
  </si>
  <si>
    <t>Aportes pension Colfondos</t>
  </si>
  <si>
    <t>REEMBOLSO CAJA MENOR</t>
  </si>
  <si>
    <t>Otros</t>
  </si>
  <si>
    <t>Préstamo por pagar</t>
  </si>
  <si>
    <t>Impuestos Gravámenes y Tasas</t>
  </si>
  <si>
    <t>Impuesto de Renta y Complementarios</t>
  </si>
  <si>
    <t>Impuesto de Renta Vigencia Fiscal Corriente</t>
  </si>
  <si>
    <t>Impuesto a las Ventas por Pagar</t>
  </si>
  <si>
    <t>IVA Generado en Ventas</t>
  </si>
  <si>
    <t>IVA Generado en Ventas 19%</t>
  </si>
  <si>
    <t>ADRIANA BEATRIZ BEATRIZ MIRANDA</t>
  </si>
  <si>
    <t>ADRIANA HENRIQUEZ BRUGUES</t>
  </si>
  <si>
    <t>ADRIANA MARIA CORREA JARAMILLO</t>
  </si>
  <si>
    <t>ALBA LUCIA CARDONA CAÑAS</t>
  </si>
  <si>
    <t>ALEJANDRA ROJAS MARTINEZ</t>
  </si>
  <si>
    <t>ALICIA BUITRAGO DE DIAZ</t>
  </si>
  <si>
    <t>ALVARO DE JESUS RESTREPO GIL</t>
  </si>
  <si>
    <t>AMAYELI MERCEDES GONZALEZ DE CASTAÑO</t>
  </si>
  <si>
    <t>ANA BELEN RIVERA ORREGO</t>
  </si>
  <si>
    <t>ANA CATALINA RODRIGUEZ MARIN</t>
  </si>
  <si>
    <t>ANA KARINA ENRIQUEZ ABREO</t>
  </si>
  <si>
    <t>ANDERSON DE OLIVEIRA</t>
  </si>
  <si>
    <t>ANGEL ALEJANDRO HAYLING GUERRA</t>
  </si>
  <si>
    <t>ANGIE VANESSA ARROYAVE LOPERA</t>
  </si>
  <si>
    <t>ASESORIAS COMERCIALES Y FINANCIERAS S.A.S</t>
  </si>
  <si>
    <t>BIBIANA CATALINA OSORNO GALLEGO</t>
  </si>
  <si>
    <t>BLANCA NURY TABARES</t>
  </si>
  <si>
    <t>CAMILA ANDREA DELGADO HENAO</t>
  </si>
  <si>
    <t>CARL ZEISS VISION COLOMBIA</t>
  </si>
  <si>
    <t>CARLOS ALBERTO SANCHEZ NAVARRO</t>
  </si>
  <si>
    <t>CARLOS MATIAS RENTERIA CHAPARRO</t>
  </si>
  <si>
    <t>CAROLINA ECHAVARRIA VILLEGAS</t>
  </si>
  <si>
    <t>CAROLINA ELENA LONDOÑO ARANGO</t>
  </si>
  <si>
    <t>CAROLINA NAVARRO VILLADA</t>
  </si>
  <si>
    <t>CATALINA VILLEGAS PALACIO</t>
  </si>
  <si>
    <t>CATHERINE SAAVEDRA ROJAS</t>
  </si>
  <si>
    <t>COMERCIALIZADORA SOLUCIONES Y VENTAS SAS</t>
  </si>
  <si>
    <t>CORPORACION ANTIOQUIA PROGRESA</t>
  </si>
  <si>
    <t>CRUZ ELENA TORRES TORRES</t>
  </si>
  <si>
    <t>DANIEL FERNANDO SEVERINO URIBE</t>
  </si>
  <si>
    <t>DANIELA GARCIA CARDONA</t>
  </si>
  <si>
    <t>DANIELA MARIA PINEDA DEL VALLE</t>
  </si>
  <si>
    <t>DANNA ISABELLA TORRES CASTILLO</t>
  </si>
  <si>
    <t>DAVID RESTREPO GUERRERO</t>
  </si>
  <si>
    <t>DAVID URIBE GOMEZ</t>
  </si>
  <si>
    <t>DAYIR EMILIO PARRA REALES</t>
  </si>
  <si>
    <t>DAYSI MARIA QUERO DE GONZALEZ</t>
  </si>
  <si>
    <t>DIANA MARCELA ALVAREZ RESTREPO</t>
  </si>
  <si>
    <t>EDILMA ROSA BENITES QUICENO</t>
  </si>
  <si>
    <t>EDILSO OROZCO GARCIA</t>
  </si>
  <si>
    <t>ELENA DEL DEL CARMEN MALARET</t>
  </si>
  <si>
    <t>ELIANA MARIA HERRERA ECHAVARRIA</t>
  </si>
  <si>
    <t>ELIANA PATRICIA FRANCO PARRA</t>
  </si>
  <si>
    <t>EMMANUEL LORENZO PICO RODRIGUEZ</t>
  </si>
  <si>
    <t>ESCOLASTICA DEL ROSARIO MOSQUERA CARO</t>
  </si>
  <si>
    <t>ESTER SAMIRA VALLEJO GIRALDO</t>
  </si>
  <si>
    <t>EVA RESTREPO MORENO</t>
  </si>
  <si>
    <t>FERNDANDO EMIR ESCOBAR MARTINEZ</t>
  </si>
  <si>
    <t>FREDY RENDON HERRERA</t>
  </si>
  <si>
    <t>GABRIEL JAIME CADAVID BEDOYA</t>
  </si>
  <si>
    <t>GLOBALBIT SAS</t>
  </si>
  <si>
    <t>GLORIA MARQUEZ MENDOZA</t>
  </si>
  <si>
    <t>GLORIA POSADA DE VELASQUEZ</t>
  </si>
  <si>
    <t>IGNACIO RODRIGUEZ JIMENEZ</t>
  </si>
  <si>
    <t>INGRID DEL CARMEN CHOGO SANJUAN</t>
  </si>
  <si>
    <t>ISABELLA ATEHORTUA ZAPATA</t>
  </si>
  <si>
    <t>ISABELLA DIAZ BOTERO</t>
  </si>
  <si>
    <t>ISABELLA SANTAMERIA RUEDA</t>
  </si>
  <si>
    <t>IVAN DAVID MORA OCHOA</t>
  </si>
  <si>
    <t>Jenny Alejandra Sierra Montoya</t>
  </si>
  <si>
    <t>JERONIMO TORRES SALAZAR</t>
  </si>
  <si>
    <t>JESICA PAOLA MARTINEZ MARTINEZ</t>
  </si>
  <si>
    <t>JOHANNA IZQUIERDO PEREZ</t>
  </si>
  <si>
    <t>JOSE ALEJANDRO MORALES MONSALVE</t>
  </si>
  <si>
    <t>JOSE IGNACIO RODRIGUEZ MARIN</t>
  </si>
  <si>
    <t>JOSE LUIS ORELLANA FAJARDO</t>
  </si>
  <si>
    <t>JOSE MANUEL JIMENEZ LOPEZ</t>
  </si>
  <si>
    <t>JUAN CAMILO BARRIENTOS ESCOBAR</t>
  </si>
  <si>
    <t>JUAN CARLOS RESTREPO PAÑACIO</t>
  </si>
  <si>
    <t>JUAN DAVID BETANCURT PARRA</t>
  </si>
  <si>
    <t>JUAN DIEGO CARDOZO CARRASQUILLA</t>
  </si>
  <si>
    <t>JUAN JAIBER AYALA TORRES</t>
  </si>
  <si>
    <t>JUAN PABLO ARANGO BERRIO</t>
  </si>
  <si>
    <t>JUANITA CONSUEGRA OSPINA</t>
  </si>
  <si>
    <t>JUDITH ARBELAEZ JIMENEZ</t>
  </si>
  <si>
    <t>JULIA ANDREA GUZMAN GONZALEZ</t>
  </si>
  <si>
    <t>KAREM ELENA ALGARIN CASTILLO</t>
  </si>
  <si>
    <t>KAREN LORENA CARVAJAL ARIAS</t>
  </si>
  <si>
    <t>LEDYS MARIA QUINTANA JIMENEZ</t>
  </si>
  <si>
    <t>LILIANA CECILIA CASTRO HOYOS</t>
  </si>
  <si>
    <t>LINA MARIA ECHEVERRI</t>
  </si>
  <si>
    <t>LINA VANESSA MARIN HENAO</t>
  </si>
  <si>
    <t>LINDSEY WANDER</t>
  </si>
  <si>
    <t>LIYEY DAYANA GALLEGO GUTIERREZ</t>
  </si>
  <si>
    <t>LUIS FERNANDO OSPINA GUTIERREZ</t>
  </si>
  <si>
    <t>LUIS JORGE HENAO SAENZ</t>
  </si>
  <si>
    <t>LUZ DARY QUICENO BENITEZ</t>
  </si>
  <si>
    <t>LUZ ELENA PEREIRA RIVERA</t>
  </si>
  <si>
    <t>MAICOL DANIEL GUTIERREZ ORREGO</t>
  </si>
  <si>
    <t>MANUELA HENAO HERNANDEZ</t>
  </si>
  <si>
    <t>MARCELA MARIA MEJIA VASQUEZ</t>
  </si>
  <si>
    <t>MARGARITA MARIA BEDOYA QUICENO</t>
  </si>
  <si>
    <t>MARIA ANTONIA ESCOBAR DIAZ</t>
  </si>
  <si>
    <t>MARIA BATISTINA QUINTERO VEJAR</t>
  </si>
  <si>
    <t>MARIA CAMILA PINEDA OROZCO</t>
  </si>
  <si>
    <t>MARIA CLARA MEJIA JARAMILLO</t>
  </si>
  <si>
    <t>MARIA DEL MAR ALVAREZ CASTAÑO</t>
  </si>
  <si>
    <t>MARIA ELENA ERLOZA ZEA</t>
  </si>
  <si>
    <t>MARIA ISABEL RODRIGUEZ MARIN</t>
  </si>
  <si>
    <t>MARIA NANCY HIDALGO CAICEDO</t>
  </si>
  <si>
    <t>MARIA ROMELIA RESTREPO FRANCO</t>
  </si>
  <si>
    <t>MARIANGEL CANO ROJAS</t>
  </si>
  <si>
    <t>MARIO BRAVO CASTILLO</t>
  </si>
  <si>
    <t>MARITZA VALENCIA ASPRILA</t>
  </si>
  <si>
    <t>MARTIN EMILIO CARDONA PORRAS</t>
  </si>
  <si>
    <t>MARTINA LOUISE</t>
  </si>
  <si>
    <t>MATIAS MONTOYA GALLEGO</t>
  </si>
  <si>
    <t>MICHELL MAYERLI MAZO PELUFFO</t>
  </si>
  <si>
    <t>MIRANDA URIBE PINEDA</t>
  </si>
  <si>
    <t>NELSON DE JESUS PEREZ SALAZAR</t>
  </si>
  <si>
    <t>NICOLAS DANIEL QUIROZ VAN DILLEWIJN</t>
  </si>
  <si>
    <t>NIDIA DE JESUS BENITES QUICENO</t>
  </si>
  <si>
    <t>NINFA ERCILIA SANCHEZ ROJAS</t>
  </si>
  <si>
    <t>OBRAS Y METALES S.A.S.</t>
  </si>
  <si>
    <t>OLGA MARIA GRANDA CARDONA</t>
  </si>
  <si>
    <t>OSCAR ALONZO VARGAS VELEZ</t>
  </si>
  <si>
    <t>OSCAR ENRIQUE SUESCUN BARBOSA</t>
  </si>
  <si>
    <t>OSCAR FELIPE MOLINA PIEDRAHITA</t>
  </si>
  <si>
    <t>PANAGIOTIS EVANGELATOS</t>
  </si>
  <si>
    <t>PATRICIA GOMEZ MUÑOZ</t>
  </si>
  <si>
    <t>PAULA ANDREA BETANCUR RAMIREZ</t>
  </si>
  <si>
    <t>PAULA ANDREA LOPEZ</t>
  </si>
  <si>
    <t>PAVAS SAS</t>
  </si>
  <si>
    <t>PEDRO JAVIER ARDILA ESTRADA</t>
  </si>
  <si>
    <t>REBECA NOELIA RODRIGUEZ ORIHUELA</t>
  </si>
  <si>
    <t>RODOLFO DE JESUS JIMENEZ NARANJO</t>
  </si>
  <si>
    <t>RUBEN DARIO SEPULVEDA HURTADO</t>
  </si>
  <si>
    <t>SALOME ALZATE ARANGO</t>
  </si>
  <si>
    <t>SALOME RODRIGUEZ ANGULO</t>
  </si>
  <si>
    <t>SAMUEL VELEZ GUEVARA</t>
  </si>
  <si>
    <t>SANDY ELIETH GRACIANO TORRES</t>
  </si>
  <si>
    <t>SARA CRISTINA AGUIRRE GONZALEZ</t>
  </si>
  <si>
    <t>SEBASTIAN TORRES ZAPATA</t>
  </si>
  <si>
    <t>STANLEY MAURICIO FUENTES OÑATE</t>
  </si>
  <si>
    <t>SYSTEMCLICK SAS</t>
  </si>
  <si>
    <t>TANIA SEGURO VARELA</t>
  </si>
  <si>
    <t>VALENTINA MORENO RIOS</t>
  </si>
  <si>
    <t>VICTORIA TRUJILLO HERRERA</t>
  </si>
  <si>
    <t>VIRGELINA LOPEZ USUGA</t>
  </si>
  <si>
    <t>VIVIAN PATRICIA ARCINIEGAS SEGURA</t>
  </si>
  <si>
    <t>YENI MARCELA CIFUENTES MARIN</t>
  </si>
  <si>
    <t>YOLIMA PATRICIA RUIZ BEDOYA</t>
  </si>
  <si>
    <t>Devolución IVA en Ventas 19%</t>
  </si>
  <si>
    <t>IVA Descontable Compras</t>
  </si>
  <si>
    <t>IVA Descontable Compras 19%</t>
  </si>
  <si>
    <t>ALMACENES EXITO INVRSIONES SAS</t>
  </si>
  <si>
    <t>ANALISIS METROLOGICO S.A.S</t>
  </si>
  <si>
    <t>ANDIMODA S A S</t>
  </si>
  <si>
    <t>ASECAP¿S SUMINISTROS S.A.S</t>
  </si>
  <si>
    <t>CADAVID LEMUS S.A.S.</t>
  </si>
  <si>
    <t>COMERCIALIZADORA INSUASEO S.A.S</t>
  </si>
  <si>
    <t>CONJUNTO PLATINUM SUPERIOR - PROPIEDAD HORIZONTAL</t>
  </si>
  <si>
    <t>CREACIONES EMPRESARIALES Y HOSPITALARIAS S.A.S</t>
  </si>
  <si>
    <t>CREACIONES POSADA &amp; JARAMILLO S.A.S.</t>
  </si>
  <si>
    <t>D1 S A S</t>
  </si>
  <si>
    <t>DEPOSITO DE MEDICAMENTOS EMES S.A.S</t>
  </si>
  <si>
    <t>DL SECURITY S . A . S .</t>
  </si>
  <si>
    <t>DYDASI S.A.S</t>
  </si>
  <si>
    <t>EDWIN MEJIA GIL</t>
  </si>
  <si>
    <t>ELIZABETH CUERVO JIMENEZ</t>
  </si>
  <si>
    <t>FILTRACION Y ANALISIS S.A.S.</t>
  </si>
  <si>
    <t>GENERACION PC GVG SAS.</t>
  </si>
  <si>
    <t>INDUSTRIAL DE PINTURAS JMF S.A.S</t>
  </si>
  <si>
    <t>INDUSTRIAS ESTRA S.A</t>
  </si>
  <si>
    <t>INTER RUEDAS &amp; SEGURIDAD INDUSTRIAL SAS</t>
  </si>
  <si>
    <t>INVERSIONES CAS DIGITAL S.A.S.</t>
  </si>
  <si>
    <t>INVERSIONES LA MEJORIA S.A.S.</t>
  </si>
  <si>
    <t>INVERSIONES VR TECNOLOGIA S.A.S</t>
  </si>
  <si>
    <t>INVESA S.A.</t>
  </si>
  <si>
    <t>ISEIN S A S</t>
  </si>
  <si>
    <t>LEANDRO GIRALDO GOMEZ</t>
  </si>
  <si>
    <t>LEONEL PEREZ RAMIREZ</t>
  </si>
  <si>
    <t>MINISO COLOMBIA S.A.S</t>
  </si>
  <si>
    <t>MULTIDESCUENTOS JOD SAS</t>
  </si>
  <si>
    <t>MUNDI UTIL S.A.S.</t>
  </si>
  <si>
    <t>OLIMPICA S.A</t>
  </si>
  <si>
    <t>OMEGA STORE MEDELLIN S.A.S.</t>
  </si>
  <si>
    <t>PAPELERIA EL CID SAS</t>
  </si>
  <si>
    <t>PRODUCTOS ECHEVERRI Y SANCHEZ S.A.S. PRODEYSA S.A.S.</t>
  </si>
  <si>
    <t>SERVIOPTICA SAS</t>
  </si>
  <si>
    <t>TECNOMÉDICOS JS S.A.S.</t>
  </si>
  <si>
    <t>TIENDA MAXPRINTER S.A.S.</t>
  </si>
  <si>
    <t>TIENDA MEDICA MEDELLIN S.A.S.</t>
  </si>
  <si>
    <t>TODO EN ARTES SAS</t>
  </si>
  <si>
    <t>TRS PARTES S. A.</t>
  </si>
  <si>
    <t>VISIBILITY DISTRIBUCIONES S.A.</t>
  </si>
  <si>
    <t>IVA Descontable Compras 5%</t>
  </si>
  <si>
    <t>IVA Descontable Servicios 19%</t>
  </si>
  <si>
    <t>AIRENET SOLUCIONES EN AIRE ACONDICIONADO S.A.S</t>
  </si>
  <si>
    <t>ASDAMAR S.A.</t>
  </si>
  <si>
    <t>BBVA Colombia</t>
  </si>
  <si>
    <t>CENTRAL DE INVERSIONES DARA S.A.S.</t>
  </si>
  <si>
    <t>COMERCIALIZADOTRA TAZCO SAS</t>
  </si>
  <si>
    <t>CONVIDRIO INGENIERIA S.A.S</t>
  </si>
  <si>
    <t>D ACABADOS Y TEXTURAS S.A.S</t>
  </si>
  <si>
    <t>FONDO NACIONAL DE GARANTIAS S.A.</t>
  </si>
  <si>
    <t>FUNDACION INFANTIL SANTIAGO CORAZON</t>
  </si>
  <si>
    <t>GESTION SERVICIOS INFORMATICOS GSI S.A.S.</t>
  </si>
  <si>
    <t>GRAFIAYUDAS S.A.S</t>
  </si>
  <si>
    <t>HIMED SOLUTIONS S.A.S</t>
  </si>
  <si>
    <t>IKA ZEI SAS</t>
  </si>
  <si>
    <t>INSTITUTO COLOMBIANO DE ESTUDIOS FISCALES S.A</t>
  </si>
  <si>
    <t>JUEGOS INTELIGENTES S.A.S.</t>
  </si>
  <si>
    <t>LAVADO LIMPIO INDUSTRIAL S.A.S</t>
  </si>
  <si>
    <t>LUZ ADRIANA TAMAYO GIRALDO</t>
  </si>
  <si>
    <t>LUZ STELLA AGUDELO GONZALEZ</t>
  </si>
  <si>
    <t>MAGIC MEDIOS SAS</t>
  </si>
  <si>
    <t>MEGA1 S.A.S.</t>
  </si>
  <si>
    <t>MIRAFLEX SAS</t>
  </si>
  <si>
    <t>PROVIMARCAS S.A.S</t>
  </si>
  <si>
    <t>PYLA ARQUITECTOS S.A.S.</t>
  </si>
  <si>
    <t>UNION SOCIAL EMPRESARIAL S.A.S.</t>
  </si>
  <si>
    <t>IVA Descontable Gastos 5%</t>
  </si>
  <si>
    <t>Devolución IVA Descontable Compras 19%</t>
  </si>
  <si>
    <t>Devolución IVA Descontable Gastos 19%</t>
  </si>
  <si>
    <t>Pago IVA</t>
  </si>
  <si>
    <t>Prorrateo Iva</t>
  </si>
  <si>
    <t>Prorrateo IVA</t>
  </si>
  <si>
    <t>Pasivos por Beneficios a Empleados</t>
  </si>
  <si>
    <t>Salarios por Pagar</t>
  </si>
  <si>
    <t>DAYANA MILENA TUBERQUIA GUZMAN</t>
  </si>
  <si>
    <t>MARTHA MARTINEZ MARTINEZ</t>
  </si>
  <si>
    <t>VALENTINA UPEGUI QUINTERO</t>
  </si>
  <si>
    <t>Cesantías Consolidadas</t>
  </si>
  <si>
    <t>Cesantías Consolidadas Ley 50 de 1990 y Normas Posteriores</t>
  </si>
  <si>
    <t>Cesantías - Beneficios a Empleados</t>
  </si>
  <si>
    <t>DIANA VANESSA MADRIGAL BEDOYA</t>
  </si>
  <si>
    <t>ELIANA QUINTERO RODRIGUEZ</t>
  </si>
  <si>
    <t>EMILY PEÑA HERMIDA</t>
  </si>
  <si>
    <t>ESTEFANIA CARDONA VERA</t>
  </si>
  <si>
    <t>JAIME GARCIA GARCIA</t>
  </si>
  <si>
    <t>JENNY CAROLINA GRACIANO AGUIRRE</t>
  </si>
  <si>
    <t>JUAN ESTEBAN TABORDA PARRA</t>
  </si>
  <si>
    <t>LADY JOHANNA TABARES CORDOBA</t>
  </si>
  <si>
    <t>LAURA CRISTINA MONTOYA CARO</t>
  </si>
  <si>
    <t>LEIDY VIVIANA SALAZAR CARDONA</t>
  </si>
  <si>
    <t>LINA FABIOLA PUERTA MUÑOZ</t>
  </si>
  <si>
    <t>LISBET YOMARY VELASQUEZ MORALES</t>
  </si>
  <si>
    <t>LIZETH MARIA GONZALEZ SALAZAR</t>
  </si>
  <si>
    <t>MARIA DANIELA VELEZ ZAPATA</t>
  </si>
  <si>
    <t>MARIA DEL PILAR JARAMILLO NOGUERA</t>
  </si>
  <si>
    <t>MARLON JULIAN GUILLEN FLOREZ</t>
  </si>
  <si>
    <t>NORA ROCIO GUTIERREZ ORREGO</t>
  </si>
  <si>
    <t>RAMON ALEJANDRO BARRERA HOLGUIN</t>
  </si>
  <si>
    <t>RITA YOSELYN MARTINEZ MARTINEZ</t>
  </si>
  <si>
    <t>SINDY YURLEY TORRES SERNA</t>
  </si>
  <si>
    <t>VANESSA VALLEJO PABUENA</t>
  </si>
  <si>
    <t>Pago de Cesantías</t>
  </si>
  <si>
    <t>Intereses Sobre Cesantías</t>
  </si>
  <si>
    <t>Pago de Intereses sobre Cesantías</t>
  </si>
  <si>
    <t>Prima de Servicios</t>
  </si>
  <si>
    <t>ANDY YARIUSKA DUGARTE DUGARTE</t>
  </si>
  <si>
    <t>DANITH YEPEZ</t>
  </si>
  <si>
    <t>DORREYMAR TOVAR NOGUERA</t>
  </si>
  <si>
    <t>JULIEHT GOMEZ GIRALDO</t>
  </si>
  <si>
    <t>MARIA EUGENIA VELEZ</t>
  </si>
  <si>
    <t>PAULA ANDREA DAVILA CASTAÑEDA</t>
  </si>
  <si>
    <t>SIRLEY ANGELICA RAMIREZ VELASQUEZ</t>
  </si>
  <si>
    <t>Pago de Prima de Servicio</t>
  </si>
  <si>
    <t>DORREYMAR COROMOTO TOVAR NOGUERA</t>
  </si>
  <si>
    <t>Vacaciones Consolidadas</t>
  </si>
  <si>
    <t>Vacaciones</t>
  </si>
  <si>
    <t>CARINA PAOLA MUÑOZ URAN</t>
  </si>
  <si>
    <t>JEFREY ANDERSON BOTERO</t>
  </si>
  <si>
    <t>MAITE ALEJANDRA CORONADO</t>
  </si>
  <si>
    <t>Pago de Vacaciones</t>
  </si>
  <si>
    <t>Pago de Vacaciones Disfrutadas en Tiempo</t>
  </si>
  <si>
    <t>Pago de Vacaciones Compensadas en Dinero</t>
  </si>
  <si>
    <t>Otros Pasivos</t>
  </si>
  <si>
    <t>Otros Pasivos, Anticipos y Avances Recibidos</t>
  </si>
  <si>
    <t>Otros Pasivos, Anticipos y Avances Recibidos de Clientes</t>
  </si>
  <si>
    <t>N02297246</t>
  </si>
  <si>
    <t>ALBERTO RENE QUINTERO SALAZAR</t>
  </si>
  <si>
    <t>ALEJANDRO SUAREZ RUIZ</t>
  </si>
  <si>
    <t>A77606229</t>
  </si>
  <si>
    <t>AMANDA WYNONNA RIVERA</t>
  </si>
  <si>
    <t>ANA MARIA VALENCIA ARANGO</t>
  </si>
  <si>
    <t>nr8r22k36</t>
  </si>
  <si>
    <t>ANTONIO LUIS RODRIGUES LIMA</t>
  </si>
  <si>
    <t>CARLOS DAVID ECHEVERRI ALZATE</t>
  </si>
  <si>
    <t>CARLOS ENRIQUE AGUDELO GONZÁLEZ</t>
  </si>
  <si>
    <t>CARLOS RAFAEL RADA MONTERO</t>
  </si>
  <si>
    <t>CHARLES C GAZAREK</t>
  </si>
  <si>
    <t>PB4206316</t>
  </si>
  <si>
    <t>DANIEL ALISTAIR ALISTAIR MAINSBRIDGE</t>
  </si>
  <si>
    <t>DANNA MENUELA Ruiz FLORES</t>
  </si>
  <si>
    <t>DIANA LUCIA RENDON PEREZ</t>
  </si>
  <si>
    <t>ELENA DEL SOCORRO SOCORRO TRUJILLO</t>
  </si>
  <si>
    <t>ELSA MARIA ZAPATA FERNANDEZ</t>
  </si>
  <si>
    <t>ERIKA LILIANA RIVERA OSORIO</t>
  </si>
  <si>
    <t>ERIKA PATRICIA VENCE LOPEZ</t>
  </si>
  <si>
    <t>FLORALBA BARRETO MACETO</t>
  </si>
  <si>
    <t>GIOVANNI RODRIGUEZ RODRIGUEZ GIRALDO</t>
  </si>
  <si>
    <t>GLORIA AMALIA ORDOÑEZ ORDOÑEZ</t>
  </si>
  <si>
    <t>HAMINTON LUNA ORREGO ORREGO</t>
  </si>
  <si>
    <t>HELENA HERNANDEZ AGUDELO</t>
  </si>
  <si>
    <t>HILDA CECILIA CALDERON JIMENEZ</t>
  </si>
  <si>
    <t>ISAAC LOPEZ MORALES</t>
  </si>
  <si>
    <t>IVANA SOFIA CALDERA ARRAUTT</t>
  </si>
  <si>
    <t>JACQUELINE PAEZ VEGA</t>
  </si>
  <si>
    <t>JENIFER ANDREA ECHAVARRIA RIOS</t>
  </si>
  <si>
    <t>B0633739</t>
  </si>
  <si>
    <t>JESSICA ESTEFANIA ZURITA GAIBOR</t>
  </si>
  <si>
    <t>JOAQUIN ALBERTO FERNANDEZ URIBE</t>
  </si>
  <si>
    <t>JOHANA SHIRLEY MONROY GOMEZ</t>
  </si>
  <si>
    <t>JUAN DIEGO ZAPATA ARBOLEDA</t>
  </si>
  <si>
    <t>L403314</t>
  </si>
  <si>
    <t>JUAN EDUARDO SUAREZ SANCHEZ</t>
  </si>
  <si>
    <t>JUAN MIGUEL GARZON RUIZ</t>
  </si>
  <si>
    <t>JULIANA VARGAS ACEVEDO</t>
  </si>
  <si>
    <t>LAURA CRISTINA ARCILA JARAMILLO</t>
  </si>
  <si>
    <t>LOT MARIO GUARIN GARCIA</t>
  </si>
  <si>
    <t>LUIS CARLOS VALENCIA LOPEZ</t>
  </si>
  <si>
    <t>LUIS EDUARDO SOLANO CHARRIS</t>
  </si>
  <si>
    <t>LUIS FELIPE VILLEGAS DUQUE</t>
  </si>
  <si>
    <t>LUISA FERNANDA MEJIA CORREA</t>
  </si>
  <si>
    <t>LUZ DARY VELEZ BETANCUR</t>
  </si>
  <si>
    <t>LUZ MARINA CAMPUZANO DE LOPEZ</t>
  </si>
  <si>
    <t>LUZ STELLA BEDOYA TORO</t>
  </si>
  <si>
    <t>MANUELA OCHOA MORA MORA</t>
  </si>
  <si>
    <t>MARGARITA 0 AVALOS</t>
  </si>
  <si>
    <t>MARIA AIDA PELAEZ PELAEZ</t>
  </si>
  <si>
    <t>MARIA CAMILA HERNANDEZ GRISALES</t>
  </si>
  <si>
    <t>MARIA FERNANDA CASTAÑO VELEZ</t>
  </si>
  <si>
    <t>MARIA HELENA JARAMILLO DE ARANGO</t>
  </si>
  <si>
    <t>MARIA JOSE MONTOYA ESTRADA</t>
  </si>
  <si>
    <t>MARIA LEONISA ALZATE ALZATE</t>
  </si>
  <si>
    <t>MARIA OLGUI BOTELLO ROLON</t>
  </si>
  <si>
    <t>MARIA VIANNEY VALENCIA RESTREPO</t>
  </si>
  <si>
    <t>MARISOL GONZALEZ GONZALEZ VELEZ</t>
  </si>
  <si>
    <t>MARTHA CECILIA GONZALEZ VELEZ</t>
  </si>
  <si>
    <t>MAURICIO ANDRES PAZ REYES</t>
  </si>
  <si>
    <t>MAYRA ALEJANDRA ROJAS RIVERA</t>
  </si>
  <si>
    <t>MAYRA ALEJANDRA YEPES LUCAS</t>
  </si>
  <si>
    <t>B5460783</t>
  </si>
  <si>
    <t>MIGUEL HURTADO</t>
  </si>
  <si>
    <t>NATALIA BETANCUR SANCHEZ</t>
  </si>
  <si>
    <t>NELCY MARIA CHIMA AMARILES</t>
  </si>
  <si>
    <t>NICOLE RICO RESTREPO</t>
  </si>
  <si>
    <t>RINCON CLAVIJO JACKSON DARIO</t>
  </si>
  <si>
    <t>SALVADOR FLOREZ SANCHEZ</t>
  </si>
  <si>
    <t>A23718661</t>
  </si>
  <si>
    <t>SHERICE DRIVER</t>
  </si>
  <si>
    <t>VASCO DIAZ LINA MARIA</t>
  </si>
  <si>
    <t>VERONICA JOHANA GARCIA GARCIA</t>
  </si>
  <si>
    <t>WLADEMIR GALINDO ROJAS</t>
  </si>
  <si>
    <t>Cuentas en participación</t>
  </si>
  <si>
    <t>Cuentas de participación</t>
  </si>
  <si>
    <t>Impuesto diferido</t>
  </si>
  <si>
    <t>Impuestos diferido pasivo</t>
  </si>
  <si>
    <t>Patrimonio</t>
  </si>
  <si>
    <t>Capital Social</t>
  </si>
  <si>
    <t>Capital Suscrito y Pagado</t>
  </si>
  <si>
    <t>Capital Autorizado</t>
  </si>
  <si>
    <t>Capital por Suscribir (DB)</t>
  </si>
  <si>
    <t>Aportes sociales</t>
  </si>
  <si>
    <t>Aporte de socios</t>
  </si>
  <si>
    <t>Aporte socios</t>
  </si>
  <si>
    <t>Superávit de Capital</t>
  </si>
  <si>
    <t>Prima en Colocación de Acciones, Cuotas o Partes de Interés Social</t>
  </si>
  <si>
    <t>Prima en Colocación de Acciones</t>
  </si>
  <si>
    <t>Resultados de Ejercicios Anteriores</t>
  </si>
  <si>
    <t>Utilidades Acumuladas</t>
  </si>
  <si>
    <t>Utilidad Exenta a Disposición de la Asamblea</t>
  </si>
  <si>
    <t>Utilidades de Ejercicios Anteriores</t>
  </si>
  <si>
    <t>Pérdidas Acumuladas</t>
  </si>
  <si>
    <t>Pérdidas de Ejercicios Anteriores</t>
  </si>
  <si>
    <t>Ajuste NIIF</t>
  </si>
  <si>
    <t>Ajuste por bajade preoperativo</t>
  </si>
  <si>
    <t>Ajuste por impuesto diferido</t>
  </si>
  <si>
    <t>Ingresos</t>
  </si>
  <si>
    <t>Ingresos Ordinarios</t>
  </si>
  <si>
    <t>Servicios Sociales Y De Salud</t>
  </si>
  <si>
    <t>Servicio Medico</t>
  </si>
  <si>
    <t>Consultas</t>
  </si>
  <si>
    <t>AARON DUQUE LEON</t>
  </si>
  <si>
    <t>AARON ZAYN ALVAREZ RAMIREZ</t>
  </si>
  <si>
    <t>ABBIGAIL MONCADA BUITRAGO</t>
  </si>
  <si>
    <t>ABIGAIL MARULANDA VILLEGAS</t>
  </si>
  <si>
    <t>ABRAHAM ALBERTO GUTIERREZ GUTIERREZ</t>
  </si>
  <si>
    <t>ADAN DARIO JARAMILLO VASQUEZ</t>
  </si>
  <si>
    <t>ADHARA FRANCHESCA BENITEZ SINISTERRA</t>
  </si>
  <si>
    <t>ADIELA MARIA ATEHORTUA MORALES</t>
  </si>
  <si>
    <t>ADOLFO LEON OLANO GONZALEZ</t>
  </si>
  <si>
    <t>ADOLFO ROMERO PARRA</t>
  </si>
  <si>
    <t>ADRIAN ALONSO LONDOÑO ZAPATA</t>
  </si>
  <si>
    <t>ADRIAN DE DIOS GUTIERREZ GALVIS</t>
  </si>
  <si>
    <t>ADRIAN FERNANDO PEREZ ROLDAN</t>
  </si>
  <si>
    <t>NM73H2K08</t>
  </si>
  <si>
    <t>ADRIAN RAYMOND ALEXANDER TROMP</t>
  </si>
  <si>
    <t>ADRIAN RICARDO ARROYAVE GIRALDO</t>
  </si>
  <si>
    <t>ADRIANA CARDONA CARDONA CIFUENTES</t>
  </si>
  <si>
    <t>ADRIANA LUCIA LONDOÑO OSORIO</t>
  </si>
  <si>
    <t>ADRIANA MARCELA DUEÑAS GAMBOA</t>
  </si>
  <si>
    <t>ADRIANA MARCELA SANCHEZ PEDRAZA</t>
  </si>
  <si>
    <t>ADRIANA MARIA CASTRILLON</t>
  </si>
  <si>
    <t>ADRIANA MARIA CUERVO SIERRA</t>
  </si>
  <si>
    <t>ADRIANA MARIA ECHAVARRIA ESCOBAR</t>
  </si>
  <si>
    <t>ADRIANA MARIA GUZMAN GOMEZ</t>
  </si>
  <si>
    <t>ADRIANA MARIA HERNANDEZ DURAN</t>
  </si>
  <si>
    <t>ADRIANA MARIA MURGUIEITIO AVILA</t>
  </si>
  <si>
    <t>ADRIANA MARIA OLAYA JIMENEZ</t>
  </si>
  <si>
    <t>ADRIANA MARIA QUICENO AGUIRRE</t>
  </si>
  <si>
    <t>ADRIANA MARIA VELASQUEZ GIRALDO</t>
  </si>
  <si>
    <t>ADRIANA MARIA VILLA GOMEZ</t>
  </si>
  <si>
    <t>ADRIANA MEJIA ANDERSON</t>
  </si>
  <si>
    <t>ADRIANA PATRICIA VILLEGAS DIAZ</t>
  </si>
  <si>
    <t>ADRIANA ROSARIO BERNAL MARTINEZ</t>
  </si>
  <si>
    <t>ADRIANA SALDARRIAGA URIBE</t>
  </si>
  <si>
    <t>ADRIEL GASTON WISCH WISCH</t>
  </si>
  <si>
    <t>AGUSTIN ALBERTO GAVIRIA GAVIRIA</t>
  </si>
  <si>
    <t>AGUSTIN BEDOYA VELEZ</t>
  </si>
  <si>
    <t>AGUSTIN CANIZALES HERRERA</t>
  </si>
  <si>
    <t>AGUSTIN GIRALDO JARAMILLO</t>
  </si>
  <si>
    <t>AGUSTIN LOPEZ GIRALDO</t>
  </si>
  <si>
    <t>AGUSTIN ORTIZ MONTOYA</t>
  </si>
  <si>
    <t>AGUSTIN OSORIO GAVIRIA</t>
  </si>
  <si>
    <t>AGUSTIN OSORNO URIBE</t>
  </si>
  <si>
    <t>AGUSTIN PEREZ GOMEZ</t>
  </si>
  <si>
    <t>AGUSTIN RAMIREZ SOTO</t>
  </si>
  <si>
    <t>AGUSTIN RIOS GIRALDO</t>
  </si>
  <si>
    <t>AGUSTIN SOTO CARDONA</t>
  </si>
  <si>
    <t>AGUSTIN TAMAYO MURIEL</t>
  </si>
  <si>
    <t>AGUSTIN TOBON GIRALDO</t>
  </si>
  <si>
    <t>AGUSTIN VALENCIA GOMEZ</t>
  </si>
  <si>
    <t>AGUSTIN VENGAS OCAMPO</t>
  </si>
  <si>
    <t>AGUSTN ALEJANDRO GOMEZ BEDOYA</t>
  </si>
  <si>
    <t>AHILYN ANDREA SANCHEZ TORRES</t>
  </si>
  <si>
    <t>AHMAD ALI ABU SOUD</t>
  </si>
  <si>
    <t>AIDA YINETH TRIANA GUEVARA</t>
  </si>
  <si>
    <t>AILA LOPERA VELEZ</t>
  </si>
  <si>
    <t>A11130642</t>
  </si>
  <si>
    <t>AIROL RICARDO MUÑOZ</t>
  </si>
  <si>
    <t>ALAIA ISABELLA GALAVIZ MORENO</t>
  </si>
  <si>
    <t>ALAIA JURADO VARGAS</t>
  </si>
  <si>
    <t>ALAIA LONDOÑO GAVIRIA</t>
  </si>
  <si>
    <t>ALAINA ISABEL GALINDEZ CORONEL</t>
  </si>
  <si>
    <t>ALAN STIVEN GUTIERREZ ARBOLEDA</t>
  </si>
  <si>
    <t>ALANA MONCADA CARDONA</t>
  </si>
  <si>
    <t>ALANNA VALENTINA HERRERA RODRIGUEZ</t>
  </si>
  <si>
    <t>ALBA CECILIA RIOS VELEZ</t>
  </si>
  <si>
    <t>ALBA LUCIA CASTAÑO QUINTERO</t>
  </si>
  <si>
    <t>ALBA MERY COLORADO GUZMÁN</t>
  </si>
  <si>
    <t>ALBA ROCIO GOMEZ ARISTIZABAL</t>
  </si>
  <si>
    <t>ALBA YANETH PENILLA BEDOYA</t>
  </si>
  <si>
    <t>ALBERSON RAUL CASTILLO MARTINEZ</t>
  </si>
  <si>
    <t>ALBERTO ATEHORTUA GARRIDO</t>
  </si>
  <si>
    <t>ALBERTO CAHUASQUI GUAMBIANGO</t>
  </si>
  <si>
    <t>ALBERTO CARDENAS CARDENAS ORTEGA</t>
  </si>
  <si>
    <t>ALBERTO CHILD MEDINA</t>
  </si>
  <si>
    <t>ALBERTO DE JESUS SALAZAR RAMIREZ</t>
  </si>
  <si>
    <t>ALBERTO ELIAS BEDOYA PEREZ</t>
  </si>
  <si>
    <t>ALBERTO FALTERI 0</t>
  </si>
  <si>
    <t>ALBERTO URIBE DIAZ GRANADOS</t>
  </si>
  <si>
    <t>ALCIRA RIAÑO DE MOLANO</t>
  </si>
  <si>
    <t>ALEIDA LUCIA PEREZ PELAEZ</t>
  </si>
  <si>
    <t>ALEJANDRA ARANGO MESA</t>
  </si>
  <si>
    <t>ALEJANDRA ARBOLEDA BEDOYA</t>
  </si>
  <si>
    <t>ALEJANDRA CALDERÓN ECHAVARRÍA</t>
  </si>
  <si>
    <t>ALEJANDRA DUQUE GIRALDO</t>
  </si>
  <si>
    <t>ALEJANDRA ESCALANTE ESCALANTE VELEZ</t>
  </si>
  <si>
    <t>ALEJANDRA GONZALEZ RAMIREZ</t>
  </si>
  <si>
    <t>ALEJANDRA MARIA GALLON LONDOÑO</t>
  </si>
  <si>
    <t>ALEJANDRA MARIA RESTREPO FLOREZ</t>
  </si>
  <si>
    <t>ALEJANDRA MARIA SALDARRIAGA URIBE</t>
  </si>
  <si>
    <t>ALEJANDRA MARIA VELASQUEZ POSADA</t>
  </si>
  <si>
    <t>ALEJANDRA VILLA DELGADO</t>
  </si>
  <si>
    <t>ALEJANDRA VILLEGAS LONDOÑO</t>
  </si>
  <si>
    <t>NX1534CR4</t>
  </si>
  <si>
    <t>ALEJANDRINA EDEVIGUS GEERMAN</t>
  </si>
  <si>
    <t>ALEJANDRO ARANGO GONZALEZ</t>
  </si>
  <si>
    <t>ALEJANDRO ARBOLEDA ECHAVARRIA</t>
  </si>
  <si>
    <t>ALEJANDRO BOTERO MARIACA MARIACA</t>
  </si>
  <si>
    <t>ALEJANDRO CARDONA MEJÍA</t>
  </si>
  <si>
    <t>ALEJANDRO CARMONA SALINAS</t>
  </si>
  <si>
    <t>ALEJANDRO GUTIERREZ GONZALEZ</t>
  </si>
  <si>
    <t>ALEJANDRO JARAMILLO AREIZA</t>
  </si>
  <si>
    <t>ALEJANDRO JARAMILLO URAN</t>
  </si>
  <si>
    <t>ALEJANDRO LLANES CALLE</t>
  </si>
  <si>
    <t>ALEJANDRO MESA ESCOBAR</t>
  </si>
  <si>
    <t>ALEJANDRO MUÑOZ MUÑOZ 0</t>
  </si>
  <si>
    <t>ALEJANDRO PELAEZ VALDERRAMA</t>
  </si>
  <si>
    <t>ALEJANDRO PEREZ 0</t>
  </si>
  <si>
    <t>ALEJANDRO PEREZ URIBE</t>
  </si>
  <si>
    <t>C02535249</t>
  </si>
  <si>
    <t>ALEJANDRO SALVADOR MORA PINEDA</t>
  </si>
  <si>
    <t>ALEJANDRO UPARELA UPARELA ORTIZ</t>
  </si>
  <si>
    <t>ALEJANDRO VELASQUEZ SANCHEZ</t>
  </si>
  <si>
    <t>ALESSANDRA SARMIENTO SACO</t>
  </si>
  <si>
    <t>ALESSANDRO DE MUNARI</t>
  </si>
  <si>
    <t>ALEX JULIAN PRIAS AVENDAÑO</t>
  </si>
  <si>
    <t>ALEX LIONAR RAMIREZ RAMIREZ</t>
  </si>
  <si>
    <t>ALEXANDER BETANCUR OSORIO</t>
  </si>
  <si>
    <t>ALEXANDER GIRALDO LOPEZ</t>
  </si>
  <si>
    <t>ALEXANDER GRANDA POSADA</t>
  </si>
  <si>
    <t>ALEXANDER GUERRA LOPERA</t>
  </si>
  <si>
    <t>ALEXANDER ORTIZ ALBARRACIN</t>
  </si>
  <si>
    <t>ALEXANDER RODRIGUEZ RAMIREZ</t>
  </si>
  <si>
    <t>ALEXANDER SERNA GOMEZ</t>
  </si>
  <si>
    <t>ALEXANDER URIBE MUNERA</t>
  </si>
  <si>
    <t>ALEXANDER YEPES MEJIA</t>
  </si>
  <si>
    <t>ALEXANDRA MARIA GIRALDO ZAPATA</t>
  </si>
  <si>
    <t>ALEXANDRA MARIA HERNANDEZ RESTREPO</t>
  </si>
  <si>
    <t>ALEXIS METAUTE PANIAGUA</t>
  </si>
  <si>
    <t>ALFONSO ALDEMAR POSADA LALINDE</t>
  </si>
  <si>
    <t>A05160306</t>
  </si>
  <si>
    <t>ALIA CULCLEASURE</t>
  </si>
  <si>
    <t>ALICIA DE JESUS JARAMILLO DE LORZA</t>
  </si>
  <si>
    <t>ALICIA GIL MESA</t>
  </si>
  <si>
    <t>ALICIA HERNANDEZ MONROY</t>
  </si>
  <si>
    <t>ALICIA MARTINEZ SALAZAR</t>
  </si>
  <si>
    <t>ALICIA MONTOYA ESTUPIÑAN</t>
  </si>
  <si>
    <t>ALICIA OSSA JIMENEZ</t>
  </si>
  <si>
    <t>ALICIA PAVAS ROLDAN</t>
  </si>
  <si>
    <t>ALICIA RAMIREZ BETANCUR</t>
  </si>
  <si>
    <t>ALICIA RIOS CAMPUZANO</t>
  </si>
  <si>
    <t>ALICIA SERNA ROLDAN</t>
  </si>
  <si>
    <t>ALICIA TAVERA JARAMILLO</t>
  </si>
  <si>
    <t>ALICIA TORRES PEREZ</t>
  </si>
  <si>
    <t>ALIHA CELESTE MARIN CLAVIJO</t>
  </si>
  <si>
    <t>ALINA MARÍA YEPES GAVIRIA</t>
  </si>
  <si>
    <t>ALIX ARCOS ARCOS SUAREZ</t>
  </si>
  <si>
    <t>ALMA ORLAS SALAZAR</t>
  </si>
  <si>
    <t>ALMA RIOS GIRALDO</t>
  </si>
  <si>
    <t>ALONSO HERNAN CORREA RICO</t>
  </si>
  <si>
    <t>ALVARO BUITRAGO TAMI</t>
  </si>
  <si>
    <t>ALVARO CESAR CORTES CALLE</t>
  </si>
  <si>
    <t>ALVARO EDISSON CARDONA VARGAS</t>
  </si>
  <si>
    <t>ALVARO FRANCISCO URIBE CALAD</t>
  </si>
  <si>
    <t>ALVARO GOMEZ BOTERO</t>
  </si>
  <si>
    <t>ALVARO GUILLERMO RESTREPO MERINO</t>
  </si>
  <si>
    <t>ALVARO JARAMILLO JARAMILLO DREWS</t>
  </si>
  <si>
    <t>ALVARO RAFAEL SOLANO BAQUERO</t>
  </si>
  <si>
    <t>A73532007</t>
  </si>
  <si>
    <t>AMAIA ROSE MURILLO OSPINA</t>
  </si>
  <si>
    <t>AMALIA ARROYAVE ARIAS</t>
  </si>
  <si>
    <t>AMALIA BUILES SIERRA</t>
  </si>
  <si>
    <t>AMALIA GENTA BARRERA</t>
  </si>
  <si>
    <t>AMALIA RIVAS LOPEZ</t>
  </si>
  <si>
    <t>AMALIA SALAZAR RENDON</t>
  </si>
  <si>
    <t>AMALIA URREGO BARRERA</t>
  </si>
  <si>
    <t>AMALIA VALENCIA GOMEZ</t>
  </si>
  <si>
    <t>AMANDA DE JESUS LONDOÑO RIVERA</t>
  </si>
  <si>
    <t>AMANDA GUTIERREZ ARIAS</t>
  </si>
  <si>
    <t>XDD602787</t>
  </si>
  <si>
    <t>AMANDA MASTELLA CABEDO</t>
  </si>
  <si>
    <t>AMELIA ALVAREZ VARGAS</t>
  </si>
  <si>
    <t>AMELIA ARGUELLO CAMPUZANO</t>
  </si>
  <si>
    <t>AMELIA DE JESUS AGUDELO SANCHEZ</t>
  </si>
  <si>
    <t>AMELIA GIL MESA</t>
  </si>
  <si>
    <t>AMELIA GOMEZ BUSTAMANTE</t>
  </si>
  <si>
    <t>AMELIA LIZETH COBOS PROAÑO</t>
  </si>
  <si>
    <t>AMELIA MARIN JIMENEZ</t>
  </si>
  <si>
    <t>AMELIA PELAEZ TENORIO</t>
  </si>
  <si>
    <t>AMELIA ZULUAGA HOYOS</t>
  </si>
  <si>
    <t>AMINTA CHIVATA BARRERA</t>
  </si>
  <si>
    <t>AMPARO BUSTAMANTE BETANCUR</t>
  </si>
  <si>
    <t>AMPARO CALLE BETANCUR</t>
  </si>
  <si>
    <t>AMPARO DEL CONSUELO SILVA DE VELASQUEZ</t>
  </si>
  <si>
    <t>AMYA MADISON PILLOW</t>
  </si>
  <si>
    <t>ANA BELEN CEDEÑO GALEANO</t>
  </si>
  <si>
    <t>ANA CAMILA MARTINEZ ESCOBAR</t>
  </si>
  <si>
    <t>ANA CAROLINA RESTREPO PARRA</t>
  </si>
  <si>
    <t>ANA CATALINA CORDOBA ARANGO</t>
  </si>
  <si>
    <t>ANA CATALINA GUTIERREZ HERRERA</t>
  </si>
  <si>
    <t>ANA CATALINA ZAPATA CADAVID</t>
  </si>
  <si>
    <t>ANA CECILIA GARCIA DE VELASQUEZ</t>
  </si>
  <si>
    <t>ANA CECILIA URIBE VELEZ</t>
  </si>
  <si>
    <t>ANA CRISTINA DE LA CUESTA OZELIS</t>
  </si>
  <si>
    <t>ANA CRISTINA MONTOYA MARIN</t>
  </si>
  <si>
    <t>ANA CRISTINA QUIROGA SIERRA</t>
  </si>
  <si>
    <t>ANA DANIELA MAYA GUZMAN</t>
  </si>
  <si>
    <t>ANA DEL ROSARIO MARTINEZ FUENTES</t>
  </si>
  <si>
    <t>ANA DEL SOCORRO MARTINEZ DE OCAMPO</t>
  </si>
  <si>
    <t>ANA ELVIRA MEJIA AVILEZ</t>
  </si>
  <si>
    <t>ANA GENNI ARANGO LONDOÑO</t>
  </si>
  <si>
    <t>ANA INES VARELA GUEVARA</t>
  </si>
  <si>
    <t>ANA ISABEL CORTES CANO</t>
  </si>
  <si>
    <t>ANA ISABEL LOPEZ CORREA</t>
  </si>
  <si>
    <t>ANA ISABEL MORENO ACOSTA</t>
  </si>
  <si>
    <t>ANA LIGIA MARTINEZ MARTINEZ</t>
  </si>
  <si>
    <t>ANA LILIA RIVERA POLO</t>
  </si>
  <si>
    <t>ANA LUCIA ALVAREZ OSPINA</t>
  </si>
  <si>
    <t>ANA LUCIA CASTRILLON LOPEZ</t>
  </si>
  <si>
    <t>ANA LUCIA CONGOTE RODRIGUEZ</t>
  </si>
  <si>
    <t>ANA LUCIA CONTRERAS DE FUENTES</t>
  </si>
  <si>
    <t>ANA LUCIA MEJIA MUÑOZ</t>
  </si>
  <si>
    <t>ANA LUCIA SALAS GONZALEZ</t>
  </si>
  <si>
    <t>ANA MARIA ARANGO PEREZ</t>
  </si>
  <si>
    <t>ANA MARIA AREVALO VIRVIESCAS</t>
  </si>
  <si>
    <t>ANA MARIA BLANDON URIBE</t>
  </si>
  <si>
    <t>ANA MARIA CALDERON RESTREPO</t>
  </si>
  <si>
    <t>ANA MARIA FANDIÑO ALVAREZ</t>
  </si>
  <si>
    <t>ANA MARIA FRANCO CASTAÑO</t>
  </si>
  <si>
    <t>ANA MARIA GIRALDO CARDONA</t>
  </si>
  <si>
    <t>ANA MARIA GONZALEZ ARANGO</t>
  </si>
  <si>
    <t>ANA MARIA GONZALEZ RESTREPO</t>
  </si>
  <si>
    <t>ANA MARIA JIMENEZ SERNA</t>
  </si>
  <si>
    <t>ANA MARIA KNICKERBOCKER SARRIA</t>
  </si>
  <si>
    <t>ANA MARIA MEJIA</t>
  </si>
  <si>
    <t>ANA MARIA MOLINA MONTOYA</t>
  </si>
  <si>
    <t>ANA MARIA PELAEZ BOTERO</t>
  </si>
  <si>
    <t>ANA MARIA PORTILLO ARANGO</t>
  </si>
  <si>
    <t>ANA MARIA PULGARIN MEJIA</t>
  </si>
  <si>
    <t>ANA MARIA RAMIREZ</t>
  </si>
  <si>
    <t>ANA MARIA RUIZ VARGAS</t>
  </si>
  <si>
    <t>ANA MARIA SALAZAR RUIZ</t>
  </si>
  <si>
    <t>ANA MARIA SUAREZ HOYOS</t>
  </si>
  <si>
    <t>ANA MARIA VELASQUEZ FLOREZ</t>
  </si>
  <si>
    <t>ANA MARIA ZAMBRANO BOTERO</t>
  </si>
  <si>
    <t>ANA MELISA VALENCIA LARA</t>
  </si>
  <si>
    <t>ANA MILENA RIVERA TORRES</t>
  </si>
  <si>
    <t>ANA RITAMARIA SOTO DE OROZCO</t>
  </si>
  <si>
    <t>ANA ROCIO PUERTA GOMEZ</t>
  </si>
  <si>
    <t>ANA SOFIA ESPINOSA PEÑA</t>
  </si>
  <si>
    <t>ANA SOFIA FRANCO MARTINEZ</t>
  </si>
  <si>
    <t>ANA SOFIA OSORIO CUARTAS</t>
  </si>
  <si>
    <t>ANA SOFIA PINEDA CASTILLO</t>
  </si>
  <si>
    <t>ANA SOFIA TREJO JARAMILLO</t>
  </si>
  <si>
    <t>ANA SOPHIA CRIOLLO TRUJILLO</t>
  </si>
  <si>
    <t>ANAHELA JARABA SEGURO</t>
  </si>
  <si>
    <t>ANAYANCY DE LAS MISERICORDIAS MISERICORDIAS HINCAPI AGUDELO</t>
  </si>
  <si>
    <t>ANDER JHEISON PEREZ LOBO</t>
  </si>
  <si>
    <t>ANDERSON ALVAREZ CANO</t>
  </si>
  <si>
    <t>ANDERSON MARTINEZ LLANO</t>
  </si>
  <si>
    <t>ANDRE GRONDIN 0</t>
  </si>
  <si>
    <t>ANDREA CAROLINA BOLIVAR CIFUENTES</t>
  </si>
  <si>
    <t>ANDREA CAROLINA PUERTO ROCHA</t>
  </si>
  <si>
    <t>ANDREA CATALINA JARAMILLO VALLEJO</t>
  </si>
  <si>
    <t>ANDREA ESTEFANIA ALZATE GAVIRIA</t>
  </si>
  <si>
    <t>ANDREA GIRALDO MONSALVE</t>
  </si>
  <si>
    <t>ANDREA ISAZA ATEHORTUA</t>
  </si>
  <si>
    <t>ANDREA PAOLA GARCIA MAZA</t>
  </si>
  <si>
    <t>ANDREA PEREZ OBRIEN</t>
  </si>
  <si>
    <t>ANDREA RESTREPO SANCHEZ</t>
  </si>
  <si>
    <t>ANDREA STEFANIA GARCIA JAIMES</t>
  </si>
  <si>
    <t>ANDREA TAMAYO LONDOÑO</t>
  </si>
  <si>
    <t>ANDREA VALENCIA ECHEVERRI</t>
  </si>
  <si>
    <t>ANDREI WILLIAMOVICH CORNEJO PLYGUN</t>
  </si>
  <si>
    <t>ANDRES ALBERTO VELASQUEZ SERRANO</t>
  </si>
  <si>
    <t>ANDRES ALFONSO RIASCOS CASTRO</t>
  </si>
  <si>
    <t>ANDRES BERNAL BARRERA</t>
  </si>
  <si>
    <t>ANDRES BOTERO 0</t>
  </si>
  <si>
    <t>ANDRES CAMILO OSORIO OSPINA</t>
  </si>
  <si>
    <t>ANDRES DAVID AYALA PEREZ</t>
  </si>
  <si>
    <t>ANDRES EDUARDO SANTOS ESPINOSA</t>
  </si>
  <si>
    <t>ANDRES ESTEBAN OSORIO ECHEVERRI</t>
  </si>
  <si>
    <t>ANDRES FELIPE ACOSTA CAMPOS</t>
  </si>
  <si>
    <t>ANDRES FELIPE ARREDONDO LOPEZ</t>
  </si>
  <si>
    <t>ANDRES FELIPE BARON PARRA</t>
  </si>
  <si>
    <t>ANDRES FELIPE BUSTAMANTE ROMAN</t>
  </si>
  <si>
    <t>ANDRES FELIPE CASTAÑO SUAREZ</t>
  </si>
  <si>
    <t>ANDRES FELIPE CUESTA OSPINA</t>
  </si>
  <si>
    <t>ANDRES FELIPE DIAZ MORALES</t>
  </si>
  <si>
    <t>ANDRES FELIPE HOYOS ALVIAR</t>
  </si>
  <si>
    <t>ANDRES FELIPE LONDOÑO JARAMILLO</t>
  </si>
  <si>
    <t>ANDRES FELIPE MAHECHA CASTAÑO</t>
  </si>
  <si>
    <t>ANDRES FELIPE MARIN CARPINTERO</t>
  </si>
  <si>
    <t>ANDRES FELIPE MEJIA GOMEZ</t>
  </si>
  <si>
    <t>ANDRES FELIPE MONTOYA GOMEZ</t>
  </si>
  <si>
    <t>ANDRES FELIPE MUÑOZ URIBE</t>
  </si>
  <si>
    <t>ANDRES FELIPE RESTREPO RAMIREZ</t>
  </si>
  <si>
    <t>ANDRES FELIPE TASCON AVILA</t>
  </si>
  <si>
    <t>ANDRES FELIPE VELEZ TABARES</t>
  </si>
  <si>
    <t>ANDRES FELIPE ZULUAGA PEREZ</t>
  </si>
  <si>
    <t>ANDRES FERNANDO CARDONA BEDOYA</t>
  </si>
  <si>
    <t>ANDRES GUARIN VALENCIA</t>
  </si>
  <si>
    <t>ANDRES JOSE MALLOL ECHEVERRI</t>
  </si>
  <si>
    <t>ANDRES LOPEZ LOPEZ VELEZ</t>
  </si>
  <si>
    <t>ANDRES MAURICIO MORALES URIBE</t>
  </si>
  <si>
    <t>ANDRES MAURICIO VILLALBA ARJONA</t>
  </si>
  <si>
    <t>ANDRES MEJIA AGUIRRE</t>
  </si>
  <si>
    <t>ANDRES PALACIOS TORRES</t>
  </si>
  <si>
    <t>ANDRES TORO TRUJILLO</t>
  </si>
  <si>
    <t>ANDRES VELASQUEZ HENAO</t>
  </si>
  <si>
    <t>ANGEL DAVID PADRINO CABEZA</t>
  </si>
  <si>
    <t>ANGEL DAVID VALE MENGUAL</t>
  </si>
  <si>
    <t>ANGEL GUERRA ARNAO</t>
  </si>
  <si>
    <t>ANGEL PEREZ PEÑA</t>
  </si>
  <si>
    <t>ANGEL URIBE ALVAREZ</t>
  </si>
  <si>
    <t>ANGEL YESID PEDROZA TELLEZ</t>
  </si>
  <si>
    <t>ANGELA BEATRIZ GIRALDO PALACIO</t>
  </si>
  <si>
    <t>ANGELA INES PELAEZ ARANGO</t>
  </si>
  <si>
    <t>ANGELA JHOANA RAMIREZ OCAMPO</t>
  </si>
  <si>
    <t>ANGELA MARCELA BOTERO VILLEGAS</t>
  </si>
  <si>
    <t>ANGELA MARIA CARVAJAL MAZO</t>
  </si>
  <si>
    <t>ANGELA MARIA CORREA GIRALDO</t>
  </si>
  <si>
    <t>ANGELA MARIA DE LAS MERCEDES ESCOBAR</t>
  </si>
  <si>
    <t>ANGELA MARIA DEL SOCORRO LONDOÑO DE MONTOYA</t>
  </si>
  <si>
    <t>ANGELA MARIA ECHAVEERIA SALINAS</t>
  </si>
  <si>
    <t>ANGELA MARIA GARCIA POSADA</t>
  </si>
  <si>
    <t>ANGELA MARIA GARCIA URIBE</t>
  </si>
  <si>
    <t>ANGELA MARIA GONZALEZ DE ABAD</t>
  </si>
  <si>
    <t>ANGELA MARIA ISAZA DE ROBLES</t>
  </si>
  <si>
    <t>ANGELA MARIA LOPEZ TABARES</t>
  </si>
  <si>
    <t>ANGELA MARIA MARTINEZ MEJIA</t>
  </si>
  <si>
    <t>ANGELA MARIA MEJIA RESTREPO</t>
  </si>
  <si>
    <t>ANGELA MARIA OSPINA SARASTY</t>
  </si>
  <si>
    <t>ANGELA MARIA SIERRA MUÑOZ</t>
  </si>
  <si>
    <t>ANGELA MARIA VELASQUEZ URIBE</t>
  </si>
  <si>
    <t>ANGELA PATRICIA HENAO GONZALEZ</t>
  </si>
  <si>
    <t>ANGELA PATRICIA MARULANDA DUQUE</t>
  </si>
  <si>
    <t>ANGELA ROSA CADAVID LONDOÑO</t>
  </si>
  <si>
    <t>ANGELA SOFIA LALINDE CARDONA</t>
  </si>
  <si>
    <t>ANGELA VIVIANA CARVAJAL RIVERA</t>
  </si>
  <si>
    <t>ANGELICA JOHANNA SERNA PEREZ</t>
  </si>
  <si>
    <t>ANGELICA MARIA ALMANZAR AGUDELO</t>
  </si>
  <si>
    <t>ANGELICA MARIA BETANCOURT RODRIGUEZ</t>
  </si>
  <si>
    <t>ANGELICA MARIA CARDENAS RAMIREZ</t>
  </si>
  <si>
    <t>ANGELICA MARIA HURTADO ALARCON</t>
  </si>
  <si>
    <t>ANGELICA MARIA OSORIO PELAEZ</t>
  </si>
  <si>
    <t>ANGELICA SARAY MARTINEZ TORRES</t>
  </si>
  <si>
    <t>NX5JFHDC7</t>
  </si>
  <si>
    <t>ANGELO JUSTIN BERNARD PAESCH</t>
  </si>
  <si>
    <t>ANGELO MORA SALAMANCA</t>
  </si>
  <si>
    <t>ANGIE PAOLA FRANCO MONTOYA</t>
  </si>
  <si>
    <t>ANGIE SULIBETH ECHEVERRY GOMEZ</t>
  </si>
  <si>
    <t>ANGIE TATIANA GUINGUER GAVIRIA</t>
  </si>
  <si>
    <t>ANIA ZULUAGA MONTOYA</t>
  </si>
  <si>
    <t>ANIBAL RAMIREZ TRUJILLO</t>
  </si>
  <si>
    <t>A39901401</t>
  </si>
  <si>
    <t>ANNABETH ROSE CLOSE</t>
  </si>
  <si>
    <t>ANNY ARISTIZABAL VILLADIEGO</t>
  </si>
  <si>
    <t>ANNYS MILADY HERNANDEZ CHIQUITO</t>
  </si>
  <si>
    <t>ANTHONIA RAMIREZ MESA</t>
  </si>
  <si>
    <t>ANTHONY GARCIA GRACIANO</t>
  </si>
  <si>
    <t>ANTOINE MANESCAU MEJIA</t>
  </si>
  <si>
    <t>ANTONELA HOYOS MARIN</t>
  </si>
  <si>
    <t>ANTONELLA BEDOYA ARANGO</t>
  </si>
  <si>
    <t>ANTONELLA CARDONA CARDONA</t>
  </si>
  <si>
    <t>ANTONELLA GONZALEZ PIEDRA</t>
  </si>
  <si>
    <t>ANTONELLA LOPEZ GARCES</t>
  </si>
  <si>
    <t>ANTONELLA MADRID MONSALVE</t>
  </si>
  <si>
    <t>ANTONELLA MONTOYA VALENCIA</t>
  </si>
  <si>
    <t>ANTONELLA PERALTA BELTRAN</t>
  </si>
  <si>
    <t>ANTONIA GONZALEZ VELASQUEZ</t>
  </si>
  <si>
    <t>ANTONIA MORA CASTAÑO</t>
  </si>
  <si>
    <t>ANTONIA MORENO PARRA</t>
  </si>
  <si>
    <t>ANTONIA QUINTERO OCHOA</t>
  </si>
  <si>
    <t>ANTONIA RESTREPO MORENO</t>
  </si>
  <si>
    <t>ANTONIA URIBE ALVAREZ</t>
  </si>
  <si>
    <t>NR8R22K36</t>
  </si>
  <si>
    <t>ANTONIO SOSSA SOSSA MELGUIZO</t>
  </si>
  <si>
    <t>ANTONIO VIVARES RESTREPO</t>
  </si>
  <si>
    <t>AS082020</t>
  </si>
  <si>
    <t>ANUYAN KUGAVARATHAN 0</t>
  </si>
  <si>
    <t>ANYA KATHERINA MAGO MAGO</t>
  </si>
  <si>
    <t>ANYELA TATIANA PEREZ SANCHEZ</t>
  </si>
  <si>
    <t>APOLO PARRA ARIAS</t>
  </si>
  <si>
    <t>ARACELY DEL SOCORRO SOCORRO ACOSTA</t>
  </si>
  <si>
    <t>ARAMINTA MARIA ZAPATA ORTIZ</t>
  </si>
  <si>
    <t>ARGEMIRO DE JESUS TAVERA GOMEZ</t>
  </si>
  <si>
    <t>ARIA MONTOYA ROJAS</t>
  </si>
  <si>
    <t>ARIANA MONCADA RAMIREZ</t>
  </si>
  <si>
    <t>ARISTIDES ANTONIO GIRALDO QUICENO</t>
  </si>
  <si>
    <t>ARLYN ANDRES SANCHEZ TORRES</t>
  </si>
  <si>
    <t>ARNOBIA DEL SOCORRO RAMIREZ CORREA</t>
  </si>
  <si>
    <t>ARSENIA MARIA SACO RAFAN</t>
  </si>
  <si>
    <t>ARTIN ELVIS KALAPTCHIAN</t>
  </si>
  <si>
    <t>ARTURO ENRIQUE RODRIGUEZ DI MURO</t>
  </si>
  <si>
    <t>ARTURO VASQUEZ MAYA</t>
  </si>
  <si>
    <t>A08018520</t>
  </si>
  <si>
    <t>ARTYOM KOLODEZNOY</t>
  </si>
  <si>
    <t>ASCENETH ASCENETH CEBALLOS VILLADA</t>
  </si>
  <si>
    <t>ASTRID BIVIANA ARROYAVE TORO</t>
  </si>
  <si>
    <t>ASTRID CECILIA ZULUAGA VALLEJO</t>
  </si>
  <si>
    <t>ASTRID ELENA ATEHORTUA MARIN</t>
  </si>
  <si>
    <t>ASTRID ELENA CARVAJAL ZULETA</t>
  </si>
  <si>
    <t>ASTRID ELENA HIGUITA VELEZ</t>
  </si>
  <si>
    <t>ASTRID ELIANA CARDONA CARMONA</t>
  </si>
  <si>
    <t>ASTRID FERNANDO PARRA LOPEZ</t>
  </si>
  <si>
    <t>ASTRID LORENA OSPINA SALDARRIAGA</t>
  </si>
  <si>
    <t>ASTRID OMAIRA ARBELAEZ VELEZ</t>
  </si>
  <si>
    <t>ASTRID ROZO ACEVEDO</t>
  </si>
  <si>
    <t>ASTRID XIMENA GOMEZ SAMBONI</t>
  </si>
  <si>
    <t>ATENCIO JESUS HENRIQUEZ BONIVENTO</t>
  </si>
  <si>
    <t>AUDREY RUTH RUTH LYHUS</t>
  </si>
  <si>
    <t>AURA CRISTINA MARIN VALENCIA</t>
  </si>
  <si>
    <t>AURA LUCIA ECHAVARRIA ESCOBAR</t>
  </si>
  <si>
    <t>AURA LUCIA GIL BUITRAGO</t>
  </si>
  <si>
    <t>AURA MERCEDES RUBIO AVILA</t>
  </si>
  <si>
    <t>AURA RAQUEL URAN SEPULVEDA</t>
  </si>
  <si>
    <t>AURA RUIZ HENAO</t>
  </si>
  <si>
    <t>AURELIO ANTONIO SERNA GONZALEZ</t>
  </si>
  <si>
    <t>AURORA DE LA ROSA ROSA ARIAS</t>
  </si>
  <si>
    <t>V5386062</t>
  </si>
  <si>
    <t>AURORA DEL VALLE LANDAETA DE RAMIREZ</t>
  </si>
  <si>
    <t>AURORA RESTREPO MEJIA</t>
  </si>
  <si>
    <t>AURORA URIBE MOTTA</t>
  </si>
  <si>
    <t>AVRIL CADAVID MESA</t>
  </si>
  <si>
    <t>AYDA CRISTINA GARCIA CARMONA</t>
  </si>
  <si>
    <t>BALDONICK FERNANDEZ COVELLI</t>
  </si>
  <si>
    <t>BEAT 0 HABERLING</t>
  </si>
  <si>
    <t>BEATRIZ ADRIANA GIRALDO GALLEGO</t>
  </si>
  <si>
    <t>BEATRIZ CRISTINA TORO DIAZ</t>
  </si>
  <si>
    <t>BEATRIZ ELENA ARANGO ARROYAVE</t>
  </si>
  <si>
    <t>BEATRIZ ELENA ARISTIZABAL MEDINA</t>
  </si>
  <si>
    <t>BEATRIZ ELENA CHAVERRA MARTINEZ</t>
  </si>
  <si>
    <t>BEATRIZ ELENA ESPINOSA PULGARIN</t>
  </si>
  <si>
    <t>BEATRIZ ELENA GARCIA ESTRADA</t>
  </si>
  <si>
    <t>BEATRIZ ELENA LOPEZ ARANGO</t>
  </si>
  <si>
    <t>BEATRIZ ELENA MARTINEZ URIBE</t>
  </si>
  <si>
    <t>BEATRIZ ELENA RIVERA AGUDELO</t>
  </si>
  <si>
    <t>BEATRIZ ELENA ROJAS GUTIERREZ</t>
  </si>
  <si>
    <t>BEATRIZ ELENA VIDAL ACOSTA</t>
  </si>
  <si>
    <t>BEATRIZ EUGENIA ARANGO SEPULVEDA</t>
  </si>
  <si>
    <t>BEATRIZ EUGENIA FONNEGRA MOLINA</t>
  </si>
  <si>
    <t>BEATRIZ EUGENIA GOMEZ GOMEZ</t>
  </si>
  <si>
    <t>BEATRIZ EUGENIA GONZALEZ BETANCUR</t>
  </si>
  <si>
    <t>BEATRIZ EUGENIA PUERTA AGUDELO</t>
  </si>
  <si>
    <t>BEATRIZ FERRER DE ARIAS</t>
  </si>
  <si>
    <t>BEATRIZ HELENA FRANCO JARAMILLO</t>
  </si>
  <si>
    <t>BEATRIZ HELENA LONDOÑO PUERTA</t>
  </si>
  <si>
    <t>BEATRIZ JANNETH PULGARIN HERRERA</t>
  </si>
  <si>
    <t>BEATRIZ PILAR ROSSI</t>
  </si>
  <si>
    <t>BELEN FIORE</t>
  </si>
  <si>
    <t>BELKIS CECILIA MARTINEZ APARICIO</t>
  </si>
  <si>
    <t>BELMER DE JESUS VARELA GONZALEZ</t>
  </si>
  <si>
    <t>BELMERT GUILLERMO ARBELAEZ FIGUEROA</t>
  </si>
  <si>
    <t>A58967094</t>
  </si>
  <si>
    <t>BENJAMIN AGUDELO CARDONA CARDONA</t>
  </si>
  <si>
    <t>BENJAMIN EDUARDO DE LA TORRE ROJAS</t>
  </si>
  <si>
    <t>BENJAMIN GIRALDO VARGAS</t>
  </si>
  <si>
    <t>BENJAMIN PEREZ ARISTIZABAL</t>
  </si>
  <si>
    <t>BENJAMIN RUIZ FERRER</t>
  </si>
  <si>
    <t>BENJAMIN SALAZAR BERNAL</t>
  </si>
  <si>
    <t>BENJAMIN SALAZAR SUAREZ</t>
  </si>
  <si>
    <t>BENJAMIN SEGOVIA OCHOA</t>
  </si>
  <si>
    <t>BENJAMIN VELASQUEZ BUSTAMANTE</t>
  </si>
  <si>
    <t>BERNARDO POSADA POSADA CORREA</t>
  </si>
  <si>
    <t>BERTA DEL SOCORRO ARANGO EUSSE</t>
  </si>
  <si>
    <t>BERTA INES VASQUEZ ISAZA</t>
  </si>
  <si>
    <t>BERTHA YEPES SALAZAR</t>
  </si>
  <si>
    <t>BEVERLY ANDREA GUERRA PRIETO</t>
  </si>
  <si>
    <t>BIBIANA CECILIA GUERRA BLANDON</t>
  </si>
  <si>
    <t>BIJAN KENT 0</t>
  </si>
  <si>
    <t>BISMARK DAVID BECERRA SERNA</t>
  </si>
  <si>
    <t>BIVIANA MARIA GUTIERREZ TAMAYO</t>
  </si>
  <si>
    <t>BLACA YOLIMA MESA RODRIGUEZ</t>
  </si>
  <si>
    <t>BLANCA GLORIA CORREA ANGEL</t>
  </si>
  <si>
    <t>BLANCA INES ROJAS AGRAY</t>
  </si>
  <si>
    <t>BLANCA ISBENIA CORREA LOPEZ</t>
  </si>
  <si>
    <t>BLANCA LEDY LONDOÑO ORTEGA</t>
  </si>
  <si>
    <t>BLANCA MARIANA DE SANTA CATALINA POSADA DE VELEZ</t>
  </si>
  <si>
    <t>BLANCA NELCY GARCIA DE GONZALES</t>
  </si>
  <si>
    <t>BLANCA NELLY GIL BALLESTEROS</t>
  </si>
  <si>
    <t>BLANCA NELLY HERNANDEZ RAMIREZ</t>
  </si>
  <si>
    <t>BLANCA OLIVA GUISAO DE TAMAYO</t>
  </si>
  <si>
    <t>BLANCA PATRICIA LOPEZ SERNA</t>
  </si>
  <si>
    <t>BLANCA PATRICIA MARIN VERA</t>
  </si>
  <si>
    <t>BLANCA RUTH RIOS MONTOYA</t>
  </si>
  <si>
    <t>BRADENTON TAHAN 0</t>
  </si>
  <si>
    <t>BRAULIO GIRALDO GONZALEZ</t>
  </si>
  <si>
    <t>AAG973515</t>
  </si>
  <si>
    <t>BRENDA GINER</t>
  </si>
  <si>
    <t>P252024DP</t>
  </si>
  <si>
    <t>BRICE ANTHONY PERESSINI</t>
  </si>
  <si>
    <t>BRIHANNA ZYREL ACUÑA POLO</t>
  </si>
  <si>
    <t>BRITNEY BRISET PANIAGUA MUÑETON</t>
  </si>
  <si>
    <t>BYRON STEVE MARRUGO ACOSTA</t>
  </si>
  <si>
    <t>CAMILA ANDREA ARENAS PRESIGA</t>
  </si>
  <si>
    <t>CAMILA ANDREA GRANADOS OCHOA</t>
  </si>
  <si>
    <t>CAMILA ANDREA SANCHEZ RAMIREZ</t>
  </si>
  <si>
    <t>CAMILA ARANGO CARDONA</t>
  </si>
  <si>
    <t>CAMILA BOLAÑOS VELEZ</t>
  </si>
  <si>
    <t>CAMILA CARDENAS FRANCO</t>
  </si>
  <si>
    <t>CAMILA DUQUE TOBAR</t>
  </si>
  <si>
    <t>CAMILA ORTIZ CABALLERO</t>
  </si>
  <si>
    <t>CAMILA PEREZ BETANCURT</t>
  </si>
  <si>
    <t>CAMILO ARCILA ARCILA OSORIO</t>
  </si>
  <si>
    <t>CAMILO AUGUSTO PEREZ TORRES</t>
  </si>
  <si>
    <t>CAMILO GALLEGO QUITIAN</t>
  </si>
  <si>
    <t>CAMILO GIRALDO VARGAS</t>
  </si>
  <si>
    <t>CAMILO GOMEZ HADAD</t>
  </si>
  <si>
    <t>CAMILO HERNANDO AGUIRRE CASTAÑO</t>
  </si>
  <si>
    <t>CAMILO HUIELL CROSS WOOLSTON</t>
  </si>
  <si>
    <t>CAMILO JOSE TRIANA FRAGOZO</t>
  </si>
  <si>
    <t>CAMILO MARIN ARBELAEZ</t>
  </si>
  <si>
    <t>CAMILO MARIN BOLAÑOS</t>
  </si>
  <si>
    <t>CAMILO RIKER MIRANDA</t>
  </si>
  <si>
    <t>CAMILO SIERRA MORALES</t>
  </si>
  <si>
    <t>CAMILO VELASQUEZ TABORDA</t>
  </si>
  <si>
    <t>CANDELARIA GOMEZ BOTERO</t>
  </si>
  <si>
    <t>CANDELARIA SOSSA SOSSA MELGUIZO</t>
  </si>
  <si>
    <t>CARLA ALEXANDRA PEDROSA AFONSO</t>
  </si>
  <si>
    <t>CARLOS ALBEIRO PATIÑO JARAMILLO</t>
  </si>
  <si>
    <t>CARLOS ALBERTO ACEVEDO ALVAREZ</t>
  </si>
  <si>
    <t>CARLOS ALBERTO ACOSTA LARA</t>
  </si>
  <si>
    <t>CARLOS ALBERTO GARCIA ZULUAGA</t>
  </si>
  <si>
    <t>CARLOS ALBERTO HURTADO CIFUENTES</t>
  </si>
  <si>
    <t>CARLOS ALBERTO LONDOÑO ALVAREZ</t>
  </si>
  <si>
    <t>CARLOS ALBERTO VASQUEZ VELEZ</t>
  </si>
  <si>
    <t>CARLOS ALEJANDRO RAMIREZ OSSABA</t>
  </si>
  <si>
    <t>CARLOS AMAURY VARGAS VILLACOB</t>
  </si>
  <si>
    <t>CARLOS ANDRES BUSTAMANTE OSORIO</t>
  </si>
  <si>
    <t>CARLOS ANDRES DUQUE GIRALDO</t>
  </si>
  <si>
    <t>CARLOS ANDRES HOYOS SERNA</t>
  </si>
  <si>
    <t>CARLOS ANDRES MARIN VELEZ</t>
  </si>
  <si>
    <t>CARLOS ANDRES MONTOYA GARCIA</t>
  </si>
  <si>
    <t>CARLOS ANDRES OROZCO TRUJILLO</t>
  </si>
  <si>
    <t>CARLOS ANDRES OSPINA VASCO</t>
  </si>
  <si>
    <t>CARLOS ANDRES PALACIO GARCIA</t>
  </si>
  <si>
    <t>CARLOS ANDRES RODRIGUEZ AGUIRRE</t>
  </si>
  <si>
    <t>CARLOS ANDRES SANCHEZ GUERRA</t>
  </si>
  <si>
    <t>CARLOS ANDRES VELEZ JARAMILLO</t>
  </si>
  <si>
    <t>CARLOS ANDRES ZAMBRANO MIRANDA</t>
  </si>
  <si>
    <t>CARLOS ARTURO BETANCUR RESTREPO</t>
  </si>
  <si>
    <t>CARLOS ARTURO VELASQUEZ SERRANO</t>
  </si>
  <si>
    <t>CARLOS AUGUSTO RAMIREZ ORTIZ</t>
  </si>
  <si>
    <t>CARLOS DANIEL GONZALEZ ZAMORA</t>
  </si>
  <si>
    <t>CARLOS DAVID LOZANO HERRERA</t>
  </si>
  <si>
    <t>CARLOS DELGADO 0</t>
  </si>
  <si>
    <t>CARLOS EDUARDO CASTILLO CARDONA</t>
  </si>
  <si>
    <t>CARLOS EDUARDO ESPINOSA</t>
  </si>
  <si>
    <t>CARLOS EDUARDO SEVILLA CADAVID</t>
  </si>
  <si>
    <t>CARLOS ELIAS SUAREZ MONTAÑA</t>
  </si>
  <si>
    <t>CARLOS ENRIQUE PSREJA ACOSTA</t>
  </si>
  <si>
    <t>CARLOS ENRIQUE RINCON HIDALGO</t>
  </si>
  <si>
    <t>CARLOS ESCOBAR GIRALDO</t>
  </si>
  <si>
    <t>CARLOS FERNANDO SUAREZ FRANCO</t>
  </si>
  <si>
    <t>CARLOS GERARDO URANGO OYOLA</t>
  </si>
  <si>
    <t>CARLOS HENRY PRECIADO LOPEZ</t>
  </si>
  <si>
    <t>CARLOS HORACIO GOMEZ LOPEZ</t>
  </si>
  <si>
    <t>CARLOS JULIO WIESNER ESPINOSA</t>
  </si>
  <si>
    <t>CARLOS MARIO ESTRADA MOLINA</t>
  </si>
  <si>
    <t>CARLOS MARIO MARIN JARAMILLO</t>
  </si>
  <si>
    <t>CARLOS MARIO TORRES PALACIO</t>
  </si>
  <si>
    <t>CARLOS MARIO VELASQUEZ PINO</t>
  </si>
  <si>
    <t>CARLOS MARIO VELEZ GUTIERREZ</t>
  </si>
  <si>
    <t>CARLOS YIMMI ERAZO BURBANO</t>
  </si>
  <si>
    <t>CARLOTA OROZCO DE BUITRAGO</t>
  </si>
  <si>
    <t>CARMEN ANDREA RAMIREZ GIRALDO</t>
  </si>
  <si>
    <t>CARMEN ELENA HURTADO OSORIO</t>
  </si>
  <si>
    <t>CARMEN MARINA VALENCIA GALLEGO</t>
  </si>
  <si>
    <t>CARMEN PATRICIA OSSA HOYOS</t>
  </si>
  <si>
    <t>CARMEN TULIA OCAMPO</t>
  </si>
  <si>
    <t>CAROL ANDREA CORTES GARCIA</t>
  </si>
  <si>
    <t>CAROL SOPHIA MORITZ MARQUEZ</t>
  </si>
  <si>
    <t>CAROLINA ABAD PEREZ</t>
  </si>
  <si>
    <t>CAROLINA AGUDELO TORO</t>
  </si>
  <si>
    <t>CAROLINA ANDREA CORDOBA UPEGUI</t>
  </si>
  <si>
    <t>CAROLINA ARANGO ZULUAGA</t>
  </si>
  <si>
    <t>CAROLINA CADAVID MUÑOZ</t>
  </si>
  <si>
    <t>CAROLINA CARDONA YEPES</t>
  </si>
  <si>
    <t>CAROLINA CORREA AGUIRRE</t>
  </si>
  <si>
    <t>CAROLINA DE LA CRUZ DE LA CRUZ ANDRADE</t>
  </si>
  <si>
    <t>CAROLINA FERNANDEZ ZAPATA</t>
  </si>
  <si>
    <t>CAROLINA GIRALDO GARCIA</t>
  </si>
  <si>
    <t>CAROLINA GIRALDO HIGUITA</t>
  </si>
  <si>
    <t>CAROLINA GUTIERREZ LOPEZ</t>
  </si>
  <si>
    <t>CAROLINA JOSEFINA AROCHA VASQUEZ</t>
  </si>
  <si>
    <t>CAROLINA MARIA POSSO ZAPATA</t>
  </si>
  <si>
    <t>CAROLINA MESA HERRERA</t>
  </si>
  <si>
    <t>CAROLINA MESA MEJIA</t>
  </si>
  <si>
    <t>CAROLINA OSPINA VALENCIA</t>
  </si>
  <si>
    <t>CAROLINA ROJAS TORO</t>
  </si>
  <si>
    <t>CAROLINA VELASQUEZ MUÑOZ MUÑOZ</t>
  </si>
  <si>
    <t>CAROLINA VELEZ GOMEZ</t>
  </si>
  <si>
    <t>CAROLINA VILLEGAS LONDOÑO</t>
  </si>
  <si>
    <t>CAROLINA VILLEGAS SARMIENTO</t>
  </si>
  <si>
    <t>CATALINA 0 NARANJO</t>
  </si>
  <si>
    <t>CATALINA ALZATE ARISTIZÁBAL</t>
  </si>
  <si>
    <t>CATALINA CAÑAS DAVILA</t>
  </si>
  <si>
    <t>CATALINA CORREA ECHEVERRY</t>
  </si>
  <si>
    <t>CATALINA DE MARIA AUXILIADORA GONZALEZ CORREA</t>
  </si>
  <si>
    <t>CATALINA ERAZO ROLDAN</t>
  </si>
  <si>
    <t>CATALINA ESCOBAR PEREZ</t>
  </si>
  <si>
    <t>CATALINA GONZALEZ GALLON</t>
  </si>
  <si>
    <t>CATALINA GONZALEZ VANEGAS</t>
  </si>
  <si>
    <t>G226436178000</t>
  </si>
  <si>
    <t>CATALINA GRANDA</t>
  </si>
  <si>
    <t>CATALINA MARIA CASTAÑO RODRIGUEZ</t>
  </si>
  <si>
    <t>CATALINA MARIA GARCES BOLIVAR</t>
  </si>
  <si>
    <t>CATALINA MARIA PIEDRAHITA MEJIA</t>
  </si>
  <si>
    <t>CATALINA SUAREZ FLOREZ</t>
  </si>
  <si>
    <t>CATALINA TORO GOMEZ GOMEZ</t>
  </si>
  <si>
    <t>CATALINA VALENCIA VILLEGAS</t>
  </si>
  <si>
    <t>CATALINA VELASQUEZ MORALES MORALES</t>
  </si>
  <si>
    <t>CATALINA VELEZ ECHEVERRI</t>
  </si>
  <si>
    <t>CATALINA ZULUAGA ZULUAGA VASQUEZ</t>
  </si>
  <si>
    <t>CATERINE ECHAVARRIA HERNANDEZ HERNANDEZ</t>
  </si>
  <si>
    <t>CATERINE PELAEZ PEREZ PEREZ</t>
  </si>
  <si>
    <t>CATHERINE JOHANA BEDOYA URAN</t>
  </si>
  <si>
    <t>CATHERINE NARVAEZ LOPEZ</t>
  </si>
  <si>
    <t>CECILIA MARIA MONSALVE TORO</t>
  </si>
  <si>
    <t>CELENY ALEJANDRA OCAMPO OCAMPO</t>
  </si>
  <si>
    <t>CELESTE ARANGO CARDONA</t>
  </si>
  <si>
    <t>CELESTE ARBELAEZ HIGUITA</t>
  </si>
  <si>
    <t>CELESTE CARVAJAL HERNANDEZ</t>
  </si>
  <si>
    <t>CELESTE CASTRILLON ESPINOSA</t>
  </si>
  <si>
    <t>CELESTE CASTRO OBANDO</t>
  </si>
  <si>
    <t>CELESTE DUQUE DUQUE</t>
  </si>
  <si>
    <t>CELESTE GONZALEZ LOTERO</t>
  </si>
  <si>
    <t>CELESTE JARAMILLO ZAPATA</t>
  </si>
  <si>
    <t>CELESTE MONTOYA ROJAS</t>
  </si>
  <si>
    <t>CELESTE MUÑOZ CARVAJAL</t>
  </si>
  <si>
    <t>CELESTE PINZON GRISALES</t>
  </si>
  <si>
    <t>CELESTE SIERRA GARCIA</t>
  </si>
  <si>
    <t>CELINA URIBE</t>
  </si>
  <si>
    <t>CENELIA HURTADO DE HOYOS</t>
  </si>
  <si>
    <t>CESAR AUGUSTO CRUZ PRESIGA</t>
  </si>
  <si>
    <t>CESAR AUGUSTO ESPINAL MONTOYA</t>
  </si>
  <si>
    <t>CESAR AUGUSTO FLOREZ RENDON</t>
  </si>
  <si>
    <t>CESAR AUGUSTO MONTOYA GONZALEZ</t>
  </si>
  <si>
    <t>CESAR CAMILO PINZON ESCOBAR</t>
  </si>
  <si>
    <t>CESAR IVAN CORTES MONTOYA</t>
  </si>
  <si>
    <t>CESAR MAURICIO ARCILA SALAZAR</t>
  </si>
  <si>
    <t>CHAROL JULIANA BECERRA PEREZ</t>
  </si>
  <si>
    <t>CHRISTIAN CAMILO DIAZ GARCES</t>
  </si>
  <si>
    <t>CHRISTIAN DAVID CARTAGENA</t>
  </si>
  <si>
    <t>CHRISTIAN GASULLA 0</t>
  </si>
  <si>
    <t>CHRISTIAN JON GRAINGER GRAINGER</t>
  </si>
  <si>
    <t>CHRISTINA VARGAS</t>
  </si>
  <si>
    <t>A08349679</t>
  </si>
  <si>
    <t>CHRISTOPHER CHAGAS GOLD</t>
  </si>
  <si>
    <t>CINDY ALVAREZ GARCIA</t>
  </si>
  <si>
    <t>CINDY NATALIA CASTRO GOMEZ</t>
  </si>
  <si>
    <t>CINDY ROCIO JAIMES SANGUINO</t>
  </si>
  <si>
    <t>CINDY VANESA SOTO CADAVID</t>
  </si>
  <si>
    <t>CIRO ALBAN CATAÑO RAMIREZ</t>
  </si>
  <si>
    <t>CIRO EFREN ALVAREZ JAIMES</t>
  </si>
  <si>
    <t>CLARA DEL SOCORRO SOCORRO PUERTA</t>
  </si>
  <si>
    <t>CLARA INES MAYA LONDOÑO</t>
  </si>
  <si>
    <t>CLARA MARIA BUITRAGO CARDONA</t>
  </si>
  <si>
    <t>CLARA MARIA MAGDALENA SALDARRIAGA</t>
  </si>
  <si>
    <t>CLARA MARIA SOLEDAD TAMAYO DE ORTIZ</t>
  </si>
  <si>
    <t>CLARA MARIA VALLEJO ANGEL</t>
  </si>
  <si>
    <t>CLARA PATRICIA BETANCUR DE GONZALES</t>
  </si>
  <si>
    <t>CLARIVEL VALENCIA RIOS</t>
  </si>
  <si>
    <t>CLAUDIA ALCIRA MENDOZA PERILLA</t>
  </si>
  <si>
    <t>CLAUDIA CECILIA URIBE SEGURA</t>
  </si>
  <si>
    <t>CLAUDIA COUTIN GUTIERREZ</t>
  </si>
  <si>
    <t>CLAUDIA DEL NIÑO JESUS SALDARRIAGA PUERTA</t>
  </si>
  <si>
    <t>CLAUDIA EDICENIA CIRO ARANGO</t>
  </si>
  <si>
    <t>CLAUDIA HELENA ALVAREZ MONTOYA</t>
  </si>
  <si>
    <t>CLAUDIA JAZMIN GOMEZ CELIS</t>
  </si>
  <si>
    <t>CLAUDIA JEANET GOMEZ CIFUENTES</t>
  </si>
  <si>
    <t>CLAUDIA JEANNETT MONTEJO CELIS</t>
  </si>
  <si>
    <t>CLAUDIA LORENA BURITICA ARIAS</t>
  </si>
  <si>
    <t>CLAUDIA LORENA URUEÑA NUÑEZ</t>
  </si>
  <si>
    <t>CLAUDIA MARCELA BARRERA CRUZ</t>
  </si>
  <si>
    <t>CLAUDIA MARCELA BOTERO ARENAS</t>
  </si>
  <si>
    <t>CLAUDIA MARCELA CANO SOLORZANO</t>
  </si>
  <si>
    <t>CLAUDIA MARCELA MEJIA CEBALLOS</t>
  </si>
  <si>
    <t>CLAUDIA MARCELA TORO RAMIREZ</t>
  </si>
  <si>
    <t>CLAUDIA MARIA ESCUDERO SOTO</t>
  </si>
  <si>
    <t>CLAUDIA MARIA RESTREPO CORREA</t>
  </si>
  <si>
    <t>CLAUDIA MILENA DIAZ CALLEJAS</t>
  </si>
  <si>
    <t>CLAUDIA MILENA OLMOS GALINDO</t>
  </si>
  <si>
    <t>CLAUDIA PATRICIA ACOSTA MESA</t>
  </si>
  <si>
    <t>CLAUDIA PATRICIA CHAVEZ GACHA</t>
  </si>
  <si>
    <t>CLAUDIA PATRICIA ESCOBAR DIAZ</t>
  </si>
  <si>
    <t>CLAUDIA PATRICIA GOMEZ SALAZAR</t>
  </si>
  <si>
    <t>CLAUDIA PATRICIA MORENO MUÑOZ</t>
  </si>
  <si>
    <t>CLAUDIA PATRICIA PARRA OLIVERO</t>
  </si>
  <si>
    <t>CLAUDIA PATRICIA PEREZ TORO</t>
  </si>
  <si>
    <t>CLAUDIA PATRICIA PULGARIN PULGARIN</t>
  </si>
  <si>
    <t>CLAUDIA PATRICIA QUINTERO JARAMILLO</t>
  </si>
  <si>
    <t>CLAUDIA PATRICIA RESTREPO RUIZ</t>
  </si>
  <si>
    <t>CLAUDIA TERESA CUARTAS ALVARADO</t>
  </si>
  <si>
    <t>CLAUDIA VELEZ VELEZ PEREIRA</t>
  </si>
  <si>
    <t>CLAUDIA YANET OSORNO OSORNO</t>
  </si>
  <si>
    <t>CLEMENTE ISAZA RADI</t>
  </si>
  <si>
    <t>CONSUELO DE JESUS MONTOYA DE OSORIO</t>
  </si>
  <si>
    <t>CONSUELO DEL SOCORRO ARBELAEZ GOMEZ</t>
  </si>
  <si>
    <t>CONSUELO ECHEVERRI BOTERO</t>
  </si>
  <si>
    <t>CONSULTORIAS Y OBRAS CIVILES JF S.A.S.</t>
  </si>
  <si>
    <t>CORAL AGUDELO VELEZ</t>
  </si>
  <si>
    <t>A37101956</t>
  </si>
  <si>
    <t>COREY MAURICE GREEN</t>
  </si>
  <si>
    <t>CRISMARYTH DEL PILAR OCHOA MORALES</t>
  </si>
  <si>
    <t>CRISTIAN ANDREDY GARCIA GARCIA</t>
  </si>
  <si>
    <t>CRISTIAN CAMILO ARIAS BARRERA</t>
  </si>
  <si>
    <t>CRISTIAN CAMILO FIGUEROA SOTO</t>
  </si>
  <si>
    <t>CRISTIAN DANIEL GIRALDO PATIÑO</t>
  </si>
  <si>
    <t>CRISTIAN DAVID MORALES SOTO</t>
  </si>
  <si>
    <t>CRISTINA ARIAS ECHAVARRIA</t>
  </si>
  <si>
    <t>A9023541</t>
  </si>
  <si>
    <t>CRISTINA MONSERRATE ZAMBRANO MARIN</t>
  </si>
  <si>
    <t>CRISTOBAL CHOPERENA GONZALEZ</t>
  </si>
  <si>
    <t>CRISTOBAL GOMEZ YEPES</t>
  </si>
  <si>
    <t>CRISTOBAL MONTOYA ALVAREZ</t>
  </si>
  <si>
    <t>CRISTOBAL PAVA PAVA QUINTERO</t>
  </si>
  <si>
    <t>CRISTOPHER MORENO ORTIZ</t>
  </si>
  <si>
    <t>CRUZ MARINA LUJAN PINEDA</t>
  </si>
  <si>
    <t>CRUZ MARY ALZATE VALENCIA</t>
  </si>
  <si>
    <t>A69496036</t>
  </si>
  <si>
    <t>DAIRON EMILIO PARRA MOSQUERA</t>
  </si>
  <si>
    <t>DALIR SILVA ORTIZ</t>
  </si>
  <si>
    <t>DALIS GUADALUPE ARISTIZABAL ZULUAGA</t>
  </si>
  <si>
    <t>DALVIS ELLIS VELASCO JIMENEZ</t>
  </si>
  <si>
    <t>DAMARIS GUTIERREZ GARCES</t>
  </si>
  <si>
    <t>DAMIAN GONZALEZ</t>
  </si>
  <si>
    <t>DAMIAN MARULANDA VILLEGAS</t>
  </si>
  <si>
    <t>DANIEL ALBERTO CORDOBA MADRIGAL</t>
  </si>
  <si>
    <t>DANIEL ALBERTO PEREZ MONTOYA</t>
  </si>
  <si>
    <t>DANIEL ALBERTO TAMAYO MONTOYA</t>
  </si>
  <si>
    <t>DANIEL ASMAR ASMAR ESTRADA</t>
  </si>
  <si>
    <t>DANIEL CAMILO BEDOYA CALDERON</t>
  </si>
  <si>
    <t>DANIEL CARDOZO PASSAMONTE</t>
  </si>
  <si>
    <t>DANIEL CASTAÑO CARDONA</t>
  </si>
  <si>
    <t>DANIEL DE JESUS AGUDELO</t>
  </si>
  <si>
    <t>DANIEL ESTEBAN VALDIVIESO ZAPATA</t>
  </si>
  <si>
    <t>DANIEL GARCIA GUTIERREZ</t>
  </si>
  <si>
    <t>DANIEL GONZALEZ PALACIO PALACIO</t>
  </si>
  <si>
    <t>A04304631</t>
  </si>
  <si>
    <t>DANIEL JAMES JAMES CARTWRIGHT</t>
  </si>
  <si>
    <t>A03753755</t>
  </si>
  <si>
    <t>DANIEL JAMES KRUEGER</t>
  </si>
  <si>
    <t>C1KMKK8YJ</t>
  </si>
  <si>
    <t>DANIEL KOLMAKOV</t>
  </si>
  <si>
    <t>DANIEL MEJIA BARBOSA</t>
  </si>
  <si>
    <t>DANIEL MORRIS FRIEDMAN</t>
  </si>
  <si>
    <t>DANIEL NARANJO ARENAS</t>
  </si>
  <si>
    <t>DANIEL PASTRANA ACOSTA</t>
  </si>
  <si>
    <t>DANIEL RESTREPO ESPINOSA</t>
  </si>
  <si>
    <t>DANIEL RICARDO GUTIERREZ CRUZ</t>
  </si>
  <si>
    <t>DANIEL VEGA BOTERO</t>
  </si>
  <si>
    <t>DANIEL ZAPATA CIFUENTES</t>
  </si>
  <si>
    <t>DANIELA AREVALO JARAMILLO</t>
  </si>
  <si>
    <t>DANIELA ARISTIZABAL OCAMPO</t>
  </si>
  <si>
    <t>DANIELA CAROLINA VARGAS ORTIZ</t>
  </si>
  <si>
    <t>DANIELA CARTAGENA MARTINEZ</t>
  </si>
  <si>
    <t>DANIELA CHICA FLOREZ</t>
  </si>
  <si>
    <t>DANIELA DE LA ROSA DE LA ROSA HERNANDEZ</t>
  </si>
  <si>
    <t>DANIELA DIAZ DIAZ</t>
  </si>
  <si>
    <t>DANIELA ECHEVERRI CARDONA</t>
  </si>
  <si>
    <t>DANIELA ERAZO VILLANUEVA</t>
  </si>
  <si>
    <t>DANIELA ESPAÑA GARCIA</t>
  </si>
  <si>
    <t>DANIELA FORONDA ZULUAGA</t>
  </si>
  <si>
    <t>DANIELA GOMEZ MEJIA</t>
  </si>
  <si>
    <t>DANIELA JIMENEZ RENDON</t>
  </si>
  <si>
    <t>DANIELA MARTINEZ MONSALVE</t>
  </si>
  <si>
    <t>DANIELA MEDINA LONDOÑO</t>
  </si>
  <si>
    <t>DANIELA MEJIA SAAVEDRA</t>
  </si>
  <si>
    <t>DANIELA MORENO GIRALDO</t>
  </si>
  <si>
    <t>DANIELA PATRICIA GIRALDO MARIN</t>
  </si>
  <si>
    <t>DANIELA PEREZ VELEZ</t>
  </si>
  <si>
    <t>DANIELA RAMIREZ RAMIREZ</t>
  </si>
  <si>
    <t>DANIELA RIOS URIBE</t>
  </si>
  <si>
    <t>DANIELA SANDOVAL VEGA</t>
  </si>
  <si>
    <t>DANIELA VANESSA CUZA ALFARO</t>
  </si>
  <si>
    <t>DANIELA VANESSA VASQUEZ BARRIENTOS</t>
  </si>
  <si>
    <t>DANIELA VILLEGAS BUSTAMANTE</t>
  </si>
  <si>
    <t>DANIELA YISEL MUÑOZ OZA</t>
  </si>
  <si>
    <t>DANILO ZULUAGA ARIAS</t>
  </si>
  <si>
    <t>DANNA DURAN MONTOYA</t>
  </si>
  <si>
    <t>DANNY GERSEIN LUQUE LOPEZ</t>
  </si>
  <si>
    <t>DARIANNA YSABELLA CALDERON BRICEÑO</t>
  </si>
  <si>
    <t>DARIO ANTONIO ROLDAN BUILES</t>
  </si>
  <si>
    <t>DARIO DE JESUS CASTAÑO TORO</t>
  </si>
  <si>
    <t>C4JNGP524</t>
  </si>
  <si>
    <t>DARKO PESIKAN 0</t>
  </si>
  <si>
    <t>NUP389B94</t>
  </si>
  <si>
    <t>DAROY CESAR ANTHONY NUNES</t>
  </si>
  <si>
    <t>DAVID ALEJANDRO BURGOS RODAS</t>
  </si>
  <si>
    <t>DAVID ALEJANDRO JIMENEZ SIERRA</t>
  </si>
  <si>
    <t>DAVID ALEJANDRO ROBAYO FIGUEROA</t>
  </si>
  <si>
    <t>DAVID ALFONSO ALVAREZ PENAGOS</t>
  </si>
  <si>
    <t>DAVID ALONSO MONTOYA GUERRA</t>
  </si>
  <si>
    <t>DAVID ANGEL ANGEL MORALES</t>
  </si>
  <si>
    <t>DAVID CASTRILLON GONZALES</t>
  </si>
  <si>
    <t>DAVID ESTEBAN SIERRA LOPEZ</t>
  </si>
  <si>
    <t>A75659165</t>
  </si>
  <si>
    <t>DAVID FRANCO GARAY GARAY</t>
  </si>
  <si>
    <t>DAVID GIRALDO ZULUAGA</t>
  </si>
  <si>
    <t>DAVID HOYOS SANCHEZ</t>
  </si>
  <si>
    <t>DAVID JAMES AANENSON</t>
  </si>
  <si>
    <t>DAVID JARAMILLO RESTREPO</t>
  </si>
  <si>
    <t>DAVID MANUEL HOLGUIN ARIAS</t>
  </si>
  <si>
    <t>DAVID MAROGI GOWRO</t>
  </si>
  <si>
    <t>DAVID MEJIA RESTREPO</t>
  </si>
  <si>
    <t>DAVID ORTIZ PUERTA</t>
  </si>
  <si>
    <t>DAVID QUICENO CUARTAS</t>
  </si>
  <si>
    <t>DAVID QUINTERO BEDOYA</t>
  </si>
  <si>
    <t>DAVID RODRIGUEZ BERRIO</t>
  </si>
  <si>
    <t>DAVID SANTIAGO SARMIENTO GALVIS</t>
  </si>
  <si>
    <t>DAVID SHERMAN KING KING</t>
  </si>
  <si>
    <t>DAVID SORIA GOMEZ</t>
  </si>
  <si>
    <t>DAVID TRUJILLO GONZÁLEZ</t>
  </si>
  <si>
    <t>D7044538</t>
  </si>
  <si>
    <t>DAVID VASQUEZ 0</t>
  </si>
  <si>
    <t>DAVINA GINETTE GRAHAM CEDEÑO</t>
  </si>
  <si>
    <t>DAYANA ALEJANDRA CANO CANO</t>
  </si>
  <si>
    <t>DAYANA ESTHER BENITEZ MARTINEZ</t>
  </si>
  <si>
    <t>DAYANA LISET OLIVERO AGUILAR</t>
  </si>
  <si>
    <t>DAYBER MURILLO LERMA</t>
  </si>
  <si>
    <t>DEAN WALDMAN 0</t>
  </si>
  <si>
    <t>DEBORAH ANN ANN LINN</t>
  </si>
  <si>
    <t>DEISY ANARIANA CONTRERAS PEREZ</t>
  </si>
  <si>
    <t>DEISY CATALINA VALENCIA DEOSSA</t>
  </si>
  <si>
    <t>DEISY JULIET MARIN MARIN</t>
  </si>
  <si>
    <t>DEISY JULIETH BETANCUR ESTRADA</t>
  </si>
  <si>
    <t>DEISY KATERINE JARAMILLO CADAVID</t>
  </si>
  <si>
    <t>DEISY MARCELA LLANO AREDONDO</t>
  </si>
  <si>
    <t>DEIVID ALEXANDER GARCIA RIOS</t>
  </si>
  <si>
    <t>DEIVID JHOJAN ECHEVERRY GOMEZ</t>
  </si>
  <si>
    <t>DEMIAN GAEL FLOREZ GUTIERREZ</t>
  </si>
  <si>
    <t>DENNIS KARELY RAMIREZ GONZALEZ</t>
  </si>
  <si>
    <t>NM7CL52B3</t>
  </si>
  <si>
    <t>DENNIS RICHARD JOSEPH ENGELHARDT</t>
  </si>
  <si>
    <t>DEREK GABRIEL LAGARCHA RAMIREZ</t>
  </si>
  <si>
    <t>NR21LK460</t>
  </si>
  <si>
    <t>DERRICK JAMES JOHNSON</t>
  </si>
  <si>
    <t>NS6J8HH33</t>
  </si>
  <si>
    <t>DERRICK JOSEPH ALEXANDER TRINIDAD</t>
  </si>
  <si>
    <t>DEVIS LLUVISAY CAÑOLA RIOS</t>
  </si>
  <si>
    <t>DEYANIRA DEL CARMEN GOMEZ DIAZ</t>
  </si>
  <si>
    <t>DEYANIRA MONTOYA GOMEZ</t>
  </si>
  <si>
    <t>DEYVID JOAHN RUBIANO</t>
  </si>
  <si>
    <t>DHIVA ALICIA SALAZAR DE LOPEZ</t>
  </si>
  <si>
    <t>DIANA ALEJANDRA PEREZ</t>
  </si>
  <si>
    <t>DIANA CAROLINA ALZATE DURAN</t>
  </si>
  <si>
    <t>DIANA CAROLINA DEL CASTILLO HERNANDEZ</t>
  </si>
  <si>
    <t>DIANA CAROLINA GONZALEZ GARCIA</t>
  </si>
  <si>
    <t>DIANA CAROLINA GRANADA LOTERO</t>
  </si>
  <si>
    <t>DIANA CECILIA GONZALEZ PEREZ</t>
  </si>
  <si>
    <t>DIANA FERNANDA MEDINA SANDOVAL</t>
  </si>
  <si>
    <t>DIANA ISABEL ACOSTA RUEDA</t>
  </si>
  <si>
    <t>DIANA JINETH ZAPATA TABORDA</t>
  </si>
  <si>
    <t>DIANA LUCIA PIEDRAHITA RODRIGUEZ</t>
  </si>
  <si>
    <t>DIANA LUCIA VERGARA OLAYA</t>
  </si>
  <si>
    <t>DIANA MARCELA ALDANA CASTIBLANCO</t>
  </si>
  <si>
    <t>DIANA MARCELA CARDONA RAMIREZ</t>
  </si>
  <si>
    <t>DIANA MARCELA CASTAÑO PELAEZ</t>
  </si>
  <si>
    <t>DIANA MARCELA MARCELA ARANGO</t>
  </si>
  <si>
    <t>DIANA MARCELA MEDINA LOPERA</t>
  </si>
  <si>
    <t>DIANA MARCELA MORA VASQUEZ</t>
  </si>
  <si>
    <t>DIANA MARCELA PEREZ TIRADO</t>
  </si>
  <si>
    <t>DIANA MARCELA VARGAS AVILA</t>
  </si>
  <si>
    <t>DIANA MARCELA ZULUAGA MARQUEZ</t>
  </si>
  <si>
    <t>DIANA MARIA GAVIRIA PALACIO</t>
  </si>
  <si>
    <t>DIANA MARIA JARAMILLO JARAMILLO</t>
  </si>
  <si>
    <t>DIANA MARIA MARIN MARIN</t>
  </si>
  <si>
    <t>DIANA MARIA RESTREPO BERRIO</t>
  </si>
  <si>
    <t>DIANA MENESES</t>
  </si>
  <si>
    <t>DIANA MILENA ESCOBAR GARCIA</t>
  </si>
  <si>
    <t>DIANA PATRICIA ACEVEDO ORTIZ</t>
  </si>
  <si>
    <t>DIANA PATRICIA JARAMILLO RIOS</t>
  </si>
  <si>
    <t>DIANA PATRICIA MADRIGAL ALZATE</t>
  </si>
  <si>
    <t>DIANETH LORENA GALVIS ACEVEDO</t>
  </si>
  <si>
    <t>NY882PJ5</t>
  </si>
  <si>
    <t>DIDIER MOSCOSO REYES</t>
  </si>
  <si>
    <t>DIEGO ALEJANDRO ARCILA LOPEZ</t>
  </si>
  <si>
    <t>DIEGO ALEJANDRO CADAVID SIERRA</t>
  </si>
  <si>
    <t>DIEGO ALEJANDRO CORREA GIRALDO</t>
  </si>
  <si>
    <t>DIEGO ALEJANDRO OCAMPO GIL</t>
  </si>
  <si>
    <t>DIEGO ALEJANDRO PARAMO BARRETO</t>
  </si>
  <si>
    <t>DIEGO ANDRES COBOS ROA</t>
  </si>
  <si>
    <t>DIEGO ANDRES GOMEZ TORRES</t>
  </si>
  <si>
    <t>DIEGO ARANGO TORO</t>
  </si>
  <si>
    <t>DIEGO ARLES HOYOS GONZALEZ</t>
  </si>
  <si>
    <t>DIEGO ARMANDO JURADO ZAMBRANO</t>
  </si>
  <si>
    <t>DIEGO ARMANDO ZULUAGA GARCIA</t>
  </si>
  <si>
    <t>DIEGO BETANCUR ESPINOSA</t>
  </si>
  <si>
    <t>DIEGO BOTERO GUTIERREZ</t>
  </si>
  <si>
    <t>DIEGO FERNANDO GOMEZ SANCHEZ</t>
  </si>
  <si>
    <t>DIEGO GALAVIS ALVAREZ</t>
  </si>
  <si>
    <t>DIEGO GERMAN MORA POSADA</t>
  </si>
  <si>
    <t>DIEGO IGNACIO GOMEZ CARVAJAL</t>
  </si>
  <si>
    <t>DIEGO JUAN PINZON FLOREZ</t>
  </si>
  <si>
    <t>DIEGO SNEYDER HERRERA FATFAN</t>
  </si>
  <si>
    <t>DILENI MARCELA OSORNO GIRALDO</t>
  </si>
  <si>
    <t>DILIA CAROLINA LANDAETA MONASTERIO</t>
  </si>
  <si>
    <t>DIONIS ARELIS MURILLO MENA</t>
  </si>
  <si>
    <t>DIOS ESTEBAN QUINTERO OCAMPO</t>
  </si>
  <si>
    <t>DIVA AMPARO CASTAÑO VALENCIA</t>
  </si>
  <si>
    <t>DIXON STIVEN ALVAREZ GALLEGO</t>
  </si>
  <si>
    <t>DOLLY DE JESUS PEREZ BLANDON</t>
  </si>
  <si>
    <t>DOLLY DEL SOCORRO JARAMILLO HERNANDEZ</t>
  </si>
  <si>
    <t>NXR01H557</t>
  </si>
  <si>
    <t>DONALD DE DE VEER</t>
  </si>
  <si>
    <t>DORA ALEJANDRA RAMIREZ VALLEJO</t>
  </si>
  <si>
    <t>DORA ANGELA ZAPATA ZAPATA</t>
  </si>
  <si>
    <t>DORA ELENA BUENO HENAO</t>
  </si>
  <si>
    <t>DORA ELENA LOPEZ DE LOMBANA</t>
  </si>
  <si>
    <t>DORA ESTELA MEJIA TABARES</t>
  </si>
  <si>
    <t>DORA ISABEL GUTIERREZ JIMENEZ</t>
  </si>
  <si>
    <t>DORA ISABEL MARTINEZ MARTINEZ</t>
  </si>
  <si>
    <t>DORA LINA GUERRA MONTOYA</t>
  </si>
  <si>
    <t>DORA LUCIA BARRERA RESTREPO</t>
  </si>
  <si>
    <t>DORA NANCY ALVAREZ RESTREPO</t>
  </si>
  <si>
    <t>DORA NANCY MIRA VASQUEZ</t>
  </si>
  <si>
    <t>DORA VILMA LOPEZ BUSTAMANTE</t>
  </si>
  <si>
    <t>DORIELA MARIA FLOREZ</t>
  </si>
  <si>
    <t>DORIS ADRIANA CASTRO CARMONA</t>
  </si>
  <si>
    <t>DORIS DEL SOCORRO MUÑOZ ORTIZ</t>
  </si>
  <si>
    <t>DORIS ESTELLA ARTEAGA ORTIZ</t>
  </si>
  <si>
    <t>DORIS PATRICIA GUTIERREZ HENAO</t>
  </si>
  <si>
    <t>DUANE HODGEIS HODGEIS BELL</t>
  </si>
  <si>
    <t>DUAY FERNANDEZ PAYARES</t>
  </si>
  <si>
    <t>DUBAN ALEJANDRO CEBALLOS GARCIA</t>
  </si>
  <si>
    <t>DULCE HENAO DAZA</t>
  </si>
  <si>
    <t>DULCE MARIA GOMEZ ALZATE</t>
  </si>
  <si>
    <t>DULCE MARIA LOPERA ESCUDERO</t>
  </si>
  <si>
    <t>DULCE MARIA PIEDRAHITA GARCIA</t>
  </si>
  <si>
    <t>DULCE MARIA ZULETA JARAMILLO</t>
  </si>
  <si>
    <t>DULFARY GOMEZ MESA</t>
  </si>
  <si>
    <t>DUNIA ASTRID QUINTERO CASTILLO</t>
  </si>
  <si>
    <t>DUQUE COMMERCIAL SOLUTIONS SAS</t>
  </si>
  <si>
    <t>DURLEY CANO LONDOÑO</t>
  </si>
  <si>
    <t>DUVAN GARCIA BETANCUR</t>
  </si>
  <si>
    <t>DUVI ORIANA ZAPATA ZAPATA</t>
  </si>
  <si>
    <t>EBERTO DE JESUS GOMEZ GOMEZ</t>
  </si>
  <si>
    <t>EBRAIN ISAAC FLORES LOPEZ</t>
  </si>
  <si>
    <t>EDAN BLAIRE DAWKINS</t>
  </si>
  <si>
    <t>EDGAR ELIECER JUAREZ MALDONADO</t>
  </si>
  <si>
    <t>EDGAR ERAZO MONTHERMOSO</t>
  </si>
  <si>
    <t>EDGAR GEOVANNY BILBAO SOTO</t>
  </si>
  <si>
    <t>EDGAR LEANDRO GIRAL CARRILLO</t>
  </si>
  <si>
    <t>EDGAR SARMIENTO SARMIENTO DELGADILLO</t>
  </si>
  <si>
    <t>EDICSON GONZALO PULGARIN DAVILA</t>
  </si>
  <si>
    <t>EDIER MOSQUERA ROMAÑA</t>
  </si>
  <si>
    <t>EDILMA ROSA ZAPATA BARRIENTOS</t>
  </si>
  <si>
    <t>EDIT ELIZABET TORRES GALARCIA</t>
  </si>
  <si>
    <t>EDITH GOMEZ GOMEZ</t>
  </si>
  <si>
    <t>EDITH PAULINA POSADA GOMEZ</t>
  </si>
  <si>
    <t>EDUAR DAVID VASQUEZ ARROYAVE</t>
  </si>
  <si>
    <t>EDUARD STIVEN ARIAS REAL</t>
  </si>
  <si>
    <t>EDUARDO EMILIO GIL BALLESTEROS</t>
  </si>
  <si>
    <t>EDUARDO JOSE RESTREPO CORREA</t>
  </si>
  <si>
    <t>EDUARDO POSADA ISAZA</t>
  </si>
  <si>
    <t>EDUARDO SANCHEZ SANCHEZ GOMEZ</t>
  </si>
  <si>
    <t>EDUARDO TABARES MONSALVE</t>
  </si>
  <si>
    <t>EDUARDO VASQUEZ GONZALEZ</t>
  </si>
  <si>
    <t>EDWARS FABIAN JUAREZ MALDONADO</t>
  </si>
  <si>
    <t>EDWIN ALBERTO GOMEZ GAVIRIA</t>
  </si>
  <si>
    <t>EDWIN BLANDON HENAO</t>
  </si>
  <si>
    <t>EDWIN ENRIQUE HERNANDEZ ALVAREZ</t>
  </si>
  <si>
    <t>A57576530</t>
  </si>
  <si>
    <t>EDWIN ESCOBAR 0</t>
  </si>
  <si>
    <t>EDWIN FARLEY GOMEZ MONTOYA</t>
  </si>
  <si>
    <t>EDWIN HUMBERTO RUIZ BEDOYA</t>
  </si>
  <si>
    <t>EDWIN JULIAN BARRERO DE CASTRO</t>
  </si>
  <si>
    <t>EFIGENIA CASTRO QUICENO QUICENO</t>
  </si>
  <si>
    <t>EIBARSOBED LOPERA CASTAÑO CASTAÑO</t>
  </si>
  <si>
    <t>NTDL72B11</t>
  </si>
  <si>
    <t>ELDRICK ANTHONY DONATA DONATA</t>
  </si>
  <si>
    <t>ELEAZAR GAVIRIA 0</t>
  </si>
  <si>
    <t>ELEN NAHIARA MOSQUERA URRUTIA</t>
  </si>
  <si>
    <t>ELENA DEL MAR DUQUE SERNA</t>
  </si>
  <si>
    <t>ELENA GARCIA RESTREPO</t>
  </si>
  <si>
    <t>ELENA LOPEZ NARANJO</t>
  </si>
  <si>
    <t>ELENA MARIA ARENAS QUINTERO</t>
  </si>
  <si>
    <t>ELENA MEJIA MUÑOZ</t>
  </si>
  <si>
    <t>ELENA PAREDES LANDAZURI</t>
  </si>
  <si>
    <t>ELENA SALDARRIAGA OLARTE</t>
  </si>
  <si>
    <t>ELENA VELLOJIN BONILLA</t>
  </si>
  <si>
    <t>ELIANA BOAVITA SOTO</t>
  </si>
  <si>
    <t>ELIANA MAGALI MONSALVE</t>
  </si>
  <si>
    <t>ELIANA MARIA CARMONA DEL VALLE</t>
  </si>
  <si>
    <t>ELIANA OSPINA CARDONA</t>
  </si>
  <si>
    <t>ELIANA PATRICIA MARTIN PEÑA</t>
  </si>
  <si>
    <t>ELIANA RODRIGUEZ GARCIA</t>
  </si>
  <si>
    <t>ELIAS OSPINA ESPINOSA</t>
  </si>
  <si>
    <t>ELIECER SALOMON ARONOV SHILLER</t>
  </si>
  <si>
    <t>ELIN WILLIAMOVNA CORNEJO PLYGUN</t>
  </si>
  <si>
    <t>ELISA DUQUE SERNA</t>
  </si>
  <si>
    <t>ELISA MARIA MERINO ARISTIZABAL</t>
  </si>
  <si>
    <t>ELISA MAYA ARIAS</t>
  </si>
  <si>
    <t>ELISA MEJIA GOMEZ</t>
  </si>
  <si>
    <t>ELISA ORTIZ ARBELAEZ</t>
  </si>
  <si>
    <t>ELISA ROLDAN OSORIO</t>
  </si>
  <si>
    <t>ELISA SALDARRIAGA OLARTE</t>
  </si>
  <si>
    <t>ELIZABETH ANGEL ANGEL CHUJFI</t>
  </si>
  <si>
    <t>ELIZABETH BUITRAGO BUILES</t>
  </si>
  <si>
    <t>ELIZABETH CRISTINA QUINTERO MURILLO</t>
  </si>
  <si>
    <t>ELIZABETH FRANCO CIRO</t>
  </si>
  <si>
    <t>ELIZABETH HINCAPIE RAMIREZ</t>
  </si>
  <si>
    <t>ELIZABETH ISAZA RAMIREZ</t>
  </si>
  <si>
    <t>ELIZABETH JIMENEZ JIMENEZ NAVARRO</t>
  </si>
  <si>
    <t>ELIZABETH LOPEZ AYA</t>
  </si>
  <si>
    <t>ELIZABETH MEJIA CHARRY</t>
  </si>
  <si>
    <t>ELIZABETH MONTAÑEZ SALAZAR</t>
  </si>
  <si>
    <t>ELIZABETH MOSQUERA PALACIOS</t>
  </si>
  <si>
    <t>ELIZABETH ORREGO VILLEGAS</t>
  </si>
  <si>
    <t>ELIZABETH PEDROZA MARTINEZ</t>
  </si>
  <si>
    <t>ELIZABETH RAMIREZ GOMEZ</t>
  </si>
  <si>
    <t>ELIZABETH SIERRA BURGOS</t>
  </si>
  <si>
    <t>ELIZABETH VELEZ MONSALVE MONSALVE</t>
  </si>
  <si>
    <t>ELIZABETH WALLER ZAPATA ZAPATA</t>
  </si>
  <si>
    <t>ELIZAVETA BARYSHEVA</t>
  </si>
  <si>
    <t>ELIZE CARMEN YOHANA PEREZ</t>
  </si>
  <si>
    <t>ELKIN ADRIAN PIEDRAHITA ACOSTA</t>
  </si>
  <si>
    <t>ELKIN ALFARO ECHEVERRY RAMIREZ</t>
  </si>
  <si>
    <t>ELKIN HORACIO LONDOÑO ACOSTA</t>
  </si>
  <si>
    <t>ELKIN NICOLAS GIRALDO ORTIZ</t>
  </si>
  <si>
    <t>ELLA HUIELL PEREZ WOOLFTON</t>
  </si>
  <si>
    <t>ELOISA BARRIGA ARANGO</t>
  </si>
  <si>
    <t>ELOISA BOTERO CEBALLOS</t>
  </si>
  <si>
    <t>ELOISA KRUEGER MARLES</t>
  </si>
  <si>
    <t>ELOISA RESTREPO MEJIA</t>
  </si>
  <si>
    <t>ELSA DIAZ DE FELIPE</t>
  </si>
  <si>
    <t>ELSA NIDIA GONZALEZ DE LA PAVA 0</t>
  </si>
  <si>
    <t>ELSA PATRICIA BUSTAMANTE JAIME</t>
  </si>
  <si>
    <t>ELVIA AGUIRRE GUISAO</t>
  </si>
  <si>
    <t>ELVIA PATRICIA PORRAS RINCON</t>
  </si>
  <si>
    <t>ELVIN FLOYD 0</t>
  </si>
  <si>
    <t>ELVIRA ACEVEDO MURILLO</t>
  </si>
  <si>
    <t>ELVIRA ROSA RESTAN PACHECO</t>
  </si>
  <si>
    <t>EMANUEL BETANCUR CRUZ</t>
  </si>
  <si>
    <t>EMANUEL GARCIA ESTRADA</t>
  </si>
  <si>
    <t>EMANUEL HERRERA MONTOYA</t>
  </si>
  <si>
    <t>EMANUEL MARIN CARDONA</t>
  </si>
  <si>
    <t>EMANUEL MAURICIO MEJIA MANRIQUE</t>
  </si>
  <si>
    <t>EMELY CAROL FERRER QUINTERO</t>
  </si>
  <si>
    <t>EMILIA BARON BOTERO</t>
  </si>
  <si>
    <t>EMILIA BOTERO RODRIGUEZ</t>
  </si>
  <si>
    <t>EMILIA CARRASCAL MARTINEZ</t>
  </si>
  <si>
    <t>EMILIA DIAZ MAYA</t>
  </si>
  <si>
    <t>EMILIA DIAZ URIBE</t>
  </si>
  <si>
    <t>EMILIA LOPEZ BEDOYA</t>
  </si>
  <si>
    <t>EMILIA MARTINEZ BENITEZ</t>
  </si>
  <si>
    <t>EMILIA PEREZ ARANGO</t>
  </si>
  <si>
    <t>C9J8Y0F1Y</t>
  </si>
  <si>
    <t>EMILIA REIBER</t>
  </si>
  <si>
    <t>EMILIA SALAZAR SUAREZ</t>
  </si>
  <si>
    <t>EMILIA URIBE CANO</t>
  </si>
  <si>
    <t>EMILIA URIBE ZAPATA</t>
  </si>
  <si>
    <t>EMILIANA CASTRO OBANDO</t>
  </si>
  <si>
    <t>EMILIANA MADRIGAL JIMENEZ</t>
  </si>
  <si>
    <t>EMILIANA OSORIO GAVIRIA</t>
  </si>
  <si>
    <t>EMILIANA RAMIREZ VELEZ</t>
  </si>
  <si>
    <t>EMILIANA TOBON VILLEGAS</t>
  </si>
  <si>
    <t>EMILIANA VILLEGAS JARAMILLO</t>
  </si>
  <si>
    <t>EMILIANO BUSTAMANTE VASQUEZ</t>
  </si>
  <si>
    <t>EMILIANO DURAN BAYONA</t>
  </si>
  <si>
    <t>EMILIANO GOMEZ DEL RIO</t>
  </si>
  <si>
    <t>EMILIANO HERRERA CASTLES</t>
  </si>
  <si>
    <t>EMILIANO HOYOS VICENTE</t>
  </si>
  <si>
    <t>EMILIANO LONDOÑO GIL</t>
  </si>
  <si>
    <t>EMILIANO OSPINA VILLA</t>
  </si>
  <si>
    <t>EMILIANO PABON BEDOYA</t>
  </si>
  <si>
    <t>EMILIANO QUINTANA PARRA</t>
  </si>
  <si>
    <t>EMILIANO SANCHEZ MONTOYA</t>
  </si>
  <si>
    <t>EMILIANO SANCHEZ PALACIO</t>
  </si>
  <si>
    <t>EMILIANO ULLOA ESCOBAR</t>
  </si>
  <si>
    <t>EMILIANO VALENCIA LOAIZA</t>
  </si>
  <si>
    <t>EMILIANO VALENCIA MEJIA</t>
  </si>
  <si>
    <t>EMILIO CIFUENTES BERMUDEZ</t>
  </si>
  <si>
    <t>EMILIO JOSE MOSQUERA AVILA</t>
  </si>
  <si>
    <t>EMILIO MESA INFANTINO</t>
  </si>
  <si>
    <t>EMILIO MONTOYA URREA</t>
  </si>
  <si>
    <t>EMILIO RAMIREZ BELTRAN RESTREPO</t>
  </si>
  <si>
    <t>EMILIO RESTREPO CADAVID</t>
  </si>
  <si>
    <t>EMILIO SERNA DIAZ</t>
  </si>
  <si>
    <t>EMILY ZAPATA CASTRO</t>
  </si>
  <si>
    <t>EMMA BEATRIZ MENESES REINEL</t>
  </si>
  <si>
    <t>EMMA CANCHILA HENAO</t>
  </si>
  <si>
    <t>EMMA GOMEZ ECHEVERRY</t>
  </si>
  <si>
    <t>EMMA KRAMER VELEZ</t>
  </si>
  <si>
    <t>EMMA MEJIA JARAMILLO</t>
  </si>
  <si>
    <t>EMMA ORTIZ ARBELAEZ</t>
  </si>
  <si>
    <t>EMMA QUINTERO QUINTERO GRAJALES</t>
  </si>
  <si>
    <t>EMMA ROLDAN GIRON</t>
  </si>
  <si>
    <t>EMMA SHIRLEY DE LAS MISERICORDIAS VASQUEZ AMAYA</t>
  </si>
  <si>
    <t>EMMANUEL ALVAREZ RIVERA</t>
  </si>
  <si>
    <t>EMMANUEL AVENDAÑO CARDONA</t>
  </si>
  <si>
    <t>EMMANUEL DIAZ DIAZ HENAO</t>
  </si>
  <si>
    <t>EMMANUEL JIMENEZ ZAPATA</t>
  </si>
  <si>
    <t>EMMANUEL LOPEZ ZULUAGA</t>
  </si>
  <si>
    <t>EMMANUEL OSORNO AGUDELO</t>
  </si>
  <si>
    <t>EMMANUEL VALLEJO PRISCO</t>
  </si>
  <si>
    <t>ENDI ZALIC</t>
  </si>
  <si>
    <t>ENID ROMAN CARDONA</t>
  </si>
  <si>
    <t>ENRIQUE BARRIGA MANRIQUE</t>
  </si>
  <si>
    <t>ENZO SEBASTIAN SANCHEZ LOPEZ</t>
  </si>
  <si>
    <t>ERICA CONSTANZA BOJACA SANCHEZ</t>
  </si>
  <si>
    <t>ERICA VICTORIA MARIN VARGAS</t>
  </si>
  <si>
    <t>ERICK CARO TAPASCO</t>
  </si>
  <si>
    <t>ERICK PALMA MIRANDA</t>
  </si>
  <si>
    <t>ERIK RESTREPO VALLEJO</t>
  </si>
  <si>
    <t>ERIKA ARANGO NOREÑA</t>
  </si>
  <si>
    <t>A65445094</t>
  </si>
  <si>
    <t>ERIKA AYDEE BLANCO HERRERA</t>
  </si>
  <si>
    <t>ERIKA GOMEZ VALENCIA</t>
  </si>
  <si>
    <t>ERIKA MARIA VELASQUEZ CUARTAS</t>
  </si>
  <si>
    <t>ERIKA TATIANA ARIAS JIMENEZ</t>
  </si>
  <si>
    <t>ERIKA TATIANA MADRID MARIN</t>
  </si>
  <si>
    <t>ERIKA TATIANA PRADO CHINGUAD</t>
  </si>
  <si>
    <t>ERIKA VANESA OSORIO HOYOS</t>
  </si>
  <si>
    <t>ERIO WILFREDO CAVALIERI</t>
  </si>
  <si>
    <t>ERNEIDER ENRIQUE UBARNE VIDAL</t>
  </si>
  <si>
    <t>ESTEBAN ALEJANDRO BETANCUR ARANGO</t>
  </si>
  <si>
    <t>C15761609</t>
  </si>
  <si>
    <t>ESTEBAN ARIEL GINER</t>
  </si>
  <si>
    <t>ESTEBAN BUSTAMANTE BUSTAMANTE ESTRADA</t>
  </si>
  <si>
    <t>ESTEBAN CASTAÑO PARRA</t>
  </si>
  <si>
    <t>ESTEBAN JARAMILLO ALVAREZ</t>
  </si>
  <si>
    <t>ESTEBAN LOPEZ VILLADA</t>
  </si>
  <si>
    <t>ESTEBAN LOTERO BOLIVAR</t>
  </si>
  <si>
    <t>ESTEBAN MAURICIO PIEDRAHITA GONZALEZ</t>
  </si>
  <si>
    <t>ESTEFANI ZAPATA SANCHEZ</t>
  </si>
  <si>
    <t>ESTEFANIA ESCOBAR ESCOBAR AGUDELO</t>
  </si>
  <si>
    <t>ESTEFANIA GOMEZ FIGUEROA</t>
  </si>
  <si>
    <t>ESTEFANIA HIGUITA HIGUITA</t>
  </si>
  <si>
    <t>ESTEFANIA MUÑOZ MARIN</t>
  </si>
  <si>
    <t>ESTEFANIA RODRIGUEZ RESTREPO</t>
  </si>
  <si>
    <t>ESTEFANIA VILLARRAGA PARRA</t>
  </si>
  <si>
    <t>ESTEFANIA ZAPATA RUA</t>
  </si>
  <si>
    <t>ESTEFANY BOLIVAR RIOS</t>
  </si>
  <si>
    <t>ESTEFANY DULFAY ANDRADE MEJIA</t>
  </si>
  <si>
    <t>ESTEFANY RAMIREZ ESPINOSA</t>
  </si>
  <si>
    <t>ESTHER CECILIA SALGADO TIRADO</t>
  </si>
  <si>
    <t>P052932ED</t>
  </si>
  <si>
    <t>ESTHER PRISCILLA PIESCO PIESCO</t>
  </si>
  <si>
    <t>ETHAN CASTEBLANCO SALAZAR</t>
  </si>
  <si>
    <t>EUCARIO RAMIREZ LOPEZ</t>
  </si>
  <si>
    <t>EUGENIA BERNAL ACEITUNO</t>
  </si>
  <si>
    <t>EVA AGUDELO VELEZ</t>
  </si>
  <si>
    <t>EVA ARIANNA GARCIA CASTRO</t>
  </si>
  <si>
    <t>EVA RIASCOS CARDONA</t>
  </si>
  <si>
    <t>EVA SANDRITH MORALES CARVAJAL</t>
  </si>
  <si>
    <t>EVA VALENTINA SILVA PROAÑO</t>
  </si>
  <si>
    <t>EVALUNA VALDELAMAR ACEVEDO</t>
  </si>
  <si>
    <t>EVAN CHAUNCEY MOTLONG</t>
  </si>
  <si>
    <t>EVELIN CAMILA USMA BETANCUR</t>
  </si>
  <si>
    <t>EVELIN YEPES CONTRERAS</t>
  </si>
  <si>
    <t>FABER ALONSO MUÑOZ RENDON</t>
  </si>
  <si>
    <t>FABIO ALEJANDRO ARBOLEDA QUIROZ</t>
  </si>
  <si>
    <t>FABIOLA PEREZ OSORIO</t>
  </si>
  <si>
    <t>FABIOLA TORRES VANEGAS</t>
  </si>
  <si>
    <t>FACUNDO VILLA VILLA SHAW</t>
  </si>
  <si>
    <t>FALON ZAPATA ALVARAN ALVARAN</t>
  </si>
  <si>
    <t>FANNY ASTRID BELTRAN ECHEVERRIA</t>
  </si>
  <si>
    <t>FANNY DEL SOCORRO CATAÑO CORDOBA</t>
  </si>
  <si>
    <t>FANY ISABEL MARQUEZ PLAZA</t>
  </si>
  <si>
    <t>FARIDETH DURANGO CIRO</t>
  </si>
  <si>
    <t>FATIMA OLORTEGUI BEDOYA</t>
  </si>
  <si>
    <t>FATIMA RICO TORO</t>
  </si>
  <si>
    <t>FATIMA RUIZ MORENO</t>
  </si>
  <si>
    <t>FEDERICO ACOSTA LONDOÑO LONDOÑO</t>
  </si>
  <si>
    <t>FEDERICO ALVAREZ GALLEGO</t>
  </si>
  <si>
    <t>FEDERICO BUILES ALZATE</t>
  </si>
  <si>
    <t>FEDERICO JARAMILLO CAMACHO</t>
  </si>
  <si>
    <t>FEDERICO PALACIO LONDOÑO</t>
  </si>
  <si>
    <t>FEDERICO PARDO PARDO CARVAJAL</t>
  </si>
  <si>
    <t>FELIPE GARCIA LONDOÑO</t>
  </si>
  <si>
    <t>FELIPE JARAMILLO GIRALDO</t>
  </si>
  <si>
    <t>FELIPE PERDOMO RENZA</t>
  </si>
  <si>
    <t>FELIPE PIEDRAHITA GARCIA</t>
  </si>
  <si>
    <t>AAH496434</t>
  </si>
  <si>
    <t>FELIPE SEIA 0</t>
  </si>
  <si>
    <t>FELIX ALEXIS ROJAS ORREGO</t>
  </si>
  <si>
    <t>CA0598506</t>
  </si>
  <si>
    <t>FELIX MARIO MADURO</t>
  </si>
  <si>
    <t>FENIXSOL S.A.S</t>
  </si>
  <si>
    <t>FERDINAND ORTIZ CLAUDIO CLAUDIO</t>
  </si>
  <si>
    <t>FERLEY AUGUSTO HERNANDEZ RAMIREZ</t>
  </si>
  <si>
    <t>FERNAN GONZALO HINCAPIE MEDINA</t>
  </si>
  <si>
    <t>FERNANDA GALLEGO BETANCUR</t>
  </si>
  <si>
    <t>FERNANDO ALONSO FONEGRA MOLINA</t>
  </si>
  <si>
    <t>FERNANDO ARIEL CANZANI</t>
  </si>
  <si>
    <t>FERNANDO ECHEVERRI ECHEVERRI GOMEZ</t>
  </si>
  <si>
    <t>FERNANDO GACHARNA ROSERO</t>
  </si>
  <si>
    <t>FERNANDO GARCIA PEÑA</t>
  </si>
  <si>
    <t>FERNANDO GONZALEZ DE LA PAGA</t>
  </si>
  <si>
    <t>FERNANDO JOSE GIL GIL</t>
  </si>
  <si>
    <t>FERNANDO MATURANA ALMARZA</t>
  </si>
  <si>
    <t>FERNANDO TOBON HURTADO</t>
  </si>
  <si>
    <t>FERNANDO TORO ALVAREZ</t>
  </si>
  <si>
    <t>FIDEL REDONDO REDONDO MERCADO</t>
  </si>
  <si>
    <t>FIDENCIO ARIOLFO GOMEZ PICO</t>
  </si>
  <si>
    <t>FLOR NATALIA QUINTERO LOPEZ</t>
  </si>
  <si>
    <t>FRANCESCA RAMIREZ ROSSI</t>
  </si>
  <si>
    <t>FRANCISCA LOPEZ SALAZAR</t>
  </si>
  <si>
    <t>FRANCISCO DE LA BARRERA BARRERA FLECHA</t>
  </si>
  <si>
    <t>FRANCISCO EDUARDO PINO VILLA</t>
  </si>
  <si>
    <t>FRANCISCO ENRIQUE MEDINA GOMEZ</t>
  </si>
  <si>
    <t>FRANCISCO FERNANDO BOTERO ALVAREZ</t>
  </si>
  <si>
    <t>FRANCISCO JAVIER OSPINA GONZALEZ</t>
  </si>
  <si>
    <t>FRANCISCO JAVIER PEREZ HENAO</t>
  </si>
  <si>
    <t>FRANCISCO LEON GIRALDO HURTADO</t>
  </si>
  <si>
    <t>FRANCISCO LEON SAMIR CASTAÑO</t>
  </si>
  <si>
    <t>FRANCO NICOLAS SEIA DELGADO</t>
  </si>
  <si>
    <t>FRANCO RAMIREZ GARCIA</t>
  </si>
  <si>
    <t>FRANK JESUS CARVAJAL DIAZGRANADOS</t>
  </si>
  <si>
    <t>A05670725</t>
  </si>
  <si>
    <t>FRANK JONES GONZALEZ</t>
  </si>
  <si>
    <t>FRANKLIN ELIECER PRIETO ROJAS</t>
  </si>
  <si>
    <t>FRANKLIN MARIN MARIN ESCOBAR</t>
  </si>
  <si>
    <t>FREDERICK STEWART MARIUS</t>
  </si>
  <si>
    <t>FREDY ARBEY GIRALDO GIRALDO</t>
  </si>
  <si>
    <t>FREDY DUQUE ALZATE</t>
  </si>
  <si>
    <t>FREYA AURORA CLOSE</t>
  </si>
  <si>
    <t>GABRIEL ANTONIO LOPERA BETANCUR</t>
  </si>
  <si>
    <t>GABRIEL CARDONA CEDIEL</t>
  </si>
  <si>
    <t>GABRIEL GIRALDO GARCIA</t>
  </si>
  <si>
    <t>GABRIEL JAIME ARIAS LOAIZA</t>
  </si>
  <si>
    <t>GABRIEL JIMENEZ ESCOBAR</t>
  </si>
  <si>
    <t>GABRIEL MANESCAU MEJIA</t>
  </si>
  <si>
    <t>GABRIEL RAIGOZA CARDONA</t>
  </si>
  <si>
    <t>PA1083149</t>
  </si>
  <si>
    <t>GABRIEL RUSSO MORENO MORENO</t>
  </si>
  <si>
    <t>GABRIELA ALVAREZ GONZALEZ</t>
  </si>
  <si>
    <t>GABRIELA CAICEDO MORENO</t>
  </si>
  <si>
    <t>GABRIELA DEL SOCORRO SOCORRO MEJIA</t>
  </si>
  <si>
    <t>GABRIELA DUQUE GUTIERREZ</t>
  </si>
  <si>
    <t>GABRIELA DUQUE ROSSO</t>
  </si>
  <si>
    <t>GABRIELA FONSECA ALVAREZ</t>
  </si>
  <si>
    <t>GABRIELA GOMEZ PRADA</t>
  </si>
  <si>
    <t>GABRIELA GONZALEZ LLANO</t>
  </si>
  <si>
    <t>GABRIELA GONZALEZ MIRA</t>
  </si>
  <si>
    <t>GABRIELA LONDOÑO BONILLA</t>
  </si>
  <si>
    <t>GABRIELA LONDOÑO VELEZ</t>
  </si>
  <si>
    <t>GABRIELA MONTOYA ARBOLEDA</t>
  </si>
  <si>
    <t>GABRIELA PEREZ HENAO</t>
  </si>
  <si>
    <t>GABRIELA RIKER MIRANDA</t>
  </si>
  <si>
    <t>GABRIELA ROSA TABORDA ARENILLAS</t>
  </si>
  <si>
    <t>GABRIELA RUIZ OSORIO</t>
  </si>
  <si>
    <t>AN237482</t>
  </si>
  <si>
    <t>GABRIELA SANDOVAL DIAZ</t>
  </si>
  <si>
    <t>GABRIELA SANTOS SALAZAR</t>
  </si>
  <si>
    <t>GABRIELA URREGO BARRERA</t>
  </si>
  <si>
    <t>GABRIELA VILLA ANGEL</t>
  </si>
  <si>
    <t>GABRIELLA ALEXANDRA CORRALES</t>
  </si>
  <si>
    <t>GABRIELLA TURIZZO BORRERO</t>
  </si>
  <si>
    <t>GABRIELLA VARELAS CORRALES</t>
  </si>
  <si>
    <t>GABY DELGADO CANO</t>
  </si>
  <si>
    <t>GADI SHAMIR ROSALES ALONSO</t>
  </si>
  <si>
    <t>GAEL ARDILA VASQUEZ</t>
  </si>
  <si>
    <t>GAEL FERRO PARAMO</t>
  </si>
  <si>
    <t>GAEL SOTO ARCHBOLD</t>
  </si>
  <si>
    <t>GALA AGUILERA VALENCIA</t>
  </si>
  <si>
    <t>GEMA INES CARDONA RIZO</t>
  </si>
  <si>
    <t>GENARO TOMAS SEIA</t>
  </si>
  <si>
    <t>GENESIS DEL GARMEN NAZARETH MAYS PEREIRA</t>
  </si>
  <si>
    <t>NW74RK113</t>
  </si>
  <si>
    <t>GENESIS ROSARIO NADAL</t>
  </si>
  <si>
    <t>22FI54486</t>
  </si>
  <si>
    <t>GENEVIEVE ANTOINETTE SINOPOLI USAGE MONGUSZZI</t>
  </si>
  <si>
    <t>GEORGE KHALIL RAMIREZ</t>
  </si>
  <si>
    <t>GEORGE LUIS PEÑA DUGARTE</t>
  </si>
  <si>
    <t>GEORGE MAKHOUL 0</t>
  </si>
  <si>
    <t>GEORGE OCTAVIAN VELIS</t>
  </si>
  <si>
    <t>NRJH34BB3</t>
  </si>
  <si>
    <t>GEORGES ISSA CARRAHA</t>
  </si>
  <si>
    <t>GERALDINE FORERO GUISAO</t>
  </si>
  <si>
    <t>GERALDINE PAOLA MEZA HERAZO</t>
  </si>
  <si>
    <t>GERALDINNE CARO VELASCO</t>
  </si>
  <si>
    <t>GERARDO GABRIEL MACHADO ABUDEI</t>
  </si>
  <si>
    <t>GERMAN ANTONIO BAQUERO ROSAS</t>
  </si>
  <si>
    <t>GERMAN ELIAS DUQUE OTALVARO</t>
  </si>
  <si>
    <t>GERMAN HERNANDO BURBANO RECALDE</t>
  </si>
  <si>
    <t>NXLC91CC3</t>
  </si>
  <si>
    <t>GERRIT HAROLD GRIFFITH</t>
  </si>
  <si>
    <t>GIANCARLO GALINDEZ GUEVARA</t>
  </si>
  <si>
    <t>GILDARDO TORRES OROZCO</t>
  </si>
  <si>
    <t>GILMA DIAZ RODRIGUEZ</t>
  </si>
  <si>
    <t>GILMA GALEANO GALEANO MARIN</t>
  </si>
  <si>
    <t>GIOVANNY RODRIGUEZ ZABALETA</t>
  </si>
  <si>
    <t>GISELA ZAPATA LOZANO</t>
  </si>
  <si>
    <t>GLADIS AMPARO OLAYA JIMENEZ</t>
  </si>
  <si>
    <t>GLADIS CECILIA RODAS RODAS</t>
  </si>
  <si>
    <t>GLADIS REBECA MIGUEL VIDES</t>
  </si>
  <si>
    <t>GLADYS AUXILIO ALVAREZ ARANGO</t>
  </si>
  <si>
    <t>GLADYS EMMA MARGARITA GOMEZ DIAZ</t>
  </si>
  <si>
    <t>GLADYS MARINA AMELL HERRERA</t>
  </si>
  <si>
    <t>GLADYS OMAIRA LONDOÑO SANCHEZ</t>
  </si>
  <si>
    <t>GLENDA PERLAZA GONZALEZ</t>
  </si>
  <si>
    <t>GLORIA AMPARO ALZATE AGUDELO</t>
  </si>
  <si>
    <t>GLORIA AMPARO ROLDAN SANCHEZ</t>
  </si>
  <si>
    <t>GLORIA AMPARO VARGAS DUQUE</t>
  </si>
  <si>
    <t>GLORIA CECILIA CHAVARRIA DE GOMEZ</t>
  </si>
  <si>
    <t>GLORIA CECILIA VASQUEZ GAVIRIA</t>
  </si>
  <si>
    <t>GLORIA CELENY LOPEZ GONZALEZ</t>
  </si>
  <si>
    <t>GLORIA CONSUELO CUELLAR SANTANILLAR</t>
  </si>
  <si>
    <t>GLORIA ELENA BEDOYA DE TOBON</t>
  </si>
  <si>
    <t>GLORIA ELENA VELEZ VELASQUEZ</t>
  </si>
  <si>
    <t>GLORIA ESPERANZA AGUDELO BETANCUR</t>
  </si>
  <si>
    <t>GLORIA ESTELLA BONILLA BONILLA</t>
  </si>
  <si>
    <t>GLORIA ESTELLA LEON ALVAREZ</t>
  </si>
  <si>
    <t>GLORIA EUGENIA VELEZ MORENO</t>
  </si>
  <si>
    <t>GLORIA HAIDEE ISAZA VELASQUEZ</t>
  </si>
  <si>
    <t>GLORIA INES GIL PEREZ</t>
  </si>
  <si>
    <t>GLORIA ISABEL BAENA VALENCIA</t>
  </si>
  <si>
    <t>GLORIA JARAMILLO DE GOMEZ</t>
  </si>
  <si>
    <t>GLORIA LUCIA MARTELO DE GALLEGO</t>
  </si>
  <si>
    <t>GLORIA MARIA MUNERA CONGOTE</t>
  </si>
  <si>
    <t>GLORIA MARIA NARANJO</t>
  </si>
  <si>
    <t>GLORIA MERY DE FATIMA ORREGO GOMEZ</t>
  </si>
  <si>
    <t>GLORIA PATRICA MONTOYA</t>
  </si>
  <si>
    <t>GLORIA PATRICIA AGUDELO GAVIRIA</t>
  </si>
  <si>
    <t>GLORIA PATRICIA BEDOYA MUÑOZ</t>
  </si>
  <si>
    <t>GLORIA PATRICIA ESCOBAR PALACIO</t>
  </si>
  <si>
    <t>GLORIA PATRICIA ESCUDERO ESCUDERO</t>
  </si>
  <si>
    <t>GLORIA PATRICIA OCAMPO MARTINEZ</t>
  </si>
  <si>
    <t>GLORIA PATRICIA PEREZ GUERRA</t>
  </si>
  <si>
    <t>GLORIA PATRICIA RIOS VALENCIA</t>
  </si>
  <si>
    <t>GLORIA PATRICIA VALDERRAMA TORO</t>
  </si>
  <si>
    <t>GLORIA PSTRICIA QUINCHIA ROLDAN</t>
  </si>
  <si>
    <t>GLORIA STELA QUIROZ MONSALVE</t>
  </si>
  <si>
    <t>GLORIA STELLA ALVAREZ VELEZ</t>
  </si>
  <si>
    <t>GLORIA STELLA VALDERRAMA BARRERA</t>
  </si>
  <si>
    <t>GLORIA VERONICA SERNA DIEZ</t>
  </si>
  <si>
    <t>GONZALO FERNANDEZ AGUILAR</t>
  </si>
  <si>
    <t>GRACIA DE JESUS JARAMILLO AGUILAR</t>
  </si>
  <si>
    <t>GREGORIO HINESTROZA ESCOBAR</t>
  </si>
  <si>
    <t>GREGORIO TOBON ORTIZ</t>
  </si>
  <si>
    <t>GREGORY ALLEN ALLEN VIRAMONTES</t>
  </si>
  <si>
    <t>GREICY ALEJANDRA PINO CARDENAS</t>
  </si>
  <si>
    <t>GUADALUPE BEDOYA CASTAÑEDA</t>
  </si>
  <si>
    <t>GUADALUPE GRANDA OSSA</t>
  </si>
  <si>
    <t>GUADALUPE MARIN MORALES</t>
  </si>
  <si>
    <t>GUADALUPE PEREZ RESTREPO</t>
  </si>
  <si>
    <t>GUADALUPE QUINTERO YEPES</t>
  </si>
  <si>
    <t>GUADALUPE SIERRA ARIAS</t>
  </si>
  <si>
    <t>GUADALUPE VILLA VASQUEZ</t>
  </si>
  <si>
    <t>GUDIEL LEONARDO GIRALDO GIRALDO</t>
  </si>
  <si>
    <t>GUIDO SMELIN SALAS GONZALEZ</t>
  </si>
  <si>
    <t>GUILLERMO LEON BERRIO</t>
  </si>
  <si>
    <t>GUILLERMO PEREZ MONTOYA</t>
  </si>
  <si>
    <t>GUSTAVO ADOLFO GOMEZ MEJIA</t>
  </si>
  <si>
    <t>GUSTAVO ADOLFO GUTIERREZ FLOREZ</t>
  </si>
  <si>
    <t>GUSTAVO ADOLFO SANDOVAL MORALES</t>
  </si>
  <si>
    <t>GUSTAVO ADOLFO SEVILLA CADAVID</t>
  </si>
  <si>
    <t>GUSTAVO ALBERTO ESTRADA GIRALDO</t>
  </si>
  <si>
    <t>GUSTAVO ALBERTO PELAEZ MOLINA</t>
  </si>
  <si>
    <t>GUSTAVO ALEJANDRO PELAEZ RESTREPO</t>
  </si>
  <si>
    <t>GUSTAVO ARANGO ARANGO GAVIRIA</t>
  </si>
  <si>
    <t>GUSTAVO ELIAS RAMIREZ CARO</t>
  </si>
  <si>
    <t>GUSTAVO LEON CASTILLO SIERRA</t>
  </si>
  <si>
    <t>GUSTAVO ORLEDIS ZABALA GARCIA</t>
  </si>
  <si>
    <t>GUSTAVO OSPINA LEON</t>
  </si>
  <si>
    <t>HADI ALIZADEH 0</t>
  </si>
  <si>
    <t>HAINER ALEXANDER LOPEZ BLANDON</t>
  </si>
  <si>
    <t>GA158201</t>
  </si>
  <si>
    <t>HAMZIE DAVID 0</t>
  </si>
  <si>
    <t>HANA ABDUL KARIM OMEIS</t>
  </si>
  <si>
    <t>HANA SALOME SANCHEZ SOLIS</t>
  </si>
  <si>
    <t>HANNA ALEXANDRA OVALLOS BORRERO</t>
  </si>
  <si>
    <t>HANNA ISABEL JIMENEZ PINEDA</t>
  </si>
  <si>
    <t>HANNA VILLADA ANGEL</t>
  </si>
  <si>
    <t>HAROLD BELTRAN CORREA</t>
  </si>
  <si>
    <t>HAROLD ESTEBAN JARAMILLO MARIN</t>
  </si>
  <si>
    <t>HAROLD FERNANDO GIL CABRERA</t>
  </si>
  <si>
    <t>NRBJJ3CL3</t>
  </si>
  <si>
    <t>HAROLD GILLROY GILLROY YEUNG</t>
  </si>
  <si>
    <t>G06684767</t>
  </si>
  <si>
    <t>HECTOR COLIN GARCIA</t>
  </si>
  <si>
    <t>HECTOR DANIEL CHAVARRIAGA MORENO</t>
  </si>
  <si>
    <t>HECTOR DARIO MORENO JARAMILLO</t>
  </si>
  <si>
    <t>HECTOR DE JESUS VELEZ ARAQUE</t>
  </si>
  <si>
    <t>HECTOR JAVIER RESTREPO SANTAMARIA</t>
  </si>
  <si>
    <t>HECTOR OCAMPO NARVAEZ</t>
  </si>
  <si>
    <t>HELENA ALVAREZ OVIEDO</t>
  </si>
  <si>
    <t>HELENA ARRUBLA PENAGOS</t>
  </si>
  <si>
    <t>HELENA CARDENAS QUINTERO</t>
  </si>
  <si>
    <t>HELENA EMYDGIO SANCHEZ</t>
  </si>
  <si>
    <t>HELENA GOMEZ OCAMPO</t>
  </si>
  <si>
    <t>HELENA GONZALEZ GAVIRIA</t>
  </si>
  <si>
    <t>HELENA MAESTRE ORREGO</t>
  </si>
  <si>
    <t>HELENA PAZ CARDENAS</t>
  </si>
  <si>
    <t>HELENA RIVERA GRANADA</t>
  </si>
  <si>
    <t>HELENA VALENCIA RUIZ</t>
  </si>
  <si>
    <t>HENRRY RAFAEL OCANDO BRITTO</t>
  </si>
  <si>
    <t>HENRY ALIRIO ZAPATA CARRASQUILLA</t>
  </si>
  <si>
    <t>HERMANAS BARANSKIS 0</t>
  </si>
  <si>
    <t>HERMILA SANTANILLA DE CUELLAR</t>
  </si>
  <si>
    <t>HERMINIA SANCHEZ VARGAS</t>
  </si>
  <si>
    <t>HERNAN AUGUSTO BLANDON SEPULVEDA</t>
  </si>
  <si>
    <t>HERNAN DAVID ALVAREZ ARENAS</t>
  </si>
  <si>
    <t>HERNANDO DE JESUS ACEVEDO AGUDELO</t>
  </si>
  <si>
    <t>HERNANDO DE JESUS RESTREPO DUQUE</t>
  </si>
  <si>
    <t>HERNANDO NUÑEZ RANGEL RANGEL</t>
  </si>
  <si>
    <t>HERNEY QUINTERO RAMIREZ</t>
  </si>
  <si>
    <t>HILDA ALEXANDRA GONZALEZ TRUJILLO</t>
  </si>
  <si>
    <t>HILDA MARIA PEREZ USECHE</t>
  </si>
  <si>
    <t>HILDA PATRICIA ROJAS NARANJO</t>
  </si>
  <si>
    <t>HILLAN DULFARI ACEVEDO</t>
  </si>
  <si>
    <t>HOLGA ISABEL ISABEL LOPEZ</t>
  </si>
  <si>
    <t>HOOVER ESTEBAN PSNTOJA SANCHEZ</t>
  </si>
  <si>
    <t>HOWIE ALEJANDRO PULIDO TORRES</t>
  </si>
  <si>
    <t>HUGO ERNESTO REYES GIRALDO</t>
  </si>
  <si>
    <t>HUMBERTO CARDENAS GOMEZ</t>
  </si>
  <si>
    <t>HUMBERTO DE JESUS VANEGAS MUÑETON</t>
  </si>
  <si>
    <t>PA1087792</t>
  </si>
  <si>
    <t>HUSSEIN TAREK YAAFAR MROWE</t>
  </si>
  <si>
    <t>IDANELA MARIE ORTEGA RODRIGUEZ</t>
  </si>
  <si>
    <t>ILDA NORA ARISTIZABAL RAMIREZ</t>
  </si>
  <si>
    <t>ILIA BARYSHEV 0</t>
  </si>
  <si>
    <t>IMAN SAKER GHOSN</t>
  </si>
  <si>
    <t>IMANE KABBAJ</t>
  </si>
  <si>
    <t>A72412409</t>
  </si>
  <si>
    <t>IMRAN BAIG 0</t>
  </si>
  <si>
    <t>PA1051084</t>
  </si>
  <si>
    <t>INDIRA ELIDA ORTEGA RODRIGUEZ</t>
  </si>
  <si>
    <t>INDIRA JALLER CUETER</t>
  </si>
  <si>
    <t>INES DEL SOCORRO ALVAREZ BENAVIDEZ</t>
  </si>
  <si>
    <t>INES ELVIRA MEJIA DE CADAVID</t>
  </si>
  <si>
    <t>INES PAOLA SIERRA CONTRERAS</t>
  </si>
  <si>
    <t>INGRI JOHANNA JIMENEZ CASTRO</t>
  </si>
  <si>
    <t>INGRID TATIANA PUENTES BONILLA</t>
  </si>
  <si>
    <t>INSPECTORIA SANTA MARIA MAZZARELLO DE LAS HERMANAS</t>
  </si>
  <si>
    <t>NTK04F526</t>
  </si>
  <si>
    <t>IONA WINIFRED HARREGAN</t>
  </si>
  <si>
    <t>IRENE DEL SOCORRO LOPEZ RESTREPO</t>
  </si>
  <si>
    <t>IRMA CHIQUINQUIRA MONTILLA VEZGA</t>
  </si>
  <si>
    <t>ISAAC BUSTAMANTE ZAPATA</t>
  </si>
  <si>
    <t>ISAAC GALEANO LOPEZ</t>
  </si>
  <si>
    <t>ISAAC GIRALDO PARRA</t>
  </si>
  <si>
    <t>ISAAC MENESES RESTREPO</t>
  </si>
  <si>
    <t>ISAAC MONCADA BUITRAGO</t>
  </si>
  <si>
    <t>ISAAC MUÑOZ VELASQUEZ</t>
  </si>
  <si>
    <t>ISAAC SANTAMARÍA ARANGO</t>
  </si>
  <si>
    <t>ISAAC SOLANO GARCIA</t>
  </si>
  <si>
    <t>ISAAC VELEZ COGOLLO</t>
  </si>
  <si>
    <t>ISABEL ALEJANDRA SERNA AGUDELO</t>
  </si>
  <si>
    <t>ISABEL CRISTINA ACEBEDO RESTREPO</t>
  </si>
  <si>
    <t>ISABEL CRISTINA ALZATE VERGARA</t>
  </si>
  <si>
    <t>ISABEL CRISTINA BEDOYA PALACIO</t>
  </si>
  <si>
    <t>ISABEL CRISTINA CARDONA CAÑAS</t>
  </si>
  <si>
    <t>ISABEL CRISTINA CORREA ANGEL</t>
  </si>
  <si>
    <t>ISABEL CRISTINA DELRIO GOMEZ</t>
  </si>
  <si>
    <t>ISABEL CRISTINA GOMEZ YEPES</t>
  </si>
  <si>
    <t>ISABEL CRISTINA MANRIQUE RENDON</t>
  </si>
  <si>
    <t>ISABEL CRISTINA MARULANDA SIERRA</t>
  </si>
  <si>
    <t>ISABEL CRISTINA MUNERA ARBOLEDA</t>
  </si>
  <si>
    <t>ISABEL CRISTINA RAMIREZ BEDOYA</t>
  </si>
  <si>
    <t>ISABEL CRISTINA SANCHEZ SANCHEZ</t>
  </si>
  <si>
    <t>ISABEL CRISTINA SUAREZ DUQUE</t>
  </si>
  <si>
    <t>ISABEL CRISTINA VILLEGAS DE LA CUESTA</t>
  </si>
  <si>
    <t>ISABEL CRISTINA YEPES LOPERA</t>
  </si>
  <si>
    <t>ISABEL FERNANDA DEL RIO MAYA</t>
  </si>
  <si>
    <t>ISABEL GUISAO ECHAVARRIA</t>
  </si>
  <si>
    <t>ISABEL HENAO VELEZ</t>
  </si>
  <si>
    <t>ISABEL SOFIA DEL MAR CASTILLO HERNÁNDEZ</t>
  </si>
  <si>
    <t>ISABELA CAÑAS RIOS</t>
  </si>
  <si>
    <t>ISABELA COUTURE MEJIA</t>
  </si>
  <si>
    <t>ISABELA DELGADO URRETA</t>
  </si>
  <si>
    <t>ISABELA MOLINA TOBON</t>
  </si>
  <si>
    <t>ISABELA TORRES OSORIO</t>
  </si>
  <si>
    <t>ISABELLA ALVAREZ MESA</t>
  </si>
  <si>
    <t>ISABELLA ARBOLEDA 0</t>
  </si>
  <si>
    <t>ISABELLA CARDONA CARDONA</t>
  </si>
  <si>
    <t>ISABELLA DONADO FALQUEZ</t>
  </si>
  <si>
    <t>ISABELLA GARCIA MANRIQUE</t>
  </si>
  <si>
    <t>ISABELLA HERNANDEZ QUILINDO</t>
  </si>
  <si>
    <t>ISABELLA HOYOS PLAZAS</t>
  </si>
  <si>
    <t>ISABELLA JIMENEZ CORREA</t>
  </si>
  <si>
    <t>ISABELLA OQUENDO OQUENDO LOPERA</t>
  </si>
  <si>
    <t>ISABELLA RESTREPO BARRERA</t>
  </si>
  <si>
    <t>ISABELLA SANCHEZ MALAVE</t>
  </si>
  <si>
    <t>ISABELLA STEFANIA RUIZ ACOSTA</t>
  </si>
  <si>
    <t>ISABELLA STEFFENHAGEN URIBE</t>
  </si>
  <si>
    <t>ISABELLA TORO SANCHEZ</t>
  </si>
  <si>
    <t>ISABELLA TREJOS BUITRAGO</t>
  </si>
  <si>
    <t>ISABELLA VALENTINA PALACIO MARQUEZ</t>
  </si>
  <si>
    <t>ISABELLA VELASQUEZ CASTILLO</t>
  </si>
  <si>
    <t>ISABELLA VELEZ OROZCO</t>
  </si>
  <si>
    <t>ISACC JEREZ JEREZ CATAÑO</t>
  </si>
  <si>
    <t>ISACC LONDOÑO MARIN</t>
  </si>
  <si>
    <t>ISACC PEÑA SALAZAR</t>
  </si>
  <si>
    <t>PA1123744</t>
  </si>
  <si>
    <t>ISIS GIOVANNA ORTEGA RODRIGUEZ</t>
  </si>
  <si>
    <t>ISMAEL BEDOYA HERNANDEZ</t>
  </si>
  <si>
    <t>ISMAEL GOMEZ MARIN</t>
  </si>
  <si>
    <t>ISMAEL J FLORES SANTIAGO</t>
  </si>
  <si>
    <t>ISMAEL MACHADO MEJIA</t>
  </si>
  <si>
    <t>ISMAEL PARRA SANCHEZ</t>
  </si>
  <si>
    <t>ISMAEL RENDON ORTIZ</t>
  </si>
  <si>
    <t>ISNELIA MARIA BENITEZ BASILIO</t>
  </si>
  <si>
    <t>IVAN DARIO ARISTIZABAL QUIROZ</t>
  </si>
  <si>
    <t>IVAN DARIO QUICENO VERGARA</t>
  </si>
  <si>
    <t>IVAN DARIO RAMIREZ ARISTIZABAL</t>
  </si>
  <si>
    <t>IVAN FERNANDO GUTIERREZ MURILLO</t>
  </si>
  <si>
    <t>IVAN JAIME CORREA SALAZAR</t>
  </si>
  <si>
    <t>IVAN SAMIR LEMUS DELGADO</t>
  </si>
  <si>
    <t>IVANNA CALVETE LEON</t>
  </si>
  <si>
    <t>IVONNE ANDREA GOMEZ NARVAEZ</t>
  </si>
  <si>
    <t>IVONNE PATRICIA ALVAREZ ADARVE</t>
  </si>
  <si>
    <t>A78397996</t>
  </si>
  <si>
    <t>IZAMAR ENID GONZALEZ SANCHEZ</t>
  </si>
  <si>
    <t>JACK RUSSELL NORDAHL JR</t>
  </si>
  <si>
    <t>JACOBO ARROYAVE OSPINA</t>
  </si>
  <si>
    <t>JACOBO BARON BOTERO</t>
  </si>
  <si>
    <t>JACOBO CIFUENTES GARCES</t>
  </si>
  <si>
    <t>JACOBO COBOS CAJICA</t>
  </si>
  <si>
    <t>JACOBO DUQUE HERNANDEZ</t>
  </si>
  <si>
    <t>JACOBO JIMENEZ ZAPATA</t>
  </si>
  <si>
    <t>JACOBO MARULANDA HOYOS</t>
  </si>
  <si>
    <t>JACOBO MOLINA GUZMAN</t>
  </si>
  <si>
    <t>JACOBO MONTOYA GUTIERREZ</t>
  </si>
  <si>
    <t>JACOBO PATIÑO OSORIO</t>
  </si>
  <si>
    <t>JACOBO VALENCIA LOAIZA</t>
  </si>
  <si>
    <t>JACQUELINE SIREN KALAPTCHIAN</t>
  </si>
  <si>
    <t>JADIS ENITH GUERRA ACHURE</t>
  </si>
  <si>
    <t>JAIME ALBERTO ARANGO JARAMILLO</t>
  </si>
  <si>
    <t>JAIME ALBERTO CUERVO ARTEAGA</t>
  </si>
  <si>
    <t>JAIME ALBERTO LOPEZ OROZCO</t>
  </si>
  <si>
    <t>JAIME ALBERTO RESTREPO PARRA</t>
  </si>
  <si>
    <t>JAIME ALBERTO SALDARRIAGA VELEZ</t>
  </si>
  <si>
    <t>JAIME ALBERTO VELASQUEZ QUINTERO</t>
  </si>
  <si>
    <t>JAIME ALBERTO VELEZ VELEZ</t>
  </si>
  <si>
    <t>JAIME ALONSO MARIN RESTREPO</t>
  </si>
  <si>
    <t>JAIME ANDRES COLON ZULETA</t>
  </si>
  <si>
    <t>JAIME ANDRES LONDOÑO GALVIS</t>
  </si>
  <si>
    <t>JAIME ANDRES SOSA MORENO</t>
  </si>
  <si>
    <t>JAIME ANDRES VELASQUEZ GARCIA</t>
  </si>
  <si>
    <t>JAIME EDUARDO PEREZ PALACIO</t>
  </si>
  <si>
    <t>JAIME ENRIQUE CASTRO</t>
  </si>
  <si>
    <t>JAIME HUMBERTO SALAZAR BOTERO</t>
  </si>
  <si>
    <t>JAIME HUMBERTO VERGARA MARIN</t>
  </si>
  <si>
    <t>JAIME IGNACIO MARIN VARGAS</t>
  </si>
  <si>
    <t>JAIME IVAN MUNERA GONZALEZ</t>
  </si>
  <si>
    <t>JAIME LOPEZ LOPEZ CASTRO</t>
  </si>
  <si>
    <t>JAIME ORDOÑEZ VILLALOBOS</t>
  </si>
  <si>
    <t>JAIRO ALBERTO GRANADOS ANDRADE</t>
  </si>
  <si>
    <t>JAIRO ANDRES GIL MORENO</t>
  </si>
  <si>
    <t>JAIRO DE JESUS MORALES OCHOA</t>
  </si>
  <si>
    <t>JAIRO DE JESUS TORO DAVID</t>
  </si>
  <si>
    <t>JAIRO EDUARDO OCHOA OSORIO</t>
  </si>
  <si>
    <t>JAIRO IVAN DE JESUS RAMIREZ HOYOS</t>
  </si>
  <si>
    <t>JAIRO IVAN PIRAGUA TALERO</t>
  </si>
  <si>
    <t>JAKELINE VELASQUEZ VELASQUEZ GIRALDO</t>
  </si>
  <si>
    <t>C7XPJYLXZ</t>
  </si>
  <si>
    <t>JAKOB LEVIN PALLESKE</t>
  </si>
  <si>
    <t>NUD62HRHG</t>
  </si>
  <si>
    <t>JAMES 0 ORMAN</t>
  </si>
  <si>
    <t>JAMES 0 SWANWICK</t>
  </si>
  <si>
    <t>PA9168793</t>
  </si>
  <si>
    <t>JAMES LLOYD VRACHAS</t>
  </si>
  <si>
    <t>JANETH PATRICIA MUNOZ RESTREPO</t>
  </si>
  <si>
    <t>JANNY ALEXANDRA BARAHONA CABRERA</t>
  </si>
  <si>
    <t>JAVIER ALBERTO MORALES CARDENAS</t>
  </si>
  <si>
    <t>JAVIER ALONSO GONZALEZ GONZALEZ</t>
  </si>
  <si>
    <t>JAVIER ANDRES JARAMILLO RUIZ</t>
  </si>
  <si>
    <t>JAVIER ANDRES ROBLEDO CUARTAS</t>
  </si>
  <si>
    <t>JAVIER ANTONIO JARAMILLO MONSALVE</t>
  </si>
  <si>
    <t>JAVIER ANTONIO OSSA ALVAREZ</t>
  </si>
  <si>
    <t>JAVIER FIGUEROA VAZQUEZ VAZQUEZ</t>
  </si>
  <si>
    <t>JAVIER GONZALEZ GONZALEZ RESTREPO</t>
  </si>
  <si>
    <t>JAVIER OSBALDO MONSALVE</t>
  </si>
  <si>
    <t>JAVIER SANTIAGO TOBON VILLAMIZAR</t>
  </si>
  <si>
    <t>B0997646</t>
  </si>
  <si>
    <t>JEAN CARLOS ZAMORA HERAS</t>
  </si>
  <si>
    <t>JEAN PAUL ZULUAGA GOMEZ</t>
  </si>
  <si>
    <t>JEHNY CECILIA VILLALOBOS LOPEZ</t>
  </si>
  <si>
    <t>JEISON STIVEN OSORNO LONDOÑO</t>
  </si>
  <si>
    <t>JEISSON FERNANDO PARADA RIAÑO</t>
  </si>
  <si>
    <t>JEISSON MURILLO MURILLO</t>
  </si>
  <si>
    <t>JENIFER TOBON SANCHEZ</t>
  </si>
  <si>
    <t>P289643NG</t>
  </si>
  <si>
    <t>JENNIFER ANNE WARR WARR</t>
  </si>
  <si>
    <t>JENNIFER MABEL SOSSA FRANCO</t>
  </si>
  <si>
    <t>JENNY AZUCENA MUÑOZ RODRIGUEZ</t>
  </si>
  <si>
    <t>JENNY ESMERALDA GARIBELLO AVILA</t>
  </si>
  <si>
    <t>JENNY KATHERINE LOBO CARRILLO</t>
  </si>
  <si>
    <t>JENNY NATALIA MARIN GOMEZ</t>
  </si>
  <si>
    <t>JENNY PAOLA MOLANO CASTRO</t>
  </si>
  <si>
    <t>JENNY VILLADA LENIS</t>
  </si>
  <si>
    <t>JENNYFER MONROY ESPEJO</t>
  </si>
  <si>
    <t>JERONIMO ARROYAVE OSPINA</t>
  </si>
  <si>
    <t>JERONIMO CORRALES ARANGO</t>
  </si>
  <si>
    <t>JERONIMO GRANDA OSSA</t>
  </si>
  <si>
    <t>JERONIMO HOYOS CHARRIA</t>
  </si>
  <si>
    <t>JERONIMO MARTINEZ CONGOTE</t>
  </si>
  <si>
    <t>JERONIMO MEJIA LONDOÑO</t>
  </si>
  <si>
    <t>JERONIMO MESA GOMEZ</t>
  </si>
  <si>
    <t>JERONIMO NARANJO MESA</t>
  </si>
  <si>
    <t>JERONIMO PABON BEDOYA</t>
  </si>
  <si>
    <t>JERONIMO ROJAS OCHOA</t>
  </si>
  <si>
    <t>JERONIMO TOLL MONTOYA</t>
  </si>
  <si>
    <t>JESSICA ALEJANDRA CAÑAS GOMEZ</t>
  </si>
  <si>
    <t>JESSICA CALDERON CONGOTE</t>
  </si>
  <si>
    <t>JESSICA CAMILA CARVAJAL ROCHA</t>
  </si>
  <si>
    <t>JESSICA GONZALEZ ZULUAGA</t>
  </si>
  <si>
    <t>JESSICA MANUELA RAMIREZ BARRERO</t>
  </si>
  <si>
    <t>JESSICA MARCELA RAMOS QUINTERO</t>
  </si>
  <si>
    <t>JESSICA MARIA LEON MOSCOSO</t>
  </si>
  <si>
    <t>JESSICA VALENCIA CORREA</t>
  </si>
  <si>
    <t>JESUS ALFONSO MUÑETON JIMENEZ</t>
  </si>
  <si>
    <t>JESUS ANGEL RESTREPO PEREZ</t>
  </si>
  <si>
    <t>JESUS MARIA GOMEZ GOMEZ</t>
  </si>
  <si>
    <t>JESUS STIVEN OQUENDO ATEHORTUA</t>
  </si>
  <si>
    <t>JEYNER SANTIAGO ALZATE FLOREZ</t>
  </si>
  <si>
    <t>JHAN CARLO GIRALDO HERNANDEZ</t>
  </si>
  <si>
    <t>JHENYFER CORTES GONZALEZ</t>
  </si>
  <si>
    <t>JHOANA MARLENE CAMPOS FLORES</t>
  </si>
  <si>
    <t>JHOANNA AGUIRRE FRANCO</t>
  </si>
  <si>
    <t>JHON ANDRES ARREDONDO VELEZ</t>
  </si>
  <si>
    <t>JHON FREDY ALVAREZ QUICENO</t>
  </si>
  <si>
    <t>JHON FREDY GARCES BOLIVAR</t>
  </si>
  <si>
    <t>JHON FREDY VILLEGAS VANEGAS</t>
  </si>
  <si>
    <t>JHON GENNER BERNAL MORENO</t>
  </si>
  <si>
    <t>JHON JAIDLITHER AGUSTIN MARQUEZ</t>
  </si>
  <si>
    <t>JHON JAIRO RESTREPO OBANDO</t>
  </si>
  <si>
    <t>JHON JAIRO VELEZ MAYA</t>
  </si>
  <si>
    <t>JHON JAIRO ZAPATA SALDARRIAGA</t>
  </si>
  <si>
    <t>JHON NEFTALI MELGUIZO CARDONA</t>
  </si>
  <si>
    <t>JHONAR ARLEY RIOS TORRES</t>
  </si>
  <si>
    <t>JHONATAN ANRRANGO CAGUASQUI</t>
  </si>
  <si>
    <t>JHONATAN MUÑOZ OLAYA</t>
  </si>
  <si>
    <t>JHONATAN PULGARIN CANO</t>
  </si>
  <si>
    <t>JHONNY MAURICIO OCAMPO GRAJALES</t>
  </si>
  <si>
    <t>JHORMAN GARCIA 0</t>
  </si>
  <si>
    <t>JHOVER URIEL AREIZA AREIZA</t>
  </si>
  <si>
    <t>JIHAD GAMAL DAANA ROSAS</t>
  </si>
  <si>
    <t>JINEHT MARIANA USUGA LOAIZA</t>
  </si>
  <si>
    <t>JOAO BOSCO RIKER SOARES</t>
  </si>
  <si>
    <t>JOAQUIN EDUARDO GOMEZ ARCILA</t>
  </si>
  <si>
    <t>JOAQUIN GABRIEL RODRIGUEZ FERRER</t>
  </si>
  <si>
    <t>JOAQUIN GUILLERMO HINCAPIE PEREZ</t>
  </si>
  <si>
    <t>JOAQUIN IGNACIO BARROS BARATO</t>
  </si>
  <si>
    <t>JOAQUIN IVAN BARRERA LOZADA</t>
  </si>
  <si>
    <t>JOAQUIN NIÑO MIRANDA</t>
  </si>
  <si>
    <t>JOAQUIN PALACIO MONTOYA</t>
  </si>
  <si>
    <t>JOAQUIN PARRA OSSA</t>
  </si>
  <si>
    <t>JOAQUIN SOLORZANO PONCE</t>
  </si>
  <si>
    <t>JOAQUIN TAMAYO MONTOYA</t>
  </si>
  <si>
    <t>JOAQUIN VALENCIA CASTRO</t>
  </si>
  <si>
    <t>JOHAN ALEXANDER ALVAREZ AVENDAÑO</t>
  </si>
  <si>
    <t>JOHAN ALEXIS CORTES MEJIA</t>
  </si>
  <si>
    <t>JOHAN BETANCOUR OSORIO</t>
  </si>
  <si>
    <t>JOHAN SANTIAGO CASTAÑO MONTES</t>
  </si>
  <si>
    <t>JOHAN SEBASTIAN MARTINEZ AVALOS</t>
  </si>
  <si>
    <t>JOHANA ANDREA ALVAREZ ROJAS</t>
  </si>
  <si>
    <t>JOHANA PATRICIA FERNANDEZ ARROYO</t>
  </si>
  <si>
    <t>JOHANNA ANDREA QUINTERO GOMEZ</t>
  </si>
  <si>
    <t>JOHANNA STEFANNY VERGARA ZAPATA</t>
  </si>
  <si>
    <t>LB2771841</t>
  </si>
  <si>
    <t>JOHN 0 CONSIDINE</t>
  </si>
  <si>
    <t>JOHN ALEXANDER MARULANDA SIERRA</t>
  </si>
  <si>
    <t>JOHN ARBOLEDA PEREZ</t>
  </si>
  <si>
    <t>JOHN DAIRO QUINTERO ZULUAGA</t>
  </si>
  <si>
    <t>JOHN DAIRO RAMIREZ OSORIO</t>
  </si>
  <si>
    <t>JOHN FAIVER CARDONA RAMIREZ</t>
  </si>
  <si>
    <t>JOHN FERNANDO GONZÁLEZ LONDOÑO</t>
  </si>
  <si>
    <t>JOHN FREDY AGUDELO BEDOYA</t>
  </si>
  <si>
    <t>JOHN FREDY AGUIRRE HOYOS</t>
  </si>
  <si>
    <t>JOHN FREDY ALZATE ARBOLEDA</t>
  </si>
  <si>
    <t>JOHN HORTELIO MORENO MORENO</t>
  </si>
  <si>
    <t>JOHN JAIRO ROMERO AVILAN</t>
  </si>
  <si>
    <t>JOHN JAMES ATEHORTUA BLANDON</t>
  </si>
  <si>
    <t>JOHN PATRICK PICCIANO PICCIANO</t>
  </si>
  <si>
    <t>JOHN WAILER CATAÑO GUZMAN</t>
  </si>
  <si>
    <t>JONATAN ARDILA TORRES</t>
  </si>
  <si>
    <t>JONATHAN CASTAÑO MAYA</t>
  </si>
  <si>
    <t>JONNY ALEXANDER QUINTERO</t>
  </si>
  <si>
    <t>JONNY CARDONA MOLINA MOLINA</t>
  </si>
  <si>
    <t>JOON HYUK SUNG</t>
  </si>
  <si>
    <t>JORGE ALBERTO DIAZ GUTIERREZ</t>
  </si>
  <si>
    <t>JORGE ALBERTO PALLARES CARO</t>
  </si>
  <si>
    <t>JORGE ALBERTO RAMIREZ BOLIVAR</t>
  </si>
  <si>
    <t>JORGE ALEJANDRO VANEGAS DIEZ</t>
  </si>
  <si>
    <t>JORGE ALEXANDER GARCIA ZAPATA</t>
  </si>
  <si>
    <t>JORGE ALEXANDER GIRALDO ARISTIZABAL</t>
  </si>
  <si>
    <t>JORGE ALFONSO CONDE CAMPO</t>
  </si>
  <si>
    <t>JORGE AMEZQUITA GARCIA</t>
  </si>
  <si>
    <t>JORGE ANDRES CARVAJAL CARVAJAL</t>
  </si>
  <si>
    <t>JORGE ANDRES HOYOS TORRES</t>
  </si>
  <si>
    <t>JORGE ANDRES MESA MARISCAL</t>
  </si>
  <si>
    <t>JORGE ANDRES TORRES HERNANDEZ</t>
  </si>
  <si>
    <t>JORGE ANDRES VILLA ROLDAN</t>
  </si>
  <si>
    <t>JORGE ANDRES ZAPATA AMAYA</t>
  </si>
  <si>
    <t>JORGE ANTONIO VILLA LONDOÑO</t>
  </si>
  <si>
    <t>JORGE ELIAS PAEZ AVILA</t>
  </si>
  <si>
    <t>JORGE ENRIQUE ARBELEZ ALVAREZ</t>
  </si>
  <si>
    <t>JORGE ENRIQUE CORREA OSORIO</t>
  </si>
  <si>
    <t>JORGE ENRIQUE ORTIZ GOMEZ</t>
  </si>
  <si>
    <t>JORGE IVAN BEDOYA MORALES</t>
  </si>
  <si>
    <t>JORGE IVAN CASTAÑO RODRIGUEZ</t>
  </si>
  <si>
    <t>JORGE IVAN GONZALEZ GARCIA</t>
  </si>
  <si>
    <t>JORGE IVAN RENDON PELAEZ</t>
  </si>
  <si>
    <t>JORGE LEON SERNA GOMEZ</t>
  </si>
  <si>
    <t>JORGE LUIS GOMEZ MARTINEZ</t>
  </si>
  <si>
    <t>JORGE LUIS GUTIERREZ MONTOYA</t>
  </si>
  <si>
    <t>JORGE MARIO ARISTIZABAL ARANGO</t>
  </si>
  <si>
    <t>JORGE MARIO OCAMPO MEJIA</t>
  </si>
  <si>
    <t>JORGE ORLANDO QUINTERO QUINTERO</t>
  </si>
  <si>
    <t>JORGE OSWALDO GARCIA CARDENAS</t>
  </si>
  <si>
    <t>JORGE SALDARRIAGA 0</t>
  </si>
  <si>
    <t>JORGE USUGA LOAIZA</t>
  </si>
  <si>
    <t>JOSE ADOLFO COLORADO GONZALEZ</t>
  </si>
  <si>
    <t>JOSE AGUSTIN CONTRERAS MAYETONES</t>
  </si>
  <si>
    <t>JOSE ALEJANDRO ARCILA GRANADA</t>
  </si>
  <si>
    <t>JOSE ALONSO DIOSA GARCIA</t>
  </si>
  <si>
    <t>JOSE ALVARO CORREA GIRALDO</t>
  </si>
  <si>
    <t>JOSE ANDRES MARTINEZ HERNANDEZ</t>
  </si>
  <si>
    <t>JOSE ANDRES ORTIZ HOYOS</t>
  </si>
  <si>
    <t>JOSE ANGEL FLOREZ FLOREZ</t>
  </si>
  <si>
    <t>JOSE ANTONIO DIAZ GUERRA</t>
  </si>
  <si>
    <t>JOSE ANTONIO MARTIR</t>
  </si>
  <si>
    <t>JOSE ARIEL PRADO MOSQUERA</t>
  </si>
  <si>
    <t>JOSE ARNALDO BRICEÑO ZERPA</t>
  </si>
  <si>
    <t>JOSE ARTURO DAVID QUIROS</t>
  </si>
  <si>
    <t>JOSE CAMILO YEPES ARIAS</t>
  </si>
  <si>
    <t>JOSE DAVID ANGULO PUELLO</t>
  </si>
  <si>
    <t>JOSE DAVID GUERRERO HENAO</t>
  </si>
  <si>
    <t>JOSE DAVID OSPINA RESTREPO</t>
  </si>
  <si>
    <t>JOSE DE JESUS CONSUEGRA SOLANO</t>
  </si>
  <si>
    <t>JOSE DE JESUS LONDOÑO CALDERON</t>
  </si>
  <si>
    <t>JOSE DELFIN LOPEZ ARISTIZABAL</t>
  </si>
  <si>
    <t>JOSE EDGAR DIMIAN BARRERA</t>
  </si>
  <si>
    <t>JOSE ERINARCO GUZMAN SUAREZ</t>
  </si>
  <si>
    <t>JOSE FABIAN RESTREPO CADAVID</t>
  </si>
  <si>
    <t>JOSE FERNANDO BOLIVAR NOREÑA</t>
  </si>
  <si>
    <t>JOSE FERNANDO GARCIA GUTIERREZ</t>
  </si>
  <si>
    <t>JOSE FERNANDO MARIN URREGO</t>
  </si>
  <si>
    <t>JOSE GABRIEL VILLANUEVA RAMIREZ</t>
  </si>
  <si>
    <t>JOSE GILDARDO CASTAÑO ACEVEDO</t>
  </si>
  <si>
    <t>JOSE GUILLERMO POSADA ECHEVERRI</t>
  </si>
  <si>
    <t>JOSE IGNACIO MONTOYA VELEZ</t>
  </si>
  <si>
    <t>JOSE JESUS ABAD GARCIA</t>
  </si>
  <si>
    <t>JOSE JHON MARULANDA VALENCIA</t>
  </si>
  <si>
    <t>JOSE JOAQUIN CAICEDO MORENO</t>
  </si>
  <si>
    <t>JOSE L MARRERO VARELA</t>
  </si>
  <si>
    <t>JOSE LUIS FAJARDO HERNANDEZ</t>
  </si>
  <si>
    <t>JOSE LUIS MARTINEZ GOMEZ</t>
  </si>
  <si>
    <t>JOSE LUIS OCAMPO RIVERA</t>
  </si>
  <si>
    <t>JOSE MANUEL GIRALDO GOMEZ</t>
  </si>
  <si>
    <t>JOSE MANUEL MONTERROZA SANTOS</t>
  </si>
  <si>
    <t>JOSE MANUEL SAÑUDO COSSIO</t>
  </si>
  <si>
    <t>JOSE MANUEL VILLA SIERRA</t>
  </si>
  <si>
    <t>JOSE MARIO CORREA ARANGO</t>
  </si>
  <si>
    <t>JOSE MIGUEL MONTOYA TAMAYO</t>
  </si>
  <si>
    <t>JOSE MIGUEL TEJADA DELGADO</t>
  </si>
  <si>
    <t>JOSE MIGUEL TOBON SANABRIA</t>
  </si>
  <si>
    <t>JOSE MIGUEL ZAPATA URIBE</t>
  </si>
  <si>
    <t>JOSE MORENO CUESTA</t>
  </si>
  <si>
    <t>JOSE RAMIRO RESTREPO PALACIO</t>
  </si>
  <si>
    <t>JOSE RAMIRO SANCHEZ CEMEJO</t>
  </si>
  <si>
    <t>JOSE RAMIRO VERGARA YEPES</t>
  </si>
  <si>
    <t>JOSE RODRIGO ALVAREZ CORREA</t>
  </si>
  <si>
    <t>JOSE RODRIGO HERNANDEZ CARDONA</t>
  </si>
  <si>
    <t>JOSE RODRIGO NOREÑA SOTO</t>
  </si>
  <si>
    <t>JOSE SIMON GONZALEZ QUIROZ</t>
  </si>
  <si>
    <t>JOSE SIMON PINEDA ORTIZ</t>
  </si>
  <si>
    <t>JOSE VICENTE RODRIGUEZ MACHADO</t>
  </si>
  <si>
    <t>JOSE VILLEGAS ESTRADA</t>
  </si>
  <si>
    <t>JOSEFA DEL CARMEN CARMEN AGUZMAN MANCHEGO</t>
  </si>
  <si>
    <t>JOSEFINA INES CASTRO DE PUSEY</t>
  </si>
  <si>
    <t>JOSEPABLO VENGOECHEA RIAÑO</t>
  </si>
  <si>
    <t>JOSEPH CHARLES CHARLES FALCHETTI</t>
  </si>
  <si>
    <t>JOSHUA COLIN FOSTER FOSTER</t>
  </si>
  <si>
    <t>PA1224961</t>
  </si>
  <si>
    <t>JOSUE ALEXANDER DEJUD CABALLERO</t>
  </si>
  <si>
    <t>JOSUE HUGO MARIN HINCAPIE</t>
  </si>
  <si>
    <t>JOSUE JARAMILLO QUINTERO</t>
  </si>
  <si>
    <t>JOVANNA MARCELA ROSERO ROSERO</t>
  </si>
  <si>
    <t>JOVANNI DE JESUS MONTOYA SIERRA</t>
  </si>
  <si>
    <t>JUAN ALBERTO VELASQUEZ MOSQUERA</t>
  </si>
  <si>
    <t>JUAN ANDRES HENAO VEGA</t>
  </si>
  <si>
    <t>JUAN ANDRES PANIAGUA LOPEZ</t>
  </si>
  <si>
    <t>JUAN BAUTISTA CRUZ DABOIN</t>
  </si>
  <si>
    <t>JUAN CAMILO BENITEZ HOYOS</t>
  </si>
  <si>
    <t>JUAN CAMILO BOTERO SIERRA</t>
  </si>
  <si>
    <t>JUAN CAMILO CUENCA RODRIGUEZ</t>
  </si>
  <si>
    <t>JUAN CAMILO GOMEZ OLIVERO</t>
  </si>
  <si>
    <t>JUAN CAMILO LOPEZ MORA</t>
  </si>
  <si>
    <t>JUAN CAMILO RIOS MOLINA</t>
  </si>
  <si>
    <t>JUAN CAMILO VANEGAS LONDOÑO</t>
  </si>
  <si>
    <t>JUAN CAMILO VELASQUEZ ARROYAVE</t>
  </si>
  <si>
    <t>JUAN CAMILO YEPES CORREA</t>
  </si>
  <si>
    <t>JUAN CAMILO ZUÑIGA MOSQUERA</t>
  </si>
  <si>
    <t>JUAN CARLOS ARROYAVE TORRES</t>
  </si>
  <si>
    <t>JUAN CARLOS CADAVID PARRA</t>
  </si>
  <si>
    <t>JUAN CARLOS CARLOS ZUÑIGA</t>
  </si>
  <si>
    <t>JUAN CARLOS CESPEDES MONSALVE</t>
  </si>
  <si>
    <t>JUAN CARLOS CORREA VILLADA</t>
  </si>
  <si>
    <t>JUAN CARLOS DIOSSA ARROYAVE</t>
  </si>
  <si>
    <t>JUAN CARLOS GOMEZ ARANGO</t>
  </si>
  <si>
    <t>JUAN CARLOS NOREÑA GUTIERREZ</t>
  </si>
  <si>
    <t>JUAN CARLOS PANIAGUA ANDRADE</t>
  </si>
  <si>
    <t>JUAN CARLOS POSADA SALDARRIAGA</t>
  </si>
  <si>
    <t>JUAN CARLOS RESTREPO GARCIA</t>
  </si>
  <si>
    <t>JUAN CARLOS RUBIO VALENCIA</t>
  </si>
  <si>
    <t>JUAN DAVID AGUDELO BODHERT</t>
  </si>
  <si>
    <t>JUAN DAVID ARBELAEZ RODAS</t>
  </si>
  <si>
    <t>JUAN DAVID CARDENAS RIOS</t>
  </si>
  <si>
    <t>JUAN DAVID CORREA VARGAS</t>
  </si>
  <si>
    <t>JUAN DAVID DE JESUS JARAMILLO</t>
  </si>
  <si>
    <t>JUAN DAVID ESCOBAR SOTO</t>
  </si>
  <si>
    <t>JUAN DAVID GRISALES LOPEZ</t>
  </si>
  <si>
    <t>JUAN DAVID HERNANDEZ VIANA</t>
  </si>
  <si>
    <t>JUAN DAVID MOLINA ALVAREZ</t>
  </si>
  <si>
    <t>JUAN DAVID MOLINA LONDOÑO</t>
  </si>
  <si>
    <t>JUAN DAVID RAMIREZ ALVAREZ</t>
  </si>
  <si>
    <t>JUAN DAVID ROMERO MORENO</t>
  </si>
  <si>
    <t>JUAN DAVID TAMAYO QUINTERO</t>
  </si>
  <si>
    <t>JUAN DAVID ZAPATA NOREÑA</t>
  </si>
  <si>
    <t>JUAN DIEGO ARROYAVE VALENCIA</t>
  </si>
  <si>
    <t>JUAN DIEGO FERNANDEZ CASTRILLON</t>
  </si>
  <si>
    <t>JUAN DIEGO GARCIA JARAMILLO</t>
  </si>
  <si>
    <t>JUAN DIEGO QUIJANO LLANO</t>
  </si>
  <si>
    <t>JUAN DIEGO RODRIGUEZ GUARIN</t>
  </si>
  <si>
    <t>JUAN DIEGO ZUÑIGA BOLAÑOS</t>
  </si>
  <si>
    <t>JUAN ESTEBAN ACOSTA RESTREPO</t>
  </si>
  <si>
    <t>JUAN ESTEBAN CARDONA LOPEZ</t>
  </si>
  <si>
    <t>JUAN ESTEBAN RIOS CORTES</t>
  </si>
  <si>
    <t>JUAN ESTEBAN VELASCO LEON</t>
  </si>
  <si>
    <t>JUAN ESTEBAN ZAPATA SUAREZ</t>
  </si>
  <si>
    <t>JUAN FELIPE CORDOBA ARCOS</t>
  </si>
  <si>
    <t>JUAN FELIPE HOYOS GARCES</t>
  </si>
  <si>
    <t>JUAN FELIPE MAILLANE TABARES</t>
  </si>
  <si>
    <t>JUAN FELIPE MEJIA QUINTERO</t>
  </si>
  <si>
    <t>JUAN FELIPE ORTEGA LUGO</t>
  </si>
  <si>
    <t>JUAN FELIPE RAIGOZA ANGEL</t>
  </si>
  <si>
    <t>JUAN FELIPE SEPULVEDA TRONCOSO</t>
  </si>
  <si>
    <t>JUAN FELIPE SERRANO BARRENECHE</t>
  </si>
  <si>
    <t>JUAN FELIPE VILLA GIRALDO</t>
  </si>
  <si>
    <t>JUAN FERNANDO ARBELAEZ ALVAREZ</t>
  </si>
  <si>
    <t>JUAN FERNANDO ECHEVERRI OSORIO</t>
  </si>
  <si>
    <t>JUAN FERNANDO LONDOÑO GALEANO</t>
  </si>
  <si>
    <t>JUAN FERNANDO YEPES SANTA</t>
  </si>
  <si>
    <t>JUAN FRANCISCO GOMEZ POSADA</t>
  </si>
  <si>
    <t>JUAN GABRIEL GALLEGO MONTOYA</t>
  </si>
  <si>
    <t>JUAN GUILLERMO ALVAREZ HINCAPIE</t>
  </si>
  <si>
    <t>JUAN IGNACIO LLANO RODRIGUEZ</t>
  </si>
  <si>
    <t>JUAN IGNACIO TRIVELIN</t>
  </si>
  <si>
    <t>JUAN JACOBO AGUDELO GALEANO</t>
  </si>
  <si>
    <t>JUAN JOSE ARCINIEGAS HINCAPIE</t>
  </si>
  <si>
    <t>JUAN JOSE BENITEZ GUTIERREZ</t>
  </si>
  <si>
    <t>JUAN JOSE BOTERO ORTIZ</t>
  </si>
  <si>
    <t>JUAN JOSE CADAVID GARCIA</t>
  </si>
  <si>
    <t>JUAN JOSE CARDONA JARAMILLO</t>
  </si>
  <si>
    <t>JUAN JOSE GIL SERNA</t>
  </si>
  <si>
    <t>JUAN JOSE MANTILLA JAIMES</t>
  </si>
  <si>
    <t>JUAN JOSE MARTINEZ RODRIGUEZ</t>
  </si>
  <si>
    <t>JUAN JOSE NIETO GUTIERREZ</t>
  </si>
  <si>
    <t>JUAN JOSE POSADA LAGUNA</t>
  </si>
  <si>
    <t>JUAN JOSE ROLDAN TISNIS</t>
  </si>
  <si>
    <t>JUAN JOSE URIBE GOMEZ</t>
  </si>
  <si>
    <t>JUAN LUIS CASTAÑO CEBALLOS</t>
  </si>
  <si>
    <t>JUAN LUIS LONDOÑO FERNANDEZ</t>
  </si>
  <si>
    <t>JUAN MANUEL CAMACHO PAEZ</t>
  </si>
  <si>
    <t>JUAN MANUEL FERNANDEZ ECHEVERRI</t>
  </si>
  <si>
    <t>JUAN MANUEL GARCIA GOMEZ</t>
  </si>
  <si>
    <t>JUAN MANUEL MARTINEZ</t>
  </si>
  <si>
    <t>JUAN MANUEL MESA SANCHEZ</t>
  </si>
  <si>
    <t>JUAN MANUEL OROZCO ACOSTA</t>
  </si>
  <si>
    <t>JUAN MANUEL PALACIOS DUARTE</t>
  </si>
  <si>
    <t>JUAN MANUEL TOBON MARIN</t>
  </si>
  <si>
    <t>JUAN MANUEL TRIVIÑO MARTINEZ</t>
  </si>
  <si>
    <t>JUAN MANUEL TURBAY CEBALLOS</t>
  </si>
  <si>
    <t>JUAN MANUEL VELASQUEZ HENAO</t>
  </si>
  <si>
    <t>JUAN MARCOS GALEANO MOLINA</t>
  </si>
  <si>
    <t>JUAN MARTIN CARDONA GONZALEZ</t>
  </si>
  <si>
    <t>JUAN MARTIN CASTAÑO GOMEZ</t>
  </si>
  <si>
    <t>JUAN MARTIN PAZ SALAZAR</t>
  </si>
  <si>
    <t>JUAN MARTIN QUINTERO HENAO</t>
  </si>
  <si>
    <t>JUAN MARTIN ROZO GARCIA</t>
  </si>
  <si>
    <t>JUAN MARTIN SANDOVAL DIAZ</t>
  </si>
  <si>
    <t>JUAN MARTIN TREJO JARAMILLO</t>
  </si>
  <si>
    <t>JUAN MATHIAS CHAVEZ URIBE</t>
  </si>
  <si>
    <t>JUAN MATIAS CADAVID HENAO</t>
  </si>
  <si>
    <t>JUAN MIGUEL GIL NAVIA</t>
  </si>
  <si>
    <t>JUAN MIGUEL GONZALEZ OCHOA</t>
  </si>
  <si>
    <t>JUAN PABLO AGUDELO URREGO</t>
  </si>
  <si>
    <t>JUAN PABLO BUSTAMANTE MEJIA</t>
  </si>
  <si>
    <t>JUAN PABLO CHAHIN HENAO</t>
  </si>
  <si>
    <t>JUAN PABLO DE LOS RIOS MARTINEZ</t>
  </si>
  <si>
    <t>JUAN PABLO GALLEGO TORRES</t>
  </si>
  <si>
    <t>JUAN PABLO GARCES RESTREPO</t>
  </si>
  <si>
    <t>JUAN PABLO GUERRA JIMENEZ</t>
  </si>
  <si>
    <t>JUAN PABLO HOYOS GOMEZ</t>
  </si>
  <si>
    <t>JUAN PABLO PERALTA GOMEZ</t>
  </si>
  <si>
    <t>JUAN RAFAEL PALACIO GOMEZ</t>
  </si>
  <si>
    <t>JUAN RICARDO PRIETO PELAEZ</t>
  </si>
  <si>
    <t>JUAN RODRIGO TORO ISAZA</t>
  </si>
  <si>
    <t>JUAN SEBASTIAN CHICA PULGARIN</t>
  </si>
  <si>
    <t>JUAN SEBASTIAN GOMEZ GRISALES</t>
  </si>
  <si>
    <t>JUAN SEBASTIAN LOPERA DUQUE</t>
  </si>
  <si>
    <t>JUAN SEBASTIAN MONCADA LOPEZ</t>
  </si>
  <si>
    <t>JUAN SEBASTIAN RAMIREZ BILLE</t>
  </si>
  <si>
    <t>JUAN SEBASTIAN REDONDO ALVAREZ</t>
  </si>
  <si>
    <t>JUAN TOMAS MOLINA GONZALEZ</t>
  </si>
  <si>
    <t>JUANITA ARANGO RESTREPO</t>
  </si>
  <si>
    <t>JUANITA CARMONA MUNERA</t>
  </si>
  <si>
    <t>JUANITA CATAÑO JARILLO</t>
  </si>
  <si>
    <t>JUANITA LONDOÑO TAMAYO</t>
  </si>
  <si>
    <t>JUANITA MARIN OSORIO</t>
  </si>
  <si>
    <t>JUANITA MARTINEZ MARTINEZ MEJIA</t>
  </si>
  <si>
    <t>JUANITA MESA GALLO</t>
  </si>
  <si>
    <t>JUANITA PEREZ PEREZ ARISTIZABAL</t>
  </si>
  <si>
    <t>JUANITA SALAZAR CORDOBA</t>
  </si>
  <si>
    <t>JUANITA ZULUAGA CORREA</t>
  </si>
  <si>
    <t>JUANITA ZULUAGA SALAZAR</t>
  </si>
  <si>
    <t>JULEICY CAMARGO HERNÁNDEZ</t>
  </si>
  <si>
    <t>JULIA LLACH NARANJO</t>
  </si>
  <si>
    <t>JULIA RESTREPO DE URIBE</t>
  </si>
  <si>
    <t>JULIA STEVENS LALINDE</t>
  </si>
  <si>
    <t>JULIAN ALBERTO DURANGO DUQUE</t>
  </si>
  <si>
    <t>JULIAN ANDRES LOPEZ CEBALLOS</t>
  </si>
  <si>
    <t>JULIAN ANDRES MORALES ARROYO</t>
  </si>
  <si>
    <t>JULIAN ARIAS RESTREPO</t>
  </si>
  <si>
    <t>JULIAN BELTRAN PRADA</t>
  </si>
  <si>
    <t>JULIAN DAVID JIMENEZ LONDOÑO</t>
  </si>
  <si>
    <t>JULIAN DAVID MARIN SALAZAR</t>
  </si>
  <si>
    <t>JULIAN DAVID ZULETA ZULETA</t>
  </si>
  <si>
    <t>JULIAN EDUARDO MORALES PADILLA</t>
  </si>
  <si>
    <t>JULIAN ESTRADA JARAMILLO</t>
  </si>
  <si>
    <t>JULIAN FERNEY GALLEGO GUTIERREZ</t>
  </si>
  <si>
    <t>JULIAN LEONIDAS BETANCUR</t>
  </si>
  <si>
    <t>JULIAN ODILIO RAMIREZ DUQUE</t>
  </si>
  <si>
    <t>JULIAN PULIDO TAMARA</t>
  </si>
  <si>
    <t>JULIAN SERRATO ACOSTA</t>
  </si>
  <si>
    <t>JULIAN VALENCIA CASTAÑO</t>
  </si>
  <si>
    <t>JULIANA ANDREA PABON VILLAMIZAR</t>
  </si>
  <si>
    <t>JULIANA CORREA HENAO</t>
  </si>
  <si>
    <t>JULIANA ESCOBAR JARAMILLO</t>
  </si>
  <si>
    <t>JULIANA ESTRADA SANCHEZ</t>
  </si>
  <si>
    <t>JULIANA GARCIA GRISALES</t>
  </si>
  <si>
    <t>JULIANA GUERRERO GALEANO</t>
  </si>
  <si>
    <t>JULIANA ISABEL CEBALLOS VILLA</t>
  </si>
  <si>
    <t>JULIANA LONDOÑO GOMEZ</t>
  </si>
  <si>
    <t>JULIANA MESA GARCIA GARCIA</t>
  </si>
  <si>
    <t>JULIANA MONTOYA PULGARIN</t>
  </si>
  <si>
    <t>JULIANA OCAMPO ARBOLEDA</t>
  </si>
  <si>
    <t>JULIANA PANIAGUA SALDARRIAGA</t>
  </si>
  <si>
    <t>JULIANA POSADA SALDARRIAGA</t>
  </si>
  <si>
    <t>JULIANA PUERTA RESTREPO</t>
  </si>
  <si>
    <t>JULIANA ROMERO TORRES</t>
  </si>
  <si>
    <t>JULIANA RUA OROZCO</t>
  </si>
  <si>
    <t>JULIANA SALAZAR LOZANO</t>
  </si>
  <si>
    <t>JULIANA SIERRA ZULUAGA</t>
  </si>
  <si>
    <t>JULIANA SUESCUN ACOSTA ACOSTA</t>
  </si>
  <si>
    <t>JULIETA CORREA BELLO</t>
  </si>
  <si>
    <t>JULIETA DOVAL MAZO</t>
  </si>
  <si>
    <t>JULIETA GALLEGO BERMUDEZ</t>
  </si>
  <si>
    <t>JULIETA GOMEZ POSADA</t>
  </si>
  <si>
    <t>JULIETA LUNA VASCO</t>
  </si>
  <si>
    <t>JULIETA QUIROZ BUSTAMANTE</t>
  </si>
  <si>
    <t>JULIETA RESTREPO SIERRA</t>
  </si>
  <si>
    <t>JULIETA RODRÍGUEZ VALENCIA</t>
  </si>
  <si>
    <t>JULIETA SIERRA MARTINEZ</t>
  </si>
  <si>
    <t>JULIETA SOLANO CHIQUITO</t>
  </si>
  <si>
    <t>JULIETA TORRES SARMIENTO</t>
  </si>
  <si>
    <t>JULIETH ESTHER ESCUDERO PERALES</t>
  </si>
  <si>
    <t>A36404974</t>
  </si>
  <si>
    <t>JULIO CABRERA 0</t>
  </si>
  <si>
    <t>JULIO CESAR BETANCUR VILLEGAS</t>
  </si>
  <si>
    <t>JULIO CESAR GOMEZ SOTO</t>
  </si>
  <si>
    <t>JULIO CESAR GONZALEZ VILLEGAS</t>
  </si>
  <si>
    <t>JULIO CESAR PALACIO LONDOÑO</t>
  </si>
  <si>
    <t>JULIO ROMULO DURAN RAMIREZ</t>
  </si>
  <si>
    <t>JULISSA YANETTE GRAHAM CEDEÑO</t>
  </si>
  <si>
    <t>JULY CATALINA DUQUE GARCIA</t>
  </si>
  <si>
    <t>JUNIOR ALEXANDER SERRANO DURAN</t>
  </si>
  <si>
    <t>JURANY ALEJANDRA GUZMAN BERRIO</t>
  </si>
  <si>
    <t>JURANY ANDREA SANCHEZ BUSTAMANTE</t>
  </si>
  <si>
    <t>KALEB DUQUE LEON</t>
  </si>
  <si>
    <t>ES8237554</t>
  </si>
  <si>
    <t>KAMIL PATRYK HRYNIEWICZ</t>
  </si>
  <si>
    <t>KAMILA GIRALDO GOMEZ</t>
  </si>
  <si>
    <t>KAMILA MERCADO CATAÑO</t>
  </si>
  <si>
    <t>KAREN ANDREA PRADO GIL</t>
  </si>
  <si>
    <t>KAREN BOHORQUEZ RODAS</t>
  </si>
  <si>
    <t>KAREN BUSTAMANTE 0</t>
  </si>
  <si>
    <t>KAREN TATIANA HERNANDEZ DAZA</t>
  </si>
  <si>
    <t>KARINA GONZALEZ MORENO</t>
  </si>
  <si>
    <t>KARINA MILENA CONTRERAS MARIA</t>
  </si>
  <si>
    <t>KARLA LIZETH BABATIVA PEÑUELA</t>
  </si>
  <si>
    <t>KARLA MARIANA CADAVID PULGARIN</t>
  </si>
  <si>
    <t>KARLA VALENTINA PRECIADO SINISTERRA</t>
  </si>
  <si>
    <t>KARLA VALERIA USUGA REY</t>
  </si>
  <si>
    <t>KAROL DAYANA DUQUE GOMEZ</t>
  </si>
  <si>
    <t>KAROL INDIRA ROMERO ALVAREZ</t>
  </si>
  <si>
    <t>A16403504</t>
  </si>
  <si>
    <t>KATHELEEN GARCIA 0</t>
  </si>
  <si>
    <t>KATHERINE ORREGO JARAMILLO</t>
  </si>
  <si>
    <t>KATHERINE PORRAS MUÑOZ</t>
  </si>
  <si>
    <t>A04546843</t>
  </si>
  <si>
    <t>KATHLEEN ANNE ANNE BREEN</t>
  </si>
  <si>
    <t>KATRINA SAIEH CALLE</t>
  </si>
  <si>
    <t>KATY LUCIA RAMIREZ</t>
  </si>
  <si>
    <t>KATYA BAENA BOTETT</t>
  </si>
  <si>
    <t>KEILLER JOSEPH CARO GALINDO</t>
  </si>
  <si>
    <t>KELLI JOHANNA DIAZ GUZMAN</t>
  </si>
  <si>
    <t>NU9265175</t>
  </si>
  <si>
    <t>KELLY ANNALYAE NADYNE</t>
  </si>
  <si>
    <t>KELLY JOHANA CASTRO GAVIRIA</t>
  </si>
  <si>
    <t>KELLY JOHANA LOPEZ MOSQUERA</t>
  </si>
  <si>
    <t>KELLY TATIANA CARREÑO CASTAÑO</t>
  </si>
  <si>
    <t>KENNY GALLEGO RESTREPO</t>
  </si>
  <si>
    <t>KERBIN GARCIA</t>
  </si>
  <si>
    <t>KEREN LIZETH RODRIGUEZ MUÑOZ</t>
  </si>
  <si>
    <t>KEVIN MUÑOZ OLAYA</t>
  </si>
  <si>
    <t>KEYLA XIMENA ROJO ARANGO</t>
  </si>
  <si>
    <t>KHAROLINE LISETH RUIZ DIAZ</t>
  </si>
  <si>
    <t>KIREY XIOMARA GARCIA CASTAÑEDA</t>
  </si>
  <si>
    <t>A36234164</t>
  </si>
  <si>
    <t>KOFFIS STANISLAS ASSOUTOVI ASSOUTOVI</t>
  </si>
  <si>
    <t>LADY CAROLINA TOBON ISAZA</t>
  </si>
  <si>
    <t>LADY JOHANA CASTAÑEDA DUQUE</t>
  </si>
  <si>
    <t>LANA VO DONATO</t>
  </si>
  <si>
    <t>LARRY MANUEL MAYORIANO BARRETO</t>
  </si>
  <si>
    <t>A44789722</t>
  </si>
  <si>
    <t>LARRY SHANNON</t>
  </si>
  <si>
    <t>LAURA ACOSTA SALDARRIAGA</t>
  </si>
  <si>
    <t>LAURA ALEJANDRA GUTIERREZ CAJICA</t>
  </si>
  <si>
    <t>LAURA CAMILA GONZALES MEDINA</t>
  </si>
  <si>
    <t>LAURA CAROLINA JARAMILLO ZAPATA</t>
  </si>
  <si>
    <t>LAURA CAVADIA CARDONA</t>
  </si>
  <si>
    <t>LAURA CRISTINA MADRID BENJUMEA</t>
  </si>
  <si>
    <t>LAURA CRISTINA SINISTERRA CIRO</t>
  </si>
  <si>
    <t>LAURA CRISTINA VIDAL BERRIO</t>
  </si>
  <si>
    <t>LAURA DAYANA RIOS TORRES</t>
  </si>
  <si>
    <t>LAURA ECHANDIA ROLDAN</t>
  </si>
  <si>
    <t>LAURA ELENA BELLO FLORES</t>
  </si>
  <si>
    <t>LAURA HELENA ATUESTA BECERRA</t>
  </si>
  <si>
    <t>LAURA INES HURTRADO MERCADO</t>
  </si>
  <si>
    <t>LAURA JOHANNA MUÑOZ CARDONA</t>
  </si>
  <si>
    <t>LAURA JOY HAWKINS</t>
  </si>
  <si>
    <t>LAURA KATHERINN BLANDON CASTAÑO</t>
  </si>
  <si>
    <t>LAURA MARIA GIRALDO SARABIA</t>
  </si>
  <si>
    <t>LAURA MARIA OLARTE MEJIA</t>
  </si>
  <si>
    <t>LAURA MARIA RESTREPO ARISTIZABAL</t>
  </si>
  <si>
    <t>LAURA MURIEL BUSTAMANTE</t>
  </si>
  <si>
    <t>LAURA NATALIA ALVAREZ MORALES</t>
  </si>
  <si>
    <t>LAURA OCHOA ALZATE</t>
  </si>
  <si>
    <t>LAURA PALACIO ARREDONDO</t>
  </si>
  <si>
    <t>LAURA PELAEZ CALLE</t>
  </si>
  <si>
    <t>LAURA RESTREPO TOBON</t>
  </si>
  <si>
    <t>LAURA RIVERA BARRERA</t>
  </si>
  <si>
    <t>LAURA SANCHEZ MONSALVE</t>
  </si>
  <si>
    <t>LAURA STEPHANIE MORALES VILLA</t>
  </si>
  <si>
    <t>LAURA TRUJILLO MONTOYA</t>
  </si>
  <si>
    <t>LAURA VALENCIA NANCLARES</t>
  </si>
  <si>
    <t>LAURA VALENTINA GUISAO LOAIZA</t>
  </si>
  <si>
    <t>LAURA VANESSA BITAR OZUNA</t>
  </si>
  <si>
    <t>LAURA VANESSA GUTIERREZ REYES</t>
  </si>
  <si>
    <t>LAURA VANESSA MARIN ZABALA</t>
  </si>
  <si>
    <t>LAURA VICTORIA GRANADOS VALDERRAMA</t>
  </si>
  <si>
    <t>LAURA XIMENA GARCIA ZAMBRANO</t>
  </si>
  <si>
    <t>LAURA XIMENA SALGADO PEREZ</t>
  </si>
  <si>
    <t>LAURA ZAPSTA DEL VALLE</t>
  </si>
  <si>
    <t>LAUREL ONEILL 0</t>
  </si>
  <si>
    <t>LAVARNE ALICIA CAMERON</t>
  </si>
  <si>
    <t>LEANDRO ALEXIS MOLINA RESTREPO</t>
  </si>
  <si>
    <t>LEANDRO CARVAJAL VIDALES</t>
  </si>
  <si>
    <t>LEDA MARIA BUSTAMANTE ESCOBAR</t>
  </si>
  <si>
    <t>LEDIS SUGEY GARCIA MORALES</t>
  </si>
  <si>
    <t>LEDY RIOS OSPINA OSPINA</t>
  </si>
  <si>
    <t>LEIDER ANTONIO TABORDA ARISTIZABAL</t>
  </si>
  <si>
    <t>LEIDY ALEJANDRA ALZATE SERNA</t>
  </si>
  <si>
    <t>LEIDY ALEJANDRA CADAVID CARMONA</t>
  </si>
  <si>
    <t>LEIDY FERNANDA DIAZ JIMENEZ</t>
  </si>
  <si>
    <t>LEIDY GINETH CASALLAS OLAYA</t>
  </si>
  <si>
    <t>LEIDY GIOVANA CHAVARRIA VERA</t>
  </si>
  <si>
    <t>LEIDY JOHANA CAÑAS SALDARRIAGA</t>
  </si>
  <si>
    <t>LEIDY JOHANA GIRALDO CASTRO</t>
  </si>
  <si>
    <t>LEIDY JOHANA JARAMILLO GARCIA</t>
  </si>
  <si>
    <t>LEIDY JOHANA PALACIO OSORIO</t>
  </si>
  <si>
    <t>LEIDY JOHANA RESTREPO ECHEVERRY</t>
  </si>
  <si>
    <t>LEIDY JOHANNA BUSTAMANTE AGUDELO</t>
  </si>
  <si>
    <t>LEIDY JOHANNA JIMENEZ OBANDO</t>
  </si>
  <si>
    <t>LEIDY MARCELA ARIAS RAMIREZ</t>
  </si>
  <si>
    <t>LEIDY MARCELA MOLINA OSORIO</t>
  </si>
  <si>
    <t>LEIDY PATRICIA MURILLO VELASQUEZ</t>
  </si>
  <si>
    <t>LEIDY YECENIA BUSTAMANTE ROMAN</t>
  </si>
  <si>
    <t>LEIDY YHOHANA MESA ALVREZ</t>
  </si>
  <si>
    <t>LEIDY YISETH QUINTO PALACIOS</t>
  </si>
  <si>
    <t>PA1474663</t>
  </si>
  <si>
    <t>LEIRY ANNETTE MIRANDA GONZALEZ</t>
  </si>
  <si>
    <t>LELIS MARIA MENDOZA BECERRA</t>
  </si>
  <si>
    <t>A16787951</t>
  </si>
  <si>
    <t>LEMICHAEL QUINTON BROWN</t>
  </si>
  <si>
    <t>LEON ALBERTO SANCHEZ AGUDELO</t>
  </si>
  <si>
    <t>LEON FERNANDO RESTREPO MARIN</t>
  </si>
  <si>
    <t>LEONARDO ALVAREZ SANCHEZ</t>
  </si>
  <si>
    <t>LEONARDO ANDRES HERNANDEZ RODRIGUEZ</t>
  </si>
  <si>
    <t>LEONARDO FABIO MOSQUERA MOSQUERA</t>
  </si>
  <si>
    <t>LEONARDO FAVIO PRADA CUBILLOS</t>
  </si>
  <si>
    <t>LEONARDO RESTREPO MAYA</t>
  </si>
  <si>
    <t>NYPK67PF3</t>
  </si>
  <si>
    <t>LEONARDO RICARDO ELIZABETH</t>
  </si>
  <si>
    <t>LEONOR ELENA DIEZ QUIROZ</t>
  </si>
  <si>
    <t>LEONOR GIL GIL IBARGUEN</t>
  </si>
  <si>
    <t>LETICIA ARANGO MARTINEZ</t>
  </si>
  <si>
    <t>LETICIA GIRALDO RESTREPO</t>
  </si>
  <si>
    <t>LETICIA PEREZ VASQUEZ</t>
  </si>
  <si>
    <t>LEYDI JOHANA JARAMILLO GONZALEZ</t>
  </si>
  <si>
    <t>LIA CAVALIE AGUILAR</t>
  </si>
  <si>
    <t>LIAM ARANGO ECHEVERRI</t>
  </si>
  <si>
    <t>LIAM MATEO ZHOU</t>
  </si>
  <si>
    <t>LIBARDO ARTURO FRANCO VILLADIEGO</t>
  </si>
  <si>
    <t>LIBRADA GUARIN DE OSPINA</t>
  </si>
  <si>
    <t>LICED EUGENIA BARRENECHE HERNANDEZ</t>
  </si>
  <si>
    <t>LIDA MARIA GIRALDO SOTO</t>
  </si>
  <si>
    <t>LIDANA YANCE YANCE TABORDA</t>
  </si>
  <si>
    <t>LIDIA MERCEDES NARVAEZ MAIGUAL</t>
  </si>
  <si>
    <t>LIDU PAOLA LASTRE NAVARRO</t>
  </si>
  <si>
    <t>LIGIA AMPARO ALVAREZ ESTRADA</t>
  </si>
  <si>
    <t>LIGIA GOMEZ OSORIO</t>
  </si>
  <si>
    <t>LIGIA MARIELA ANGEL DE VARGAS</t>
  </si>
  <si>
    <t>LILIA MARCELA CASTRILLON GONZALEZ</t>
  </si>
  <si>
    <t>LILIANA ALEXANDRA UPEGUI VILLEGAS</t>
  </si>
  <si>
    <t>LILIANA ESTHER CHAVERRA DIEZ</t>
  </si>
  <si>
    <t>LILIANA MARIA CEBALLOS ALZATE</t>
  </si>
  <si>
    <t>LILIANA MARIA CORDOBA TORRES</t>
  </si>
  <si>
    <t>LILIANA MARIA GIRALDO SANCHEZ</t>
  </si>
  <si>
    <t>LILIANA MARIA GOMEZ RAMIREZ</t>
  </si>
  <si>
    <t>LILIANA MARIA JARAMILLO RODRIGUEZ</t>
  </si>
  <si>
    <t>LILIANA PATRICIA BOTERO ROMAN</t>
  </si>
  <si>
    <t>LILIANA PATRICIA CIRO MARTINEZ</t>
  </si>
  <si>
    <t>LILIANA RIVERA AGUDELO</t>
  </si>
  <si>
    <t>LILIANA SALDARRIAGA CALDERON</t>
  </si>
  <si>
    <t>LILIANA TERESA ESCOBAR BRAVO</t>
  </si>
  <si>
    <t>LILIANA VELILLA GARCIA</t>
  </si>
  <si>
    <t>LILLIANA MARIA MESA CORREA</t>
  </si>
  <si>
    <t>LINA MARCELA PENAGOS ACEVEDO</t>
  </si>
  <si>
    <t>LINA MARIA BARRENECHE AGUILAR</t>
  </si>
  <si>
    <t>LINA MARIA CASTAÑO LONDOÑO</t>
  </si>
  <si>
    <t>LINA MARIA GOMEZ CADAVID</t>
  </si>
  <si>
    <t>LINA MARIA HENAO ALVAREZ</t>
  </si>
  <si>
    <t>LINA MARIA JARAMILLO GIL</t>
  </si>
  <si>
    <t>LINA MARIA MADRID GONZALEZ</t>
  </si>
  <si>
    <t>LINA MARIA MARTINEZ</t>
  </si>
  <si>
    <t>LINA MARIA MORILLO</t>
  </si>
  <si>
    <t>LINA MARIA MURILLO RESTREPO</t>
  </si>
  <si>
    <t>LINA MARIA VALENCIA MARULANDA</t>
  </si>
  <si>
    <t>LINA MARIA ZULUAGA FALLA</t>
  </si>
  <si>
    <t>LINDA HASBLEIDY CHAPARRO PRIETO</t>
  </si>
  <si>
    <t>LINDA JOHANNA MORENO PANESSO</t>
  </si>
  <si>
    <t>LINDA LORENA TOBON RESTREPO</t>
  </si>
  <si>
    <t>LINETH PAULINA ACEVEDO MONTIEL</t>
  </si>
  <si>
    <t>LIRIAM DE JESUS VASQUEZ VANEGAS</t>
  </si>
  <si>
    <t>LISED EVELIN TACAN BASTIDAS</t>
  </si>
  <si>
    <t>LISET MONICA ULLOA MELENDEZ</t>
  </si>
  <si>
    <t>LISSETTE PATRICIA VEGA RUJANA</t>
  </si>
  <si>
    <t>LIZBETH CATHERINE SIERRA ARIAS</t>
  </si>
  <si>
    <t>LIZETH FERNANDA PORRAS TRUJILLO</t>
  </si>
  <si>
    <t>LORENA CASTRO GARCIA</t>
  </si>
  <si>
    <t>LORENA DEL SOCORRO RESTREPO LEDESMA</t>
  </si>
  <si>
    <t>LORENA MARIA OSPINA SARASTY</t>
  </si>
  <si>
    <t>NMD28D3H3</t>
  </si>
  <si>
    <t>LORENA TERESA ESTRADA SANCHEZ</t>
  </si>
  <si>
    <t>LORENZO ANGEL RESTREPO</t>
  </si>
  <si>
    <t>LORENZO APA CHAVARRIA</t>
  </si>
  <si>
    <t>LORENZO ARANGO CARDONA</t>
  </si>
  <si>
    <t>LORENZO CLAVIJO GIRALDO</t>
  </si>
  <si>
    <t>LORENZO HENAO VASQUEZ</t>
  </si>
  <si>
    <t>LORENZO HINCAPIE OROZCO</t>
  </si>
  <si>
    <t>LORENZO LOPEZ SALAZAR</t>
  </si>
  <si>
    <t>LORENZO VARGAS VARGAS URIBE</t>
  </si>
  <si>
    <t>LOURDES AGUDELO MEJIA</t>
  </si>
  <si>
    <t>LUCA GARCIA GIL</t>
  </si>
  <si>
    <t>LUCA NICHOLAS KOROM HURTADO</t>
  </si>
  <si>
    <t>LUCA SAMUEL ARNOLD</t>
  </si>
  <si>
    <t>LUCA SEPULVEDA ARBELAEZ</t>
  </si>
  <si>
    <t>LUCAS BOTERO CUARTAS</t>
  </si>
  <si>
    <t>LUCAS BRITO CHAPARRO</t>
  </si>
  <si>
    <t>LUCAS ECHAVARRIA ESPAÑA</t>
  </si>
  <si>
    <t>LUCAS ERNESTO MASSEI BASTO</t>
  </si>
  <si>
    <t>LUCAS OLIVARES ESCUDERO</t>
  </si>
  <si>
    <t>LUCAS SALAZAR CORDOBA</t>
  </si>
  <si>
    <t>LUCAS VELASQUEZ MUÑOZ</t>
  </si>
  <si>
    <t>LUCCA HERNANDEZ BARRETO</t>
  </si>
  <si>
    <t>LUCELLY BUILES BUILES BEDOYA</t>
  </si>
  <si>
    <t>LUCELLY MURILLO MATURANA</t>
  </si>
  <si>
    <t>LUCELLY OSORIO RUIZ</t>
  </si>
  <si>
    <t>LUCELLY SEL SOCORRO MEJIA AGUDELO</t>
  </si>
  <si>
    <t>LUCENA SALDARRIAGA DUQUE</t>
  </si>
  <si>
    <t>LUCIA ECHEVERRI RAMOS</t>
  </si>
  <si>
    <t>LUCIA PALACIOS PALACIOS MOYA</t>
  </si>
  <si>
    <t>LUCIA PAZ SALAZAR</t>
  </si>
  <si>
    <t>LUCIA SALINAS ALZATE</t>
  </si>
  <si>
    <t>LUCIA VALDIVIESO ECHANDIA</t>
  </si>
  <si>
    <t>LUCIANA ARCE BLANDON</t>
  </si>
  <si>
    <t>LUCIANA BETANCUR HOYOS</t>
  </si>
  <si>
    <t>LUCIANA BETANCUR VALENCIA</t>
  </si>
  <si>
    <t>LUCIANA CASTAÑEDA ALVAREZ</t>
  </si>
  <si>
    <t>LUCIANA CASTAÑO RODRÍGUEZ</t>
  </si>
  <si>
    <t>LUCIANA DUQUE GARCIA</t>
  </si>
  <si>
    <t>LUCIANA DUQUE ROMERO</t>
  </si>
  <si>
    <t>LUCIANA ESCUDERO GARCIA</t>
  </si>
  <si>
    <t>LUCIANA GARCIA MONARES</t>
  </si>
  <si>
    <t>LUCIANA HERNANDEZ CONTRERAS</t>
  </si>
  <si>
    <t>LUCIANA LOTERO ANGEL</t>
  </si>
  <si>
    <t>LUCIANA MARIN MARIN RAMIREZ</t>
  </si>
  <si>
    <t>LUCIANA MENDEZ GOEZ</t>
  </si>
  <si>
    <t>LUCIANA MONSALVE RESTREPO</t>
  </si>
  <si>
    <t>LUCIANA MONTOYA CASTAÑO</t>
  </si>
  <si>
    <t>LUCIANA PELAEZ ARANGO</t>
  </si>
  <si>
    <t>LUCIANA RAMIREZ RICO</t>
  </si>
  <si>
    <t>LUCIANA TOBON VALENCIA</t>
  </si>
  <si>
    <t>LUCIANA TORRES CIFUENTES</t>
  </si>
  <si>
    <t>LUCIANA VELEZ URIBE</t>
  </si>
  <si>
    <t>LUCIANA WERZ ROJAS</t>
  </si>
  <si>
    <t>LUCIANO AGUDELO CASTRILLON</t>
  </si>
  <si>
    <t>LUCIANO ALVAREZ MARQUEZ</t>
  </si>
  <si>
    <t>LUCIANO BOCANEGRA MORALES</t>
  </si>
  <si>
    <t>LUCILA DEL SOCORRO SANCHEZ DE ESCOBAR</t>
  </si>
  <si>
    <t>LUCILA GONZALEZ DE LA PAVA</t>
  </si>
  <si>
    <t>LUCILVIA BOTERO BOTERO CARDONA</t>
  </si>
  <si>
    <t>LUCINA MARIA OLIVEROS ROJAS</t>
  </si>
  <si>
    <t>LUCIO LONDOÑO 0</t>
  </si>
  <si>
    <t>LUCIO PELAEZ URREA</t>
  </si>
  <si>
    <t>LUCRECIA NEIRA NEIRA</t>
  </si>
  <si>
    <t>LUCY MARCELA RIASCOS GARCIA</t>
  </si>
  <si>
    <t>YC4915369</t>
  </si>
  <si>
    <t>LUIGI 0 MUTTI</t>
  </si>
  <si>
    <t>YB4489507</t>
  </si>
  <si>
    <t>LUIGI ROMENTI ROMENTI 0</t>
  </si>
  <si>
    <t>LUIS ALBERTO AGUDELO VELAZQUEZ</t>
  </si>
  <si>
    <t>LUIS ALBERTO CASTRO HERNANDEZ</t>
  </si>
  <si>
    <t>LUIS ALBERTO TOBON MESA</t>
  </si>
  <si>
    <t>LUIS ALEJANDRO GONZALEZ ACEVEDO</t>
  </si>
  <si>
    <t>LUIS ALEJANDRO MENDEZ MADRID</t>
  </si>
  <si>
    <t>LUIS ALEXANDER FIGUEROA SANCHEZ</t>
  </si>
  <si>
    <t>LUIS ALVEIRO VASCO MESA</t>
  </si>
  <si>
    <t>LUIS BIARNEY CORREA CORREA</t>
  </si>
  <si>
    <t>LUIS CARLOS BRITO ALARCON</t>
  </si>
  <si>
    <t>LUIS CARLOS ESTRADA VILLEGAS</t>
  </si>
  <si>
    <t>LUIS CARLOS TELLEZ LONDOÑO</t>
  </si>
  <si>
    <t>LUIS CARLOS VILLACOB NAVARRO</t>
  </si>
  <si>
    <t>LUIS DAVID MEJIA VASQUEZ</t>
  </si>
  <si>
    <t>LUIS EDUARDO BORJA SOSA</t>
  </si>
  <si>
    <t>LUIS EDUARDO GIL GUISAO</t>
  </si>
  <si>
    <t>LUIS EDUARDO OQUENDO PEREZ</t>
  </si>
  <si>
    <t>LUIS EDUARDO USUGA DAVID</t>
  </si>
  <si>
    <t>LUIS FELIPE BERNAL CARMONA</t>
  </si>
  <si>
    <t>LUIS FELIPE ESCOBAR RAVE</t>
  </si>
  <si>
    <t>LUIS FELIPE MAYA QUIROS</t>
  </si>
  <si>
    <t>LUIS FELIPE MESA FRANCO</t>
  </si>
  <si>
    <t>LUIS FELIPE MUÑOZ GRAJALES</t>
  </si>
  <si>
    <t>LUIS FELIPE RAMIREZ BURGOS</t>
  </si>
  <si>
    <t>LUIS FELIPE VALLEJO GONZALEZ</t>
  </si>
  <si>
    <t>LUIS FERNANDO DE AVILA VASQUEZ</t>
  </si>
  <si>
    <t>LUIS FERNANDO GALLO ECHAVARRIA</t>
  </si>
  <si>
    <t>LUIS FERNANDO LOPEZ BERNAL</t>
  </si>
  <si>
    <t>LUIS FERNANDO LOPEZ FERNANDEZ</t>
  </si>
  <si>
    <t>LUIS FERNANDO MARTINEZ MORALES</t>
  </si>
  <si>
    <t>LUIS FERNANDO MUNERA RIOS</t>
  </si>
  <si>
    <t>LUIS FERNANDO OSPINA SUAREZ</t>
  </si>
  <si>
    <t>LUIS FERNANDO POSADA JOHNSON</t>
  </si>
  <si>
    <t>LUIS FERNANDO RETREPO CAMPUZANO</t>
  </si>
  <si>
    <t>LUIS FERNANDO SALAZAR PINEDA</t>
  </si>
  <si>
    <t>LUIS FERNANDO TRUJILLO CABRERA</t>
  </si>
  <si>
    <t>LUIS GABRIEL MUÑOZ HENAO</t>
  </si>
  <si>
    <t>LUIS GERARDO SANCHEZ MUÑOZ</t>
  </si>
  <si>
    <t>LUIS GERMAN CUARTAS CARRASCO</t>
  </si>
  <si>
    <t>LUIS GERMAN VELEZ DUQUE</t>
  </si>
  <si>
    <t>LUIS GUILLERMO CABAL ESCOBAR</t>
  </si>
  <si>
    <t>LUIS GUILLERMO MARIN VILLEGAS</t>
  </si>
  <si>
    <t>LUIS GUILLERMO MESA ROJAS</t>
  </si>
  <si>
    <t>LUIS GUILLERMO PEREZ ASSIA</t>
  </si>
  <si>
    <t>LUIS GUILLERMO PSLACIOS TORRES</t>
  </si>
  <si>
    <t>LUIS GUILLERMO RESTREPO CARDONA</t>
  </si>
  <si>
    <t>LUIS HERNESTO PEREZ MARTINEZ</t>
  </si>
  <si>
    <t>LUIS HUMBERTO SALAZAR GUZMAN</t>
  </si>
  <si>
    <t>LUIS IGNACIO FRANCO RESTREPO</t>
  </si>
  <si>
    <t>LUIS MIGUEL ACOSTA BAENA</t>
  </si>
  <si>
    <t>LUIS MIGUEL GUTIERREZ CASTAÑEDA</t>
  </si>
  <si>
    <t>LUIS MIGUEL JIMENEZ RESTREPO</t>
  </si>
  <si>
    <t>LUIS MIGUEL MORENO RIVERA</t>
  </si>
  <si>
    <t>LUIS MIGUEL SANTAMARIA RUEDA</t>
  </si>
  <si>
    <t>LUIS MIGUEL SOLANO NIÑO</t>
  </si>
  <si>
    <t>LUIS SANTIAGO MAYA RESTREPO</t>
  </si>
  <si>
    <t>LUIS SEBASTIAN CASTRO OSORNO</t>
  </si>
  <si>
    <t>LUISA DANNECKER HERNANDEZ</t>
  </si>
  <si>
    <t>LUISA FERNANDA CANO MADRID</t>
  </si>
  <si>
    <t>LUISA FERNANDA CARDENAS CASTAÑEDA</t>
  </si>
  <si>
    <t>LUISA FERNANDA HENAO ORREGO</t>
  </si>
  <si>
    <t>LUISA FERNANDA MARTINEZ PONCE</t>
  </si>
  <si>
    <t>LUISA FERNANDA MAZO HERRERA</t>
  </si>
  <si>
    <t>LUISA FERNANDA MORENO TAMAYO</t>
  </si>
  <si>
    <t>LUISA FERNANDA PUERTA HERNANDEZ</t>
  </si>
  <si>
    <t>LUISA FERNANDA ROSSO VELEZ</t>
  </si>
  <si>
    <t>LUISA FERNANDA SALAZAR CASTRO</t>
  </si>
  <si>
    <t>LUISA FERNANDA SALDARRIAGA JARAMILLO</t>
  </si>
  <si>
    <t>LUISA FERNANDA SIERRA LOPEZ</t>
  </si>
  <si>
    <t>LUISA FERNANDA UPEGUI GOMEZ</t>
  </si>
  <si>
    <t>LUISA MARIA OSORIO ALZATE</t>
  </si>
  <si>
    <t>LUISA MARIA QUINTERO FLOREZ</t>
  </si>
  <si>
    <t>LUISA MARIA RESTREPO RUIZ</t>
  </si>
  <si>
    <t>LUISA VICTORIA TAMAYO MONTOYA</t>
  </si>
  <si>
    <t>LUNA HENAO MORENO</t>
  </si>
  <si>
    <t>LUNA ISABEL OCHOA CARDENAS</t>
  </si>
  <si>
    <t>LUNA MARIA MEDINA ISAZA</t>
  </si>
  <si>
    <t>LUNA MARRUGO 0</t>
  </si>
  <si>
    <t>LUNA RUIZ MARTINEZ</t>
  </si>
  <si>
    <t>LUZ ADRIANA HOYOS USUGA</t>
  </si>
  <si>
    <t>LUZ ADRIANA PALACIO PALACIO</t>
  </si>
  <si>
    <t>LUZ AIDE MONSALVE RENDON</t>
  </si>
  <si>
    <t>LUZ ALBA HINCAPIE MONSALVE</t>
  </si>
  <si>
    <t>LUZ AMPARO GIRALDO CALLE</t>
  </si>
  <si>
    <t>LUZ ANGELA AGUDELO SANCHEZ</t>
  </si>
  <si>
    <t>LUZ BIFRANCY SIERRA MIRANDA</t>
  </si>
  <si>
    <t>LUZ CATERINE GARCES QUINTANA</t>
  </si>
  <si>
    <t>LUZ DARY MEDINA JARAMILLO</t>
  </si>
  <si>
    <t>LUZ EDIT MARIN</t>
  </si>
  <si>
    <t>LUZ ELENA AGUDELO CASTAÑO</t>
  </si>
  <si>
    <t>LUZ ELENA CORREA CELIS</t>
  </si>
  <si>
    <t>LUZ ELENA DE FATIMA VALENCIA</t>
  </si>
  <si>
    <t>LUZ ELENA GALLEGO MONTOYA</t>
  </si>
  <si>
    <t>LUZ ELENA GALLEGO VELEZ</t>
  </si>
  <si>
    <t>LUZ ELENA GOMEZ</t>
  </si>
  <si>
    <t>LUZ ELENA GRACIA ALDANA</t>
  </si>
  <si>
    <t>LUZ ELENA VALENCIA MARTINEZ</t>
  </si>
  <si>
    <t>LUZ ELENA VELASQUEZ BEDOYA</t>
  </si>
  <si>
    <t>LUZ ELENA VILLA USUGA</t>
  </si>
  <si>
    <t>LUZ EMILIA DE LA VIRGEN FATIMA CUERVO VALENCIA</t>
  </si>
  <si>
    <t>LUZ ESNEDA CALDERON</t>
  </si>
  <si>
    <t>LUZ ESTELA MOSQUERA RODRIGUEZ</t>
  </si>
  <si>
    <t>LUZ ESTELLA HURTADO IBARGUEN</t>
  </si>
  <si>
    <t>LUZ ESTELLA MARTINEZ ACEVEDO</t>
  </si>
  <si>
    <t>LUZ ESTELLA OCAMPO ALVAREZ</t>
  </si>
  <si>
    <t>LUZ ESTELLA RAMIREZ BERRIO</t>
  </si>
  <si>
    <t>LUZ GLADYS SOSA HENAO</t>
  </si>
  <si>
    <t>LUZ HELENA ARIAS CARO</t>
  </si>
  <si>
    <t>LUZ HELENA BELTRAN OLAYA</t>
  </si>
  <si>
    <t>LUZ HELENA DEL SOCORRO LOPEZ DE GARCES</t>
  </si>
  <si>
    <t>LUZ HELENA RIVERA LOPEZ</t>
  </si>
  <si>
    <t>LUZ HELENA SIERRA RESTREPO</t>
  </si>
  <si>
    <t>LUZ INES PARRA PATIÑO</t>
  </si>
  <si>
    <t>LUZ KATHERINE BURGOS MARULANDA</t>
  </si>
  <si>
    <t>LUZ LEIDER PEREZ LOPEZ</t>
  </si>
  <si>
    <t>LUZ MABEL MAYA MABEL</t>
  </si>
  <si>
    <t>LUZ MARIELA LOPEZ DE ROMERO</t>
  </si>
  <si>
    <t>LUZ MARINA CANENCIO RAMIREZ</t>
  </si>
  <si>
    <t>LUZ MARINA MEDINA PELAEZ</t>
  </si>
  <si>
    <t>LUZ MARINA MONTOYA DE MONTOYA</t>
  </si>
  <si>
    <t>LUZ MARINA ORTIZ ACEVEDO</t>
  </si>
  <si>
    <t>LUZ MARINA SALAZAR OSORIO</t>
  </si>
  <si>
    <t>LUZ MARINA UPEGUI MONTOYA</t>
  </si>
  <si>
    <t>LUZ MERLY ARBELAEZ VELEZ</t>
  </si>
  <si>
    <t>LUZ MERY ALVAREZ ZAPATA</t>
  </si>
  <si>
    <t>LUZ MERY DEL SOCORRO DUQUE</t>
  </si>
  <si>
    <t>LUZ MERY RUIZ GARCIA</t>
  </si>
  <si>
    <t>LUZ MERY TORRES DE MORENO</t>
  </si>
  <si>
    <t>LUZ MIRELLA BUILES ARENAS</t>
  </si>
  <si>
    <t>LUZ MIREYA DEL SOCORRO VELEZ LONDOÑO</t>
  </si>
  <si>
    <t>LUZ NATALIA OCAMPO MEJIA</t>
  </si>
  <si>
    <t>LUZ NELLY DE JESUS HERNANDEZ</t>
  </si>
  <si>
    <t>LUZ NERY DIAZ GARCIA</t>
  </si>
  <si>
    <t>LUZ NIDIA GUERRERO GIL</t>
  </si>
  <si>
    <t>LUZ PATRICIA RODRIGUEZ RIOS</t>
  </si>
  <si>
    <t>LUZ SOLISBELLA PRADA GOMEZ</t>
  </si>
  <si>
    <t>LUZ STELLA MONTOYA VALENCIA</t>
  </si>
  <si>
    <t>LUZ VICTORIA ARIAS GOMEZ</t>
  </si>
  <si>
    <t>LUZ VICTORIA SALAZAR SANTAMARIA</t>
  </si>
  <si>
    <t>LUZANGELA ANGELA LOPEZ SANCHEZ</t>
  </si>
  <si>
    <t>LYNNETTE RUIZ RIVERA</t>
  </si>
  <si>
    <t>LYSSE LOPEZ OSORIO</t>
  </si>
  <si>
    <t>MACARENA ARISTIZABAL MORENO</t>
  </si>
  <si>
    <t>MACARENA CORREA ARANGO</t>
  </si>
  <si>
    <t>MACARENA MARTINEZ JARAMILLO</t>
  </si>
  <si>
    <t>MACARENA POLO BENJUMEA</t>
  </si>
  <si>
    <t>LT7358034</t>
  </si>
  <si>
    <t>MACHONNA SOMHAIRLE LACE</t>
  </si>
  <si>
    <t>MADELINE GONZALEZ SANTANA</t>
  </si>
  <si>
    <t>MAGDA XIMENA FERNANDEZ CAMPOS</t>
  </si>
  <si>
    <t>MAGDALENA HENAO JARAMILLO</t>
  </si>
  <si>
    <t>MAGNOLIA DE LAS MISERICORDIAS PEREZ ROLDAN</t>
  </si>
  <si>
    <t>MAIA OCHOA GALVAN</t>
  </si>
  <si>
    <t>MAIRA ALESANDRA VALENCIA BUSTAMANTE</t>
  </si>
  <si>
    <t>MALLORI DAYANA ALVIS ROJAS</t>
  </si>
  <si>
    <t>MALLORY SUAREZ MEDINA</t>
  </si>
  <si>
    <t>MALORI LLAVINA TAPIA ALANDETE</t>
  </si>
  <si>
    <t>MANUEL ALBERTO MARTINEZ JULIO</t>
  </si>
  <si>
    <t>MANUEL ARTURO SANTOS FONSECA</t>
  </si>
  <si>
    <t>MANUEL GUILLERMO URREGO MARTINEZ</t>
  </si>
  <si>
    <t>MANUEL HERNANDO GUARIN ACOSTA</t>
  </si>
  <si>
    <t>MANUEL JOSE FERNANDO URIBE MERINO</t>
  </si>
  <si>
    <t>NND998F35</t>
  </si>
  <si>
    <t>MANUEL SANTOS DE GOUVEIA</t>
  </si>
  <si>
    <t>MANUELA ARCILA VARGAS</t>
  </si>
  <si>
    <t>MANUELA BENITES MARTINEZ</t>
  </si>
  <si>
    <t>MANUELA CORREA BOLIVAR</t>
  </si>
  <si>
    <t>MANUELA FALTERI VELEZ</t>
  </si>
  <si>
    <t>MANUELA FRANCO COLORADO</t>
  </si>
  <si>
    <t>MANUELA GOMEZ HERRERA</t>
  </si>
  <si>
    <t>MANUELA GOMEZ OSPINA</t>
  </si>
  <si>
    <t>MANUELA HOYOS DUQUE</t>
  </si>
  <si>
    <t>MANUELA LONDOÑO SALAZAR</t>
  </si>
  <si>
    <t>MANUELA ORTIZ CANO</t>
  </si>
  <si>
    <t>MANUELA OSORIO CORREA</t>
  </si>
  <si>
    <t>MANUELA RAMIREZ MUNERA</t>
  </si>
  <si>
    <t>MANUELA RESTREPO RESTREPO SIERRA</t>
  </si>
  <si>
    <t>MANUELA RUBIO RUBIO MOLINA</t>
  </si>
  <si>
    <t>MANUELA SANTOS MARTINEZ</t>
  </si>
  <si>
    <t>MANUELA SIERRA ESCUDERO</t>
  </si>
  <si>
    <t>MANUELA TOBON VILLEGAS</t>
  </si>
  <si>
    <t>MANUELA VELEZ ANTEQUERA</t>
  </si>
  <si>
    <t>MANUELA VELEZ PEREZ</t>
  </si>
  <si>
    <t>MAR ESCOBAR SIERRA</t>
  </si>
  <si>
    <t>MAR VELASQUEZ MANZUR</t>
  </si>
  <si>
    <t>MARCELA ARENAS SIERRA</t>
  </si>
  <si>
    <t>MARCELA CASTAÑEDA ROLDAN</t>
  </si>
  <si>
    <t>MARCELA ECHAVARRIA MEJIA</t>
  </si>
  <si>
    <t>MARCELA EUGENIA ALVAREZ DEL RIO</t>
  </si>
  <si>
    <t>MARCELA EUGENIA FIERRO JIMENEZ</t>
  </si>
  <si>
    <t>MARCELA HENAO MORALES</t>
  </si>
  <si>
    <t>MARCELA LONDOÑO MONTOYA</t>
  </si>
  <si>
    <t>MARCELA MARIA BOUHOT MORENO</t>
  </si>
  <si>
    <t>MARCELA MAYA PALACIOS</t>
  </si>
  <si>
    <t>MARCELA MOLINA LONDOÑO</t>
  </si>
  <si>
    <t>MARCELA MONTAÑO VALENCIA</t>
  </si>
  <si>
    <t>MARCELA MONTOYA OSORIO</t>
  </si>
  <si>
    <t>MARCELA MURIEL CABALLERO</t>
  </si>
  <si>
    <t>MARCELA ORREGO MARTINEZ</t>
  </si>
  <si>
    <t>MARCELA OSORIO ORTIZ</t>
  </si>
  <si>
    <t>MARCELA PEREZ ROLDÁN</t>
  </si>
  <si>
    <t>MARCELA PRADO PRADO ROJAS</t>
  </si>
  <si>
    <t>MARCELA PSJON ANGEL</t>
  </si>
  <si>
    <t>MARCELA QUINTERO ARIAS</t>
  </si>
  <si>
    <t>MARCELA SEPULVEDA HENAO</t>
  </si>
  <si>
    <t>MARCELO ALEXANDER GUERRERO PARRA</t>
  </si>
  <si>
    <t>MARCELO GOMEZ YEPES</t>
  </si>
  <si>
    <t>MARCELO HERNANDO CANO LOPERA</t>
  </si>
  <si>
    <t>MARCO ANTONIO DUQUE TORO</t>
  </si>
  <si>
    <t>MARCO HENAO VELEZ</t>
  </si>
  <si>
    <t>A39837405</t>
  </si>
  <si>
    <t>MARCOS DAVID VELEZ ALVAREZ</t>
  </si>
  <si>
    <t>MARCOS LONDOÑO RIBON</t>
  </si>
  <si>
    <t>MAREIKE 0 LANGE</t>
  </si>
  <si>
    <t>MARGARITA GONZALEZ DE SANCHEZ</t>
  </si>
  <si>
    <t>MARGARITA LETICIA PUERTA DIAZ</t>
  </si>
  <si>
    <t>MARGARITA MARIA BUSTAMANTE ARIAS</t>
  </si>
  <si>
    <t>MARGARITA MARIA CALLE PEREZ</t>
  </si>
  <si>
    <t>MARGARITA MARIA CORREA AGUDELO</t>
  </si>
  <si>
    <t>MARGARITA MARIA CUARTAS DAVILA</t>
  </si>
  <si>
    <t>MARGARITA MARIA GOMEZ MORENO</t>
  </si>
  <si>
    <t>MARGARITA MARIA MORENO TOBON</t>
  </si>
  <si>
    <t>MARGARITA MARIA OTALVARO OROZCO</t>
  </si>
  <si>
    <t>MARGARITA MARIA PELAEZ MEJIA</t>
  </si>
  <si>
    <t>MARGARITA MARIA RESTREPO SUAREZ</t>
  </si>
  <si>
    <t>MARGARITA MARIA URIBE DE AVENDAÑO</t>
  </si>
  <si>
    <t>MARGARITA MARIA VASQUEZ DE MESA</t>
  </si>
  <si>
    <t>MARGARITA MUÑOZ BERRIO</t>
  </si>
  <si>
    <t>MARGARITA SMYSLENOVA 0</t>
  </si>
  <si>
    <t>MARGARITA SOTO DE BOTERO</t>
  </si>
  <si>
    <t>MARI LUZ LOPERA PALACIO</t>
  </si>
  <si>
    <t>MARIA ADELA ARANGO DE ALVAREZ</t>
  </si>
  <si>
    <t>MARIA ADELAIDA ARBELAEZ SIERRA</t>
  </si>
  <si>
    <t>MARIA ADELAIDA DORADO MONTOYA</t>
  </si>
  <si>
    <t>MARIA ADELAIDA GOMEZ ARANGO</t>
  </si>
  <si>
    <t>MARIA ADELAIDA MUNERA ALZATE</t>
  </si>
  <si>
    <t>MARIA ALEJANDRA ALVAREZ CASTRILLON</t>
  </si>
  <si>
    <t>MARIA ALEJANDRA ARANGO ORTEGA</t>
  </si>
  <si>
    <t>MARIA ALEJANDRA CASTIBLANCO TABARES</t>
  </si>
  <si>
    <t>MARIA ALEJANDRA CEBALLOS ESCOBAR</t>
  </si>
  <si>
    <t>MARIA ALEJANDRA CHICA MORENO</t>
  </si>
  <si>
    <t>MARIA ALEJANDRA LOPEZ JARAMILLO</t>
  </si>
  <si>
    <t>MARIA ALEJANDRA PULIDO TORRES</t>
  </si>
  <si>
    <t>MARIA ALEJANDRA RESTREPO BAENA</t>
  </si>
  <si>
    <t>MARIA ALEJANDRA SALAZAR GOMEZ</t>
  </si>
  <si>
    <t>MARIA ALEJANDRA ZAPATA LOPEZ</t>
  </si>
  <si>
    <t>MARIA ALEXANDRA HENAO QUINTANA</t>
  </si>
  <si>
    <t>MARIA AMALIA ARISTIZABAL MONTOYA</t>
  </si>
  <si>
    <t>MARIA AMANDA BARRERA RESTREPO</t>
  </si>
  <si>
    <t>MARIA AMPARO DEL SOCORRO AMPARO DEL SOCORRO</t>
  </si>
  <si>
    <t>MARIA ANDREA BORRERO BURGOS</t>
  </si>
  <si>
    <t>MARIA ANGEL GARCIA BOTERO</t>
  </si>
  <si>
    <t>MARIA ANGEL VELASQUEZ LONDOÑO</t>
  </si>
  <si>
    <t>MARIA ANGELICA CARDONA PORTELA</t>
  </si>
  <si>
    <t>MARIA ANTONIA AMAYA VILLADA</t>
  </si>
  <si>
    <t>MARIA ANTONIA ARIAS DUQUE</t>
  </si>
  <si>
    <t>MARIA ANTONIA BENTANCUR ALZATE</t>
  </si>
  <si>
    <t>MARIA ANTONIA GIRALDO VASQUEZ</t>
  </si>
  <si>
    <t>MARIA ANTONIA JARAMILLO MADRIGAL</t>
  </si>
  <si>
    <t>MARIA ANTONIA JARAMILLO RIVERA</t>
  </si>
  <si>
    <t>MARIA ANTONIA MESA SANCHEZ</t>
  </si>
  <si>
    <t>MARIA ANTONIA OQUEDNDO JIMENEZ</t>
  </si>
  <si>
    <t>MARIA ANTONIA OSPINA MOSQUERA</t>
  </si>
  <si>
    <t>MARIA ANTONIA QUINTERO JARAMILLO</t>
  </si>
  <si>
    <t>MARIA ANTONIA RIAÑO TRASLAVIÑA</t>
  </si>
  <si>
    <t>MARIA ANTONIA SANCHEZ RAMIREZ</t>
  </si>
  <si>
    <t>MARIA ANTONIA SOTO SIERRA</t>
  </si>
  <si>
    <t>MARIA ANTONIA TENORIO SANCLEMENTE</t>
  </si>
  <si>
    <t>MARIA BALLESTEROS MEJIA</t>
  </si>
  <si>
    <t>MARIA BARBARA RODRIGUEZ LAVERDE</t>
  </si>
  <si>
    <t>MARIA BEATRIZ LOPEZ ARBELAEZ</t>
  </si>
  <si>
    <t>MARIA BETTY JIMENEZ MARULANDA</t>
  </si>
  <si>
    <t>MARIA CAMILA ARIAS MEDINA</t>
  </si>
  <si>
    <t>MARIA CAMILA ARISMENDY MARIN</t>
  </si>
  <si>
    <t>MARIA CAMILA ATHEORTUA BOJACA</t>
  </si>
  <si>
    <t>MARIA CAMILA CAÑAS HENAO</t>
  </si>
  <si>
    <t>MARIA CAMILA CHAIN MARTINEZ</t>
  </si>
  <si>
    <t>MARIA CAMILA GIL VALDERRAMA</t>
  </si>
  <si>
    <t>MARIA CAMILA GIRALDO MADRIGAL</t>
  </si>
  <si>
    <t>MARIA CAMILA GUZMAN MARQUEZ</t>
  </si>
  <si>
    <t>MARIA CAMILA HERRERA SEPULVEDA</t>
  </si>
  <si>
    <t>MARIA CAMILA LOPERA DUQUE</t>
  </si>
  <si>
    <t>MARIA CAMILA LOPEZ PULGARIN</t>
  </si>
  <si>
    <t>MARIA CAMILA PEREZ MATOS</t>
  </si>
  <si>
    <t>MARIA CAMILA PEREZ PULGARIN</t>
  </si>
  <si>
    <t>MARIA CAMILA PINEDA PARGA</t>
  </si>
  <si>
    <t>MARIA CAMILA RESTREPO</t>
  </si>
  <si>
    <t>MARIA CAMILA ROJAS IDARRAGA</t>
  </si>
  <si>
    <t>MARIA CAMILA VELEZ OROZCO</t>
  </si>
  <si>
    <t>MARIA CAMILA YEPES GALLON</t>
  </si>
  <si>
    <t>MARIA CAROLINA BENITEZ BARRANTES</t>
  </si>
  <si>
    <t>MARIA CAROLINA RAMIREZ PINILLA</t>
  </si>
  <si>
    <t>MARIA CAROLINA TIRABOSCHI FERRO</t>
  </si>
  <si>
    <t>MARIA CATALINA HENAO CORREA</t>
  </si>
  <si>
    <t>MARIA CECILIA ROLDAN PALACIO</t>
  </si>
  <si>
    <t>MARIA CELESTE BECERRA LARGACHA</t>
  </si>
  <si>
    <t>MARIA CELESTE PABON CALDERA</t>
  </si>
  <si>
    <t>MARIA CLARA ARANGO CHAVARRIAGA</t>
  </si>
  <si>
    <t>MARIA CLARA ARBELAEZ RUA</t>
  </si>
  <si>
    <t>MARIA CLARA AYAZO TABORDA</t>
  </si>
  <si>
    <t>MARIA CLARA CADAVID MEJIA</t>
  </si>
  <si>
    <t>MARIA CLARA CEBALLOS ARANGO</t>
  </si>
  <si>
    <t>MARIA CLARA GARCIA ALVAREZ</t>
  </si>
  <si>
    <t>MARIA CLARA MANRIQUE CASTRILLON</t>
  </si>
  <si>
    <t>MARIA CLARA MEJIA ESCOBAR</t>
  </si>
  <si>
    <t>MARIA CLARA PARRA JIMENEZ</t>
  </si>
  <si>
    <t>MARIA CLAUDIA MENDOZA DIAZ</t>
  </si>
  <si>
    <t>MARIA CLAUDIA SANTOYA MERCADO</t>
  </si>
  <si>
    <t>MARIA CLEMENCIA DEL ROSARIO  FATIMA DE OCHOA</t>
  </si>
  <si>
    <t>MARIA CONSUELO ANZOLA MORA</t>
  </si>
  <si>
    <t>MARIA CONSUELO QUINTERO ARRUBLA</t>
  </si>
  <si>
    <t>MARIA DAYANA GARCIA BETANCUR</t>
  </si>
  <si>
    <t>MARIA DAYIRA RENDON ESCOBAR</t>
  </si>
  <si>
    <t>MARIA DEL MAR ARISTIZABAL MONTOYA</t>
  </si>
  <si>
    <t>MARIA DEL MAR GALINDO MONTOYA</t>
  </si>
  <si>
    <t>MARIA DEL MAR GONZALEZ GAVIRIA</t>
  </si>
  <si>
    <t>MARIA DEL MAR GUERRA USUGA</t>
  </si>
  <si>
    <t>MARIA DEL MAR MENESES RESTREPO</t>
  </si>
  <si>
    <t>MARIA DEL MAR YEPES ROJAS</t>
  </si>
  <si>
    <t>MARIA DEL PILAR LOPEZ MOLINA</t>
  </si>
  <si>
    <t>MARIA DEL PILAR MEJIA BERMUDEZ</t>
  </si>
  <si>
    <t>MARIA DEL PILAR URBANO GONZALEZ</t>
  </si>
  <si>
    <t>G32610369</t>
  </si>
  <si>
    <t>MARIA DEL REFUGIO CHAVEZ DEL RIO</t>
  </si>
  <si>
    <t>MARIA DEL SOCORRO ARROYAVE ARIAS</t>
  </si>
  <si>
    <t>MARIA DEL SOCORRO TOBAR MARIN</t>
  </si>
  <si>
    <t>MARIA DEL SOCORRO YARCE GOMEZ</t>
  </si>
  <si>
    <t>MARIA DIOSELINA HINCAPIE MONSALVE</t>
  </si>
  <si>
    <t>MARIA DOLLY MEJIA SALAVARRIETA</t>
  </si>
  <si>
    <t>MARIA DORALBA MARTINEZ GALLEGO</t>
  </si>
  <si>
    <t>MARIA EDILMA QUIMBAYA PERDOMO</t>
  </si>
  <si>
    <t>MARIA ELDUVINA PINO MONSALVE</t>
  </si>
  <si>
    <t>MARIA ELENA BOLIVAR GARCES</t>
  </si>
  <si>
    <t>MARIA ELENA CORDOBA PALACIOS</t>
  </si>
  <si>
    <t>MARIA ELENA MOLINA VELEZ</t>
  </si>
  <si>
    <t>MARIA ELENA QUIROZ ORTIZ</t>
  </si>
  <si>
    <t>MARIA ELISA BOLIVAR CARDONA</t>
  </si>
  <si>
    <t>MARIA ELVIA AGUDELO SANCHEZ</t>
  </si>
  <si>
    <t>MARIA ESPERANZA CASTRO ZAPATA</t>
  </si>
  <si>
    <t>MARIA ESPERANZA ZULUAICA GAVIRIA</t>
  </si>
  <si>
    <t>MARIA ESTER MEJIA HERNANDEZ</t>
  </si>
  <si>
    <t>MARIA EUGENIA FERNANDEZ RESTREPO</t>
  </si>
  <si>
    <t>MARIA EUGENIA HOYOS QUINTERO</t>
  </si>
  <si>
    <t>MARIA EUGENIA HOYOS RICO</t>
  </si>
  <si>
    <t>MARIA EUGENIA LONDOÑO BERRIO</t>
  </si>
  <si>
    <t>MARIA EUGENIA MEJIA PELAEZ</t>
  </si>
  <si>
    <t>MARIA FABIOLA OSORIO ARIAS</t>
  </si>
  <si>
    <t>MARIA FANERYS MAZO ZULUAGA</t>
  </si>
  <si>
    <t>MARIA FERNANDA CADAVID DUQUE</t>
  </si>
  <si>
    <t>MARIA FERNANDA ECHEVERRI GOMEZ</t>
  </si>
  <si>
    <t>MARIA FERNANDA MENDOZA MACHADO</t>
  </si>
  <si>
    <t>MARIA FERNANDA ORTIZ CABALLERO</t>
  </si>
  <si>
    <t>MARIA FERNANDA PINTO RODRIGUEZ</t>
  </si>
  <si>
    <t>MARIA FERNANDA SANCHEZ BENJUMEA</t>
  </si>
  <si>
    <t>MARIA FERNANDA VASCO MERMUDEZ</t>
  </si>
  <si>
    <t>MARIA FERNANDA ZULUAGA SALAZAR</t>
  </si>
  <si>
    <t>MARIA GABRIELA UTERA PARADA</t>
  </si>
  <si>
    <t>MARIA GILMA ALZATE DE VERGARA</t>
  </si>
  <si>
    <t>MARIA GLORIA LONDOÑO VELEZ</t>
  </si>
  <si>
    <t>MARIA GOMEZ GOMEZ VELASQUEZ</t>
  </si>
  <si>
    <t>MARIA GRACIA CANO RESTREPO</t>
  </si>
  <si>
    <t>MARIA ILBANY RODAS RODAS</t>
  </si>
  <si>
    <t>MARIA INES GOMEZ GIRALDO</t>
  </si>
  <si>
    <t>MARIA IRMA MONTOYA VALENCIA</t>
  </si>
  <si>
    <t>MARIA ISABEL AGUIRRE MAYA</t>
  </si>
  <si>
    <t>MARIA ISABEL BAQUERO SALDARRIAGA</t>
  </si>
  <si>
    <t>MARIA ISABEL CELEDON SANTOS</t>
  </si>
  <si>
    <t>MARIA ISABEL GIRALDO CANO</t>
  </si>
  <si>
    <t>MARIA ISABEL GIRALDO VASQUEZ</t>
  </si>
  <si>
    <t>MARIA ISABEL LOPEZ TAMAYO</t>
  </si>
  <si>
    <t>MARIA ISABEL MONTOYA MONTOYA</t>
  </si>
  <si>
    <t>MARIA ISABEL RESTREPO MEJIA</t>
  </si>
  <si>
    <t>MARIA ISABEL ROBLEDO MONTOYA</t>
  </si>
  <si>
    <t>MARIA ISABEL VASQUEZ GUARIN</t>
  </si>
  <si>
    <t>MARIA JEIMY JEIMY PULGARIN</t>
  </si>
  <si>
    <t>MARIA JOSE AGUDELO GOMEZ</t>
  </si>
  <si>
    <t>MARIA JOSE CARDONA CARDENAS</t>
  </si>
  <si>
    <t>MARIA JOSE CARDONA SPATH</t>
  </si>
  <si>
    <t>MARIA JOSE CARMONA ORTEGA</t>
  </si>
  <si>
    <t>MARIA JOSE DEVIA ESTUPIÑAN</t>
  </si>
  <si>
    <t>MARIA JOSE HUERTAS ABRIL</t>
  </si>
  <si>
    <t>MARIA JOSE LOPEZ CORREA</t>
  </si>
  <si>
    <t>MARIA JOSE MARULANDA FISCO</t>
  </si>
  <si>
    <t>MARIA JOSE MENDOZA MOSQUERA</t>
  </si>
  <si>
    <t>MARIA JOSE PIMIENTA MARTINEZ</t>
  </si>
  <si>
    <t>MARIA JOSE RIOS MONTES</t>
  </si>
  <si>
    <t>MARIA JOSE SERNA GUARIN</t>
  </si>
  <si>
    <t>MARIA JOSE SIERRA LEON</t>
  </si>
  <si>
    <t>MARIA JOSE VILLADA VELEZ</t>
  </si>
  <si>
    <t>MARIA JOSE ZULUAGA RUEDA</t>
  </si>
  <si>
    <t>MARIA JOVITA VARGAS RODRIGUEZ</t>
  </si>
  <si>
    <t>MARIA JULIANA BOTERO ABRIL</t>
  </si>
  <si>
    <t>MARIA JULIANA MARIN PIEDRAHITA</t>
  </si>
  <si>
    <t>MARIA LETICIA BETANCUR GARCIA</t>
  </si>
  <si>
    <t>MARIA LETICIA LOPEZ ANGEL</t>
  </si>
  <si>
    <t>MARIA LETICIA VILLEGAS URIBE</t>
  </si>
  <si>
    <t>MARIA LIBIA LEAL OSPINA</t>
  </si>
  <si>
    <t>MARIA LIDIA LIDIA RICO</t>
  </si>
  <si>
    <t>MARIA LILIANA REYES CORDOBA</t>
  </si>
  <si>
    <t>MARIA LUCIA TORRES VIDAL</t>
  </si>
  <si>
    <t>MARIA LUCILA BAENA CAMPUZANO</t>
  </si>
  <si>
    <t>MARIA LUISA BRAVO GALLEGO</t>
  </si>
  <si>
    <t>MARIA MAGDALENA BRICEÑO DE MUTTI</t>
  </si>
  <si>
    <t>MARIA MAGDALENA PUERTA CARDENAS</t>
  </si>
  <si>
    <t>MARIA MANUELA GALLEGO CORREA</t>
  </si>
  <si>
    <t>MARIA MARCELA ATEHORTUA AGUIRRE</t>
  </si>
  <si>
    <t>MARIA MARCELA TORRES POMES</t>
  </si>
  <si>
    <t>MARIA MARGARITA HENAO ARISTIZABAL</t>
  </si>
  <si>
    <t>MARIA MARINELLA DUQUE OCAMPO</t>
  </si>
  <si>
    <t>MARIA MARLENY HERRERA GRAJALES</t>
  </si>
  <si>
    <t>MARIA MARLENY VELEZ CASTAÑO</t>
  </si>
  <si>
    <t>MARIA MARNUBIA VARGAS MARIN</t>
  </si>
  <si>
    <t>MARIA MARTA BOTERO DE VELZQUEZ</t>
  </si>
  <si>
    <t>MARIA MELISSA YEPES ESPINOSA</t>
  </si>
  <si>
    <t>MARIA MERCEDES MONTOYA AMELL</t>
  </si>
  <si>
    <t>MARIA MIREYA VEGA DE LISCANO</t>
  </si>
  <si>
    <t>MARIA MYRIAM MUÑOZ</t>
  </si>
  <si>
    <t>MARIA NEILA USUGA ARIAS</t>
  </si>
  <si>
    <t>MARIA NELLY USUGA DE LOPEZ</t>
  </si>
  <si>
    <t>MARIA NOELIA ATEHORTUA PEREZ</t>
  </si>
  <si>
    <t>MARIA NUBIA LONDOÑO RIVERA</t>
  </si>
  <si>
    <t>MARIA NUBIA TOBON DE FERNANDEZ</t>
  </si>
  <si>
    <t>MARIA NURY QUICENO DE CUARTAS</t>
  </si>
  <si>
    <t>MARIA OFELIA HOYOS GOMEZ</t>
  </si>
  <si>
    <t>MARIA OFELIA LOPEZ OCAMPO</t>
  </si>
  <si>
    <t>MARIA PAULA FLOREZ CAVADIA</t>
  </si>
  <si>
    <t>MARIA PAULA HURTADO DORIA</t>
  </si>
  <si>
    <t>MARIA PAULA MCCORMICK RUEDA</t>
  </si>
  <si>
    <t>MARIA PAULA NIÑO RENTERÍA</t>
  </si>
  <si>
    <t>MARIA PAULINA JARAMILLO CABALLERO</t>
  </si>
  <si>
    <t>MARIA PAULINA SALAZAR ALZATE</t>
  </si>
  <si>
    <t>MARIA PAZ GARCIA ZAPATA</t>
  </si>
  <si>
    <t>MARIA PAZ JIMENEZ GARCIA</t>
  </si>
  <si>
    <t>MARIA PAZ RESTREPO ORTIZ</t>
  </si>
  <si>
    <t>MARIA ROCIO BONNETT BERRIO</t>
  </si>
  <si>
    <t>MARIA ROCIO CARDONA VALLEJO</t>
  </si>
  <si>
    <t>MARIA ROCIO MESA MEDINA</t>
  </si>
  <si>
    <t>MARIA ROSARIO ARDILA DE ECHAVARRIA</t>
  </si>
  <si>
    <t>MARIA RUBELIA CARDONA TRUJILLO</t>
  </si>
  <si>
    <t>MARIA RUBIELA CIRO SOTO</t>
  </si>
  <si>
    <t>MARIA RUBIELA QUINTERO DE MARIN</t>
  </si>
  <si>
    <t>MARIA SALOME ROJAS HERNANDEZ</t>
  </si>
  <si>
    <t>MARIA SANIN GAVIRIA</t>
  </si>
  <si>
    <t>MARIA SOBEIDA ALZATE GOMEZ</t>
  </si>
  <si>
    <t>MARIA SOLEDAD MURILLO TORRES</t>
  </si>
  <si>
    <t>MARIA STELLA VALDERRAMA TAPIAS</t>
  </si>
  <si>
    <t>MARIA TEONILA ARBOLEDA DE GARCIA</t>
  </si>
  <si>
    <t>MARIA TERESA AGUILAR ORTIZ</t>
  </si>
  <si>
    <t>MARIA TERESA GONZALEZ LACOUTURE</t>
  </si>
  <si>
    <t>MARIA TERESA LOMBANA LOPEZ</t>
  </si>
  <si>
    <t>MARIA TERESA MONTOYA MONTOYA</t>
  </si>
  <si>
    <t>MARIA TERESA SUAREZ JAIMES</t>
  </si>
  <si>
    <t>MARIA VALDERRAMA PELAEZ</t>
  </si>
  <si>
    <t>MARIA VALENTINA GOMEZ MARIN</t>
  </si>
  <si>
    <t>MARIA VERONICA LAMAZARES MEDINA</t>
  </si>
  <si>
    <t>MARIA VERONICA PELAEZ ECHEVERRI</t>
  </si>
  <si>
    <t>MARIA VICTORIA AVILA MONTEJO</t>
  </si>
  <si>
    <t>MARIA VICTORIA BEATRIZ OLIVA</t>
  </si>
  <si>
    <t>MARIA VICTORIA BOTERO CADAVID</t>
  </si>
  <si>
    <t>MARIA VICTORIA GONZALEZ BAUTE</t>
  </si>
  <si>
    <t>MARIA VICTORIA MONTOYA MAYA</t>
  </si>
  <si>
    <t>MARIA VICTORIA MUÑOZ JURAGARO</t>
  </si>
  <si>
    <t>MARIA VICTORIA RADA PEREZ</t>
  </si>
  <si>
    <t>MARIA VICTORIA SALDARRIAGA DE MUÑOZ</t>
  </si>
  <si>
    <t>MARIA VIVIAN HERNANDEZ ALZATE</t>
  </si>
  <si>
    <t>MARIA YANETH ARROYAVE ZAPATA</t>
  </si>
  <si>
    <t>MARIA YOLANDA ARCILA MONTOYA</t>
  </si>
  <si>
    <t>MARIA YRLESA MEJIA SOTO</t>
  </si>
  <si>
    <t>MARIABELEN DUMIT VELEZ</t>
  </si>
  <si>
    <t>MARIAN CRISTINA JARAMILLO GARZON</t>
  </si>
  <si>
    <t>MARIAN DE LOS ANGELES ANGELES RODRIGUEZ</t>
  </si>
  <si>
    <t>MARIAN JULIETA VASQUEZ HERNANDEZ</t>
  </si>
  <si>
    <t>MARIANA BETANCUR HOYOS</t>
  </si>
  <si>
    <t>MARIANA BOTERO CEBALLOS</t>
  </si>
  <si>
    <t>MARIANA CASTAÑO MUÑOZ</t>
  </si>
  <si>
    <t>MARIANA DAVALOS URREA</t>
  </si>
  <si>
    <t>MARIANA DUQUE ROMERO</t>
  </si>
  <si>
    <t>MARIANA GIL VALDERRAMA</t>
  </si>
  <si>
    <t>MARIANA GONZALEZ GARCES</t>
  </si>
  <si>
    <t>MARIANA JIMENEZ TORO</t>
  </si>
  <si>
    <t>MARIANA MALDONADO BETANCUR</t>
  </si>
  <si>
    <t>MARIANA MONTOYA MONTOYA CORREA</t>
  </si>
  <si>
    <t>MARIANA NOREÑA AGUDELO</t>
  </si>
  <si>
    <t>MARIANA ORTEGA ARISMENDY</t>
  </si>
  <si>
    <t>MARIANA RODRIGUEZ GIL</t>
  </si>
  <si>
    <t>MARIANA RUEDA SALINAS</t>
  </si>
  <si>
    <t>MARIANA SALAZAR CORREA</t>
  </si>
  <si>
    <t>MARIANA SOFIA QUINTERO ZULUAGA</t>
  </si>
  <si>
    <t>MARIANA SOFIA ROZO FERRO</t>
  </si>
  <si>
    <t>MARIANA VALLE MACHADO</t>
  </si>
  <si>
    <t>MARIANA VELASQUEZ CORRALES</t>
  </si>
  <si>
    <t>MARIANA YEPES ROJAS</t>
  </si>
  <si>
    <t>MARIANA ZAPATA GIL</t>
  </si>
  <si>
    <t>MARIANGEL ALZATE ARANGO</t>
  </si>
  <si>
    <t>MARIANGEL JARAMILLO RIVERA</t>
  </si>
  <si>
    <t>MARIANGEL PINTO ROJAS</t>
  </si>
  <si>
    <t>MARIANGEL RODRIGUEZ ARIAS</t>
  </si>
  <si>
    <t>MARIANGEL SEGURA DIAZ</t>
  </si>
  <si>
    <t>MARIANO HERNAN COLANTONI</t>
  </si>
  <si>
    <t>MARIAPAZ HENAO CORREA</t>
  </si>
  <si>
    <t>MARIBEL TORRES ISAZA</t>
  </si>
  <si>
    <t>23KH99605</t>
  </si>
  <si>
    <t>MARIE ANNE COLETTE CLAIN GRONDIN</t>
  </si>
  <si>
    <t>MARIE ANNE GRONDIN GRONDIN</t>
  </si>
  <si>
    <t>MARIE SALVATRICIE TAMAYO LOPEZ</t>
  </si>
  <si>
    <t>MARILUZ NOREÑA NOREÑA VASQUEZ</t>
  </si>
  <si>
    <t>MARINA DE JESUS NARANJO ZULUAGA</t>
  </si>
  <si>
    <t>MARINELLA TAMAYO MONTOYA</t>
  </si>
  <si>
    <t>MARIO ADAN GOMEZ GIRALDO</t>
  </si>
  <si>
    <t>MARIO GUTIERREZ GIRALDO</t>
  </si>
  <si>
    <t>MARISOL CALLE ORTIZ</t>
  </si>
  <si>
    <t>MARISOL DUQUE GARCIA</t>
  </si>
  <si>
    <t>MARISOL ECHAVARRIA</t>
  </si>
  <si>
    <t>MARISOL GONZALEZ RODRIGUEZ</t>
  </si>
  <si>
    <t>MARITZA ARENAS FRANCO</t>
  </si>
  <si>
    <t>MARITZA EUGENIA MAYA ZULUAGA</t>
  </si>
  <si>
    <t>MARJORIE LUCIA MARTINEZ CUARTAS</t>
  </si>
  <si>
    <t>A77683963</t>
  </si>
  <si>
    <t>MARK FREDERICK RUSSO RUSSO</t>
  </si>
  <si>
    <t>MARLEN HELENA ACERO GIRALDO</t>
  </si>
  <si>
    <t>MARLENY DEL SOCORRO ACOSTA SIERRA</t>
  </si>
  <si>
    <t>MARLENY DEL SOCORRO HURTADO RAIGOZA</t>
  </si>
  <si>
    <t>MARLON JAVIER GIRALDO GIRALDO</t>
  </si>
  <si>
    <t>MARLYN JOHANA GARNICA FLOREZ</t>
  </si>
  <si>
    <t>MARQUEZA VALENCIA LONDOÑO</t>
  </si>
  <si>
    <t>MARTA ELENA OSPINA DE PELAEZ</t>
  </si>
  <si>
    <t>MARTA HELENA LONDOÑO ARISMENDI</t>
  </si>
  <si>
    <t>MARTA ISABEL GALLARDO</t>
  </si>
  <si>
    <t>MARTA ISABEL MONTOYA POSADA</t>
  </si>
  <si>
    <t>MARTA LUCIA PELAEZ ARANGO</t>
  </si>
  <si>
    <t>MARTA LUCIA PEREZ DE VICENTE</t>
  </si>
  <si>
    <t>MARTA LUZ MARTINEZ ARIAS</t>
  </si>
  <si>
    <t>MARTHA CECILIA BEDOYA CABRERA</t>
  </si>
  <si>
    <t>MARTHA CECILIA MADRID ROLDAN</t>
  </si>
  <si>
    <t>MARTHA CECILIA PENAGOS PENAGOS</t>
  </si>
  <si>
    <t>MARTHA CECILIA PIEDRAHITA MEJIA</t>
  </si>
  <si>
    <t>MARTHA CECILIA RAMIREZ RAMIREZ</t>
  </si>
  <si>
    <t>MARTHA CECILIA TORO TORO</t>
  </si>
  <si>
    <t>MARTHA CECILIA VELEZ BEDOYA</t>
  </si>
  <si>
    <t>MARTHA DOLLY ROJAS OSPINA</t>
  </si>
  <si>
    <t>MARTHA ELENA AGUDELO CONDE</t>
  </si>
  <si>
    <t>MARTHA ELVIA RENGINFO FLOREZ</t>
  </si>
  <si>
    <t>MARTHA EUGENIA SIERRA JARAMILLO</t>
  </si>
  <si>
    <t>MARTHA EUNICE BASTIDAS ROSERO</t>
  </si>
  <si>
    <t>MARTHA GLORIA BAENA SANTA</t>
  </si>
  <si>
    <t>MARTHA HELENA GIL ROJAS</t>
  </si>
  <si>
    <t>MARTHA INES PEREZ DE PINO</t>
  </si>
  <si>
    <t>MARTHA ISABEL TABARES VELEZ</t>
  </si>
  <si>
    <t>MARTHA LILIANA LIEVANO SEPULVEDA</t>
  </si>
  <si>
    <t>MARTHA LUCIA GARCES DE HOYOS</t>
  </si>
  <si>
    <t>MARTHA LUCIA MARTINEZ CORREA</t>
  </si>
  <si>
    <t>MARTHA LUCIA OBANDO RAMIREZ</t>
  </si>
  <si>
    <t>MARTHA MARIA MEJIA ARANGO</t>
  </si>
  <si>
    <t>MARTHA MARIA VASQUEZ DE ARISTIZABAL</t>
  </si>
  <si>
    <t>MARTHA NUBIA GOMEZ LOPEZ</t>
  </si>
  <si>
    <t>MARTHA PATRICA ALZATE AGUDELO</t>
  </si>
  <si>
    <t>MARTHA SOFIA GOMEZ ARANGO</t>
  </si>
  <si>
    <t>MARTHA SOFIA RODAS RESTREPO</t>
  </si>
  <si>
    <t>MARTIN BOLIVAR BOLIVAR ALFONSO</t>
  </si>
  <si>
    <t>MARTIN CASTRILLON SALDARRIAGA</t>
  </si>
  <si>
    <t>MARTIN CIFUENTES ALVAREZ</t>
  </si>
  <si>
    <t>MARTIN CORREA BARRIOS</t>
  </si>
  <si>
    <t>MARTIN CORREA CORREA MESA</t>
  </si>
  <si>
    <t>MARTIN DUQUE CARDONA</t>
  </si>
  <si>
    <t>MARTIN ECHAVARRIA GOMEZ</t>
  </si>
  <si>
    <t>MARTIN ECHEVERRI GAVIRIA</t>
  </si>
  <si>
    <t>MARTIN FERRER RESTREPO</t>
  </si>
  <si>
    <t>MARTIN GOMEZ GOMEZ MONTOYA</t>
  </si>
  <si>
    <t>MARTIN GONZALEZ GONZALEZ</t>
  </si>
  <si>
    <t>MARTIN HURTADO BEDOYA</t>
  </si>
  <si>
    <t>MARTIN JARAMILLO LOPEZ</t>
  </si>
  <si>
    <t>MARTIN LONDOÑO VELASQUEZ</t>
  </si>
  <si>
    <t>MARTIN LOPEZ GOMEZ</t>
  </si>
  <si>
    <t>MARTIN LOZANO MONSALVE</t>
  </si>
  <si>
    <t>MARTIN MONTOYA CASTAÑEDA</t>
  </si>
  <si>
    <t>MARTIN MUÑOZ MUÑOZ QUIROZ</t>
  </si>
  <si>
    <t>MARTIN OSPINA MARTINEZ</t>
  </si>
  <si>
    <t>MARTIN RESTREPO MEDINA</t>
  </si>
  <si>
    <t>MARTIN RESTREPO URREGO</t>
  </si>
  <si>
    <t>MARTIN RIVERA MEDINA</t>
  </si>
  <si>
    <t>MARTIN SALAZAR RENDON</t>
  </si>
  <si>
    <t>MARTIN SERNA QUIROZ</t>
  </si>
  <si>
    <t>MARTIN URIBE CERON</t>
  </si>
  <si>
    <t>MARTIN VELEZ OCHOA</t>
  </si>
  <si>
    <t>MARTINA DUQUE GONZALEZ</t>
  </si>
  <si>
    <t>MARTINA GARCIA ALZATE</t>
  </si>
  <si>
    <t>MARTINA PEREZ ARANGO</t>
  </si>
  <si>
    <t>MARTINA RESTREPO PELAEZ</t>
  </si>
  <si>
    <t>MARTINA RESTREPO RUIZ</t>
  </si>
  <si>
    <t>MARY EVELYNE WOOLSTON HOYOS</t>
  </si>
  <si>
    <t>MARY LUZ ARCILA TASCON</t>
  </si>
  <si>
    <t>MARY LUZ MONTOYA CARRILLO</t>
  </si>
  <si>
    <t>MARYEM PEÑALOZA MARTINEZ</t>
  </si>
  <si>
    <t>MARYERING ALEXANDRA CASTAÑEDA GONZALEZ</t>
  </si>
  <si>
    <t>MARYLUZ VELOZA ESCALONA</t>
  </si>
  <si>
    <t>MARYORY MONTES ARGUELLES</t>
  </si>
  <si>
    <t>MARZOLAYDE MEDINA LOAIZA LOAIZA</t>
  </si>
  <si>
    <t>MARÍA PAULA TELLO JIMÉNEZ</t>
  </si>
  <si>
    <t>MATEO ALEJANDRO SAAVEDRA ZAMBRANO</t>
  </si>
  <si>
    <t>MATEO ARBELAEZ SUAREZ</t>
  </si>
  <si>
    <t>MATEO MANRIQUE OCAMPO</t>
  </si>
  <si>
    <t>MATEO MONTOYA CARDONA</t>
  </si>
  <si>
    <t>MATEO MORENO JIMENEZ</t>
  </si>
  <si>
    <t>MATEO POSADA LONDOÑO</t>
  </si>
  <si>
    <t>MATEO QUINTANA CASTRO</t>
  </si>
  <si>
    <t>MATEO RIVERA MEDINA</t>
  </si>
  <si>
    <t>MATEO RUIZ ZAPATA</t>
  </si>
  <si>
    <t>MATEO URIBE GIRALDO</t>
  </si>
  <si>
    <t>MATEO URIBE MORENO</t>
  </si>
  <si>
    <t>MATEO YEPES MESA</t>
  </si>
  <si>
    <t>MATHIAS BETANCUR ARANGO</t>
  </si>
  <si>
    <t>MATHIAS MARIN VELEZ</t>
  </si>
  <si>
    <t>MATHIAS ORTIZ GUZMAN</t>
  </si>
  <si>
    <t>MATHIAS SANCHEZ OVIEDO</t>
  </si>
  <si>
    <t>MATIAS ALZATE TORRES</t>
  </si>
  <si>
    <t>MATIAS ARAUJO ARIZA</t>
  </si>
  <si>
    <t>MATIAS ARGUELLES EGEA</t>
  </si>
  <si>
    <t>MATIAS ARROYAVE AGUDELO</t>
  </si>
  <si>
    <t>MATIAS BATTISTOLO CASTAÑO</t>
  </si>
  <si>
    <t>MATIAS BOLAÑOS VELEZ</t>
  </si>
  <si>
    <t>MATIAS CORREA SIACHOQUE</t>
  </si>
  <si>
    <t>MATIAS GOMEZ BRAVO</t>
  </si>
  <si>
    <t>MATIAS GOMEZ CADAVID</t>
  </si>
  <si>
    <t>MATIAS GOMEZ GUTIERREZ</t>
  </si>
  <si>
    <t>MATIAS IDARRAGA CUELLAR</t>
  </si>
  <si>
    <t>MATIAS JARAMILLO TABARES</t>
  </si>
  <si>
    <t>MATIAS LONDOÑO PARRA</t>
  </si>
  <si>
    <t>MATIAS NARANJO NARANJO GONZALEZ</t>
  </si>
  <si>
    <t>MATIAS OCHOA PINEDA</t>
  </si>
  <si>
    <t>MATIAS RAMIREZ RUIZ</t>
  </si>
  <si>
    <t>MATIAS RESTREPO JARAMILLO</t>
  </si>
  <si>
    <t>MATIAS RODRIGUEZ CARRASCAL</t>
  </si>
  <si>
    <t>MATIAS TIRADO RAMIREZ</t>
  </si>
  <si>
    <t>MATIAS VALENCIA GALLON</t>
  </si>
  <si>
    <t>MATILDE DE JESUS HERNANDEZ DE MACHADO</t>
  </si>
  <si>
    <t>MATILDE DE JESUS USUGA PINO</t>
  </si>
  <si>
    <t>MATILDE ESCOBAR VALENCIA</t>
  </si>
  <si>
    <t>MATILDE GARCIA ALZATE</t>
  </si>
  <si>
    <t>MATILDE JARAMILLO OSORIO</t>
  </si>
  <si>
    <t>MATILDE PARRA SANCHEZ</t>
  </si>
  <si>
    <t>MATTIS MAGALHAES JENIN</t>
  </si>
  <si>
    <t>MAURA PAOLA SUAREZ PASTRANA</t>
  </si>
  <si>
    <t>MAURICIO ANTONIO PAREJA CARDENAS</t>
  </si>
  <si>
    <t>MAURICIO CANO CARMONA</t>
  </si>
  <si>
    <t>MAURICIO CARDONA SANCHEZ</t>
  </si>
  <si>
    <t>MAURICIO CUELLO FERNANDEZ</t>
  </si>
  <si>
    <t>MAURICIO ECHEVERRI ECHEVERRI DIEZ</t>
  </si>
  <si>
    <t>MAURICIO FERMIN BETANCUR GIRALDO</t>
  </si>
  <si>
    <t>MAURICIO HENAO HORTA</t>
  </si>
  <si>
    <t>MAURICIO QUINTERO HENAO</t>
  </si>
  <si>
    <t>MAXIMILIANO AGUIRRE CORRE</t>
  </si>
  <si>
    <t>MAXIMILIANO BARON BONILLA</t>
  </si>
  <si>
    <t>MAXIMILIANO BUSTAMANTE GIRALDO</t>
  </si>
  <si>
    <t>MAXIMILIANO BUSTAMANTE PEREZ</t>
  </si>
  <si>
    <t>MAXIMILIANO CAJIAO ALVAREZ</t>
  </si>
  <si>
    <t>MAXIMILIANO DAVILA MORALES</t>
  </si>
  <si>
    <t>MAXIMILIANO PEREZ MARIN</t>
  </si>
  <si>
    <t>MAXIMILIANO RESTREPO PATIÑO</t>
  </si>
  <si>
    <t>MAXIMILIANO RIOS BEDOYA</t>
  </si>
  <si>
    <t>MAXIMILIANO ROMAN BARRAGAN</t>
  </si>
  <si>
    <t>MAXIMILIANO VELASQUEZ BUSTAMANTE</t>
  </si>
  <si>
    <t>MAXIMILIANO VELEZ MONTOYA</t>
  </si>
  <si>
    <t>MAXIMO CASTELLANOS ORDOÑEZ</t>
  </si>
  <si>
    <t>MAXIMO GALEZO GUTIERREZ</t>
  </si>
  <si>
    <t>MAXIMO MEJIA POSADA</t>
  </si>
  <si>
    <t>MAXIMO SIERRA MEJIA</t>
  </si>
  <si>
    <t>MAYERLY DEL CARMEN CAÑATE MONTAÑO</t>
  </si>
  <si>
    <t>MAYRA ALEJANDRA MORAN ZAPATA</t>
  </si>
  <si>
    <t>MAYRA ELENA SAAVEDRA VEGA</t>
  </si>
  <si>
    <t>MELANIE SOFIA CORREA PEMBERTI</t>
  </si>
  <si>
    <t>MELBA DOLORES PALACIOS ROA</t>
  </si>
  <si>
    <t>MELIDA ROSA PELAEZ</t>
  </si>
  <si>
    <t>MELISA VALLE QUICENO</t>
  </si>
  <si>
    <t>MELISSA JULIA OSORIO ACOSTA</t>
  </si>
  <si>
    <t>MERCEDES DIAZ ALZATE</t>
  </si>
  <si>
    <t>MERCEDES FORERO DE ARANGO</t>
  </si>
  <si>
    <t>MERCEDES MADRIGAL QUINTANA</t>
  </si>
  <si>
    <t>MERY LOPEZ NIEVES</t>
  </si>
  <si>
    <t>MERYL INES CECILE BESSON</t>
  </si>
  <si>
    <t>MIA ESCOBAR MORATO</t>
  </si>
  <si>
    <t>MIA GOMEZ CUARTAS</t>
  </si>
  <si>
    <t>MIA ISABELLA ARNOLD</t>
  </si>
  <si>
    <t>MIA PEREZ CALVETE</t>
  </si>
  <si>
    <t>MIA QUINTERO HOYOS</t>
  </si>
  <si>
    <t>B540540860670</t>
  </si>
  <si>
    <t>MICHAEL 0 BONILLA</t>
  </si>
  <si>
    <t>NT44K1B40</t>
  </si>
  <si>
    <t>MICHAEL KARL TAUBER</t>
  </si>
  <si>
    <t>MICHAEL OROZCO OROZCO VARGAS</t>
  </si>
  <si>
    <t>MICHAEL PRETT 0</t>
  </si>
  <si>
    <t>MICHEL ALJURE JIMENEZ</t>
  </si>
  <si>
    <t>MICHEL BAYAN BAYAN 0</t>
  </si>
  <si>
    <t>MICHELL BUILES SANCHEZ</t>
  </si>
  <si>
    <t>MICHELLE SOFIA ECHEVERRY GOMEZ</t>
  </si>
  <si>
    <t>MIGDALIA DEL SOCORRO PELAEZ DE GOMEZ</t>
  </si>
  <si>
    <t>MIGUEL ALEJANDRO RODRIGUEZ CALLE</t>
  </si>
  <si>
    <t>MIGUEL ALEJANDRO SIERRA JARAMILLO</t>
  </si>
  <si>
    <t>MIGUEL ANGEL ALVARADO MARMOLEJO</t>
  </si>
  <si>
    <t>MIGUEL ANGEL ALZATE HERRERA</t>
  </si>
  <si>
    <t>MIGUEL ANGEL BOTERO AGUDELO</t>
  </si>
  <si>
    <t>NUCC993L7</t>
  </si>
  <si>
    <t>MIGUEL ANGEL CABRERA CABRERA</t>
  </si>
  <si>
    <t>MIGUEL ANGEL GALLEGO MUÑOZ</t>
  </si>
  <si>
    <t>MIGUEL ANGEL LOPEZ TABARES</t>
  </si>
  <si>
    <t>MIGUEL ANGEL PUERTA RIVAS</t>
  </si>
  <si>
    <t>MIGUEL ANGEL QUINTERO AGUDELO</t>
  </si>
  <si>
    <t>MIGUEL ANGEL RIVERA RAMIREZ</t>
  </si>
  <si>
    <t>MIGUEL ANGEL RIVERA SUCERQUIA</t>
  </si>
  <si>
    <t>MIGUEL ANGEL VILLA SIERRA</t>
  </si>
  <si>
    <t>MIGUEL ANGEL VILLARREAL BUELVAS</t>
  </si>
  <si>
    <t>MIGUEL ANTONIO ABOSAID FONNEGRA</t>
  </si>
  <si>
    <t>MIGUEL BOLIVAR OSORIO</t>
  </si>
  <si>
    <t>MIGUEL CANO NARANJO</t>
  </si>
  <si>
    <t>MIGUEL FELIPE MURILLO QUINTERO</t>
  </si>
  <si>
    <t>MIGUEL HURTADO DIEZ</t>
  </si>
  <si>
    <t>MIGUEL LOPEZ LUJAN</t>
  </si>
  <si>
    <t>MIGUEL MONTOYA ESTUPIÑAN</t>
  </si>
  <si>
    <t>MIGUEL OSORNO URIBE</t>
  </si>
  <si>
    <t>MIGUEL QUINTERO GONZALEZ</t>
  </si>
  <si>
    <t>MIGUEL RESTREPO CORREA</t>
  </si>
  <si>
    <t>MIGUEL RESTREPO RESTREPO</t>
  </si>
  <si>
    <t>MIGUEL RESTREPO VASQUEZ</t>
  </si>
  <si>
    <t>MILA QUICENO QUICENO KVACHUK</t>
  </si>
  <si>
    <t>NRF641JR6</t>
  </si>
  <si>
    <t>MILAGROS BEATRIZ SANTOS DE GOUVEIA</t>
  </si>
  <si>
    <t>MILAGROS ECHEVERRI MONTOYA</t>
  </si>
  <si>
    <t>MILAGROS MAHECHA TABORDA</t>
  </si>
  <si>
    <t>A19607961</t>
  </si>
  <si>
    <t>MILAGROS MIA CHAVEZ ZUÑIGA</t>
  </si>
  <si>
    <t>MILAGROS RIOS GONZALEZ</t>
  </si>
  <si>
    <t>MILAGROS SALAZAR CORDOBA</t>
  </si>
  <si>
    <t>MILAGROS SALDARRIAGA PATIÑO</t>
  </si>
  <si>
    <t>MILAN PEREZ PATIÑO</t>
  </si>
  <si>
    <t>MILAN VILLA VILLA ALZATE</t>
  </si>
  <si>
    <t>MILEIDY ARELYS ARTEAGA GONZALEZ</t>
  </si>
  <si>
    <t>MILENA BLANDON HENAO</t>
  </si>
  <si>
    <t>MILENA MARIA GARAY TOVAR</t>
  </si>
  <si>
    <t>MIRANDA MORA CASTAÑO</t>
  </si>
  <si>
    <t>MIREYA ANA CARLINA FERRO</t>
  </si>
  <si>
    <t>MIREYA ANDREA SANCHEZ MARIN</t>
  </si>
  <si>
    <t>MIRIAM CAÑAVERAL CAÑAVERAL CARDONA</t>
  </si>
  <si>
    <t>MIRIAM DE JESUS MESA MUÑOZ</t>
  </si>
  <si>
    <t>MIRIAM DE JESUS YEPES DE CARDONA</t>
  </si>
  <si>
    <t>MIRIAM DEL PERPETUO OLARTE BETANCUR</t>
  </si>
  <si>
    <t>MIRYAN NATALIA PIEDRAHITA RESTREPO</t>
  </si>
  <si>
    <t>MISHELL ALEXANDRA CORTEZ</t>
  </si>
  <si>
    <t>MONICA ALEJANDRA ARBOLEDA CARVAJAL</t>
  </si>
  <si>
    <t>MONICA ALEJANDRA PIEDRAHITA URIBE</t>
  </si>
  <si>
    <t>MONICA ANDREA CHU SALGADO</t>
  </si>
  <si>
    <t>MONICA CECILIA PEREZ ROLDAN</t>
  </si>
  <si>
    <t>MONICA GOMEZ GOMEZ GIRALDO</t>
  </si>
  <si>
    <t>MONICA ISABEL MADRIGAL MADRIGAL</t>
  </si>
  <si>
    <t>MONICA JANETH VELEZ HENAO</t>
  </si>
  <si>
    <t>MONICA LILIANA ESCOBAR VILLEGAS</t>
  </si>
  <si>
    <t>MONICA LILIANA HERNANDEZ PORRAS</t>
  </si>
  <si>
    <t>MONICA MARCELA REMOLINA MARTINEZ</t>
  </si>
  <si>
    <t>MONICA MARCELA SOLANO MARIN</t>
  </si>
  <si>
    <t>MONICA MARIA ALZATE ARGEL</t>
  </si>
  <si>
    <t>MONICA MARIA GARCIA GUTIERREZ</t>
  </si>
  <si>
    <t>MONICA MARIA GARCIA MONTOYA</t>
  </si>
  <si>
    <t>MONICA MARIA QUIRAMA RODRIGUEZ</t>
  </si>
  <si>
    <t>MONICA MARIA ROJAS ESCOBAR</t>
  </si>
  <si>
    <t>MONICA MARIA SALAZAR ARISTIZABAL</t>
  </si>
  <si>
    <t>MONICA MARIA SIERRA RESTREPO</t>
  </si>
  <si>
    <t>MONICA PATRICIA GOEZ ACEVEDO</t>
  </si>
  <si>
    <t>MONICA ROSERO MORA</t>
  </si>
  <si>
    <t>MONICA SARAI ARANGO ESTRADA</t>
  </si>
  <si>
    <t>MONICA VARGAS TORO</t>
  </si>
  <si>
    <t>MONSERRAT VILLEGAS CASTAÑO</t>
  </si>
  <si>
    <t>MORELIA DE JESUS TABARES RUIZ</t>
  </si>
  <si>
    <t>P543929FF</t>
  </si>
  <si>
    <t>MUHAMMAD MUNEEB</t>
  </si>
  <si>
    <t>MYRIAM MORENO GAVIRIA</t>
  </si>
  <si>
    <t>MYRIAN IRIS VELASQUEZ</t>
  </si>
  <si>
    <t>MÁXIMO ARROYO MENA</t>
  </si>
  <si>
    <t>NACIRA MARIA DEL CARMEN CARRASCAL</t>
  </si>
  <si>
    <t>NAIM SANTIAGO VEGA CASAS</t>
  </si>
  <si>
    <t>NANCY AMPARO CAÑAS ZAPATA</t>
  </si>
  <si>
    <t>NANCY MARGARITA BEDOYA JIMENEZ</t>
  </si>
  <si>
    <t>NANCY MILENA MILENA PRADA</t>
  </si>
  <si>
    <t>NANCY RUBELY RUBELY MORENO</t>
  </si>
  <si>
    <t>NV4KPDKF1</t>
  </si>
  <si>
    <t>NAOMI VAN SLIJPE</t>
  </si>
  <si>
    <t>NARLYS BEATRIZ RAMOS VELEZ</t>
  </si>
  <si>
    <t>NASLY ANDREA GOMEZ ORTEGA</t>
  </si>
  <si>
    <t>NASLY DEL CARMEN ARTEAGA GARCIA</t>
  </si>
  <si>
    <t>NATACHA NOREÑA GONZALEZ</t>
  </si>
  <si>
    <t>NATALIA ANDREA CASTRILLON VELASQUEZ</t>
  </si>
  <si>
    <t>NATALIA ANDREA HERRERA LOAIZA</t>
  </si>
  <si>
    <t>NATALIA ANGEL ROJAS</t>
  </si>
  <si>
    <t>NATALIA ARBELAEZ LOPEZ</t>
  </si>
  <si>
    <t>NATALIA BETANCOURT LOPEZ</t>
  </si>
  <si>
    <t>NATALIA CASTAÑO JARAMILLO</t>
  </si>
  <si>
    <t>NATALIA ESCOBAR MADRID</t>
  </si>
  <si>
    <t>NATALIA EUGENIA MONTOYA PARDO</t>
  </si>
  <si>
    <t>NATALIA GOMEZ ISAZA</t>
  </si>
  <si>
    <t>NATALIA GONZALEZ LOPEZ</t>
  </si>
  <si>
    <t>NATALIA GONZÁLEZ BETANCURTH</t>
  </si>
  <si>
    <t>NATALIA ISABEL GOMEZ GIL</t>
  </si>
  <si>
    <t>NATALIA LA CRUZ</t>
  </si>
  <si>
    <t>A11555261</t>
  </si>
  <si>
    <t>NATALIA LOHMANN</t>
  </si>
  <si>
    <t>NATALIA MARIA DE SAN FRANCISCO MARTINEZ</t>
  </si>
  <si>
    <t>NATALIA MARIA ESCOBAR MAZO</t>
  </si>
  <si>
    <t>NATALIA MOJICA HERAZO</t>
  </si>
  <si>
    <t>NATALIA MORALES VANEGAS</t>
  </si>
  <si>
    <t>NATALIA POLANCO CUARTAS</t>
  </si>
  <si>
    <t>NATALIA RESTREPO RESTREPO JIMENEZ</t>
  </si>
  <si>
    <t>NATALIA VICENTE PEREZ</t>
  </si>
  <si>
    <t>NATALIA ZAPATA GIRALDO</t>
  </si>
  <si>
    <t>NATALIA ZAPATA VELASQUEZ</t>
  </si>
  <si>
    <t>A03659815</t>
  </si>
  <si>
    <t>NATALIE M COTTON</t>
  </si>
  <si>
    <t>NR55K4K48</t>
  </si>
  <si>
    <t>NATALIE MARGAUX SELEMINK SELEMINK</t>
  </si>
  <si>
    <t>NATALIE MORGAN BALLADARSCH</t>
  </si>
  <si>
    <t>NATALY MEJIA PEÑA PEÑA</t>
  </si>
  <si>
    <t>NATASHA ANDREINA HERNANDEZ RODRIGUEZ</t>
  </si>
  <si>
    <t>NATHALIA ZARAMA JIMENEZ</t>
  </si>
  <si>
    <t>NATHAN YEPES SIERRA</t>
  </si>
  <si>
    <t>NAZZLY VERONICA GONZALEZ GARCIA</t>
  </si>
  <si>
    <t>NEIDA ESTER GONZALEZ SANCHEZ</t>
  </si>
  <si>
    <t>C19002093</t>
  </si>
  <si>
    <t>NELKIN RODRIGUEZ 0</t>
  </si>
  <si>
    <t>NELLY ANDREA RIAÑO VIVES</t>
  </si>
  <si>
    <t>NESTOR ANDRES RAMIREZ ORTIZ</t>
  </si>
  <si>
    <t>NESTOR ARTURO MEJIA OSORIO</t>
  </si>
  <si>
    <t>NESTOR GARCIA DUQUE</t>
  </si>
  <si>
    <t>NEVER NEL ZAPATA VARGAS</t>
  </si>
  <si>
    <t>NICHOLAS ANDREW ANDERSON MONTOYA</t>
  </si>
  <si>
    <t>NICOLAS ARROYAVE ARIAS</t>
  </si>
  <si>
    <t>NICOLAS BEDOYA MARTÍNEZ</t>
  </si>
  <si>
    <t>NICOLAS CORREA ZULUAGA</t>
  </si>
  <si>
    <t>NICOLAS EDUARDO FORERO SANCHEZ</t>
  </si>
  <si>
    <t>NICOLAS ESTEBAN OCHOA BETANCUR</t>
  </si>
  <si>
    <t>NICOLAS FERNANDO TORO CAMPUZANO</t>
  </si>
  <si>
    <t>NICOLAS GOMEZ VALERO VALERO</t>
  </si>
  <si>
    <t>NICOLAS MONTOYA CASTAÑO</t>
  </si>
  <si>
    <t>NICOLAS NAVARRO HENAO</t>
  </si>
  <si>
    <t>NICOLAS ORREGO CANO</t>
  </si>
  <si>
    <t>NICOLAS RIOS SANCHEZ</t>
  </si>
  <si>
    <t>NICOLAS ROLDAN RAMIREZ</t>
  </si>
  <si>
    <t>NICOLAS SANCHEZ ORTIZ</t>
  </si>
  <si>
    <t>NICOLAS SERRA RESTREPO</t>
  </si>
  <si>
    <t>NICOLAS URIBE GUERRERO</t>
  </si>
  <si>
    <t>NICOLAS VALDERRAMA RENGIFO</t>
  </si>
  <si>
    <t>NICOLAS YEPES SIERRA</t>
  </si>
  <si>
    <t>NICOLAS ZULUAGA SALAZAR</t>
  </si>
  <si>
    <t>NIDIA MILENA RUIZ CHAVERRA</t>
  </si>
  <si>
    <t>NIDIA PATRICIA TORRES GUTIERREZ</t>
  </si>
  <si>
    <t>NILO RESTREPO SOLER</t>
  </si>
  <si>
    <t>NINFA LUZ BETANCUR HERNANDEZ</t>
  </si>
  <si>
    <t>NOAH CAÑAS CORTES</t>
  </si>
  <si>
    <t>NOAH RENDON LEON</t>
  </si>
  <si>
    <t>NOAH RESTREPO PIEDRAHITA</t>
  </si>
  <si>
    <t>NODIER GIRALDO GIRALDO GIRALDO</t>
  </si>
  <si>
    <t>NUK9PRL58</t>
  </si>
  <si>
    <t>NOE REMY 0</t>
  </si>
  <si>
    <t>NOHRA LUZ MARISCAL DE BUSTAMANTE</t>
  </si>
  <si>
    <t>NORA 0 OSPINA</t>
  </si>
  <si>
    <t>NORA EDILMA GUTIERREZ GRAJALES</t>
  </si>
  <si>
    <t>NORA INES PEÑA JARAMILLO</t>
  </si>
  <si>
    <t>NORBERTO ANDRES SUAREZ PEREZ</t>
  </si>
  <si>
    <t>NORMA CONSTANZA NOREÑA NEUTA</t>
  </si>
  <si>
    <t>NORMA ELIZABETH ARRUBLA QUIROZ</t>
  </si>
  <si>
    <t>NORMAN ANDRES CARDONA GUTIERREZ</t>
  </si>
  <si>
    <t>NUBIA MARGARITA CIRO RINCON</t>
  </si>
  <si>
    <t>NUBIA MEJIA DE POSADA</t>
  </si>
  <si>
    <t>NURY CERON CERON GOMEZ</t>
  </si>
  <si>
    <t>OBED DAVID VEZGA LOPEZ</t>
  </si>
  <si>
    <t>ODARLING KISBELL PEREIRA MOLINA</t>
  </si>
  <si>
    <t>OLGA CECILIA URREA MEJIA</t>
  </si>
  <si>
    <t>OLGA DE JESUS CEBALLOS MONSALVE</t>
  </si>
  <si>
    <t>OLGA ELENA MUÑOZ GALEANO</t>
  </si>
  <si>
    <t>OLGA ESNEDA MARIN LONDOÑO</t>
  </si>
  <si>
    <t>OLGA GARCIA DE YEPES</t>
  </si>
  <si>
    <t>OLGA INES RUIZ RESTREPO</t>
  </si>
  <si>
    <t>OLGA ISABEL MARISCAL MERINO</t>
  </si>
  <si>
    <t>OLGA JANNETH PARRA PINILLA</t>
  </si>
  <si>
    <t>OLGA LUCIA CAMARGO ZAMBRANO</t>
  </si>
  <si>
    <t>OLGA LUCIA CORREA ANGEL</t>
  </si>
  <si>
    <t>OLGA LUCIA CORREA MONTAÑO</t>
  </si>
  <si>
    <t>OLGA LUCIA GARCES URIBE</t>
  </si>
  <si>
    <t>OLGA LUCIA HERRERA VALDERRAMA</t>
  </si>
  <si>
    <t>OLGA LUCIA MARIN VERGARA</t>
  </si>
  <si>
    <t>OLGA LUCIA MONARES VERA</t>
  </si>
  <si>
    <t>OLGA LUCIA OROZCO SUAREZ</t>
  </si>
  <si>
    <t>OLGA LUCIA VARGAS CANO</t>
  </si>
  <si>
    <t>OLGA MARIA ACOSTA QUIROZ</t>
  </si>
  <si>
    <t>OLGA PATRICIA CORRALES MURILLO</t>
  </si>
  <si>
    <t>OLGA QUINTERO RINCON</t>
  </si>
  <si>
    <t>OLGA ROCIO RAMIREZ CABALLERO</t>
  </si>
  <si>
    <t>OLGA SOFIA SALDARRIAGA SANCHEZ</t>
  </si>
  <si>
    <t>OLGA STELLA QUINTERO GARCIA</t>
  </si>
  <si>
    <t>OLGA VICTORIA NANCLARES GONSALEZ</t>
  </si>
  <si>
    <t>OLIVA ARANGO GONZALEZ</t>
  </si>
  <si>
    <t>OLIVERIO ISAZA RAMIREZ</t>
  </si>
  <si>
    <t>OLIVIA CAPURRO RODRIGUEZ</t>
  </si>
  <si>
    <t>OLIVIA DIANE CLOSE</t>
  </si>
  <si>
    <t>OLIVIA ESCALANTE TOBON</t>
  </si>
  <si>
    <t>OLIVIA IVANKOVIC IVANKOVIC 0</t>
  </si>
  <si>
    <t>NV5414KF9</t>
  </si>
  <si>
    <t>OLIVIA JUSTINA GEERMAN GEERMAN</t>
  </si>
  <si>
    <t>OLIVIA MARTINEZ ALZATE</t>
  </si>
  <si>
    <t>OLIVIA MEJIA JARAMILLO</t>
  </si>
  <si>
    <t>OLIVIA MEJIA POSADA</t>
  </si>
  <si>
    <t>OLIVIA SERNA JARUFFE</t>
  </si>
  <si>
    <t>OMAIRA DE JESUSU VELASQUEZ SIERRA</t>
  </si>
  <si>
    <t>OMAR ALONSO GARCIA GARCIA</t>
  </si>
  <si>
    <t>OMAR ALONSO RENDON HENAO</t>
  </si>
  <si>
    <t>OMAR BETANCUR BARRERA</t>
  </si>
  <si>
    <t>OMAR DARIO HENAO DAZA</t>
  </si>
  <si>
    <t>OMAR DAVID GAVIRIA GONZALEZ.</t>
  </si>
  <si>
    <t>OMAR ORLANDO SERNA ZULUAGA</t>
  </si>
  <si>
    <t>BLLRB1554</t>
  </si>
  <si>
    <t>OMAR SAMIR BAROUD BAROUD</t>
  </si>
  <si>
    <t>OMARY JANETH GALVIS GIL</t>
  </si>
  <si>
    <t>A9983974</t>
  </si>
  <si>
    <t>OMAYRA BIOLETA BENALCAZAR VYLLAREAL</t>
  </si>
  <si>
    <t>ORACIO ANTONIO MONTOYA ALZATE</t>
  </si>
  <si>
    <t>ORIANA REYES FLOREZ</t>
  </si>
  <si>
    <t>ORLINDA VIDALES SEPULVEDA</t>
  </si>
  <si>
    <t>OSCAR ABAD GUTIERREZ GOMEZ</t>
  </si>
  <si>
    <t>OSCAR ALBERTO LONDOÑO MARULANDA</t>
  </si>
  <si>
    <t>OSCAR ARTURO RODRIGUEZ TIMANA</t>
  </si>
  <si>
    <t>OSCAR DARIO JIMENEZ CALAD</t>
  </si>
  <si>
    <t>OSCAR DAVID ORTEGA VILLA</t>
  </si>
  <si>
    <t>OSCAR DUVAN CARVAJAL RAMOS</t>
  </si>
  <si>
    <t>OSCAR IVAN GIRALDO DIAZ</t>
  </si>
  <si>
    <t>OSCAR JAVIER OLIVERO AMELL</t>
  </si>
  <si>
    <t>OSCAR MONTOYA GONZALEZ</t>
  </si>
  <si>
    <t>OSCAR TORRES PINZON</t>
  </si>
  <si>
    <t>OSMAI DEL SOCORRO VASQUEZ</t>
  </si>
  <si>
    <t>PABLO ANDRES TORRES PEREZ</t>
  </si>
  <si>
    <t>PABLO ANDRES VARGAS VARGAS</t>
  </si>
  <si>
    <t>PABLO ECHEVERRI GOMEZ</t>
  </si>
  <si>
    <t>PABLO FRANCO GOMEZ</t>
  </si>
  <si>
    <t>PABLO GONZALEZ GONZALEZ MORENO</t>
  </si>
  <si>
    <t>PABLO JOSE AGUIRRE HOLGUIN</t>
  </si>
  <si>
    <t>PABLO RESTREPO CASTRILLON CASTRILLON</t>
  </si>
  <si>
    <t>PABLO URIBE MEJIA</t>
  </si>
  <si>
    <t>PABLO ZULUAGA SUAREZ</t>
  </si>
  <si>
    <t>PAOLA ANDREA BOLAÑOS NARVAEZ</t>
  </si>
  <si>
    <t>PAOLA ANDREA GUEVARA ZAMUDIO</t>
  </si>
  <si>
    <t>PAOLA ANDREA HERNANDEZ LARA</t>
  </si>
  <si>
    <t>PAOLA ANDREA QUIROZ JANSASOY</t>
  </si>
  <si>
    <t>PAOLA ANDREA SALDARRIAGA ALVAREZ</t>
  </si>
  <si>
    <t>PAOLA GIOVANNA ESPAÑA</t>
  </si>
  <si>
    <t>PAOLA HENAO TIRADO</t>
  </si>
  <si>
    <t>PAOLA SOLER SOLER AMAYA</t>
  </si>
  <si>
    <t>PAOLA TABARES MONTOYA</t>
  </si>
  <si>
    <t>PAOLO 0 SEVERINI</t>
  </si>
  <si>
    <t>PARTH SHRI TEWARI</t>
  </si>
  <si>
    <t>PASCUAL AGUDELO MEJIA</t>
  </si>
  <si>
    <t>PATRICIA ALVAREZ ALVAREZ GOMEZ</t>
  </si>
  <si>
    <t>PATRICIA AMALIA MOLANO MORENO</t>
  </si>
  <si>
    <t>PATRICIA DEL CARMEN MUNERA SARRAZOLA</t>
  </si>
  <si>
    <t>PATRICIA ELENA MADRIZ DE MENDEZ</t>
  </si>
  <si>
    <t>PATRICIA ELENA REDONDO BENITEZ</t>
  </si>
  <si>
    <t>PATRICK QUEZADA JR</t>
  </si>
  <si>
    <t>A03561616</t>
  </si>
  <si>
    <t>PATRICK STEPHANE NGOUANA SONMENE</t>
  </si>
  <si>
    <t>PAUL FERNANDO CARDONA MONTOYA</t>
  </si>
  <si>
    <t>PAULA ANDREA AGUDELO SANCHEZ</t>
  </si>
  <si>
    <t>PAULA ANDREA ANDREA GARCIA</t>
  </si>
  <si>
    <t>PAULA ANDREA CANO ZAPATA</t>
  </si>
  <si>
    <t>AAJ236178</t>
  </si>
  <si>
    <t>PAULA ANDREA GARCIA GARCIA</t>
  </si>
  <si>
    <t>PAULA ANDREA GIRALDO BELTRAN</t>
  </si>
  <si>
    <t>PAULA ANDREA JARAMILLO BETANCUR</t>
  </si>
  <si>
    <t>PAULA ANDREA LOPEZ GUTIERREZ</t>
  </si>
  <si>
    <t>PAULA ANDREA QUICENO GOMEZ</t>
  </si>
  <si>
    <t>PAULA ANDREA RAMIREZ RIOS</t>
  </si>
  <si>
    <t>PAULA ANDREA SOTO DELGADO</t>
  </si>
  <si>
    <t>PAULA ANDREA TORO VALENCIA</t>
  </si>
  <si>
    <t>PAULA ANDREA ZULUAGA LONDOÑO</t>
  </si>
  <si>
    <t>PAULA CRISTINA VELEZ SUAZA</t>
  </si>
  <si>
    <t>PAULA JOHANA LOPEZ NOGUERA</t>
  </si>
  <si>
    <t>PAULA MARCELA MEJIA TORRES</t>
  </si>
  <si>
    <t>PAULA XIMENA HERNANDEZ PALENCIA</t>
  </si>
  <si>
    <t>PAULINA CASTRO CARVAJAL</t>
  </si>
  <si>
    <t>PAULINA HERRERA ISAZA</t>
  </si>
  <si>
    <t>PAULINA RUIZ GUERRERO</t>
  </si>
  <si>
    <t>PAULINA VILLADA ANGEL</t>
  </si>
  <si>
    <t>PAZ VARGAS VARGAS BRIDGE</t>
  </si>
  <si>
    <t>PEDRO ALFONSO SANCHEZ CASTILLO</t>
  </si>
  <si>
    <t>PEDRO ANGEE MEJIA</t>
  </si>
  <si>
    <t>PEDRO ANTONIO CARDENAS JARAMILLO</t>
  </si>
  <si>
    <t>PEDRO CRUZ GIRALDO</t>
  </si>
  <si>
    <t>PEDRO DOS SANTOS</t>
  </si>
  <si>
    <t>PEDRO GOMEZ BOTERO</t>
  </si>
  <si>
    <t>PEDRO GOMEZ GIRALDO</t>
  </si>
  <si>
    <t>PEDRO HORACIO FRANCO ROLDAN</t>
  </si>
  <si>
    <t>PEDRO JUAN GUERRA SALDARRIAGA</t>
  </si>
  <si>
    <t>PEDRO JUAN HENAO VELEZ</t>
  </si>
  <si>
    <t>PEDRO JUAN MARTINEZ RODRIGUEZ</t>
  </si>
  <si>
    <t>PEDRO LUIS LOPEZ ARISTIZABAL</t>
  </si>
  <si>
    <t>PEDRO PABLO CASTILLO ARISTIZABAL</t>
  </si>
  <si>
    <t>PEDRO RESTREPO CASTAÑO</t>
  </si>
  <si>
    <t>PEDRO RIOS CAMPUZANO</t>
  </si>
  <si>
    <t>PENELOPE SARMIENTO GARCIA</t>
  </si>
  <si>
    <t>PERLA MARGARITA ESCOBAR RIAÑO</t>
  </si>
  <si>
    <t>PIEDAD CECILIA CARDONA MOLINA</t>
  </si>
  <si>
    <t>PIEDAD DE JESUS CARDONA GAVIRIA</t>
  </si>
  <si>
    <t>PIEDAD ESCORCIA DE CACERES</t>
  </si>
  <si>
    <t>PIEDAD IDARRAGA IDARRAGA MUÑOZ</t>
  </si>
  <si>
    <t>PILAR ANDREA CANO GIRALDO</t>
  </si>
  <si>
    <t>NUFJ62122</t>
  </si>
  <si>
    <t>PSCO ROBERTO JOSE CROEZE</t>
  </si>
  <si>
    <t>PSTRICIA ELENA LORZA JARAMILLO</t>
  </si>
  <si>
    <t>PSTRICIA MARTINEZ AGUDELO</t>
  </si>
  <si>
    <t>PSTRICIA SAMANTHA FERNANDEZ BENITEZ</t>
  </si>
  <si>
    <t>PSULINA RAMIREZ JARAMILLO</t>
  </si>
  <si>
    <t>RAFAEL ALEJANDRO PELAEZ MONTOYA</t>
  </si>
  <si>
    <t>RAFAEL ARTURO GUZMAN MATALLANA</t>
  </si>
  <si>
    <t>RAFAEL BUITRAGO RUBIO</t>
  </si>
  <si>
    <t>RAFAEL CLAUDINO BOTERO</t>
  </si>
  <si>
    <t>RAFAEL DE JESUS GONZALEZ LLANO</t>
  </si>
  <si>
    <t>RAFAEL EDUARDO GOMEZ ARBELAEZ</t>
  </si>
  <si>
    <t>RAFAEL EMIRO FONSECA URECHE</t>
  </si>
  <si>
    <t>RAFAEL ESCALANTE TOBON</t>
  </si>
  <si>
    <t>RAFAEL HERRAN SALDARRIAGA</t>
  </si>
  <si>
    <t>RAFAEL MESA INFANTINO</t>
  </si>
  <si>
    <t>RAFAEL PELAEZ ESTRADA</t>
  </si>
  <si>
    <t>RAFAEL PIEDRAHITA DUQUE</t>
  </si>
  <si>
    <t>RAINA EDWARDS 0</t>
  </si>
  <si>
    <t>RAMIRO ALBERTO RAMIREZ ARISTIZABAL</t>
  </si>
  <si>
    <t>RAMON MARIA RODRIGO URIBE LOPEZ</t>
  </si>
  <si>
    <t>A04557538</t>
  </si>
  <si>
    <t>RANDELL PANGANIBAN</t>
  </si>
  <si>
    <t>RAQUEL CASTAÑO HERNANDEZ</t>
  </si>
  <si>
    <t>RAUL ALBERTO GARTNER FRANCO</t>
  </si>
  <si>
    <t>RAUL ALEJANDRO MEJIA CARRIZOSA</t>
  </si>
  <si>
    <t>RAUL ANDRES ARENAS GALVIS</t>
  </si>
  <si>
    <t>RAUL DAVID VELASQUEZ ACEVEDO</t>
  </si>
  <si>
    <t>A04551397</t>
  </si>
  <si>
    <t>RAUL EDUARDO MATHISON</t>
  </si>
  <si>
    <t>RAUL HERNAN CUELLAR MORALES</t>
  </si>
  <si>
    <t>REBECA MARIA VANEGAS PUSHAINA</t>
  </si>
  <si>
    <t>REBECA URIBE UPEGUI</t>
  </si>
  <si>
    <t>NU4K2F9P4</t>
  </si>
  <si>
    <t>REBECCA MILAGROS SPELLEN</t>
  </si>
  <si>
    <t>REGINA 0 JAYARIYU</t>
  </si>
  <si>
    <t>A35059105</t>
  </si>
  <si>
    <t>REGINA MARIE ARNOLD ARNOLD</t>
  </si>
  <si>
    <t>REGINALDO VILLACOB PEREZ</t>
  </si>
  <si>
    <t>REINALDO DE JESUS HENAO VILLA</t>
  </si>
  <si>
    <t>REINALDO JOSE VERGARA ZABALA</t>
  </si>
  <si>
    <t>RENATA ABIGAIL SILVA PROAÑO</t>
  </si>
  <si>
    <t>RENATA VILLADA RAIGOZA</t>
  </si>
  <si>
    <t>PA1312508</t>
  </si>
  <si>
    <t>RENE ALEXANDER AGUILAR GONZALEZ</t>
  </si>
  <si>
    <t>RENE ECHEVERRY ISAZA</t>
  </si>
  <si>
    <t>RENE FEDERICO BEDOYA PEÑA</t>
  </si>
  <si>
    <t>NNBJ1HHH4</t>
  </si>
  <si>
    <t>RENZO SALVATORE MUSCARIELLO ABREU</t>
  </si>
  <si>
    <t>RICARDO ALBERTO SANCHEZ PASTORINI</t>
  </si>
  <si>
    <t>RICARDO ANDRES HENAO ARANGO</t>
  </si>
  <si>
    <t>RICARDO BARRENECHE BARRENECHE GOMEZ</t>
  </si>
  <si>
    <t>RICARDO ESPITIA GARZON</t>
  </si>
  <si>
    <t>RICARDO RAMIREZ BORRERO</t>
  </si>
  <si>
    <t>RICARDO TANCO UMAÑA</t>
  </si>
  <si>
    <t>A11529380</t>
  </si>
  <si>
    <t>RICHARD 0 ALVARADO</t>
  </si>
  <si>
    <t>NNCBP6J58</t>
  </si>
  <si>
    <t>RICHARD HUBERT PAESCH PAESCH</t>
  </si>
  <si>
    <t>NM8L8J5D9</t>
  </si>
  <si>
    <t>RICHARD RIGOBERT DONATA PEROZO</t>
  </si>
  <si>
    <t>NM751CR87</t>
  </si>
  <si>
    <t>RIENNA SHALOMY SHALOMY HOLDER</t>
  </si>
  <si>
    <t>ROBERTINA LOPEZ USUGA</t>
  </si>
  <si>
    <t>ROBERTO CARLOS PARRA VALENCIA</t>
  </si>
  <si>
    <t>ROBERTO ESTEBAN VILLANUEVA CASTELLANO</t>
  </si>
  <si>
    <t>ROBERTO JAVIER CARDONA SALAZAR</t>
  </si>
  <si>
    <t>ROBERTO LONDOÑO ARANGO ARANGO</t>
  </si>
  <si>
    <t>ROBERTO LUIS ARANGO ROLDAN</t>
  </si>
  <si>
    <t>ROBINSON ALBERTO BAENA ZULUAGA</t>
  </si>
  <si>
    <t>ROBINSON RODRIGUEZ AVELLANADA</t>
  </si>
  <si>
    <t>ROCIO DEL PILAR VELA VARGAS</t>
  </si>
  <si>
    <t>ROCIO ELENA GRAJALES MESA</t>
  </si>
  <si>
    <t>ROCIO GONZALIAS LARAHONDO</t>
  </si>
  <si>
    <t>ROCIO RUIZ LOPEZ</t>
  </si>
  <si>
    <t>RODRIGO ALBERTO MONTOYA BLANDON</t>
  </si>
  <si>
    <t>RODRIGO ANDRES GALLEGO MORENO</t>
  </si>
  <si>
    <t>RODRIGO DE JESUS GARCES RESTREPO</t>
  </si>
  <si>
    <t>RODRIGO DE JESUS TORO</t>
  </si>
  <si>
    <t>RODRIGO EMILIO MEJIA VALENCIA</t>
  </si>
  <si>
    <t>RODRIGO SEGUNDO BADEL FABRA</t>
  </si>
  <si>
    <t>PA0816740</t>
  </si>
  <si>
    <t>ROGELIO ARTURO MON ARANDA</t>
  </si>
  <si>
    <t>ROGER JOSE NELO RIVERO</t>
  </si>
  <si>
    <t>ROMELIA VALDES RUA</t>
  </si>
  <si>
    <t>ROMEO PARRA ARIAS</t>
  </si>
  <si>
    <t>A57117403</t>
  </si>
  <si>
    <t>RONDELL LENNOX NICKOSI DANIELS</t>
  </si>
  <si>
    <t>RONY ALDO MATEO MONTES</t>
  </si>
  <si>
    <t>ROSA AMPARO MARTINEZ CORREA</t>
  </si>
  <si>
    <t>ROSA ANGELICA MONTOYA CUERVO</t>
  </si>
  <si>
    <t>ROSA ANGELICA TAMAYO DE GUTIERREZ</t>
  </si>
  <si>
    <t>ROSA CECILIA CECILIA FIGUEROA</t>
  </si>
  <si>
    <t>ROSA MARIA NARVAEZ CASTRO</t>
  </si>
  <si>
    <t>ROSALBA BUSTAMANTE DE ARISTIZABAL</t>
  </si>
  <si>
    <t>ROSALBA GIL GUARIN</t>
  </si>
  <si>
    <t>ROSARIO CLAVIJO GIRALDO</t>
  </si>
  <si>
    <t>ROSARIO GONZALEZ ALVAREZ</t>
  </si>
  <si>
    <t>ROSARIO JARAMILLO BOLIVAR</t>
  </si>
  <si>
    <t>ROSARIO PINEDA CASTRILLON</t>
  </si>
  <si>
    <t>ROSARIO YEPES MUÑOZ</t>
  </si>
  <si>
    <t>ROSEMARI CORREA ARRIETA</t>
  </si>
  <si>
    <t>ROSMARY YEPES BALDEBLANQUEZ</t>
  </si>
  <si>
    <t>ROSMERY PUENTES ARCE</t>
  </si>
  <si>
    <t>ROSSANA LIZETH MURILLO OSSA</t>
  </si>
  <si>
    <t>ROSSIRIS SABRINA PEREZ GARCIA</t>
  </si>
  <si>
    <t>ROSSY BUILES BUILES BEDOYA</t>
  </si>
  <si>
    <t>BJ9229811</t>
  </si>
  <si>
    <t>ROXANNE NICOLE NICOLE PARDO</t>
  </si>
  <si>
    <t>RUBEN DARIO AGUDELO METAUTE</t>
  </si>
  <si>
    <t>RUBEN DARIO OSPINA ORTIZ</t>
  </si>
  <si>
    <t>RUBEN DARIO PALACIOS MOSQUERA</t>
  </si>
  <si>
    <t>RUBEN MAURO DUQUE QUINTERO</t>
  </si>
  <si>
    <t>RUBIELA CANO CANO TOBON</t>
  </si>
  <si>
    <t>RUBIELA DEL CARMEN HURTADO MUÑOZ</t>
  </si>
  <si>
    <t>RUBIELA EMILSE GIRALDO CARMONA</t>
  </si>
  <si>
    <t>RUBIELA RAMIREZ CABRERA</t>
  </si>
  <si>
    <t>RUBY GOMEZ SILVA</t>
  </si>
  <si>
    <t>RUBY GOMEZ SUAREZ</t>
  </si>
  <si>
    <t>RUDDY LEANDRA ZAPATA RUBIO</t>
  </si>
  <si>
    <t>RUT LILIANA URIBE VELASQUEZ</t>
  </si>
  <si>
    <t>RUTH ARELIS ARBOLEDA ALVAREZ</t>
  </si>
  <si>
    <t>RUTH STELLA OSORNO YUSTI</t>
  </si>
  <si>
    <t>YC1039057</t>
  </si>
  <si>
    <t>SABINO SPADA</t>
  </si>
  <si>
    <t>SADDY DEL SOCORRO JARAMILLO JIMENEZ</t>
  </si>
  <si>
    <t>NVRPPRCK2</t>
  </si>
  <si>
    <t>SADE CRYSTELL HODGE</t>
  </si>
  <si>
    <t>SAHYLA MARIA CARDONA PINEDA</t>
  </si>
  <si>
    <t>SALIM MUNIR ZAKZUK DAGUER</t>
  </si>
  <si>
    <t>SALOME AGUILAR ARANGO</t>
  </si>
  <si>
    <t>SALOME CASTAÑO SALAZAR</t>
  </si>
  <si>
    <t>SALOME CUERVO PULGARIN</t>
  </si>
  <si>
    <t>SALOME HERRERA SOTO</t>
  </si>
  <si>
    <t>SALOME LOPEZ CRUZ</t>
  </si>
  <si>
    <t>SALOME MEDINA CARO</t>
  </si>
  <si>
    <t>SALOME MEDINA MARULANDA</t>
  </si>
  <si>
    <t>SALOME MORA CASTILLO</t>
  </si>
  <si>
    <t>SALOME PEREZ LEDESMA</t>
  </si>
  <si>
    <t>SALOME RAMIREZ SOLORZANO</t>
  </si>
  <si>
    <t>SALOME RESTREPO BEDOYA</t>
  </si>
  <si>
    <t>SALOME URIBE BETANCUR</t>
  </si>
  <si>
    <t>SALOME VALDIVIESO ECHANDIA</t>
  </si>
  <si>
    <t>SALOMON PEREZ MADERA</t>
  </si>
  <si>
    <t>SALVADOR ALVAREZ VALENCIA</t>
  </si>
  <si>
    <t>SALVADOR ARISTIZABAL SALAZAR</t>
  </si>
  <si>
    <t>SALVADOR ARRIETA PLATA</t>
  </si>
  <si>
    <t>SALVADOR BUELVAS AGUDELO</t>
  </si>
  <si>
    <t>SALVADOR CARTAGENA MUÑOZ</t>
  </si>
  <si>
    <t>SALVADOR GOMEZ FERNANDEZ</t>
  </si>
  <si>
    <t>SALVADOR HENAO GUERRA</t>
  </si>
  <si>
    <t>SALVADOR HERRERA CAPACHO</t>
  </si>
  <si>
    <t>SALVADOR LOPEZ ZAPATA</t>
  </si>
  <si>
    <t>SALVADOR MARIN AGUDELO</t>
  </si>
  <si>
    <t>SALVADOR OSPINA ESTRADA</t>
  </si>
  <si>
    <t>SALVADOR PAZ CARDENAS</t>
  </si>
  <si>
    <t>SALVADOR RESTREPO BEDOYA</t>
  </si>
  <si>
    <t>SALVADOR RICO TORO</t>
  </si>
  <si>
    <t>SALVADOR TANCO BARRERA</t>
  </si>
  <si>
    <t>SALVATORE OCANDO PEÑALOZA</t>
  </si>
  <si>
    <t>SAMANTHA CALLE ZULUAGA</t>
  </si>
  <si>
    <t>SAMANTHA GARCIA GOMEZ</t>
  </si>
  <si>
    <t>SAMANTHA GOMEZ TORO</t>
  </si>
  <si>
    <t>SAMARA ARISTIZABAL VILLADIEGO</t>
  </si>
  <si>
    <t>SAMARA CRISRINA AGUIRRE LAVERDE</t>
  </si>
  <si>
    <t>SAMUEL ALEJANDRO BEDOYA JARAMILLO</t>
  </si>
  <si>
    <t>SAMUEL ALEJANDRO PRIETO SIERRA</t>
  </si>
  <si>
    <t>SAMUEL ALMARIO RENDON</t>
  </si>
  <si>
    <t>SAMUEL ARANGO CORREA</t>
  </si>
  <si>
    <t>SAMUEL ARON MONTAÑEZ SANCHEZ</t>
  </si>
  <si>
    <t>SAMUEL ARTURO MESA GONZALEZ</t>
  </si>
  <si>
    <t>SAMUEL CASTRILLON COLLAZOS</t>
  </si>
  <si>
    <t>SAMUEL CORTES ARANGO</t>
  </si>
  <si>
    <t>SAMUEL CORTES OLMOS</t>
  </si>
  <si>
    <t>SAMUEL DAVID PALACIOS BERNATE</t>
  </si>
  <si>
    <t>SAMUEL DUQUE HERNANDEZ</t>
  </si>
  <si>
    <t>SAMUEL EDUARDO DIAZ BETANCUR</t>
  </si>
  <si>
    <t>SAMUEL GIRALDO RODRIGUEZ</t>
  </si>
  <si>
    <t>SAMUEL GOMEZ HADAD</t>
  </si>
  <si>
    <t>SAMUEL GONZALEZ GONZALEZ</t>
  </si>
  <si>
    <t>SAMUEL HERNANDEZ VILLEGAS</t>
  </si>
  <si>
    <t>SAMUEL IGNACIO ROLDAN RESTREPO</t>
  </si>
  <si>
    <t>SAMUEL JARAMILLO TORRES</t>
  </si>
  <si>
    <t>SAMUEL LOPEZ BURITICA</t>
  </si>
  <si>
    <t>SAMUEL MARTINEZ BENTANCUR</t>
  </si>
  <si>
    <t>SAMUEL OSORIO GIRALDO</t>
  </si>
  <si>
    <t>SAMUEL OSPINA GAMBOA</t>
  </si>
  <si>
    <t>SAMUEL OTANO</t>
  </si>
  <si>
    <t>SAMUEL PEREZ PEREZ HURTADO</t>
  </si>
  <si>
    <t>SAMUEL QUIJANO VILLA</t>
  </si>
  <si>
    <t>SAMUEL SALAZAR VASQUEZ</t>
  </si>
  <si>
    <t>SAMUEL TAVERA PASOS</t>
  </si>
  <si>
    <t>SAMUEL VASQUEZ LOPERA</t>
  </si>
  <si>
    <t>SAMUEL ZAPATA LOPEZ</t>
  </si>
  <si>
    <t>SAMUEL ZULUAGA YABUR</t>
  </si>
  <si>
    <t>SANDRA BUSTAMANTE GÓMEZ</t>
  </si>
  <si>
    <t>SANDRA CATALINA CORTES ORTIZ</t>
  </si>
  <si>
    <t>SANDRA CRISTINA CASTAÑEDA BERMUDEZ</t>
  </si>
  <si>
    <t>SANDRA ELENA ARANGO MUÑOZ</t>
  </si>
  <si>
    <t>SANDRA GALLON CRUZ CRUZ</t>
  </si>
  <si>
    <t>SANDRA JANET FRANCO ACEVEDO</t>
  </si>
  <si>
    <t>SANDRA LILIANA PATIÑO HENAO</t>
  </si>
  <si>
    <t>SANDRA LILIANA VALENCIA ZULUAGA</t>
  </si>
  <si>
    <t>SANDRA MARCELA ZULUAGA GIRALDO</t>
  </si>
  <si>
    <t>SANDRA MARIA VILLADA RESTREPO</t>
  </si>
  <si>
    <t>SANDRA MILENA ALVAREZ ARTEAGA</t>
  </si>
  <si>
    <t>SANDRA MILENA BETANCUR MONCADA</t>
  </si>
  <si>
    <t>SANDRA MILENA BOTERO BOTERO</t>
  </si>
  <si>
    <t>SANDRA MILENA CIFUENTES CANO</t>
  </si>
  <si>
    <t>SANDRA MILENA MONTOYA CANO</t>
  </si>
  <si>
    <t>SANDRA MILENA PEMBERTY PEREA</t>
  </si>
  <si>
    <t>SANDRA MILENA TORO BEDOYA</t>
  </si>
  <si>
    <t>SANDRA PATRICIA RAMIREZ HERNANDEZ</t>
  </si>
  <si>
    <t>SANDRA RODRIGUEZ MARTINEZ</t>
  </si>
  <si>
    <t>SANDRA TAMAYO BOTERO</t>
  </si>
  <si>
    <t>SANDRA YANETH BEDOYA URREGO</t>
  </si>
  <si>
    <t>SANDRA YULIANA HERNANDEZ ZAPATA</t>
  </si>
  <si>
    <t>SANDRO DE MUNARI CANEPA CANEPA</t>
  </si>
  <si>
    <t>SANTIAGO ARANGO TORO</t>
  </si>
  <si>
    <t>SANTIAGO ARCINIEGAS CARMONA</t>
  </si>
  <si>
    <t>SANTIAGO BARON SOTO</t>
  </si>
  <si>
    <t>SANTIAGO CORREA BUITRAGO</t>
  </si>
  <si>
    <t>SANTIAGO ESPINAL GONZALEZ</t>
  </si>
  <si>
    <t>SANTIAGO FERNANDEZ BOTERO BOTERO</t>
  </si>
  <si>
    <t>SANTIAGO GIRALDO GONZALEZ</t>
  </si>
  <si>
    <t>SANTIAGO GUTIERREZ BOTERO</t>
  </si>
  <si>
    <t>SANTIAGO HENAO COLON</t>
  </si>
  <si>
    <t>SANTIAGO LOPEZ CORREA</t>
  </si>
  <si>
    <t>SANTIAGO MEJIA MAYA</t>
  </si>
  <si>
    <t>SANTIAGO MONTOYA CEBALLOS</t>
  </si>
  <si>
    <t>SANTIAGO MONTOYA MONTOYA MONTOYA</t>
  </si>
  <si>
    <t>SANTIAGO OLAYA OLAYA BUSTAMANTE</t>
  </si>
  <si>
    <t>SANTIAGO PEREZ OSORIO</t>
  </si>
  <si>
    <t>AV186942</t>
  </si>
  <si>
    <t>SANTIAGO PEREZ VASQUEZ</t>
  </si>
  <si>
    <t>SANTIAGO PINTO CASTILLO</t>
  </si>
  <si>
    <t>SANTIAGO QUINTERO HENAO</t>
  </si>
  <si>
    <t>SANTIAGO REBAGE REBAGE DE LA VALLE</t>
  </si>
  <si>
    <t>SANTIAGO RODRIGUEZ ARIAS</t>
  </si>
  <si>
    <t>SANTIAGO RODRIGUEZ RODRIGUEZ PUENTES</t>
  </si>
  <si>
    <t>SANTIAGO SERNA DE FEX</t>
  </si>
  <si>
    <t>SANTIAGO SERRANO BARRENECHE</t>
  </si>
  <si>
    <t>SANTIAGO TOBON KNICKERBOCKER</t>
  </si>
  <si>
    <t>SANTIAGO VILLALOBOS GARCIA</t>
  </si>
  <si>
    <t>SANTIAGO YEPES ALVAREZ</t>
  </si>
  <si>
    <t>SANTINO RODRIGUEZ ARROYAVE</t>
  </si>
  <si>
    <t>SARA CATALINA MEJIA ARANGO</t>
  </si>
  <si>
    <t>SARA ELENA MORENO OROZCO</t>
  </si>
  <si>
    <t>SARA GOEZ GUEVARA</t>
  </si>
  <si>
    <t>SARA GOMEZ YEPES</t>
  </si>
  <si>
    <t>SARA GONZALEZ BUITRAGO</t>
  </si>
  <si>
    <t>SARA GUTIERREZ ARBOLEDA</t>
  </si>
  <si>
    <t>SARA ISABEL JARAMILLO RAMIREZ</t>
  </si>
  <si>
    <t>SARA ISABEL MALDONADO ROJAS</t>
  </si>
  <si>
    <t>SARA LEONOR CASTRO ACEVEDO</t>
  </si>
  <si>
    <t>SARA MARIA GUARIN VALENCIA</t>
  </si>
  <si>
    <t>SARA MATAR OSORNO</t>
  </si>
  <si>
    <t>SARA MELGUIZO MELGUIZO</t>
  </si>
  <si>
    <t>SARA MILENA ESCOBAR LONDOÑO</t>
  </si>
  <si>
    <t>SARA MUÑOZ GOMEZ</t>
  </si>
  <si>
    <t>SARA OSPINA GOMEZ</t>
  </si>
  <si>
    <t>SARA RAMIREZ MESA</t>
  </si>
  <si>
    <t>SARA RODRIGUEZ PRECIADO</t>
  </si>
  <si>
    <t>SARA ROJAS VELEZ</t>
  </si>
  <si>
    <t>SARA ROMERO ROMERO MONTOYA</t>
  </si>
  <si>
    <t>SARA TERESA DUQUE CATAÑO</t>
  </si>
  <si>
    <t>SARA VALERIA QUINTERO ZULUAGA</t>
  </si>
  <si>
    <t>SARA VALLEJO PINEDA</t>
  </si>
  <si>
    <t>SARA VELEZ TRUJILLO</t>
  </si>
  <si>
    <t>SARA YULIETH CATAÑO ISAZA</t>
  </si>
  <si>
    <t>SARA ZULUAGA TAMAYO</t>
  </si>
  <si>
    <t>SARAH LUCIA ARANGO GARCIA</t>
  </si>
  <si>
    <t>SARAH MORENO PIZARRO</t>
  </si>
  <si>
    <t>SARAH OQUENDO MONTES</t>
  </si>
  <si>
    <t>SARAH SHOHAM CANO</t>
  </si>
  <si>
    <t>SARAH VILLEGAS BUSTAMANTE</t>
  </si>
  <si>
    <t>SARAHI SANTIAGO SANTIAGO ALZATE</t>
  </si>
  <si>
    <t>SARAY BONILLA MESA</t>
  </si>
  <si>
    <t>SARITA BLANDON VARGAS</t>
  </si>
  <si>
    <t>A08516411</t>
  </si>
  <si>
    <t>SASHA LIZETH TOBON</t>
  </si>
  <si>
    <t>SAUL ENRIQUE CARRERA POSADA</t>
  </si>
  <si>
    <t>SEBASTIAN ALEJANDRO TORREALBA FUENTES</t>
  </si>
  <si>
    <t>SEBASTIAN ALZATE MORALES</t>
  </si>
  <si>
    <t>SEBASTIAN ARANGO ACEVEDO</t>
  </si>
  <si>
    <t>SEBASTIAN ARROYAVE BERRUECOS</t>
  </si>
  <si>
    <t>SEBASTIAN BUSTAMANTE MOLINA</t>
  </si>
  <si>
    <t>SEBASTIAN DIAZ CASTAÑEDA</t>
  </si>
  <si>
    <t>SEBASTIAN LOPEZ CARDONA</t>
  </si>
  <si>
    <t>SEBASTIAN MARTINEZ SANCHEZ</t>
  </si>
  <si>
    <t>SEBASTIAN MEDINA ALVAREZ</t>
  </si>
  <si>
    <t>SEBASTIAN MESA MAYA</t>
  </si>
  <si>
    <t>SEBASTIAN NEWTON MEZA</t>
  </si>
  <si>
    <t>SEBASTIAN PULIDO TORRES</t>
  </si>
  <si>
    <t>SEBASTIAN RAMIREZ TAMAYO</t>
  </si>
  <si>
    <t>SEBASTIAN SANTIAGO GALELGO</t>
  </si>
  <si>
    <t>SEBASTIAN VELASQUEZ VELASQUEZ MESA</t>
  </si>
  <si>
    <t>SEBASTIAN VILLEGAS CALLE</t>
  </si>
  <si>
    <t>SEBASTIAN ZULETA CALDERON</t>
  </si>
  <si>
    <t>SELVA RESTREPO SOLER</t>
  </si>
  <si>
    <t>SERGIO ALBERTO SANCHEZ ARISTIZABAL</t>
  </si>
  <si>
    <t>SERGIO ALONSO ECHEVERRI BEDOYA</t>
  </si>
  <si>
    <t>SERGIO ANDRES CARDONA GUZMAN</t>
  </si>
  <si>
    <t>SERGIO ANDRES DUARTE SAAVEDRA</t>
  </si>
  <si>
    <t>SERGIO ANDRES ELLES TOVAR</t>
  </si>
  <si>
    <t>SERGIO ANDRES PEREZ ORDOÑEZ</t>
  </si>
  <si>
    <t>SERGIO ANDRES PEÑUELA MARTINEZ</t>
  </si>
  <si>
    <t>SERGIO AUGUSTO RAMIREZ ECHEVERRI</t>
  </si>
  <si>
    <t>SERGIO CACERES OROZCO</t>
  </si>
  <si>
    <t>SERGIO GOMEZ CANAL</t>
  </si>
  <si>
    <t>SERGIO PELAEZ TRUJILLO</t>
  </si>
  <si>
    <t>SERVIA AIDEE PEREZ PEREZ</t>
  </si>
  <si>
    <t>SERVIO TULIO BARBOSA BOHORQUEZ</t>
  </si>
  <si>
    <t>SHAIRA MARCELA CIFUENTES BETANCUR</t>
  </si>
  <si>
    <t>A50747159</t>
  </si>
  <si>
    <t>SHALIMAR MUNOZ PIMENTEL PIMENTEL</t>
  </si>
  <si>
    <t>SHAMIM FIRDAUS SHAFI</t>
  </si>
  <si>
    <t>SHIRLEY HURTADO DELGADO</t>
  </si>
  <si>
    <t>SHIRLEY TATIANA GONZALEZ POSADA</t>
  </si>
  <si>
    <t>SHURWING STEVEN SCHONHERR GUARDIOLA</t>
  </si>
  <si>
    <t>SIGIFREDO MONSALVE SIERRA SIERRA</t>
  </si>
  <si>
    <t>SILVANA PATRICIA BERNALES DUQUE</t>
  </si>
  <si>
    <t>SILVIA DEL CARMEN ARBELAEZ BOTERO</t>
  </si>
  <si>
    <t>SILVIA DEL ROSARIO HOYOS GOMEZ</t>
  </si>
  <si>
    <t>SILVIA LAFAURIE OBREGON</t>
  </si>
  <si>
    <t>SILVIA VANESSA BLANCO REYES</t>
  </si>
  <si>
    <t>SIMON ARISTIZABAL ISAZA</t>
  </si>
  <si>
    <t>SIMON ARISTIZABAL SALAZAR</t>
  </si>
  <si>
    <t>SIMON BARRIENTOS GOMEZ</t>
  </si>
  <si>
    <t>SIMON FALLON GIRALDO</t>
  </si>
  <si>
    <t>SIMON HURTADO DIEZ</t>
  </si>
  <si>
    <t>SIMON ORTEGA PRADO</t>
  </si>
  <si>
    <t>SIMON OSPINA QUICENO</t>
  </si>
  <si>
    <t>SIMON PALACIO PIEDRAHITA</t>
  </si>
  <si>
    <t>SIMON PARRA CASTRILLON</t>
  </si>
  <si>
    <t>SIMON RESTREPO BARTH</t>
  </si>
  <si>
    <t>SIMON RESTREPO FLOREZ</t>
  </si>
  <si>
    <t>SIMON SANTOS MARTINEZ</t>
  </si>
  <si>
    <t>SIMON TOBON 0</t>
  </si>
  <si>
    <t>SIMON VELEZ URIBE</t>
  </si>
  <si>
    <t>SIMON ZULETA BARRERA</t>
  </si>
  <si>
    <t>SIMONA ROBLEDO SALDARRIAGA</t>
  </si>
  <si>
    <t>SINDY YULIET MUÑOZ FRANCO</t>
  </si>
  <si>
    <t>SINDY YURANY MARIN ARBELAEZ</t>
  </si>
  <si>
    <t>SIRLEY ALEJANDRA ARTUNDUAGA CERON</t>
  </si>
  <si>
    <t>SIRLEY ANDREA MORALES</t>
  </si>
  <si>
    <t>SIXTA DE ROSARIO GAVIRIA SOTO</t>
  </si>
  <si>
    <t>A39369544</t>
  </si>
  <si>
    <t>SOFIA ALEJANDRA PEREZ VEGA</t>
  </si>
  <si>
    <t>SOFIA ARANGO CORREA</t>
  </si>
  <si>
    <t>SOFIA BALOOCH NUÑEZ</t>
  </si>
  <si>
    <t>SOFIA BOLIVAR ALFONSO</t>
  </si>
  <si>
    <t>SOFIA BRAVO RESTREPO</t>
  </si>
  <si>
    <t>SOFIA CABRALES MEJIA</t>
  </si>
  <si>
    <t>SOFIA CARO VALENCIA</t>
  </si>
  <si>
    <t>SOFIA COLANTONI</t>
  </si>
  <si>
    <t>SOFIA CORTES URUEGA</t>
  </si>
  <si>
    <t>SOFIA DE AGAZIO SALINAS</t>
  </si>
  <si>
    <t>SOFIA HINESTROZA MARTINEZ</t>
  </si>
  <si>
    <t>SOFIA MEJIA BLANDON</t>
  </si>
  <si>
    <t>SOFIA MEJIA LOPERA</t>
  </si>
  <si>
    <t>SOFIA MONSALVE PELAEZ</t>
  </si>
  <si>
    <t>SOFIA MORALES PULGARIN</t>
  </si>
  <si>
    <t>SOFIA NEWTON MEZA</t>
  </si>
  <si>
    <t>SOFIA POSADA VELEZ</t>
  </si>
  <si>
    <t>SOFIA ROJAS IDARRAGA</t>
  </si>
  <si>
    <t>SOFIA SALAZAR OSPINA</t>
  </si>
  <si>
    <t>SOFIA TORO SANCHEZ</t>
  </si>
  <si>
    <t>SOFIA URIBE FLOREZ</t>
  </si>
  <si>
    <t>SOFIA USUGA QUINTERO</t>
  </si>
  <si>
    <t>SOFIA YEPES GOMEZ</t>
  </si>
  <si>
    <t>SOFIA ZULUAGA SALAZAR</t>
  </si>
  <si>
    <t>SOFIA ZULUAGA VARGAS</t>
  </si>
  <si>
    <t>SOFÍA CADAVID CARDONA</t>
  </si>
  <si>
    <t>NN61LP5J3</t>
  </si>
  <si>
    <t>SOLANGE BERNADETTE ANTHONIA</t>
  </si>
  <si>
    <t>SOLUTECME S.A.S</t>
  </si>
  <si>
    <t>SONIA DEL SOCORRO SANCHEZ ATEHORTUA</t>
  </si>
  <si>
    <t>SONIA JANETH CARMONA OSORIO</t>
  </si>
  <si>
    <t>SONIA ZAMAIRA VELOZA RIVERA</t>
  </si>
  <si>
    <t>SONNY STEVEN RESTREPO MENA</t>
  </si>
  <si>
    <t>SOPHIA ELENA CHAVEZ URIBE</t>
  </si>
  <si>
    <t>SOR ANGELA BERMUDEZ VELEZ</t>
  </si>
  <si>
    <t>NS3995KB6</t>
  </si>
  <si>
    <t>SORAIDA DOROTEA WAWOE</t>
  </si>
  <si>
    <t>SOUHAIL 0 ADAM</t>
  </si>
  <si>
    <t>STACEY ANDREA HERNANDEZ BLANCO</t>
  </si>
  <si>
    <t>STEFANIA OSPINA PEREZ</t>
  </si>
  <si>
    <t>STEFANIA PEREZ PEREZ</t>
  </si>
  <si>
    <t>YC3940744</t>
  </si>
  <si>
    <t>STEFANO MAZZEI</t>
  </si>
  <si>
    <t>STEFANY CARDONA BUITRAGO</t>
  </si>
  <si>
    <t>STEFHANIA MORA MEJIA</t>
  </si>
  <si>
    <t>STELLA GAVIRIA PEREZ</t>
  </si>
  <si>
    <t>STEPHANIE GONZALEZ JIMENEZ</t>
  </si>
  <si>
    <t>STEVEN BETANCOURT ARRUBLA</t>
  </si>
  <si>
    <t>STHEFANY HURTADO JIMENEZ</t>
  </si>
  <si>
    <t>STIVEN ALEXANDER GIRALDO OSSA</t>
  </si>
  <si>
    <t>STIVEN GUEVARA GUEVARA GARCIA</t>
  </si>
  <si>
    <t>STIVEN RIVEROS AGUIRRE</t>
  </si>
  <si>
    <t>STIVEN RODRIGUEZ AGUIRRE</t>
  </si>
  <si>
    <t>SUSANA ARISTIZABAL GAVIRIA</t>
  </si>
  <si>
    <t>SUSANA CHIQUITO GARCIA</t>
  </si>
  <si>
    <t>SUSANA GOMEZ YEPES</t>
  </si>
  <si>
    <t>SUSANA MARIN MARTINEZ</t>
  </si>
  <si>
    <t>SUSANA PIEDRAHITA MONSALVE</t>
  </si>
  <si>
    <t>SUSANA ROMAN CARDONA</t>
  </si>
  <si>
    <t>SUSANA SUAREZ USUGA</t>
  </si>
  <si>
    <t>SUSANA TORO SANTAMARIA</t>
  </si>
  <si>
    <t>SWATI BEHL 0</t>
  </si>
  <si>
    <t>A66197313</t>
  </si>
  <si>
    <t>TAMARA DENISE SLAY</t>
  </si>
  <si>
    <t>TAMARA FERNADEZ CALDERON</t>
  </si>
  <si>
    <t>TARA NICOLE DINOSKI</t>
  </si>
  <si>
    <t>TATIANA BOTERO SALAZAR</t>
  </si>
  <si>
    <t>TATIANA GARCIA POSADA</t>
  </si>
  <si>
    <t>TATIANA ISABEL RESTREPO VILLA</t>
  </si>
  <si>
    <t>TATIANA LILIAN GOMEZ GOMEZ</t>
  </si>
  <si>
    <t>TATIANA MARTINEZ GALLO</t>
  </si>
  <si>
    <t>TATIANA PAOLA VEGA ZABALA</t>
  </si>
  <si>
    <t>TATIANA RAMIREZ MONTES</t>
  </si>
  <si>
    <t>TATIANA SANCHEZ LONDOÑO</t>
  </si>
  <si>
    <t>TATIANA VASQUEZ OROZCO</t>
  </si>
  <si>
    <t>TATIANA VELASQUEZ DUQUE</t>
  </si>
  <si>
    <t>TATIANA VELEZ TORO</t>
  </si>
  <si>
    <t>TATUM LYNN LYNN MILLER</t>
  </si>
  <si>
    <t>TEMIS MAURICIO MEDINA VERA</t>
  </si>
  <si>
    <t>TERESA ARIAS BETANCUR</t>
  </si>
  <si>
    <t>TERESA DE JESUS RAMIREZ RESTREPO</t>
  </si>
  <si>
    <t>THIAGO CASTRO PALACIO</t>
  </si>
  <si>
    <t>THIAGO CORREAL SIACHOQUE</t>
  </si>
  <si>
    <t>THIAGO HERNANDEZ PEREZ</t>
  </si>
  <si>
    <t>THIAGO RESTREPO ARROYAVE</t>
  </si>
  <si>
    <t>THIAGO ROVIRA GOMEZ</t>
  </si>
  <si>
    <t>THIAGO WELLS CANO</t>
  </si>
  <si>
    <t>THOMAS ALEJANDRO RUA MARTINEZ</t>
  </si>
  <si>
    <t>THOMAS BUSTAMANTE MOLINA</t>
  </si>
  <si>
    <t>THOMAS TAVERA PASOS</t>
  </si>
  <si>
    <t>THOMAS ZAPATA COSSIO</t>
  </si>
  <si>
    <t>TIMOTHY CHRIS CHRIS ENAD</t>
  </si>
  <si>
    <t>TOMAS ALVARADO MENDOZA</t>
  </si>
  <si>
    <t>TOMAS BATTISTOLO CASTAÑO</t>
  </si>
  <si>
    <t>TOMAS CASTELLANOS HADECHINY</t>
  </si>
  <si>
    <t>TOMAS CASTRILLON TRUJILLO</t>
  </si>
  <si>
    <t>TOMAS CAÑAS ARAQUE</t>
  </si>
  <si>
    <t>TOMAS CRUZ GIRALDO</t>
  </si>
  <si>
    <t>TOMAS DURAN MONTOYA</t>
  </si>
  <si>
    <t>TOMAS FERNANDEZ MEJIA</t>
  </si>
  <si>
    <t>TOMAS IGNACIO MACHADO</t>
  </si>
  <si>
    <t>TOMAS LOPEZ SALAZAR</t>
  </si>
  <si>
    <t>TOMAS MARIN OSORIO</t>
  </si>
  <si>
    <t>TOMAS MARIN PANIAGUA</t>
  </si>
  <si>
    <t>TOMAS MOLINA OROZCO</t>
  </si>
  <si>
    <t>TOMAS PEREZ RESTREPO</t>
  </si>
  <si>
    <t>TOMAS SALDARRIAGA PUERTA</t>
  </si>
  <si>
    <t>TRINIDAD AUXILIO SANCHEZ DUQUE</t>
  </si>
  <si>
    <t>UBEIMAR ALFONSO SANABRIA MEJIA</t>
  </si>
  <si>
    <t>UBER ALBERTO CORREA ALVAREZ</t>
  </si>
  <si>
    <t>UBERLINA LONDOÑO DE MARIN</t>
  </si>
  <si>
    <t>URIAS YEZID CORTES RUA</t>
  </si>
  <si>
    <t>VALENTIN OCAMPO CLAVIJO</t>
  </si>
  <si>
    <t>VALENTIN PERNETH SANCHEZ</t>
  </si>
  <si>
    <t>VALENTINA ARBOLEDA ARBOLEDA ARISTIZABAL</t>
  </si>
  <si>
    <t>VALENTINA GABRIELA XIMENA RAMIREZ</t>
  </si>
  <si>
    <t>VALENTINA GARCES ARBELAEZ</t>
  </si>
  <si>
    <t>VALENTINA GONZALEZ OCHOA</t>
  </si>
  <si>
    <t>VALENTINA GUTIERREZ MESA</t>
  </si>
  <si>
    <t>VALENTINA GUTIERREZ RIOS</t>
  </si>
  <si>
    <t>VALENTINA HINCAPIE TEJADA</t>
  </si>
  <si>
    <t>VALENTINA JIMENEZ JIMENEZ OROZCO</t>
  </si>
  <si>
    <t>VALENTINA LA ROCHE ARISTIZABAL</t>
  </si>
  <si>
    <t>VALENTINA LONDOÑO MONTOYA</t>
  </si>
  <si>
    <t>VALENTINA MEDINA CARO</t>
  </si>
  <si>
    <t>VALENTINA PACHECO PACHECO CARCIOFFI</t>
  </si>
  <si>
    <t>VALENTINA PRADA VILLA</t>
  </si>
  <si>
    <t>VALENTINA RUA RUA MADRID</t>
  </si>
  <si>
    <t>VALENTINA TAMAYO GUARIN</t>
  </si>
  <si>
    <t>VALENTINA TRIANA MESA</t>
  </si>
  <si>
    <t>VALENTINA VALENCIA SUAREZ</t>
  </si>
  <si>
    <t>VALENTINA VELEZ DIAZ</t>
  </si>
  <si>
    <t>VALENTINA VILLEGAS CASTRO</t>
  </si>
  <si>
    <t>VALENTINO PIÑERES LONDOÑO</t>
  </si>
  <si>
    <t>VALENTINO RESTREPO BEDOYA</t>
  </si>
  <si>
    <t>VALERIA ALEJANDRA LOPEZ OSORNO</t>
  </si>
  <si>
    <t>VALERIA ALVAREZ MEJIA</t>
  </si>
  <si>
    <t>VALERIA ANTONIA RESTREPO GAVIRIA</t>
  </si>
  <si>
    <t>VALERIA ARANGO PAMPLONA</t>
  </si>
  <si>
    <t>VALERIA ARCE BLANDON</t>
  </si>
  <si>
    <t>VALERIA BOLIVAR SALAZAR</t>
  </si>
  <si>
    <t>VALERIA CABALLERO RAMIREZ</t>
  </si>
  <si>
    <t>VALERIA CATAÑO AGUIRRE</t>
  </si>
  <si>
    <t>VALERIA DEL VALLE SANCHEZ PATETI</t>
  </si>
  <si>
    <t>VALERIA JARAMILLO CATAÑO</t>
  </si>
  <si>
    <t>VALERIA JARAMILLO MORALES</t>
  </si>
  <si>
    <t>VALERIA MONTOYA ALZATE</t>
  </si>
  <si>
    <t>VALERIA RIASCOS CARDONA</t>
  </si>
  <si>
    <t>VALERIA SERNA ROJAS</t>
  </si>
  <si>
    <t>VALERIA SERNA VALENCIA</t>
  </si>
  <si>
    <t>VALERIA VALENCIA CHACON</t>
  </si>
  <si>
    <t>VALERY OCAMPO ORTIZ</t>
  </si>
  <si>
    <t>VANESA RESTREPO JIMENEZ</t>
  </si>
  <si>
    <t>VANESSA BURGOS OSPINA</t>
  </si>
  <si>
    <t>VANESSA ESTHER PEREIRA RODRIGUEZ</t>
  </si>
  <si>
    <t>VANESSA LEONOR FEIJOO FLOREZ</t>
  </si>
  <si>
    <t>VANESSA RIOS VANEGAS</t>
  </si>
  <si>
    <t>VANESSA SUGEHY VIÑAS BROCHERO</t>
  </si>
  <si>
    <t>NWKBK3FL5</t>
  </si>
  <si>
    <t>VERNON IRMIN LAKE</t>
  </si>
  <si>
    <t>VERONICA MARCELA CONGOTE HENAO</t>
  </si>
  <si>
    <t>VERONICA NOREÑA GARCIA</t>
  </si>
  <si>
    <t>VERONICA OROZCO OROZCO GALEANO</t>
  </si>
  <si>
    <t>VERONICA PATRICIA MOLINA AGUDELO</t>
  </si>
  <si>
    <t>VERONICA TORO GONZALEZ</t>
  </si>
  <si>
    <t>VERONICA URREA QUINCHIA</t>
  </si>
  <si>
    <t>VIANY VANESSA VARGAS VIDES</t>
  </si>
  <si>
    <t>VICENTE ANTONIO PEREZ CARVAJAL</t>
  </si>
  <si>
    <t>VICENTE FONSECA ZULIANI</t>
  </si>
  <si>
    <t>VICENTE VÁSQUEZ DÍAZ</t>
  </si>
  <si>
    <t>VICTOR ALONSO PALACIO USUGA</t>
  </si>
  <si>
    <t>VICTOR AUGUSTO RAMOS GONZALEZ</t>
  </si>
  <si>
    <t>VICTOR GARCIA JAIMES JAIMES</t>
  </si>
  <si>
    <t>VICTOR HUGO MAFLA BARRERO</t>
  </si>
  <si>
    <t>VICTOR HUGO MERIÑO CORDOBA</t>
  </si>
  <si>
    <t>VICTORIA EUGENIA PEREZ PEREZ</t>
  </si>
  <si>
    <t>VICTORIA MARRUGO CARMONA</t>
  </si>
  <si>
    <t>VICTORIA OCANDO PEÑALOZA</t>
  </si>
  <si>
    <t>VICTORIA SALAZAR BERNAL</t>
  </si>
  <si>
    <t>VICTORIA SANTA HERNANDEZ</t>
  </si>
  <si>
    <t>A02845620</t>
  </si>
  <si>
    <t>VIKRAMJIT SINGH SINGH DEOL</t>
  </si>
  <si>
    <t>VILMA INES ROLDAN BUILES</t>
  </si>
  <si>
    <t>VIOLETA CARVAJAL CARVAJAL GARCIA</t>
  </si>
  <si>
    <t>NY34H22J2</t>
  </si>
  <si>
    <t>VIRGINIA MARIA MANSANA</t>
  </si>
  <si>
    <t>VIVIANA ANDREA RIVERA LOPEZ</t>
  </si>
  <si>
    <t>WALTER ALBERTO OSPINA MUNERA</t>
  </si>
  <si>
    <t>WALTER ANDRES TORRES GUTIERREZ</t>
  </si>
  <si>
    <t>WALTER CARRILLO GONZALEZ</t>
  </si>
  <si>
    <t>WALTHER TRIANA SOSA</t>
  </si>
  <si>
    <t>WANDA IVELISSE VILLEGAS SERBIA</t>
  </si>
  <si>
    <t>WAYNE R BESEN</t>
  </si>
  <si>
    <t>WBEIMAR DARIO LOAIZA PELAEZ</t>
  </si>
  <si>
    <t>WENDY DAYANA DORTA HERNANDEZ</t>
  </si>
  <si>
    <t>WILBER ANDRES MESA HERNANDEZ</t>
  </si>
  <si>
    <t>A87097225</t>
  </si>
  <si>
    <t>WILLIAM ANTHONY ONEILL</t>
  </si>
  <si>
    <t>WILLIAM ANTONIO VANEGAS ZAPATA</t>
  </si>
  <si>
    <t>WILLIAM ANTONIO VELEZ URIBE</t>
  </si>
  <si>
    <t>WILLIAM DE JESUS CARDONA GARZON</t>
  </si>
  <si>
    <t>WILLIAM EDUARDO OTERO ESPAÑA</t>
  </si>
  <si>
    <t>WILLIAM FERNANDO PEÑA PIZA</t>
  </si>
  <si>
    <t>WILLIAM HERNANDEZ ESCAMILLA ESCAMILLA</t>
  </si>
  <si>
    <t>WILLIAN RAFAEL RAFAEL MORALES</t>
  </si>
  <si>
    <t>WILLJANNYS BEATRIZ DURAN MORENO</t>
  </si>
  <si>
    <t>WILLY HERNANDEZ DURANGO</t>
  </si>
  <si>
    <t>A07138829</t>
  </si>
  <si>
    <t>WILMARIE SANTIAGO FIGUEROA</t>
  </si>
  <si>
    <t>WILMER ANDRES ALVAREZ BOTERO</t>
  </si>
  <si>
    <t>WILSON HUMBERTO VASQUEZ ZAPATA</t>
  </si>
  <si>
    <t>WILSON JAVIER CARE FUERTES</t>
  </si>
  <si>
    <t>WILTON JOHEL VANEGAS RUIZ</t>
  </si>
  <si>
    <t>WINSTON ORLANDO HERNANDEZ FLOREZ</t>
  </si>
  <si>
    <t>XEDIS ESTHER ARRIETA PELUFFO</t>
  </si>
  <si>
    <t>XIOMARA ADRIANA QUINTERO ESPINOSA</t>
  </si>
  <si>
    <t>NS3F62L26</t>
  </si>
  <si>
    <t>XIOMARA AURORA AURORA ARENDS</t>
  </si>
  <si>
    <t>XIOMARA MORALES GOMEZ GOMEZ</t>
  </si>
  <si>
    <t>NW92FOJH9</t>
  </si>
  <si>
    <t>XIOMARA NOELIA DE JESUS BISSLIK</t>
  </si>
  <si>
    <t>YADIRA DEL CARMEN BERRIO DE CHAVEZ</t>
  </si>
  <si>
    <t>YAELIS CHAVEZ CHAVEZ BERRIO</t>
  </si>
  <si>
    <t>YAJAIRA STELLA CHACON IBARRA</t>
  </si>
  <si>
    <t>YALIR FABIAN OVALLOS BARBOSA</t>
  </si>
  <si>
    <t>YAMARY ZULUAGA RIOS</t>
  </si>
  <si>
    <t>YAMILE ANDREA LOPEZ SANCHEZ</t>
  </si>
  <si>
    <t>YAMILE ANDREA MUNERA AGUDELO</t>
  </si>
  <si>
    <t>YANDRIS ESTELLA SUAREZ HERNANDEZ</t>
  </si>
  <si>
    <t>NP3D40JJ2</t>
  </si>
  <si>
    <t>YANET CECILIA ACEVEDO POSADA</t>
  </si>
  <si>
    <t>YANET ROCIO VILLANUEVA DELGADO</t>
  </si>
  <si>
    <t>YARELI SOFIA ANRRANGO SARANSIG</t>
  </si>
  <si>
    <t>YARISETH PAOLA WBERDH GARCIA</t>
  </si>
  <si>
    <t>YASMID SANCHEZ CASTRILLON</t>
  </si>
  <si>
    <t>YEIKOL ANDRES CORDOBA GALARCIO</t>
  </si>
  <si>
    <t>YEIMY LISETD ARIAS MAZO</t>
  </si>
  <si>
    <t>YENIS HENRIQUEZ BONIVENTO BONIVENTO</t>
  </si>
  <si>
    <t>YENNY CAMILA ALVAREZ PEÑA</t>
  </si>
  <si>
    <t>YENNY MILENA SALDARRIAGA ORTIZ</t>
  </si>
  <si>
    <t>YENNY SARAY YOVANA MONTOYA</t>
  </si>
  <si>
    <t>YENY ALEJANDRA CADAVID DUQUE</t>
  </si>
  <si>
    <t>YERALDIN MICHEL LEDESMA ACEVEDO</t>
  </si>
  <si>
    <t>YERALDIN ZAPATA TABORDA</t>
  </si>
  <si>
    <t>YERALDINE PIEDRAHITA PEREZ</t>
  </si>
  <si>
    <t>YEREMI GALLEGO OCHOA</t>
  </si>
  <si>
    <t>YESENIA BARRIENTOS GUTIERREZ</t>
  </si>
  <si>
    <t>YESID LONDOÑO RENDON</t>
  </si>
  <si>
    <t>YESIKA ALEXANDRA ZAPATA RAMIREZ</t>
  </si>
  <si>
    <t>YESSICA YULIETH RIOS LOPERA</t>
  </si>
  <si>
    <t>YHONATAN FERNEY GIRALDO RIVERA</t>
  </si>
  <si>
    <t>YIJAD MOUSSA EL CHARIF</t>
  </si>
  <si>
    <t>YIMY ARVEY LOPEZ LOPEZ</t>
  </si>
  <si>
    <t>YINER JIMENEZ DURANGO</t>
  </si>
  <si>
    <t>YISED CAROLINA MORENO RIVERA</t>
  </si>
  <si>
    <t>YOJANA ROJAS MARIN</t>
  </si>
  <si>
    <t>YOLANDA BEATRIZ MEJIA CORREA</t>
  </si>
  <si>
    <t>YOLIMA ESNEDA LEON RODRIGUEZ</t>
  </si>
  <si>
    <t>YORLE ANDREA LESMES CAMARGO</t>
  </si>
  <si>
    <t>YOSEF GARCIA ZAPATA</t>
  </si>
  <si>
    <t>YOVANI ESCOBAR QUINTERO</t>
  </si>
  <si>
    <t>YUDY ALEXANDRA ARIAS GIRALDO</t>
  </si>
  <si>
    <t>YUDY CORTES GONZALEZ</t>
  </si>
  <si>
    <t>YULEIDY DE LA CRUZ FLOREZ GUTIERREZ</t>
  </si>
  <si>
    <t>NRP54F6R2</t>
  </si>
  <si>
    <t>YULEIMA NOHELI PEROZO DONATA</t>
  </si>
  <si>
    <t>YULI ANDREA HERNANDEZ BOLIVAR</t>
  </si>
  <si>
    <t>YULIANA ANDREA RAMIREZ GUERRA</t>
  </si>
  <si>
    <t>YULIET ELIANA GOMEZ SALAZAR</t>
  </si>
  <si>
    <t>YUNY JAVIER RIVA RENTERIA</t>
  </si>
  <si>
    <t>YURI MARCELA FLOREZ PEREZ</t>
  </si>
  <si>
    <t>YURLEY ORREGO TRUJILLO</t>
  </si>
  <si>
    <t>YURLIAN ANTONIO ALVAREZ SOSA</t>
  </si>
  <si>
    <t>ZAIRA GIOVANA RAMOS CALDERON</t>
  </si>
  <si>
    <t>ZARA VALENTINA VELANDIA ARDILA</t>
  </si>
  <si>
    <t>ZOE RIOS HERNANDEZ</t>
  </si>
  <si>
    <t>ZOE RODRIGUEZ HERNANDEZ</t>
  </si>
  <si>
    <t>ZULEYKA LISS HERRERA MORALES</t>
  </si>
  <si>
    <t>Cirugias</t>
  </si>
  <si>
    <t>ADIELA RESTREPO PALACIO</t>
  </si>
  <si>
    <t>ADRIANA ARENAS GAVIRIA</t>
  </si>
  <si>
    <t>ADRIANA CECILIA MESA PATRON</t>
  </si>
  <si>
    <t>ADRIANA GIRALDO BEDOYA</t>
  </si>
  <si>
    <t>ADRIANA MARIA PALACIO RUIZ</t>
  </si>
  <si>
    <t>ADRIANA MARIA RAMIREZ GONZALEZ</t>
  </si>
  <si>
    <t>ADRIANA PATRICIA HIGUITA CAMPO</t>
  </si>
  <si>
    <t>ADRIANA YANET MONSALVE LOPEZ</t>
  </si>
  <si>
    <t>ALBA LUZ RESTREPO PEREZ</t>
  </si>
  <si>
    <t>ALBA NELLY LONDOÑO DUQUE</t>
  </si>
  <si>
    <t>ALBERTO GOMEZ ROBLEDO ROBLEDO</t>
  </si>
  <si>
    <t>ALEIDA PATRICIA USUGA CARMONA</t>
  </si>
  <si>
    <t>ALEJANDRA EUGENIA DIAZ DALMAU</t>
  </si>
  <si>
    <t>ALEJANDRA FIGUEROA ESCUDERO</t>
  </si>
  <si>
    <t>ALEJANDRO LOPEZ OROZCO</t>
  </si>
  <si>
    <t>ALEJANDRO PEREA ARANGO</t>
  </si>
  <si>
    <t>ALEJANDRO RENDON OSORNO</t>
  </si>
  <si>
    <t>ALEXANDER BLANDON MAZO MAZO</t>
  </si>
  <si>
    <t>ALEXANDER LOPEZ RIVERA</t>
  </si>
  <si>
    <t>A03396855</t>
  </si>
  <si>
    <t>ALEXANDRA MARIA PEÑA</t>
  </si>
  <si>
    <t>ALFONSO EMILIO RINCON SUAREZ</t>
  </si>
  <si>
    <t>ALFONSO MARIA HIGUERA SOSA</t>
  </si>
  <si>
    <t>ALVARO JOSE JARAMILLO ESTRADA</t>
  </si>
  <si>
    <t>AMARIS SOLAY LOPEZ ZULUAGA</t>
  </si>
  <si>
    <t>AMPARO DEL SOCORRO DE FATIMA CANO DE ZAPATA</t>
  </si>
  <si>
    <t>AMPARO EUGENIA GONZALEZ GONZALEZ</t>
  </si>
  <si>
    <t>AMPARO RIVERA 0</t>
  </si>
  <si>
    <t>ANA ISABEL ALVAREZ RODRIGUEZ</t>
  </si>
  <si>
    <t>ANA MARCELA JARAMILLO CORREA</t>
  </si>
  <si>
    <t>ANA MARIA ARCILA FONSECA</t>
  </si>
  <si>
    <t>ANA MARIA CARDONA ARANGO</t>
  </si>
  <si>
    <t>ANA MARIA CASTAÑEDA ALZATE</t>
  </si>
  <si>
    <t>ANA MARIA CIFUENTES</t>
  </si>
  <si>
    <t>ANA MARIA CIFUENTES TRUJILLO</t>
  </si>
  <si>
    <t>ANA MARIA MARTINEZ JARAMILLO</t>
  </si>
  <si>
    <t>ANA MARIA TOVAR AGUDELO</t>
  </si>
  <si>
    <t>ANDREA CAMILA CONDE BARRIOS</t>
  </si>
  <si>
    <t>ANDREA CAROLINA SALAZAR GARCIA</t>
  </si>
  <si>
    <t>ANDREA MILENA MENDOZA MARQUEZ</t>
  </si>
  <si>
    <t>ANDRES CAMILO TABARES RAMIREZ</t>
  </si>
  <si>
    <t>ANDRES DAVID CONTRERA SILVA</t>
  </si>
  <si>
    <t>ANDRES FELIPE RESTREPO</t>
  </si>
  <si>
    <t>ANDRYS JULIETH ARAUJO BONILLA</t>
  </si>
  <si>
    <t>ANDY QUIROZ 0</t>
  </si>
  <si>
    <t>ANGELA MARIA CARDONA CASTAÑO</t>
  </si>
  <si>
    <t>ANGELA MARIA ESPINOZA VELEZ</t>
  </si>
  <si>
    <t>ANGELA MARIA LONDOÑO DUQUE</t>
  </si>
  <si>
    <t>ANGELA MARIA RESTREPO BRAVO</t>
  </si>
  <si>
    <t>ANGELA MARIA VALLEJO NOREÑA</t>
  </si>
  <si>
    <t>ANGELINA ALVAREZ MORALES</t>
  </si>
  <si>
    <t>ANGELLO DE JESUS PORTACIO VILLANUEVA</t>
  </si>
  <si>
    <t>ANGIE DANIELA CACERES MEJIA</t>
  </si>
  <si>
    <t>ANGIE MARIANA ALVAREZ BUSTAMANTE</t>
  </si>
  <si>
    <t>ANGIE TATIANA HIGUITA DAVID</t>
  </si>
  <si>
    <t>ANTONIO ALEXANDER QUINTERO ANGULO</t>
  </si>
  <si>
    <t>ANTONIO LEON MONTOYA URIBE</t>
  </si>
  <si>
    <t>ANYI PAOLA QUINTERO GARCES</t>
  </si>
  <si>
    <t>ANYI TATIANA MUÑOZ ARROYAVE</t>
  </si>
  <si>
    <t>ARBEY SEPULVEDA SEPULVEDA GIL</t>
  </si>
  <si>
    <t>ARMANDO MORA CASTAÑO</t>
  </si>
  <si>
    <t>ARTEM PECHENKIM 0</t>
  </si>
  <si>
    <t>ASTRID ALEIDA BUILES ARENAS</t>
  </si>
  <si>
    <t>ASTRID CAROLINA VELASQUEZ HERRERA</t>
  </si>
  <si>
    <t>ASTRID PAOLA SEPULVEDA COSSIO</t>
  </si>
  <si>
    <t>ASTRID YULIETH ROMAN GOMEZ</t>
  </si>
  <si>
    <t>BEATRIZ ELENA ARIAS VASQUEZ</t>
  </si>
  <si>
    <t>BEATRIZ ELENA CASTAÑO VIDAL</t>
  </si>
  <si>
    <t>BEATRIZ ELENA CERDA MACHOA</t>
  </si>
  <si>
    <t>BEATRIZ ELENA HENAO CASTRILLON</t>
  </si>
  <si>
    <t>BEATRIZ ELENA VALLEJO ORDOÑEZ</t>
  </si>
  <si>
    <t>BEATRIZ GIRALDO RESTREPO</t>
  </si>
  <si>
    <t>BEATRIZ HELENA CASTAÑO ZULUAGA</t>
  </si>
  <si>
    <t>BIBIANA DEL CARMEN QUINTERO DUQUE</t>
  </si>
  <si>
    <t>BLADIMIR GERARDO VARGAS PULIDO</t>
  </si>
  <si>
    <t>BLANCA EDILMA GIRALDO ESPINOSA</t>
  </si>
  <si>
    <t>BLANCA INES BEDOYA LONDOÑO</t>
  </si>
  <si>
    <t>BLANCA INES FRANCO MEJIA</t>
  </si>
  <si>
    <t>BLANCA LIRIA MUÑOZ CORTEZ</t>
  </si>
  <si>
    <t>BRAHIAN ALEXANDER QUINTERO CASTAÑO</t>
  </si>
  <si>
    <t>BRAYAN ALEXIS HENAO ARISTIZABAL</t>
  </si>
  <si>
    <t>BRAYAN GOMEZ JARAMILLO</t>
  </si>
  <si>
    <t>BRAYHAN STIVENS ESCOBAR GARCES</t>
  </si>
  <si>
    <t>BRENDA PATRICIA LONGAS VELEZ</t>
  </si>
  <si>
    <t>B1177760</t>
  </si>
  <si>
    <t>BRYAN DANIEL CAZARES BENALCAZAR</t>
  </si>
  <si>
    <t>CAMILO ANDRES CARVAJAL GUTIERREZ</t>
  </si>
  <si>
    <t>CAMILO ANDRES CONDE BARRIOS</t>
  </si>
  <si>
    <t>CARLOS ANDRES HENAO MARIN</t>
  </si>
  <si>
    <t>CARLOS ANDRES VALENCIA PELAEZ</t>
  </si>
  <si>
    <t>CARLOS ARTURO HERRERA PALACIOS</t>
  </si>
  <si>
    <t>CARLOS ARTURO LONDOÑO MONTOYA</t>
  </si>
  <si>
    <t>NT5J79FH2</t>
  </si>
  <si>
    <t>CARLOS ARTURO ZAPATA ROMERO</t>
  </si>
  <si>
    <t>CARLOS AUGUSTO QUINTERO MONSALVE</t>
  </si>
  <si>
    <t>CARLOS MARIO ECHEVERRI PALACIO</t>
  </si>
  <si>
    <t>CARLOS MARIO OBANDO VELASQUEZ</t>
  </si>
  <si>
    <t>CARLOS VINICIO LOPEZ CABRERA</t>
  </si>
  <si>
    <t>CARMEN JULIANA HERRERA ORTEGA</t>
  </si>
  <si>
    <t>CARMENZA DEL ROSATIO PARDO TORO</t>
  </si>
  <si>
    <t>CAROL GISELL REYES PEDREROS</t>
  </si>
  <si>
    <t>CAROLINA CANO ALZATE</t>
  </si>
  <si>
    <t>CAROLINA CORTES RUIZ</t>
  </si>
  <si>
    <t>CAROLINA DEL CARMEN VELASQUEZ</t>
  </si>
  <si>
    <t>CAROLINA DIOSA ROLDAN</t>
  </si>
  <si>
    <t>CAROLINA HOYOS LOPEZ</t>
  </si>
  <si>
    <t>CAROLINA PULGARIN TAPIAS</t>
  </si>
  <si>
    <t>CAROLINA VALENCIA ARANGO</t>
  </si>
  <si>
    <t>CAROLINA VASQUEZ ALVAREZ</t>
  </si>
  <si>
    <t>CARSTEN PULS</t>
  </si>
  <si>
    <t>CATALINA RESTREPO MEJIA</t>
  </si>
  <si>
    <t>CATALINA VASQUEZ MEJIA</t>
  </si>
  <si>
    <t>CESAR MAURICIO PADILLA DIAZ</t>
  </si>
  <si>
    <t>CESIA DIAZ GARCIA</t>
  </si>
  <si>
    <t>CIENCIA Y SENSIBILIZACIÓN AMBIENTAL S.A.</t>
  </si>
  <si>
    <t>CINDY NATALIA TEJADA MARULANDA</t>
  </si>
  <si>
    <t>CLARA ISABEL CABARCAS FRANCO</t>
  </si>
  <si>
    <t>CLAUDIA DEL SOCORRO MEDINA HURTADO</t>
  </si>
  <si>
    <t>CLAUDIA MARCELA MARROQUIN ARANGO</t>
  </si>
  <si>
    <t>CLAUDIA MARIA GONZALEZ ARDILA</t>
  </si>
  <si>
    <t>CLAUDIA NATALY OROZCO OCAMPO</t>
  </si>
  <si>
    <t>CLAUDIA PATRICIA JIMENEZ GARCIA</t>
  </si>
  <si>
    <t>CLAUDIA PATRICIA OSORNO LONDOÑO</t>
  </si>
  <si>
    <t>CLAUDIA PATRICIA SACRISTAN OSEJO</t>
  </si>
  <si>
    <t>CLAUDIA SALAZAR SOTO SOTO</t>
  </si>
  <si>
    <t>CONSUELO CARMONA SALAZAR</t>
  </si>
  <si>
    <t>CRISTIAN CAMILO CARDENAS NAJERA</t>
  </si>
  <si>
    <t>CRISTIAN YAMID VELEZ CASTAÑEDA</t>
  </si>
  <si>
    <t>CRISTIAN YESID MIRANDA GUILLEN</t>
  </si>
  <si>
    <t>CRISTIAN ZAPATA ARBOLEDA</t>
  </si>
  <si>
    <t>CRISTINA ELENA HENAO MEJIA</t>
  </si>
  <si>
    <t>CRISTOBAL JULIO TORRES ALVAREZ</t>
  </si>
  <si>
    <t>CRUZ CAMPO DE RAMIREZ</t>
  </si>
  <si>
    <t>DADIANA CALLE DIOSA</t>
  </si>
  <si>
    <t>DAHIANA ALCARAZ USUGA</t>
  </si>
  <si>
    <t>DAIANA ANDREA CASTELLANOS SANTAMARIA</t>
  </si>
  <si>
    <t>DAISON FERNANDO CALLEJAS GARCIA</t>
  </si>
  <si>
    <t>DAISY MEJIA ZAPATA</t>
  </si>
  <si>
    <t>DAMIAN CAMILO DIAZ VASCO</t>
  </si>
  <si>
    <t>DAMIAN FELIPE ROJAS MORA</t>
  </si>
  <si>
    <t>DANA VALENTINA ARMESTO BENITEZ</t>
  </si>
  <si>
    <t>DANIA AURORA GARZON CASTELLANOS</t>
  </si>
  <si>
    <t>DANIEL DUQUE CASTAÑO</t>
  </si>
  <si>
    <t>DANIEL ECHAVARRIA TAMAYO</t>
  </si>
  <si>
    <t>DANIEL FELIPE OSSA LOPEZ</t>
  </si>
  <si>
    <t>DANIEL FELIPE SANTANDER ECHEVERRI</t>
  </si>
  <si>
    <t>DANIEL MARTINEZ MARTINEZ</t>
  </si>
  <si>
    <t>DANIEL PELAEZ CHAVERRA</t>
  </si>
  <si>
    <t>DANIEL RICARDO WOLFF TORO</t>
  </si>
  <si>
    <t>DANIELA ANDREA VENEGAS FLOREZ</t>
  </si>
  <si>
    <t>DANIELA ARCILA PINEDA</t>
  </si>
  <si>
    <t>DANIELA HERNANDEZ GONZALEZ</t>
  </si>
  <si>
    <t>DANIELA LONDOÑO OTALVARO</t>
  </si>
  <si>
    <t>DANIELA MARULANDA JIMENEZ</t>
  </si>
  <si>
    <t>DANIELA QUIROZ TORO</t>
  </si>
  <si>
    <t>DANIELA TOBON RESTREPO</t>
  </si>
  <si>
    <t>DANIELA VARGAS PEREZ</t>
  </si>
  <si>
    <t>DANNY ALEJANDRO TORRES JIMENEZ</t>
  </si>
  <si>
    <t>DARCY MILENA SARAVINO ORELLANA</t>
  </si>
  <si>
    <t>DARIO DE JESUS PALACIO YEPES</t>
  </si>
  <si>
    <t>DARLING NAHIROBE VELILLA SANCHEZ</t>
  </si>
  <si>
    <t>DARWIN ALEXIS ALCARAZ GOMEZ</t>
  </si>
  <si>
    <t>DAVID ALEJANDRO RAMIREZ GONZALEZ</t>
  </si>
  <si>
    <t>BD581052</t>
  </si>
  <si>
    <t>DAVID ANDREW ARBELAEZ GRAJALES</t>
  </si>
  <si>
    <t>DAVID ESTEBAN ALZATE VALENCIA</t>
  </si>
  <si>
    <t>DAVID ESTEBAN TAMAYO GIL</t>
  </si>
  <si>
    <t>DAVID GONZALEZ RAMIREZ</t>
  </si>
  <si>
    <t>DAVID MATEO PELAEZ MOLANO</t>
  </si>
  <si>
    <t>DAYANA CAROLINA ALZATE PEREZ</t>
  </si>
  <si>
    <t>DEIBY SANCHEZ JARAMILLO</t>
  </si>
  <si>
    <t>DEISLER SEBASTIAN MONCADA DIAZ</t>
  </si>
  <si>
    <t>DIANA CAROLINA CADAVID LOPEZ</t>
  </si>
  <si>
    <t>DIANA CAROLINA RAMIREZ ARIAS</t>
  </si>
  <si>
    <t>DIANA CRISTINA GARCIA JIMENEZ</t>
  </si>
  <si>
    <t>DIANA CRISTINA JIMENEZ URREA</t>
  </si>
  <si>
    <t>DIANA MARCELA DAZA CALDERON</t>
  </si>
  <si>
    <t>DIANA MARCELA ORTIZ URBANO</t>
  </si>
  <si>
    <t>DIANA MARCELA TABORDA ARTEAGA</t>
  </si>
  <si>
    <t>DIANA MARIA CRUZ MONCAYO</t>
  </si>
  <si>
    <t>DIANA MARIA SANCHEZ CARDONA</t>
  </si>
  <si>
    <t>DIANA PAOLA IDARRAGA MARTINEZ</t>
  </si>
  <si>
    <t>DIANA PATRICIA CORREA LOPEZ</t>
  </si>
  <si>
    <t>DIANA PATRICIA TOVAR ORTIZ</t>
  </si>
  <si>
    <t>DIANA SHIRLEY HERNANDEZ RIOS</t>
  </si>
  <si>
    <t>DIANNA MARIE NIXON</t>
  </si>
  <si>
    <t>DIEGO ALEJANDRO BETANCUR PULGARIN</t>
  </si>
  <si>
    <t>DIEGO FERNANDO COBA CRUZ</t>
  </si>
  <si>
    <t>DIEGO FERNANDO SIERRA ALZATE</t>
  </si>
  <si>
    <t>DILAN ANDRES PINO PIEDRAHITA</t>
  </si>
  <si>
    <t>A01304327</t>
  </si>
  <si>
    <t>DORA GLADYS LOPEZ OSPINA</t>
  </si>
  <si>
    <t>DORA STELLA SALAZAR GIRALDO</t>
  </si>
  <si>
    <t>DORIS CECILIA PELAEZ MENDOZA</t>
  </si>
  <si>
    <t>DORIS ELENA ZAPATA VALDES</t>
  </si>
  <si>
    <t>DURLEY JOHANA HERNANDEZ ARTEAGA</t>
  </si>
  <si>
    <t>EDDY ANTONIO GERMAN</t>
  </si>
  <si>
    <t>EDGAR JESUS RANGEL VARELA</t>
  </si>
  <si>
    <t>EDILMA DE JESUS CHICA ECHEVERRI</t>
  </si>
  <si>
    <t>EDILSON ADRIAN AGUDELO CASTAÑEDA</t>
  </si>
  <si>
    <t>EDILSON FERNEI TOBON LOPEZ</t>
  </si>
  <si>
    <t>EDISON ALBERTO FRANCO RIOS</t>
  </si>
  <si>
    <t>EDUARDO CERVERA PEREZ</t>
  </si>
  <si>
    <t>EDWIN ALEXIS TOBON SANCHEZ</t>
  </si>
  <si>
    <t>EDWIN DARIO OROZCO OSPINA</t>
  </si>
  <si>
    <t>EIDER JULIAN RINCON GOMEZ</t>
  </si>
  <si>
    <t>ELBIS ORTIZ PALACIO</t>
  </si>
  <si>
    <t>ELIANA GALEANO ARIAS</t>
  </si>
  <si>
    <t>ELIANA GRANDA CATAÑO</t>
  </si>
  <si>
    <t>ELIANA MARTINEZ ALVAREZ</t>
  </si>
  <si>
    <t>ELIAS DAVID CIRO ALONSO</t>
  </si>
  <si>
    <t>ELIZABETH CRISTINA CORREA ROJAS</t>
  </si>
  <si>
    <t>ELIZABETH DUQUE CASTAÑO</t>
  </si>
  <si>
    <t>ELIZABETH LOPERA RESTREPO RESTREPO</t>
  </si>
  <si>
    <t>ELVIA FERNANDA NEGRETE BALLESTA</t>
  </si>
  <si>
    <t>EMANUEL CARDONA MADRID</t>
  </si>
  <si>
    <t>EMANUEL GONZALEZ QUINTERO</t>
  </si>
  <si>
    <t>EMILIA AMPARO CALDERON CEBALLOS</t>
  </si>
  <si>
    <t>ENEDINA DEL SOCORRO GUTIERREZ LONDOÑO</t>
  </si>
  <si>
    <t>ENID JOHANNA MONTOYA ARANGO</t>
  </si>
  <si>
    <t>ENRYS FRANCISCO ORTIZ MARTINEZ</t>
  </si>
  <si>
    <t>ERICA LUZ MORA PEREZ</t>
  </si>
  <si>
    <t>ERIKA ALEJANDRA VASQUEZ ARREDONDO</t>
  </si>
  <si>
    <t>ERIKA STELLA NAVARRO MORENO</t>
  </si>
  <si>
    <t>ERIKA TATIANA PALACIOS MANIOS</t>
  </si>
  <si>
    <t>ERIKA VANESSA ATENCIA ARRIETA</t>
  </si>
  <si>
    <t>ESTEBAN GOMEZ GIRALDO</t>
  </si>
  <si>
    <t>ESTEFANIA GAVIRIA CONTRERAS</t>
  </si>
  <si>
    <t>ESTEFANIA MARIN PINEDA</t>
  </si>
  <si>
    <t>ESTEFANIA RODRIGUEZ CAMPIÑO</t>
  </si>
  <si>
    <t>ESTEFANIA ROSERO URIBE</t>
  </si>
  <si>
    <t>ESTEFANIA SOTO LOPEZ</t>
  </si>
  <si>
    <t>ESTHER SOLINA PUERTA GUTIERREZ</t>
  </si>
  <si>
    <t>EVELYN ANDREA GOMEZ GIL</t>
  </si>
  <si>
    <t>EVELYN JOHANA OCAMPO ROJAS</t>
  </si>
  <si>
    <t>EVELYN MARIANA ECHAVARRIA AVENDAÑO</t>
  </si>
  <si>
    <t>FABIO DE JESUS DAZA QUINTERO</t>
  </si>
  <si>
    <t>FABIO NARANJO NARANJO ESTRADA</t>
  </si>
  <si>
    <t>FANNY MADELBIS MARTINEZ JARAMILLO</t>
  </si>
  <si>
    <t>FARY JOANA CASTAÑEDA OTALVARO</t>
  </si>
  <si>
    <t>FERNANDA PARRA ROJAS</t>
  </si>
  <si>
    <t>FRANCIS BLADIMIR GOMEZ GIRALDO</t>
  </si>
  <si>
    <t>FRANCISCO JAVIER MEJIA HOLGUIN</t>
  </si>
  <si>
    <t>FRANCISCO JOSE RESTREPO MESA</t>
  </si>
  <si>
    <t>FRANK GUILLERMO ESCOBAR OBANDO</t>
  </si>
  <si>
    <t>FRANKY ALEXANDER CERQUERA TELLO</t>
  </si>
  <si>
    <t>GABRIEL RAMÍREZ GÓMEZ</t>
  </si>
  <si>
    <t>GERALDIN ALARCON SANCHEZ</t>
  </si>
  <si>
    <t>GERMAN ANTONIO GOEZ CORREA</t>
  </si>
  <si>
    <t>GERMAN ROBERTO ECHAVARIA RESTREPO</t>
  </si>
  <si>
    <t>GILARI JASBLEIDY GRAJALES ORTIZ</t>
  </si>
  <si>
    <t>GINA ALEXANDRA RUA JARAMILLO</t>
  </si>
  <si>
    <t>GINA MICHELLE MONROE</t>
  </si>
  <si>
    <t>GLADYS LUCIA BRAND ROLDAN</t>
  </si>
  <si>
    <t>GLORIA AMPARO JIMENEZ GIL</t>
  </si>
  <si>
    <t>GLORIA CECILIA RAMIREZ RAMIREZ</t>
  </si>
  <si>
    <t>GLORIA ELENA GOMEZ CASTAÑO</t>
  </si>
  <si>
    <t>GLORIA ELENA LOPEZ ACEVEDO</t>
  </si>
  <si>
    <t>GLORIA ELENA MUÑOZ AMED</t>
  </si>
  <si>
    <t>GLORIA ESTELA CASTELLANOS</t>
  </si>
  <si>
    <t>GLORIA HELENA DE LEON ATEHORTUA</t>
  </si>
  <si>
    <t>GLORIA LUCIA GALLEGO ATEHORTUA</t>
  </si>
  <si>
    <t>GLORIA MARINA QUIROZ VELEZ</t>
  </si>
  <si>
    <t>GLORIA PATRICIA ALVAREZ MEJIA</t>
  </si>
  <si>
    <t>GLORIA ROSA TOBON BAENA</t>
  </si>
  <si>
    <t>GLORY DE JESUS CHAVARRIA MORA</t>
  </si>
  <si>
    <t>GONZALO DE JESUS AGUDELO ORTIZ</t>
  </si>
  <si>
    <t>GONZALO DE JESUS ROJO PEREZ</t>
  </si>
  <si>
    <t>GONZALO JIMENEZ JIMENEZ GARCIA</t>
  </si>
  <si>
    <t>GRACELLE GNECCO CANTILLO</t>
  </si>
  <si>
    <t>GRECIA ISABEL ARRESCURRENAGA CACERES</t>
  </si>
  <si>
    <t>GUILLERMO ALFREDO CABRERA GAMEZ</t>
  </si>
  <si>
    <t>GUILLERMO EMILIO NOGUERA</t>
  </si>
  <si>
    <t>GUSTAVO ADOLFO CANO LONDOÑO</t>
  </si>
  <si>
    <t>HARRY ALONSO ZULUAGA MARIN</t>
  </si>
  <si>
    <t>HEIDY MICHEL GAVIRIA RODRIGUEZ</t>
  </si>
  <si>
    <t>HELVER YESID AMAYA ARISTIZABAL</t>
  </si>
  <si>
    <t>HENRY ORLANDO SIERRA OSPINA</t>
  </si>
  <si>
    <t>HERNAN DARIO RIOS POSADA</t>
  </si>
  <si>
    <t>ILDA MARIA RIVERA</t>
  </si>
  <si>
    <t>INES ELVIRA CADAVID GOMEZ</t>
  </si>
  <si>
    <t>INES YANETH VALOYES VALENCIA</t>
  </si>
  <si>
    <t>ISABEL CRISTINA ROMAN MUÑOZ</t>
  </si>
  <si>
    <t>ISABEL VASQUEZ MEJIA</t>
  </si>
  <si>
    <t>ISABELA GUTIERREZ RIVERA</t>
  </si>
  <si>
    <t>ISABELLA MARIN BORNACELLI</t>
  </si>
  <si>
    <t>ISMAEL PALACIO CASTRO</t>
  </si>
  <si>
    <t>IVAN DARIO RESTREPO RINCON</t>
  </si>
  <si>
    <t>IVAN DARIO ZEA SALAZAR</t>
  </si>
  <si>
    <t>IVONNE DANIELA NARANJO VILLAMIL</t>
  </si>
  <si>
    <t>IXEL MANUELA QUIROZ ATEHORTUA</t>
  </si>
  <si>
    <t>JACOB CALVO ZAPATA</t>
  </si>
  <si>
    <t>JACQUELINE GRISALES GRISALES BLANDON</t>
  </si>
  <si>
    <t>JAIME ALBERTO MESTRA MARTINEZ</t>
  </si>
  <si>
    <t>JAIME ANDRES RESTREPO ALVARAN</t>
  </si>
  <si>
    <t>JAIME HUMBERTO RESTREPO TABORDA</t>
  </si>
  <si>
    <t>JAIME JAIME LOZANO RUIZ</t>
  </si>
  <si>
    <t>JAIME LEON RAMIREZ MEJIA</t>
  </si>
  <si>
    <t>JAIRIAN DAVINSON CASTAÑEDA PIZAS</t>
  </si>
  <si>
    <t>JAIRO VILLEGAS MEJIA</t>
  </si>
  <si>
    <t>JAMES STIVEN CONDE HERNANDEZ</t>
  </si>
  <si>
    <t>JANET FLETCHER HOYOS</t>
  </si>
  <si>
    <t>JANETTE LOPEZ PELLOT</t>
  </si>
  <si>
    <t>JASON LOWE</t>
  </si>
  <si>
    <t>JAVIER ALEXANDER RAMOS BRAZON</t>
  </si>
  <si>
    <t>JAVIER STEVEN NAVARRO GIRALDO</t>
  </si>
  <si>
    <t>JEISON VELASQUEZ SEPULVEDA</t>
  </si>
  <si>
    <t>JEISSON JAVIER JIMENEZ JIMENEZ</t>
  </si>
  <si>
    <t>JENIFFER ALEXANDRA CASTAÑO OCHOA</t>
  </si>
  <si>
    <t>JENNIFER ARANGO GIL</t>
  </si>
  <si>
    <t>RD9264639</t>
  </si>
  <si>
    <t>JENNIFER ESTEISY TORRES ESPINAL</t>
  </si>
  <si>
    <t>JENNY ANDREA ALVAREZ DELGADO</t>
  </si>
  <si>
    <t>JENNY CAROLINA SEPULVEDA MARIN</t>
  </si>
  <si>
    <t>JENNY LAURA JORDAN GOMEZ</t>
  </si>
  <si>
    <t>JENNY TATIANA PINO DURANGO</t>
  </si>
  <si>
    <t>JENNYFER SANCHEZ GALLEGO</t>
  </si>
  <si>
    <t>JERONIMO CORREA ZULETA</t>
  </si>
  <si>
    <t>JERONIMO URREA CONTRERAS</t>
  </si>
  <si>
    <t>JERUSALEN S.A.S</t>
  </si>
  <si>
    <t>JESI ALEJANDRA OSORIO OSORIO</t>
  </si>
  <si>
    <t>JESICA MILDRED ZAPATA QUICENO</t>
  </si>
  <si>
    <t>JESIKA ALEJANDRA RAMIREZ OSPINA</t>
  </si>
  <si>
    <t>JESSICA ALEXANDRA QUINTERO CORREA</t>
  </si>
  <si>
    <t>JESUS JAVIER LENGUA VIDES</t>
  </si>
  <si>
    <t>JHOAN SEBASTIAN CATAÑO SANCHEZ</t>
  </si>
  <si>
    <t>JHON ALEJANDRO ROJAS OBANDO</t>
  </si>
  <si>
    <t>JHON ALEXANDER ORREGO SANCHEZ</t>
  </si>
  <si>
    <t>JHON EDWARD MORENO GONZALEZ</t>
  </si>
  <si>
    <t>JHON FERNANDO TORO LONDOÑO</t>
  </si>
  <si>
    <t>JHON FREDY JACANAMIJOY CUATINDIOY</t>
  </si>
  <si>
    <t>JHON JAIRO CIFUENTES DUQUE</t>
  </si>
  <si>
    <t>JHON SEBASTIAN ROSAS TIMARAN</t>
  </si>
  <si>
    <t>JHON SEBASTIAN VILLA NARVAEZ</t>
  </si>
  <si>
    <t>JHON STIVEN PELAEZ IBARRA</t>
  </si>
  <si>
    <t>JHONNY ALBAN VASQUEZ MONSALVE</t>
  </si>
  <si>
    <t>JIMMY ANDRES VELA VELA</t>
  </si>
  <si>
    <t>JIMY ANDRES ZULUAGA ARISTIZABAL</t>
  </si>
  <si>
    <t>JOCELYN DEL SOCORRO ROSARIO GERMAN</t>
  </si>
  <si>
    <t>JOHAN ESTEBAN QUINTERO MUNERA</t>
  </si>
  <si>
    <t>JOHAN STEVEN ALDANA SANCHEZ</t>
  </si>
  <si>
    <t>JOHAN STEVEN HOLGUIN FRANCO</t>
  </si>
  <si>
    <t>JOHANA CATALINA MARIN ZAPATA</t>
  </si>
  <si>
    <t>JOHANY OCAMPO VARGAS</t>
  </si>
  <si>
    <t>JOHN ESTEBAN PATIÑO MOLINA</t>
  </si>
  <si>
    <t>JOHN FREDDY GOMEZ RENDON</t>
  </si>
  <si>
    <t>JOHN FREDY ALVAREZ PINEDA</t>
  </si>
  <si>
    <t>JOHN JAIRO ARANGO BARRERA</t>
  </si>
  <si>
    <t>JOHN JAIRO MENA FERNANDEZ</t>
  </si>
  <si>
    <t>JOICK LEYDERMAN RIVERA ZAPATA</t>
  </si>
  <si>
    <t>JOLMAN GABRIEL CHAVEZ RIBON</t>
  </si>
  <si>
    <t>JONATHAN ALEXIS LOPEZ GARCIA</t>
  </si>
  <si>
    <t>JONATHAN FERNANDO MAZO HENAO</t>
  </si>
  <si>
    <t>JONATHAN SANTIAGO GRISALES TANGARIFE</t>
  </si>
  <si>
    <t>JORGE ALBERTO TORRADO PEREZ</t>
  </si>
  <si>
    <t>JORGE ANDRES GONZALEZ GARZON</t>
  </si>
  <si>
    <t>JORGE JAIME GEALE CASTILLO</t>
  </si>
  <si>
    <t>JORGE LUCAS DANGOND DAZA</t>
  </si>
  <si>
    <t>JORGE LUIS GONZALEZ FONTALVO</t>
  </si>
  <si>
    <t>JORGE MARIO ZAPATA POSADA</t>
  </si>
  <si>
    <t>JORMAR WILDER MIRA VIDAL</t>
  </si>
  <si>
    <t>JOSE DANIEL CARPINTERO GONZALEZ</t>
  </si>
  <si>
    <t>JOSE DAVID DUQUE TORRES</t>
  </si>
  <si>
    <t>JOSE DAVID ESPINOSA PEÑA</t>
  </si>
  <si>
    <t>JOSE DE JESUS CORTINEZ</t>
  </si>
  <si>
    <t>JOSE FERNANDO SUCERQUIA TORO</t>
  </si>
  <si>
    <t>JOSE FERNANDO VELEZ ORTEGA</t>
  </si>
  <si>
    <t>JOSE HERNAN GARCIA RESTREPO</t>
  </si>
  <si>
    <t>JOSE IGNACIO RAMIREZ LOPEZ</t>
  </si>
  <si>
    <t>JOSE MIGUEL PULGARIN BASTIDAS</t>
  </si>
  <si>
    <t>JOSE PORFIRIO GOMEZ BEDOYA</t>
  </si>
  <si>
    <t>JOSELH MANUEL GUEVARA RAMIREZ</t>
  </si>
  <si>
    <t>JUAN ALFREDO PALACIO HENAO</t>
  </si>
  <si>
    <t>JUAN CAMILO ALZATE AGUINAGA</t>
  </si>
  <si>
    <t>JUAN CAMILO ESPINOSA GRACIANO</t>
  </si>
  <si>
    <t>JUAN CAMILO PALACIO DUQUE</t>
  </si>
  <si>
    <t>JUAN CARLOS GALEANO BECERRA</t>
  </si>
  <si>
    <t>JUAN DAVID IDARRAGA MARTINEZ</t>
  </si>
  <si>
    <t>JUAN DAVID JIMENEZ TABARES</t>
  </si>
  <si>
    <t>JUAN DAVID MUÑOZ GIRALDO</t>
  </si>
  <si>
    <t>JUAN ESTEBAN CENDALES SORA</t>
  </si>
  <si>
    <t>JUAN ESTEBAN MALLUK GUERRA</t>
  </si>
  <si>
    <t>JUAN ESTEBAN PARADA CADAVID</t>
  </si>
  <si>
    <t>JUAN ESTEBAN PERDOMO MARTINEZ</t>
  </si>
  <si>
    <t>JUAN ESTEBAN VÁSQUEZ CHAVERRA</t>
  </si>
  <si>
    <t>JUAN FELIPE ORREGO VELASQUEZ</t>
  </si>
  <si>
    <t>JUAN FERNANDO GALICIA URIBE</t>
  </si>
  <si>
    <t>JUAN FERNANDO ROLDAN SANCHEZ</t>
  </si>
  <si>
    <t>JUAN FRANCISCO GOMEZ GIRALDO</t>
  </si>
  <si>
    <t>JUAN JOSE LONDOÑO BERNAL</t>
  </si>
  <si>
    <t>JUAN JOSE VILLEGAS AYALA</t>
  </si>
  <si>
    <t>JUAN MANUEL JARAMILLO TAPIAS</t>
  </si>
  <si>
    <t>JUAN MANUEL MEJIA REYES</t>
  </si>
  <si>
    <t>JUAN MANUEL RIVERA RIOS</t>
  </si>
  <si>
    <t>JUAN MARTIN CIFUENTES TENORIO</t>
  </si>
  <si>
    <t>JUAN PABLO ESTRADA BRAN</t>
  </si>
  <si>
    <t>JUAN PABLO LOPERA PINEDA</t>
  </si>
  <si>
    <t>JUAN PABLO MAHECHA BERRIO</t>
  </si>
  <si>
    <t>JUAN PABLO PATIÑO RAMIREZ</t>
  </si>
  <si>
    <t>JUAN PABLO UPEGUI MUÑOZ</t>
  </si>
  <si>
    <t>JUAN SANTIAGO ORTIZ GRAJALES</t>
  </si>
  <si>
    <t>JUAN SEBASTIAN GIRALDO GRAJALES</t>
  </si>
  <si>
    <t>JULIAN ESTEBAN JARAMILLO JIMENEZ</t>
  </si>
  <si>
    <t>JULIAN GALEANO BOLIVAR</t>
  </si>
  <si>
    <t>JULIANA ACEVEDO PELAEZ</t>
  </si>
  <si>
    <t>JULIANA ARENAS RAMIREZ</t>
  </si>
  <si>
    <t>JULIANA BERMUDEZ YEPES</t>
  </si>
  <si>
    <t>JULIANA GARCES RIVERA</t>
  </si>
  <si>
    <t>JULIANA GARRO OQUENDO</t>
  </si>
  <si>
    <t>JULIANA GONZALEZ SALAZAR</t>
  </si>
  <si>
    <t>JULIANA JARAMILLO CORREA</t>
  </si>
  <si>
    <t>JULIANA PALACIO ZAPATA</t>
  </si>
  <si>
    <t>JULIANA PRESIGA PATIÑO</t>
  </si>
  <si>
    <t>JULIANA TRUJILLO GRISALES</t>
  </si>
  <si>
    <t>JULIETH FERNANDEZ MUÑOZ</t>
  </si>
  <si>
    <t>BUJJ92B47</t>
  </si>
  <si>
    <t>KAMAL HOTCHAND LALWANI</t>
  </si>
  <si>
    <t>KAREN ALEJANDRA LUNA BARRAGAN</t>
  </si>
  <si>
    <t>KAREN ALEJANDRA MANCO DAVID</t>
  </si>
  <si>
    <t>KAREN ALEXANDRA RUDA RESTREPO</t>
  </si>
  <si>
    <t>KAREN ANDREA LANCHEROS MEDINA</t>
  </si>
  <si>
    <t>KAREN ARROYAVE GIRALDO</t>
  </si>
  <si>
    <t>KAREN JINET TELLO DAVID</t>
  </si>
  <si>
    <t>KAREN MARGARITA RIOS BALLESTAS</t>
  </si>
  <si>
    <t>KAREN NATALIA OSPINA ZAPATA</t>
  </si>
  <si>
    <t>KAREN RODRIGUEZ BEDOYA</t>
  </si>
  <si>
    <t>KAREN SILENA GOEZ HIGUITA</t>
  </si>
  <si>
    <t>KAREN TATIANA MARIN ESPINAL</t>
  </si>
  <si>
    <t>KAREN YURLEY BERMUDEZ GALLEGO</t>
  </si>
  <si>
    <t>KASSANDRA MEZA SALCEDO</t>
  </si>
  <si>
    <t>KATERIN ANGELICA GONZALEZ GARCIA</t>
  </si>
  <si>
    <t>KATHERINE GUARIN PULGARIN</t>
  </si>
  <si>
    <t>KELLY ALEJANDRA ORTIZ GARCIA</t>
  </si>
  <si>
    <t>KELLY ALEXANDRA VALLEJO ROJAS</t>
  </si>
  <si>
    <t>KELLY JHOANA GARCIA GIRALDO</t>
  </si>
  <si>
    <t>KELLY JOHANA JARAMILLO SALDARRIAGA</t>
  </si>
  <si>
    <t>KELLY JOHANA LEZCANO HERRERA</t>
  </si>
  <si>
    <t>KELLY JOHANNA TABARES RESTREPO</t>
  </si>
  <si>
    <t>KELLY MARYETH CORTES GALLEGO</t>
  </si>
  <si>
    <t>KEVIN ANDRES GAVIRIA SALDARRIAGA</t>
  </si>
  <si>
    <t>KEVIN DURANGO GRACIANO</t>
  </si>
  <si>
    <t>KHALED CHEBLI 0</t>
  </si>
  <si>
    <t>KHAROLINE MARIELIZABETH ALAMBARRIO LUGO</t>
  </si>
  <si>
    <t>KIARA LILIANA VALETA REYES</t>
  </si>
  <si>
    <t>C79XM3L7M</t>
  </si>
  <si>
    <t>KIM EMIEL COMEYNE</t>
  </si>
  <si>
    <t>C42867991</t>
  </si>
  <si>
    <t>LAURA ALEJANDRA GUARIN LONDOÑO</t>
  </si>
  <si>
    <t>LAURA CASTRO ZAPATA</t>
  </si>
  <si>
    <t>LAURA DEL MAR OSPINA BEDOYA</t>
  </si>
  <si>
    <t>LAURA FERNANDA GUTIERREZ MENDIETA</t>
  </si>
  <si>
    <t>LAURA GONZALEZ SANABRIA</t>
  </si>
  <si>
    <t>LAURA GUTIERREZ GUZMAN</t>
  </si>
  <si>
    <t>LAURA ISABEL OSPINA ALVAREZ</t>
  </si>
  <si>
    <t>LAURA MARCELA GONZALEZ CORREA</t>
  </si>
  <si>
    <t>LAURA MARCELA ROJAS VIZCAYA</t>
  </si>
  <si>
    <t>LAURA NATALY AGUDELO VILLADA</t>
  </si>
  <si>
    <t>LAURA NAVARRO VELASQUEZ</t>
  </si>
  <si>
    <t>LAURA SOFIA MONSALVE VALLEJO</t>
  </si>
  <si>
    <t>LAURA USME ROMAN ROMAN</t>
  </si>
  <si>
    <t>LEIBY MARCELA MIRA MAZO</t>
  </si>
  <si>
    <t>LEIDY CAROLINA ROLDAN CAÑOLA</t>
  </si>
  <si>
    <t>LEIDY CAROLINA ZULUAGA ARBELAEZ</t>
  </si>
  <si>
    <t>LEIDY JOHANA ORREGO PRECIADO</t>
  </si>
  <si>
    <t>LEIDY JOHANA ORTEGA GALLEGO</t>
  </si>
  <si>
    <t>LEIDY MILENA ORTIZ GIL</t>
  </si>
  <si>
    <t>LEIDY YAMILE DAZA HINCAPIE</t>
  </si>
  <si>
    <t>LEON MARIO BEDOYA LOPEZ</t>
  </si>
  <si>
    <t>LEONARDO CASTAÑEDA MEJIA</t>
  </si>
  <si>
    <t>LESLY JULIETH HERNANDEZ PELAEZ</t>
  </si>
  <si>
    <t>LESLY PAULINA LOAIZA HINCAPIE</t>
  </si>
  <si>
    <t>LESLY SAMANTA MARTINEZ ECHEVERRIA</t>
  </si>
  <si>
    <t>LEYDY JOHANNA ALZATE MORALES</t>
  </si>
  <si>
    <t>LIA VICTORIA CORREA RESTREPO</t>
  </si>
  <si>
    <t>LIGIA MARIA MARTINEZ MONTOYA</t>
  </si>
  <si>
    <t>LILIAN ANDREA ZAPATA ZAPATA</t>
  </si>
  <si>
    <t>LILIANA ESCOBAR GOMEZ</t>
  </si>
  <si>
    <t>LILIANA MARIA FLOREZ MEJIA</t>
  </si>
  <si>
    <t>LILIANA MARIA GIRALDO MARIN</t>
  </si>
  <si>
    <t>LILIANA MARIA LARGO MONTOYA</t>
  </si>
  <si>
    <t>LILIBETH CRISMATT VASQUEZ</t>
  </si>
  <si>
    <t>LINA MARCELA GIRALDO RAMIREZ</t>
  </si>
  <si>
    <t>LINA MARCELA MARIN ECHEVERRY</t>
  </si>
  <si>
    <t>LINA MARCELA MARTINEZ ZABALA</t>
  </si>
  <si>
    <t>LINA MARIA GARCIA GUERRERO</t>
  </si>
  <si>
    <t>LINA MARIA GONZALEZ CORREA</t>
  </si>
  <si>
    <t>LINA MARIA HENAO RAMIREZ</t>
  </si>
  <si>
    <t>LINA MARIA QUIROZ LOPEZ</t>
  </si>
  <si>
    <t>LINA MARIA SOSSA SOSSA</t>
  </si>
  <si>
    <t>LISBETH ROCIO GRAJALES CASTRILLON</t>
  </si>
  <si>
    <t>LIZETH CAROLINA OSORIO MANGA</t>
  </si>
  <si>
    <t>LIZETH YONAIRA QUICENO</t>
  </si>
  <si>
    <t>LIZZET PAOLA GRANDA MURILLO</t>
  </si>
  <si>
    <t>LUCAS FERNANDO AREIZA RUA</t>
  </si>
  <si>
    <t>LUCIA RAMIREZ ALVAREZ</t>
  </si>
  <si>
    <t>LUCY DEL ROSARIO ROSARIO PORTACIO</t>
  </si>
  <si>
    <t>LUIS ALFONSO LOPEZ SANCHEZ</t>
  </si>
  <si>
    <t>LUIS EDUARDO ARENAS URREGO</t>
  </si>
  <si>
    <t>LUIS EDUARDO ZAPATA CASTRILLON</t>
  </si>
  <si>
    <t>LUIS FERNANDO DUQUE OSORIO</t>
  </si>
  <si>
    <t>LUIS FERNANDO OCAMPO AGUDELO</t>
  </si>
  <si>
    <t>LUIS FERNANDO URIBE RESTREPO</t>
  </si>
  <si>
    <t>LUIS OCTAVIO GAVIRIA MARIN</t>
  </si>
  <si>
    <t>LUISA FERNANDA ALVAREZ MERCADO</t>
  </si>
  <si>
    <t>LUISA FERNANDA ARISTIZABAL MEJIA</t>
  </si>
  <si>
    <t>LUISA FERNANDA FLOREZ ACEVEDO</t>
  </si>
  <si>
    <t>LUISA FERNANDA HENAO PULGARIN</t>
  </si>
  <si>
    <t>LUISA FERNANDA MORA ALVAREZ</t>
  </si>
  <si>
    <t>LUISA FERNANDA PARRA BEDOYA</t>
  </si>
  <si>
    <t>LUISA FERNANDA QUINTERO GARCIA</t>
  </si>
  <si>
    <t>LUISA FERNANDA VALDES DUQUE</t>
  </si>
  <si>
    <t>LUISA MARIA VARELA MUÑOZ</t>
  </si>
  <si>
    <t>LUISA SUAREZ REYES</t>
  </si>
  <si>
    <t>LUNA ESTRELLA ZAPATA VANEGAS</t>
  </si>
  <si>
    <t>LUZ ADELA HERNANDEZ VARGAS</t>
  </si>
  <si>
    <t>LUZ ADRIANA LOPERA PEÑA</t>
  </si>
  <si>
    <t>LUZ ADRIANA RENDON MENDOZA</t>
  </si>
  <si>
    <t>LUZ AIDE LOPERA CESPEDES</t>
  </si>
  <si>
    <t>LUZ DARY CORRALES CUESTA</t>
  </si>
  <si>
    <t>LUZ EDILIA ORTIZ SOTO</t>
  </si>
  <si>
    <t>LUZ FANNY CARTAGENA PARRA</t>
  </si>
  <si>
    <t>LUZ FANNY CHAVARRA CHALA</t>
  </si>
  <si>
    <t>LUZ GLORIA RESTREPO CORREA</t>
  </si>
  <si>
    <t>LUZ MARINA ECHETO RANGEL</t>
  </si>
  <si>
    <t>LUZ MARINA LONDOÑO ARISTIZABAL</t>
  </si>
  <si>
    <t>LUZ MARINA VELEZ SANCHEZ</t>
  </si>
  <si>
    <t>LUZ MARINA ZAPATA ZAPATA</t>
  </si>
  <si>
    <t>LUZ MATILDE TORO RESTREPO</t>
  </si>
  <si>
    <t>LUZ MERY CASTAÑO USUGA</t>
  </si>
  <si>
    <t>LUZ MERY ECHAVARRIA PINO</t>
  </si>
  <si>
    <t>LUZ VILMA ZULUAGA CARDONA</t>
  </si>
  <si>
    <t>LYDDA YAEL HERNANDEZ GAMEZ</t>
  </si>
  <si>
    <t>MAIBELBY GRAJALES URIBE</t>
  </si>
  <si>
    <t>MAIKOL ANDRES MUÑOZ MOLA</t>
  </si>
  <si>
    <t>MANUEL FERNANDO CARO COSSIO</t>
  </si>
  <si>
    <t>MANUEL SALVADOR VALENCIA QUINTERO</t>
  </si>
  <si>
    <t>MANUEL SANTIAGO LERMA MERCHAN</t>
  </si>
  <si>
    <t>MANUELA CARVAJAL YEPES</t>
  </si>
  <si>
    <t>MANUELA JIMENEZ CASTAÑO</t>
  </si>
  <si>
    <t>MANUELA PAJON FLOREZ</t>
  </si>
  <si>
    <t>MANUELA PINEDA ARIAS</t>
  </si>
  <si>
    <t>MANUELA SERNA ZULUAGA</t>
  </si>
  <si>
    <t>MARCELA GAVIRIA HOLGUIN</t>
  </si>
  <si>
    <t>MARCELA SANIN BETANCOURT</t>
  </si>
  <si>
    <t>MARCELA VANESSA VALENCIA TABARES</t>
  </si>
  <si>
    <t>MARCOS JOSE CALVO VARGAS</t>
  </si>
  <si>
    <t>MARGARITA LUCIA MEJIA MOLINA</t>
  </si>
  <si>
    <t>MARGARITA MARIA ARREDONDO LONDOÑO</t>
  </si>
  <si>
    <t>MARGARITA MARIA HOYOS ARISMENDI</t>
  </si>
  <si>
    <t>MARGARITA SANTANDER CALDERON</t>
  </si>
  <si>
    <t>MARIA ADELAIDA MAZUERA POSADA</t>
  </si>
  <si>
    <t>MARIA ALEJANDRA BEDOYA CASTAÑO</t>
  </si>
  <si>
    <t>MARIA ALEJANDRA BERMUDEZ ROMAN</t>
  </si>
  <si>
    <t>MARIA ALEJANDRA BETANCUR ROJAS</t>
  </si>
  <si>
    <t>MARIA ALEJANDRA CANO BEDOYA</t>
  </si>
  <si>
    <t>MARIA ALEJANDRA HENAO PULGARIN</t>
  </si>
  <si>
    <t>MARIA ALEJANDRA MAYA RESTREPO</t>
  </si>
  <si>
    <t>MARIA ALEJANDRA VALENCIA CARDONA</t>
  </si>
  <si>
    <t>MARIA ALEJANDRA YEPES VILLEGAS</t>
  </si>
  <si>
    <t>MARIA ALICIA GOMEZ DE ORREGO</t>
  </si>
  <si>
    <t>MARIA AUXILIADORA SUCERQUIA JARAMILLO</t>
  </si>
  <si>
    <t>MARIA CAMILA ALBARRACIN CORTES</t>
  </si>
  <si>
    <t>MARIA CAMILA BETANCUR GONZALEZ</t>
  </si>
  <si>
    <t>MARIA CAMILA LOPEZ DIAZ</t>
  </si>
  <si>
    <t>MARIA CAMILA MAZO VASQUEZ</t>
  </si>
  <si>
    <t>MARIA CAMILA OROZCO CASTRILLON</t>
  </si>
  <si>
    <t>MARIA CAMILA QUINTERO VILLADA</t>
  </si>
  <si>
    <t>MARIA CARMENZA ARBELAEZ MONTOYA.</t>
  </si>
  <si>
    <t>MARIA CECILIA PAREJA</t>
  </si>
  <si>
    <t>MARIA CRISTINA RESTREPO CARDEÑO</t>
  </si>
  <si>
    <t>MARIA CRISTINA URQUIJO RUA</t>
  </si>
  <si>
    <t>MARIA DE JESUS MONTES DE LA HOZ</t>
  </si>
  <si>
    <t>MARIA DEL CARMEN ISAZA RESTREPO</t>
  </si>
  <si>
    <t>MARIA DEL CARMEN MARTINEZ VILLEGAS</t>
  </si>
  <si>
    <t>MARIA DEL MAR NIEVA RODRIGUEZ</t>
  </si>
  <si>
    <t>MARIA DEL MAR RAMIREZ RENDON</t>
  </si>
  <si>
    <t>MARIA ELENA ESPINAL GIL</t>
  </si>
  <si>
    <t>MARIA ELIZABETH VALDERRAMA PATIÑO</t>
  </si>
  <si>
    <t>MARIA EUGENIA GARCIA CORREA</t>
  </si>
  <si>
    <t>MARIA EUGENIA JIMENEZ VILLA</t>
  </si>
  <si>
    <t>MARIA EUGENIA PALACIOS GOMEZ</t>
  </si>
  <si>
    <t>MARIA EUGENIA RENDON DE GRISALERS</t>
  </si>
  <si>
    <t>MARIA FERNANDA VALENCIA CEBALLOS</t>
  </si>
  <si>
    <t>MARIA GABRIELA BENITEZ DE ARANGO</t>
  </si>
  <si>
    <t>MARIA ISABEL GOMEZ GIL</t>
  </si>
  <si>
    <t>MARIA ISABEL HERRERA CANO</t>
  </si>
  <si>
    <t>MARIA ISABEL VASQUEZ VANEGAS</t>
  </si>
  <si>
    <t>MARIA LUISA GOMEZ GOMEZ</t>
  </si>
  <si>
    <t>MARIA LUISA JIMENEZ MENESES</t>
  </si>
  <si>
    <t>MARIA MERCEDES DUQUE HENAO</t>
  </si>
  <si>
    <t>MARIA OBDULIA AGUDELO OROZCO</t>
  </si>
  <si>
    <t>MARIA OLGA CEBALLOS ZULUAGA</t>
  </si>
  <si>
    <t>MARIA OLIBIA RESTREPO DE ALVAREZ</t>
  </si>
  <si>
    <t>MARIA PAOLA RENDON RENDON</t>
  </si>
  <si>
    <t>MARIA PAULINA IBARRA FLOREZ</t>
  </si>
  <si>
    <t>MARIA PAZ RODAS NOREÑA</t>
  </si>
  <si>
    <t>MARIA ROSALBA MORENO URIBE</t>
  </si>
  <si>
    <t>MARIA ROSALBA RESTREPO BETANCUR</t>
  </si>
  <si>
    <t>MARIA ROSELIA ARISMENDY DE GUTIERREZ</t>
  </si>
  <si>
    <t>MARIA VALENTINA MUÑOZ SEGURA</t>
  </si>
  <si>
    <t>MARIA VALENTINA PALACIO ROJAS</t>
  </si>
  <si>
    <t>MARIA VIRGELINA PULGARIN MONSALVE</t>
  </si>
  <si>
    <t>MARIA ZENAIDA HERRERA PSLACIO</t>
  </si>
  <si>
    <t>MARIA ZORAIDA GIRALDO GIRALDO</t>
  </si>
  <si>
    <t>MARIANA ECHAVARRIA CARDENAS</t>
  </si>
  <si>
    <t>MARIANA LOPERA ALVAREZ</t>
  </si>
  <si>
    <t>MARIANA MENESES DUQUE</t>
  </si>
  <si>
    <t>MARIANA NOREÑA QUINTERO</t>
  </si>
  <si>
    <t>MARIANA OSPINA ALVAREZ</t>
  </si>
  <si>
    <t>MARIANA RAIGOZA ARANGO</t>
  </si>
  <si>
    <t>MARIANA RIOS ATEHORTUA</t>
  </si>
  <si>
    <t>MARIANA ROMAN MARTINEZ</t>
  </si>
  <si>
    <t>MARIANNY SERNA VALENCIA</t>
  </si>
  <si>
    <t>MARIBEL ARROYAVE DUQUE</t>
  </si>
  <si>
    <t>MARIBEL CARMONA ALZATE</t>
  </si>
  <si>
    <t>MARIBEL MAZO GARCIA</t>
  </si>
  <si>
    <t>MARIBEL SANCHEZ TABARES</t>
  </si>
  <si>
    <t>MARIELA GUARIN RIOS</t>
  </si>
  <si>
    <t>MARINA LUZ ANGULO GOMEZ</t>
  </si>
  <si>
    <t>MARIS MARIELA MARTINEZ GONZALEZ</t>
  </si>
  <si>
    <t>MARISOL BOLIVAR RAMIREZ</t>
  </si>
  <si>
    <t>MARISOL MOLINA MEJIA</t>
  </si>
  <si>
    <t>MARISOL OTALVARO CASTAÑO</t>
  </si>
  <si>
    <t>MARTHA ADIELA LOPERA BETANCUR</t>
  </si>
  <si>
    <t>MARTHA BERENICE GONZALEZ ARRIETA</t>
  </si>
  <si>
    <t>MARTHA CECILIA ECHAVARRIA VERA</t>
  </si>
  <si>
    <t>MARTHA DORIS RAMIREZ BEDOYA</t>
  </si>
  <si>
    <t>MARTHA INES MORA MONSALVE</t>
  </si>
  <si>
    <t>MARTHA NELLY MONTOYA ALZATE</t>
  </si>
  <si>
    <t>MARTHA YANED GALLEGO BURITICA</t>
  </si>
  <si>
    <t>MARTIN NAVARRO HERRERA</t>
  </si>
  <si>
    <t>MARTINA PIETRZIK 0</t>
  </si>
  <si>
    <t>MARY LUZ MEJIA FRANCO</t>
  </si>
  <si>
    <t>MARY SOL AREIZA GUZMAN</t>
  </si>
  <si>
    <t>MARYAM ABDELGAWAD 0</t>
  </si>
  <si>
    <t>MARYORY CORREA PULGARIN</t>
  </si>
  <si>
    <t>MATEO ANDRES BRAVO CHANCHI</t>
  </si>
  <si>
    <t>MATEO ANDRES LERMA MERCHAN</t>
  </si>
  <si>
    <t>MATEO CARDENAS GOMEZ</t>
  </si>
  <si>
    <t>MATEO URIBE ARANGO</t>
  </si>
  <si>
    <t>MAURICIO MAYA GONZALEZ</t>
  </si>
  <si>
    <t>MAYRA ALEJANDRA ALVAREZ GUTIERREZ</t>
  </si>
  <si>
    <t>MEGAN DAVID PATIÑO</t>
  </si>
  <si>
    <t>MERLY TATIANA PETRO HERRERA</t>
  </si>
  <si>
    <t>MICHELL DAYANA URIBE GOMEZ</t>
  </si>
  <si>
    <t>MIGUEL ANGEL NAVALES CARDONA</t>
  </si>
  <si>
    <t>MIRIAM LUCIA GONZALEZ JARAMILLO</t>
  </si>
  <si>
    <t>MIRYAM KAROLINA SUAREZ PABON</t>
  </si>
  <si>
    <t>MONICA CECILIA ZAPATA RESTREPO</t>
  </si>
  <si>
    <t>MONICA YANET MORALES LUJAN</t>
  </si>
  <si>
    <t>NANCY ADELA ZULUAGA HINCAPIE</t>
  </si>
  <si>
    <t>NANCY MARIA LONDOÑO GIL</t>
  </si>
  <si>
    <t>NANCY TORRES JARAMILLO</t>
  </si>
  <si>
    <t>NANCY YANET BUITRAGO LOPEZ</t>
  </si>
  <si>
    <t>NATALI ROMERO LONDOÑO</t>
  </si>
  <si>
    <t>NATALIA MARIA DUQUE TOLOZA</t>
  </si>
  <si>
    <t>NATALIA SAENZ GONZALEZ GONZALEZ</t>
  </si>
  <si>
    <t>NATALY GOMEZ DELGADO</t>
  </si>
  <si>
    <t>NATHALIE HERNANDEZ CARDENAS</t>
  </si>
  <si>
    <t>NAYERLY SARAY MAURE IGLESIAS</t>
  </si>
  <si>
    <t>NEDIS CAMILA RESTREPO CAMPIÑO</t>
  </si>
  <si>
    <t>NEFTALY ALEXANDER ROMERO VELASQUEZ</t>
  </si>
  <si>
    <t>NELLY DE JESUS SALAZAR ORREGO</t>
  </si>
  <si>
    <t>NUJ055327</t>
  </si>
  <si>
    <t>NEMESIS ALEXANDRA ALEXANDRA TRAPENBERG</t>
  </si>
  <si>
    <t>NESTOR DE JESUS QUINTERO DUQUE</t>
  </si>
  <si>
    <t>NICOL OVIEDO VALDES</t>
  </si>
  <si>
    <t>NILLANY STEFANY GALEANO MENDEZ</t>
  </si>
  <si>
    <t>AZ492958</t>
  </si>
  <si>
    <t>NINI JOHANA LOPEZ LOPEZ</t>
  </si>
  <si>
    <t>NINY JOHANA AGUDELO CALDERON</t>
  </si>
  <si>
    <t>NOHRA DEL SOCORRO MESA MESA</t>
  </si>
  <si>
    <t>NOHRA MARIA LASSO DE LASSO</t>
  </si>
  <si>
    <t>NORA MERCEDES FERNANDEZ ARANGO</t>
  </si>
  <si>
    <t>NORMAN AUGUSTO DE JESUS MONTOYA</t>
  </si>
  <si>
    <t>NORMAN DARIO MORENO CARDONA</t>
  </si>
  <si>
    <t>NURY STELLA VILLEGAS RESTREPO</t>
  </si>
  <si>
    <t>OFIR DEL SOCORRO RESTREPO MEJIA</t>
  </si>
  <si>
    <t>OLGA LUCIA MONA ALARCON</t>
  </si>
  <si>
    <t>A85369280</t>
  </si>
  <si>
    <t>OLIVIA ISAVELA VELEZ</t>
  </si>
  <si>
    <t>OMAIRA MIRANDA RESTRESPO</t>
  </si>
  <si>
    <t>ORLANDO DE JESUS MAYA ECHEVERRI</t>
  </si>
  <si>
    <t>OSCAR DANIEL PEREZ NAVARRO</t>
  </si>
  <si>
    <t>OSCAR DARIO MARTINEZ GOMEZ</t>
  </si>
  <si>
    <t>OSCAR EMILIO ARISTIZABAL MEJIA</t>
  </si>
  <si>
    <t>OSCAR GILDARDO GARZON VASQUEZ</t>
  </si>
  <si>
    <t>OSCAR GUILLERMO MARTINEZ SANTAMARIA</t>
  </si>
  <si>
    <t>OSCAR RAUL BUSTAMANTE HERRERA</t>
  </si>
  <si>
    <t>OSWALDO JOSE ARIZA MACEA</t>
  </si>
  <si>
    <t>PAOLA ANDREA DAVID SALAS</t>
  </si>
  <si>
    <t>PAOLA ANDREA GARCIA GOMEZ</t>
  </si>
  <si>
    <t>PAULA ANDREA ANAMA CORTES</t>
  </si>
  <si>
    <t>PAULA ANDREA CORRALES CORRALES</t>
  </si>
  <si>
    <t>PAULA ANDREA MERINO RAMIREZ</t>
  </si>
  <si>
    <t>PAULA ANDREA OSPINA TORRES</t>
  </si>
  <si>
    <t>PAULA ANDREA QUINTERO CRUZ</t>
  </si>
  <si>
    <t>PAULA ANDREA TAMAYO PEREZ</t>
  </si>
  <si>
    <t>PAULA CAMILA VILLALOBOS CAMACHO</t>
  </si>
  <si>
    <t>PSOLA ANDREA QUIROZ CARMONA</t>
  </si>
  <si>
    <t>RAMIRO ANTONIO RAMIREZ SUAREZ</t>
  </si>
  <si>
    <t>A80305809</t>
  </si>
  <si>
    <t>RAMZI YAKO SHAMOON</t>
  </si>
  <si>
    <t>RENE ANTONIO OBREGON ROA</t>
  </si>
  <si>
    <t>A46092120</t>
  </si>
  <si>
    <t>REYNALDO 0 GUERRERO</t>
  </si>
  <si>
    <t>RICARDO ARTURO LOPEZ FLOREZ</t>
  </si>
  <si>
    <t>RIGOBERTO DE JESUS TOBON MARIN</t>
  </si>
  <si>
    <t>ROBINSON DE JESUS OSPINA SUAZA</t>
  </si>
  <si>
    <t>RODRIGO DEL NIÑO JESUS RESTREPO AGUDELO</t>
  </si>
  <si>
    <t>ROSA ANGELICA MAYA ECHEVERRI</t>
  </si>
  <si>
    <t>ROSA DEL PILAR CALDERON TORRES</t>
  </si>
  <si>
    <t>ROSA JULIA PALACIO MESA</t>
  </si>
  <si>
    <t>ROSALIA RUIZ ZULUAGA ZULUAGA</t>
  </si>
  <si>
    <t>ROSMIRA RUA DUQUE</t>
  </si>
  <si>
    <t>RUBEN ENRIQUE GALLEGO LONDOÑO</t>
  </si>
  <si>
    <t>A07127690</t>
  </si>
  <si>
    <t>SABRINA ALEXANDRA RESTEPO</t>
  </si>
  <si>
    <t>SALOME VELEZ GOMEZ</t>
  </si>
  <si>
    <t>SAMANTA ESPINOSA MENDOZA</t>
  </si>
  <si>
    <t>SAMANTHA BEDOYA MORALES</t>
  </si>
  <si>
    <t>SAMANTHA LONDOÑO HERRERA</t>
  </si>
  <si>
    <t>SAMUEL ARANGO GOMEZ</t>
  </si>
  <si>
    <t>SANDRA CAROLINA MANRIQUE RINCON</t>
  </si>
  <si>
    <t>SANDRA EUGENIA FLOREZ ALZATE</t>
  </si>
  <si>
    <t>SANDRA JANNETH ZAPATA AMAYA</t>
  </si>
  <si>
    <t>SANDRA MILENA CALLE RAMIREZ</t>
  </si>
  <si>
    <t>SANDRA MILENA CASTRILLON BEDOYA</t>
  </si>
  <si>
    <t>SANDRA YULIANA GOMEZ CANO</t>
  </si>
  <si>
    <t>SANTIAGO DELGADO VIDAL</t>
  </si>
  <si>
    <t>SANTIAGO GOMEZ ALEAN</t>
  </si>
  <si>
    <t>SANTIAGO ORTIZ 0</t>
  </si>
  <si>
    <t>SANTIAGO PIEDRAHITA MONTOYA</t>
  </si>
  <si>
    <t>SANTIAGO PUYO RESTREPO</t>
  </si>
  <si>
    <t>SANTIAGO SANCHEZ HERNANDEZ</t>
  </si>
  <si>
    <t>SARA BUSTAMANTE GOMEZ</t>
  </si>
  <si>
    <t>SARA CATALINA LOPEZ PINEDA</t>
  </si>
  <si>
    <t>SARA GIRALDO CASTRO</t>
  </si>
  <si>
    <t>SARA SALOME GONZALEZ AGREDO</t>
  </si>
  <si>
    <t>SARA SALOME GONZALEZ CALLE</t>
  </si>
  <si>
    <t>AAL184481</t>
  </si>
  <si>
    <t>SEBASTIAN ALEJANDRO SEIDITA</t>
  </si>
  <si>
    <t>SEBASTIAN ARENAS ZAPSTA</t>
  </si>
  <si>
    <t>SEBASTIAN MAZO PULGARIN</t>
  </si>
  <si>
    <t>SEBASTIAN SILVA ACEVEDO</t>
  </si>
  <si>
    <t>SHIRLEY DANIRIS RAMIREZ HENAO</t>
  </si>
  <si>
    <t>SILVIA ELENA ALZATE ANGARETA</t>
  </si>
  <si>
    <t>SIMON SANIN GAVIRIA</t>
  </si>
  <si>
    <t>SIMON SIERRA RESTREPO</t>
  </si>
  <si>
    <t>SINDY VANESSA CORREA TREJOS</t>
  </si>
  <si>
    <t>SINDY VANESSA MONSALVE PATIÑO</t>
  </si>
  <si>
    <t>SIRLEY MARIA ATENCIA SIERRA</t>
  </si>
  <si>
    <t>SOFIA SALGADO SALGADO ZAPATA</t>
  </si>
  <si>
    <t>SONIA CHICA CARDONA</t>
  </si>
  <si>
    <t>SONIA YANETH HERRERA GOMEZ</t>
  </si>
  <si>
    <t>STEFANIA PALACIO MARIN</t>
  </si>
  <si>
    <t>SURLEY YANETH PULGARIN PUERTA</t>
  </si>
  <si>
    <t>SUSANA CALDERON VELASQUEZ</t>
  </si>
  <si>
    <t>NW984B843</t>
  </si>
  <si>
    <t>SUZANNE ARDON ARDON 0</t>
  </si>
  <si>
    <t>A63581564</t>
  </si>
  <si>
    <t>SUZZETTE MARIE ZAPATA RAMOS</t>
  </si>
  <si>
    <t>TATIANA MELITZA LOAIZA AYA</t>
  </si>
  <si>
    <t>TAYHANA CAICEDO MORALES</t>
  </si>
  <si>
    <t>TERESA CECILIA VILLEGAS MORENO</t>
  </si>
  <si>
    <t>TERESA DE JESUS LONDOÑO ALZATE</t>
  </si>
  <si>
    <t>TERESA MARIA BETANCUR GOMEZ</t>
  </si>
  <si>
    <t>THEO LOPEZ MONTOYA</t>
  </si>
  <si>
    <t>TODD HUNTER SMITH</t>
  </si>
  <si>
    <t>TOMAS RESTREPO RENDON</t>
  </si>
  <si>
    <t>VALENTINA ARBELAEZ TORO</t>
  </si>
  <si>
    <t>VALENTINA GALVIS VARGAS</t>
  </si>
  <si>
    <t>VALENTINA GAVIRIA ZABALA</t>
  </si>
  <si>
    <t>VALENTINA MAYA CORREA</t>
  </si>
  <si>
    <t>VALENTINA PALACIO RUIZ</t>
  </si>
  <si>
    <t>VALENTINA PEÑA ORTIZ</t>
  </si>
  <si>
    <t>VALENTINA RICARDO PEREZ</t>
  </si>
  <si>
    <t>VALERIA ARROYAVE CANO</t>
  </si>
  <si>
    <t>VALERIA CIFUENTES YEPES</t>
  </si>
  <si>
    <t>VALERIA OROZCO SANCHEZ</t>
  </si>
  <si>
    <t>VALERIA SERNA MIRA</t>
  </si>
  <si>
    <t>VANESA BEDOYA CARMONA</t>
  </si>
  <si>
    <t>VANESA HENAO ORTIZ</t>
  </si>
  <si>
    <t>VANESSA CALLEJAS GARCIA</t>
  </si>
  <si>
    <t>VERONICA MONROY TABORDA</t>
  </si>
  <si>
    <t>VERONICA OSPINA ZAPATA</t>
  </si>
  <si>
    <t>VERONICA RESTREPO SALDARRIAGA</t>
  </si>
  <si>
    <t>VERONICA TOBON JARAMILLO</t>
  </si>
  <si>
    <t>VERONICA TORO CARRILLO</t>
  </si>
  <si>
    <t>VICTOR ADOLFO GOMEZ GOMEZ</t>
  </si>
  <si>
    <t>VICTOR DAVID GARCIA PATIÑO</t>
  </si>
  <si>
    <t>VICTOR RAUL ALZATE LOTERO</t>
  </si>
  <si>
    <t>VICTORIA PEREZ GARCIA</t>
  </si>
  <si>
    <t>VIRGILIO ANDRES MUÑOZ PINEDA</t>
  </si>
  <si>
    <t>VIVIANA ALEJANDRA SANCHEZ ACOSTA</t>
  </si>
  <si>
    <t>VIVIANA ANDREA ANGEL GOMEZ</t>
  </si>
  <si>
    <t>VIVIANA MARIA HOYOS GOMEZ</t>
  </si>
  <si>
    <t>WENDY ALEJANDRA RAMIREZ CIRO</t>
  </si>
  <si>
    <t>WENDY LORAYNE TRUJILLO ANGULO</t>
  </si>
  <si>
    <t>WENDY TATIANA RODRIGUEZ VANEGAS</t>
  </si>
  <si>
    <t>WILFER ALEXIS SOSA MARIN</t>
  </si>
  <si>
    <t>WILFER ANDRES RUA GOMEZ</t>
  </si>
  <si>
    <t>WILLIAM ALVAREZ MATEUS</t>
  </si>
  <si>
    <t>WILLIAM ANTONIO ZAPATA CIFUENTES</t>
  </si>
  <si>
    <t>WILSON ARLEX VANEGAS GUTIERREZ</t>
  </si>
  <si>
    <t>WILSON MEJIA OSPINA</t>
  </si>
  <si>
    <t>XIMENA MARIA POSADA GOMEZ</t>
  </si>
  <si>
    <t>XIMENA MARIA RODAS GUTIERREZ</t>
  </si>
  <si>
    <t>XIOMARA TABORDA CAÑOLA</t>
  </si>
  <si>
    <t>YAIRE MICHELL PEREZ USUGA</t>
  </si>
  <si>
    <t>YAISURI LLANO FERNANDEZ</t>
  </si>
  <si>
    <t>YAMILE ANDREA AGUIRRE CATAÑO</t>
  </si>
  <si>
    <t>YARCONY MABEL SANCHEZ MUÑETONEZ</t>
  </si>
  <si>
    <t>YEISON ARLEY ZAPATA VALDES</t>
  </si>
  <si>
    <t>YEISSON VEGA PATIÑO</t>
  </si>
  <si>
    <t>YENIFER LOAIZA HIGUITA</t>
  </si>
  <si>
    <t>YENNY MARTINEZ BETANCUR BETANCUR</t>
  </si>
  <si>
    <t>YENNYFER PAOLA LEMOS DE AVILA</t>
  </si>
  <si>
    <t>YESENIA CARDONA VALLEJO</t>
  </si>
  <si>
    <t>YESENIA ESTEICY GIL SUAREZ</t>
  </si>
  <si>
    <t>YESENIA GAÑAN LOPERA</t>
  </si>
  <si>
    <t>YESENIA OSSA GARCIA</t>
  </si>
  <si>
    <t>YESENIA SILVA LOBO</t>
  </si>
  <si>
    <t>YESICA ALEJANDRA SALAZAR GIRALDO</t>
  </si>
  <si>
    <t>YESICA ANDREA LOPEZ MONTOYA</t>
  </si>
  <si>
    <t>YESICA RESTREPO GONZALEZ</t>
  </si>
  <si>
    <t>YHIRLEY ANDREA MONTOYA ESTRADA</t>
  </si>
  <si>
    <t>YINA PAOLA MARIN PATIÑO</t>
  </si>
  <si>
    <t>YISED NATALIA VILLA CHAVARRIA</t>
  </si>
  <si>
    <t>YOELIS ANDREA SEPULVEDA BALVIN</t>
  </si>
  <si>
    <t>YOHANA BEATRIZ GOLLO LUNA</t>
  </si>
  <si>
    <t>YOLI NATALIA ARGOTI MONTOYA</t>
  </si>
  <si>
    <t>YONIFER ZULUAGA GOMEZ</t>
  </si>
  <si>
    <t>YUDY BANESA HOYOS MARTINEZ</t>
  </si>
  <si>
    <t>YULIANA ARANGO ARANGO</t>
  </si>
  <si>
    <t>YULIANA MARIA PINEDA OLIVEROS</t>
  </si>
  <si>
    <t>YULIETH ANDREA MONTAÑO CARMONA</t>
  </si>
  <si>
    <t>YULIS ESTHER DIAZ BARRETO</t>
  </si>
  <si>
    <t>YULIZA ESPINOSA CASTAÑO</t>
  </si>
  <si>
    <t>YULLY MARCEL RIOS VERGARA</t>
  </si>
  <si>
    <t>YURANY ANDREA ECHAVARRIA CORREA</t>
  </si>
  <si>
    <t>YURANY SALDARRIAGA MORA</t>
  </si>
  <si>
    <t>YURI MANUELA VALENCIA ARBOLEDA</t>
  </si>
  <si>
    <t>YURI PAOLA TABORDA SILGADO</t>
  </si>
  <si>
    <t>YURLEY ANDREA GONZALEZ ZAPATA</t>
  </si>
  <si>
    <t>Exámenes</t>
  </si>
  <si>
    <t>ADRIANA MARIA VALENCIA CASTRO</t>
  </si>
  <si>
    <t>ALDO LUIS ARRUNATEGUI</t>
  </si>
  <si>
    <t>ALEJANDRA DUQUE MARIN</t>
  </si>
  <si>
    <t>ALEXANDER GUTIERREZ SAAVEDRA</t>
  </si>
  <si>
    <t>ALEXANDRA ISABEL SUAREZ ARROYAVE</t>
  </si>
  <si>
    <t>AMANDA LUCIA RESTREPO MUÑOZ</t>
  </si>
  <si>
    <t>ANA MARIA GOMEZ DUQUE</t>
  </si>
  <si>
    <t>ANA MARIA VELEZ CAMPUZANO</t>
  </si>
  <si>
    <t>ANA MARIA ZAPATA CAICEDO</t>
  </si>
  <si>
    <t>ANA SOFIA VILLADA PALACIO</t>
  </si>
  <si>
    <t>ANDREA CRISTINA LOPERA BALBIN</t>
  </si>
  <si>
    <t>BAHIAN STIVEN VELEZ VELEZ</t>
  </si>
  <si>
    <t>BEATRIZ ELENA MONTOYA RODRIGUEZ</t>
  </si>
  <si>
    <t>BEATRIZ HELENA TAMAYO VALLEJO</t>
  </si>
  <si>
    <t>BERTA FABIOLA ALZATE GOMEZ</t>
  </si>
  <si>
    <t>BLANCA HELENA GOMEZ ZULUAGA</t>
  </si>
  <si>
    <t>CAMILA ZULIANI MORENO</t>
  </si>
  <si>
    <t>CAMILO RESTREPO GOMEZ</t>
  </si>
  <si>
    <t>CARLOS ANDRES BARRERA OCHOA</t>
  </si>
  <si>
    <t>CARLOS ANDRES GONZALEZ VASQUEZ</t>
  </si>
  <si>
    <t>CARLOS ARTURO ARAQUE PINEDA</t>
  </si>
  <si>
    <t>CARLOS DAVID TOBON PALACIO</t>
  </si>
  <si>
    <t>CARLOS MARIO ALZATE ECHEVERRI</t>
  </si>
  <si>
    <t>CARMEN ALICIA ARROYO SEVERICHE</t>
  </si>
  <si>
    <t>CARMEN LUCRECIA VARGAS ARISTIZABAL</t>
  </si>
  <si>
    <t>CAROLINA GALLEGO ARTUNDUAGA</t>
  </si>
  <si>
    <t>CAROLINA VILLA VALENCIA</t>
  </si>
  <si>
    <t>CATALINA GUZMAN OSSA</t>
  </si>
  <si>
    <t>CATALINA NAVARRO GUTIERREZ</t>
  </si>
  <si>
    <t>CELY LUZ GOMEZ CERVANTES</t>
  </si>
  <si>
    <t>CLAUDIA CECILIA GOMEZ HERNANDEZ</t>
  </si>
  <si>
    <t>CONSUELO SALDARRIAGA VELEZ</t>
  </si>
  <si>
    <t>CRISTHIAN ALEJANDRO ARDILA GUERRERO</t>
  </si>
  <si>
    <t>CRISTIAN ALEXIS BLANDON RIOS</t>
  </si>
  <si>
    <t>CRISTIAN ROLDAN SALAZAR</t>
  </si>
  <si>
    <t>DAISY ESTELLA MONSALVE GARCIA</t>
  </si>
  <si>
    <t>DANIEL SÁNCHEZ SANCHEZ ARBOLEDA</t>
  </si>
  <si>
    <t>DAVID MARTINEZ GIRALDO</t>
  </si>
  <si>
    <t>DIANA LUCIA SALAZAR CARDENAS</t>
  </si>
  <si>
    <t>DIANA MARIA SALAZAR TANGARIFE</t>
  </si>
  <si>
    <t>DIEGO LEON RESTREPO GIL</t>
  </si>
  <si>
    <t>DOLLY STELLA GRANADA DE MUÑOZ</t>
  </si>
  <si>
    <t>DORA LUZ PEREZ HURTADO</t>
  </si>
  <si>
    <t>EDILMA RUIZ RUIZ RUIZ</t>
  </si>
  <si>
    <t>EDWIN F PALMA PALMA</t>
  </si>
  <si>
    <t>EFSTRATIOS KOUNTOURIS 0</t>
  </si>
  <si>
    <t>ELIANA TASCON RESTREPO</t>
  </si>
  <si>
    <t>ELIZABETH MARIN GIRALDO</t>
  </si>
  <si>
    <t>EMMANUEL VASQUEZ VELEZ</t>
  </si>
  <si>
    <t>ERIKA NATALIA CIFUENTES BENAVIDEZ</t>
  </si>
  <si>
    <t>FRANCY CATALINA ZAPATA TABARES</t>
  </si>
  <si>
    <t>GERMAN MORILLO 0</t>
  </si>
  <si>
    <t>GILBERT JR BENITA</t>
  </si>
  <si>
    <t>GLEIDYS AGUDELO VANEGAS</t>
  </si>
  <si>
    <t>GLORIA AMANDA GOMEZ JIMENEZ</t>
  </si>
  <si>
    <t>GLORIA ELCY VARGAS VERGARA</t>
  </si>
  <si>
    <t>GLORIA ELENA ECHAVARRIA GUTIERREZ</t>
  </si>
  <si>
    <t>GRACE JEANETTE SEPULVEDA CHAVIER</t>
  </si>
  <si>
    <t>A82368989</t>
  </si>
  <si>
    <t>GUNTHER 0 SCHMITZBERGER</t>
  </si>
  <si>
    <t>HECTOR IVAN BEDOYA ESCOBAR</t>
  </si>
  <si>
    <t>INES ESTELA VASQUEZ VELEZ</t>
  </si>
  <si>
    <t>ISAURA MILENA PADILLA LOZANO</t>
  </si>
  <si>
    <t>JAIME ALBERTO MEJIA PELAEZ</t>
  </si>
  <si>
    <t>JAIME ALEJANDRO OSPINA BETANCUR</t>
  </si>
  <si>
    <t>JOHN FREDY GUZMAN BOTERO</t>
  </si>
  <si>
    <t>JOHNNATAN RENE TABARES BOTERO</t>
  </si>
  <si>
    <t>JONATHAN AYALA HERNANDE</t>
  </si>
  <si>
    <t>JORGE ANDRES GONZALEZ CARANTON</t>
  </si>
  <si>
    <t>JORGE EDUARDO ARISMENDY CORREA</t>
  </si>
  <si>
    <t>JORGE EDUARDO MONTOYA RESTREPO</t>
  </si>
  <si>
    <t>JORGE HORACIO ECHEVERRI OSPINA</t>
  </si>
  <si>
    <t>JORGE WILLIAM GUERRA MONTOYA</t>
  </si>
  <si>
    <t>JOSE ALBERTO OROZCO PANTOJA</t>
  </si>
  <si>
    <t>JOSE BERTULIO PINEDA OVALLE</t>
  </si>
  <si>
    <t>JOSE CAMILO GONZALEZ PADILLA</t>
  </si>
  <si>
    <t>JOSE SILVA MESQUITA FILHO</t>
  </si>
  <si>
    <t>JUAN CARLOS CIRO VASQUEZ</t>
  </si>
  <si>
    <t>JUAN DANIEL GALLEGO MORA</t>
  </si>
  <si>
    <t>JUAN DAVID GIRALDO GOMEZ</t>
  </si>
  <si>
    <t>JUAN EDUARDO ARRIETA LAZARO</t>
  </si>
  <si>
    <t>JUAN ESTEBAN OSORIO RONCANCIO</t>
  </si>
  <si>
    <t>JUAN GONZALO ANGEL RESTREPO</t>
  </si>
  <si>
    <t>JUAN GUILLERMO RAMIREZ ARANGO</t>
  </si>
  <si>
    <t>JULIA BEATRIZ BEATRIZ CUBILLOS</t>
  </si>
  <si>
    <t>JULIAN ALEJANDRO AREIZA ROJO</t>
  </si>
  <si>
    <t>KAROL DANIELA SINISTERRA MARTINEZ</t>
  </si>
  <si>
    <t>KEVIN ALVEAR RUBIO</t>
  </si>
  <si>
    <t>LEON ABAD HOYOS GIRALDO</t>
  </si>
  <si>
    <t>LETICIA INES DAVILA BORRERO</t>
  </si>
  <si>
    <t>LIGIA CUERVO SANCHEZ</t>
  </si>
  <si>
    <t>LILIA DE JESUS HENAO GIRALDO</t>
  </si>
  <si>
    <t>LINA MARIA MEJIA JARAMILLO</t>
  </si>
  <si>
    <t>LUCIA MARIA PUERTA PUERTA</t>
  </si>
  <si>
    <t>LUIS CARLOS JIMENEZ ZULUAGA</t>
  </si>
  <si>
    <t>LUIS FABIAN RODRIGUEZ GARCIA</t>
  </si>
  <si>
    <t>LUZ ADRIANA RUEDA SANCHEZ</t>
  </si>
  <si>
    <t>LUZ DORA HENAO OSPINA</t>
  </si>
  <si>
    <t>LUZ MARIA MESA GUTIERREZ</t>
  </si>
  <si>
    <t>LUZ MARINA CABEZA DE ALBARRACIN</t>
  </si>
  <si>
    <t>LUZ MARINA ESCOBAR DE PEREZ</t>
  </si>
  <si>
    <t>LUZ MARINA RESTREPO DE BOTERO</t>
  </si>
  <si>
    <t>LUZ MARINA VALENCIA MONTOYA</t>
  </si>
  <si>
    <t>LUZ MERLE ARGUMEDO SOLERA</t>
  </si>
  <si>
    <t>LUZ REGINA SOLIS HOYOS</t>
  </si>
  <si>
    <t>MARCELA MARIA PENAGOS SALDARRIAGA</t>
  </si>
  <si>
    <t>MARCELA TABARES GARCIA GARCIA</t>
  </si>
  <si>
    <t>MARGARITA CARDONA MURILLO</t>
  </si>
  <si>
    <t>MARIA ADELAIDA CARVAJAL MUÑOZ</t>
  </si>
  <si>
    <t>MARIA ADELAIDA GARCIA BERMUDEZ</t>
  </si>
  <si>
    <t>MARIA ADIELA ALAZATE ALZATE</t>
  </si>
  <si>
    <t>MARIA ALEJANDRA MONCADA DIAZ</t>
  </si>
  <si>
    <t>MARIA CAMILA GALEANO URIBE</t>
  </si>
  <si>
    <t>MARIA CRISTINA HENAO GARZON</t>
  </si>
  <si>
    <t>MARIA ISABEL OSORIO GUZMAN</t>
  </si>
  <si>
    <t>MARIA LUISA HENAO DE RAMIREZ</t>
  </si>
  <si>
    <t>MARIA MARLENY CONTRERAS LEAL</t>
  </si>
  <si>
    <t>MARIA OLGA CASTAÑEDA NOREÑA</t>
  </si>
  <si>
    <t>MARIA TERESA MUÑOZ MONTOYA</t>
  </si>
  <si>
    <t>MARIA TERESA VEGA PEREZ</t>
  </si>
  <si>
    <t>PA0986732</t>
  </si>
  <si>
    <t>MARIAM DE LOS ANGELES JARAMILLO CAMELL</t>
  </si>
  <si>
    <t>MARIANA JARAMILLO GOMEZ</t>
  </si>
  <si>
    <t>MARIELA INES GARCIA RAMIREZ</t>
  </si>
  <si>
    <t>MARINA CARDONA OSORIO</t>
  </si>
  <si>
    <t>MARIO ALBERTO MEJIA ELJACH</t>
  </si>
  <si>
    <t>MARTHA INES CALLEJAS FIGUEROA</t>
  </si>
  <si>
    <t>MARTHA LUCIA RESTREPO BAENA</t>
  </si>
  <si>
    <t>MATIAS ROLDAN GIRALDO</t>
  </si>
  <si>
    <t>MAURICIO ANDRES ZAPATA GARCIA</t>
  </si>
  <si>
    <t>MIRELLA GALEANO BERRIO BERRIO</t>
  </si>
  <si>
    <t>NANCY ESTELA LONDOÑO FLOREZ</t>
  </si>
  <si>
    <t>NATALIA ARIAS GOMEZ</t>
  </si>
  <si>
    <t>NATHALIA ACOSTA CORTES</t>
  </si>
  <si>
    <t>NELSON DE JESUS ARANGO ARANGO</t>
  </si>
  <si>
    <t>NICOLAS ALBERTO VELASQUEZ AGUIRRE</t>
  </si>
  <si>
    <t>NIKE DEL SOCORRO SANMARTIN CEBALLOS</t>
  </si>
  <si>
    <t>NORA DEL CAMEN AGUDELO IBARRA</t>
  </si>
  <si>
    <t>OLGA LEONID GARCIA GOMEZ</t>
  </si>
  <si>
    <t>PAOLA ANDREA TABARES ORTIZ</t>
  </si>
  <si>
    <t>PAULA ALEJANDRA OSORIO ROJAS</t>
  </si>
  <si>
    <t>REINEL ALBERTO PEREZ MEDINA</t>
  </si>
  <si>
    <t>RICARDO ANTONIO OSORIO TOBON</t>
  </si>
  <si>
    <t>A21483887</t>
  </si>
  <si>
    <t>RICARDO CAMACHO QUIÑONES</t>
  </si>
  <si>
    <t>ROSA INES CIFUENTES LIZARAZO</t>
  </si>
  <si>
    <t>ROSA RUBY TOBON</t>
  </si>
  <si>
    <t>ROSARIO DEL CARMEN ANGULO JIMENEZ</t>
  </si>
  <si>
    <t>RUBY DEL SOCORRO ARROYAVE DE SUAREZ</t>
  </si>
  <si>
    <t>SAMUEL ECHEVERRI MONTOYA</t>
  </si>
  <si>
    <t>SAMUEL PETER BONFIELD</t>
  </si>
  <si>
    <t>SANDRA MARCELA URREGO SOTO</t>
  </si>
  <si>
    <t>SANDRA MILENA DUQUE</t>
  </si>
  <si>
    <t>SANTIAGO CORTES ZULUAGA</t>
  </si>
  <si>
    <t>SANTIAGO OSPINA HERRERA</t>
  </si>
  <si>
    <t>SARA BETANCUR RUIZ</t>
  </si>
  <si>
    <t>SEBASTIAN VILLERO RAMOS</t>
  </si>
  <si>
    <t>SIMON BARRERA AYOUB</t>
  </si>
  <si>
    <t>SIMON VILLA PULIDO</t>
  </si>
  <si>
    <t>SORAYA ECHEVERRY LOPEZ</t>
  </si>
  <si>
    <t>SYLVIA MARINA BUENAHORA DE CORREA</t>
  </si>
  <si>
    <t>UBEIMAR MUÑOZ GIRALDO</t>
  </si>
  <si>
    <t>VICTOR MANUEL HENRIQUEZ VELASQUEZ</t>
  </si>
  <si>
    <t>VIRGINIA CADAVID CAMPUZANO CAMPUZANO</t>
  </si>
  <si>
    <t>G358545</t>
  </si>
  <si>
    <t>WILLIAM ALBERTO QUESADA VILLALOBOS</t>
  </si>
  <si>
    <t>YENIFER DIAZ JIMENEZ</t>
  </si>
  <si>
    <t>YEYVER ANDRES CURY MURILLO</t>
  </si>
  <si>
    <t>YISETH PAOLA PACHECO PEREZ</t>
  </si>
  <si>
    <t>YOLANDA DE SAN JOSE HIGUITA DE MEJIA</t>
  </si>
  <si>
    <t>YOLANDA LOAIZA OSORIO</t>
  </si>
  <si>
    <t>YULIANA MARCELA ZAPATA PADILLA</t>
  </si>
  <si>
    <t>Medicamentos</t>
  </si>
  <si>
    <t>ADIELA GIRALDO DE GOMEZ GOMEZ</t>
  </si>
  <si>
    <t>ADRIANA PATRICIA GAVIRIA CARDONA</t>
  </si>
  <si>
    <t>ALVARO GALVIS ACEVEDO</t>
  </si>
  <si>
    <t>ALVARO GALVIS VILLAMIZAR</t>
  </si>
  <si>
    <t>AMPARO ARANGO DE RESTREPO</t>
  </si>
  <si>
    <t>ANA MARIA BEDOYA URIBE</t>
  </si>
  <si>
    <t>ANA MARIA LONDOÑO OSSA</t>
  </si>
  <si>
    <t>ANA MARIA VELEZ ALVAREZ</t>
  </si>
  <si>
    <t>ANDERSON DAVID MEJIA MAYA</t>
  </si>
  <si>
    <t>ANGIE MELISSA MONTOYA OCAMPO</t>
  </si>
  <si>
    <t>CESAR JAVIER CASTRO ROMERO</t>
  </si>
  <si>
    <t>CLAUDE JAY ZITO</t>
  </si>
  <si>
    <t>CONSUELO EMILSE LOPEZ</t>
  </si>
  <si>
    <t>DANIEL LEONARDO PARRA CACERES</t>
  </si>
  <si>
    <t>DEIVIS DAVID CARRASCAL PRADA</t>
  </si>
  <si>
    <t>DIANA PATRICIA CARDEÑO ZULUAGA</t>
  </si>
  <si>
    <t>EDUARDO CASTAÑEDA OSPINA</t>
  </si>
  <si>
    <t>EDWARD DARIO SEPULVEDA MUÑOZ</t>
  </si>
  <si>
    <t>FABIO ANTONIO SUAREZ DUQUE</t>
  </si>
  <si>
    <t>FERRETEXAS ZOMAC S.A.S</t>
  </si>
  <si>
    <t>GLORIA FERNANDEZ GOMEZ</t>
  </si>
  <si>
    <t>HECTOR JAIME CARDENAS MONSALVE</t>
  </si>
  <si>
    <t>JAIME ALBERTO OSSA GOMEZ</t>
  </si>
  <si>
    <t>JEIMER KALEBT USUGA LONDONO</t>
  </si>
  <si>
    <t>JOHANA GOMEZ SEPULVEDA</t>
  </si>
  <si>
    <t>JUAN FELIPE HOYOS CERPA</t>
  </si>
  <si>
    <t>JUAN JOSE RODRIGUEZ RIOS</t>
  </si>
  <si>
    <t>JUAN PABLO ESCOBAR MEJIA</t>
  </si>
  <si>
    <t>LAURA MELISA RODRIGUEZ CARO</t>
  </si>
  <si>
    <t>LEIDY CAROLINA LOAIZA LOAIZA</t>
  </si>
  <si>
    <t>LEIDY JOHANA TRUJILLO RAMIREZ</t>
  </si>
  <si>
    <t>LIGIA PEÑUELA DE LONDOÑO</t>
  </si>
  <si>
    <t>LUIS ALBERTO CASTAÑO GIRALDO</t>
  </si>
  <si>
    <t>LUISA MARIA GOMEZ VANEGAS</t>
  </si>
  <si>
    <t>MARIA ELENA GONZALEZ VALENCIA</t>
  </si>
  <si>
    <t>MARIA ISABEL ALCOCER URIBE</t>
  </si>
  <si>
    <t>MARIA NICOLASA HERNANDEZ DE POSADA</t>
  </si>
  <si>
    <t>MARIA OFIR VELEZ DE MUNERA</t>
  </si>
  <si>
    <t>B00587738</t>
  </si>
  <si>
    <t>MARIA PAULA CHAVARRIA ALLEN</t>
  </si>
  <si>
    <t>MARINA JARAMILLO JARAMILLO ACOSTA</t>
  </si>
  <si>
    <t>MARISOL GRISALES BLANDON BLANDON</t>
  </si>
  <si>
    <t>MARK PATRICK COOPER</t>
  </si>
  <si>
    <t>MARTHA NELLY VANEGAS AGUIRRE</t>
  </si>
  <si>
    <t>MELIZA RIVERA MUNERA</t>
  </si>
  <si>
    <t>OSCAR ALBERTO CANO CASTRILLON</t>
  </si>
  <si>
    <t>OSCAR JAVIER GARCIA BERNAL</t>
  </si>
  <si>
    <t>PAULA ANDREA CORREA RICO</t>
  </si>
  <si>
    <t>RODRIGO ANTONIO PARRA MALDONADO</t>
  </si>
  <si>
    <t>ROVINSON ALEJANDRO GOEZ MARTINEZ</t>
  </si>
  <si>
    <t>RUTH AMPARO QUINTERO AMAYA</t>
  </si>
  <si>
    <t>SANDRA MILENA MADRID ORTEGA</t>
  </si>
  <si>
    <t>VANESA OSORIO SUAREZ</t>
  </si>
  <si>
    <t>VERONICA ANDREINA TERAN PEREZ</t>
  </si>
  <si>
    <t>WILSON ARCILA CALLE</t>
  </si>
  <si>
    <t>Lente intraocular</t>
  </si>
  <si>
    <t>ADELA MARIA MESA MONTOYA</t>
  </si>
  <si>
    <t>ADRIANA MARIA ARTEAGA ACOSTA</t>
  </si>
  <si>
    <t>ALBA NIDIA VALENCIA CARDONA</t>
  </si>
  <si>
    <t>ALIRIO DE JESUS GARCES GARCES</t>
  </si>
  <si>
    <t>ANGELA MARIA RESTREPO HENAO</t>
  </si>
  <si>
    <t>BEATRIZ ESCOBAR GONZALEZ</t>
  </si>
  <si>
    <t>CARLOS IGNACIO MORENO RUIZ</t>
  </si>
  <si>
    <t>CLARENA SANCHEZ HURTADO</t>
  </si>
  <si>
    <t>CLAUDIA MARIA RESTREPO ALVAREZ</t>
  </si>
  <si>
    <t>CLAUDIA PATRICIA LOPEZ RAMIREZ</t>
  </si>
  <si>
    <t>CORINE BEBERLY DUFFIS STEEL</t>
  </si>
  <si>
    <t>DOLLY DUQUE HERNANDEZ</t>
  </si>
  <si>
    <t>FELIX OSCAR TIRADO CADAVID</t>
  </si>
  <si>
    <t>FRANCISCO JAVIER ARANGO ARROYAVE</t>
  </si>
  <si>
    <t>GASTON ENRIQUE JAQUET RESTREPO</t>
  </si>
  <si>
    <t>GLORIA PSTRICIA TABARES SERNA</t>
  </si>
  <si>
    <t>JORGE ENRIQUE GOMEZ OQUENDO</t>
  </si>
  <si>
    <t>JOSE JOAQUIN DURANGO ESTRADA</t>
  </si>
  <si>
    <t>JUAN FELIPE PALACIO CALLE</t>
  </si>
  <si>
    <t>JUAN GABRIEL PEREZ RESTREPO</t>
  </si>
  <si>
    <t>JUAN LUIS ARAMILLO MARTINEZ</t>
  </si>
  <si>
    <t>LUIS FERNANDO MUNERA MONSALVE</t>
  </si>
  <si>
    <t>MARIA EUGENIA MONCADA GIL</t>
  </si>
  <si>
    <t>MARIA JUDIT CAÑAS MESA</t>
  </si>
  <si>
    <t>NURY DEL SOCORRO DIAZ SERNA</t>
  </si>
  <si>
    <t>TATIANA CAROLINA MARTINEZ RUA</t>
  </si>
  <si>
    <t>Devoluciones en Ventas (DB)</t>
  </si>
  <si>
    <t>Devoluciones en Ventas (DB) Servicio médico</t>
  </si>
  <si>
    <t>Ingresos No Operacionales</t>
  </si>
  <si>
    <t>Financieros</t>
  </si>
  <si>
    <t>Intereses</t>
  </si>
  <si>
    <t>Otros Ingresos No Operacionales</t>
  </si>
  <si>
    <t>Recuperaciones costos y gastos</t>
  </si>
  <si>
    <t>Recuperacion costos y gastos</t>
  </si>
  <si>
    <t>FELIPE BERNAL OLARTE</t>
  </si>
  <si>
    <t>JOSE MANUEL VILLADA</t>
  </si>
  <si>
    <t>Indemnizaciones</t>
  </si>
  <si>
    <t>Incapacidades</t>
  </si>
  <si>
    <t>Aprovechamientos</t>
  </si>
  <si>
    <t>Gastos</t>
  </si>
  <si>
    <t>Gastos de Administración Ordinarios</t>
  </si>
  <si>
    <t>Gasto de Personal</t>
  </si>
  <si>
    <t>Sueldos</t>
  </si>
  <si>
    <t>Salarios</t>
  </si>
  <si>
    <t>Horas Extras y Recargos</t>
  </si>
  <si>
    <t>Auxilio de Transporte</t>
  </si>
  <si>
    <t>Cesantías</t>
  </si>
  <si>
    <t>Intereses sobre Cesantías</t>
  </si>
  <si>
    <t>Bonificaciones</t>
  </si>
  <si>
    <t>Bonificaciones no Constitutivas de Salario</t>
  </si>
  <si>
    <t>Dotación y Suministro a Trabajadores</t>
  </si>
  <si>
    <t>HIPERTEX S.A.S</t>
  </si>
  <si>
    <t>LANDA GROUP S.A.S</t>
  </si>
  <si>
    <t>Iva Mayor Valor Dotación y Suministro a Trabajadores</t>
  </si>
  <si>
    <t>Indemnizaciones Laborales</t>
  </si>
  <si>
    <t>Capacitación al Personal</t>
  </si>
  <si>
    <t>Aportes Riesgos Profesionales</t>
  </si>
  <si>
    <t>Aportes Salud</t>
  </si>
  <si>
    <t>Aportes Salud Empleador</t>
  </si>
  <si>
    <t>Aportes Pensión</t>
  </si>
  <si>
    <t>Aportes Pensión Empleador</t>
  </si>
  <si>
    <t>Aportes Caja de Compensación Familiar</t>
  </si>
  <si>
    <t>Gastos Médicos y Drogas</t>
  </si>
  <si>
    <t>Gastos Honorarios Administración</t>
  </si>
  <si>
    <t>Honorarios Revisoría Fiscal Administración</t>
  </si>
  <si>
    <t>Honorarios Asesoría Jurídica Administración</t>
  </si>
  <si>
    <t>Iva Mayor Valor Honorarios Asesoría Jurídica Administración</t>
  </si>
  <si>
    <t>Honorarios Asesoría Técnica Administración</t>
  </si>
  <si>
    <t>YURANY DEOSSA MURILLO</t>
  </si>
  <si>
    <t>Iva Mayor Valor Honorarios Asesoría Técnica Administración</t>
  </si>
  <si>
    <t>Otros Honorarios Administración</t>
  </si>
  <si>
    <t>Honorarios arquitectura</t>
  </si>
  <si>
    <t>SUZANA MACHADO VASQUEZ</t>
  </si>
  <si>
    <t>Iva Mayor Valor Otros Honorarios Administración</t>
  </si>
  <si>
    <t>Gastos Impuestos Administración</t>
  </si>
  <si>
    <t>Impuesto Predial o a la Propiedad Raíz Administración</t>
  </si>
  <si>
    <t>Otros Impuestos Administración</t>
  </si>
  <si>
    <t>Impuestos telefónico</t>
  </si>
  <si>
    <t>Alumbrado público</t>
  </si>
  <si>
    <t>GMF</t>
  </si>
  <si>
    <t>Impuesto al consumo</t>
  </si>
  <si>
    <t>AIRE DE ROMERO SAN MARZANO SAS</t>
  </si>
  <si>
    <t>ARCILA MUÑOZ LUIS ANGEL</t>
  </si>
  <si>
    <t>BOMBA FOODS SAS</t>
  </si>
  <si>
    <t>COCINA CAFE Y PAN S.A.S</t>
  </si>
  <si>
    <t>GANSO Y CASTOR</t>
  </si>
  <si>
    <t>GASTRONOMÍA ITALIANA EN COLOMBIA S.A.S.</t>
  </si>
  <si>
    <t>PUNTO CALIENTE S.A</t>
  </si>
  <si>
    <t>VALENTINA BAKERY SAS</t>
  </si>
  <si>
    <t>Tasa Aseo</t>
  </si>
  <si>
    <t>Impuesto bolsa</t>
  </si>
  <si>
    <t>Tasa de seguridad</t>
  </si>
  <si>
    <t>Gastos Arrendamientos Administración</t>
  </si>
  <si>
    <t>Arrendamiento Construcciones y Edificaciones Administración</t>
  </si>
  <si>
    <t>Iva Mayor Valor Arrendamiento Construcciones y Edificaciones Administración</t>
  </si>
  <si>
    <t>Arrendamiento Equipo de Computación y Comunicación Administración</t>
  </si>
  <si>
    <t>EDWIN ESCOBAR VELEZ</t>
  </si>
  <si>
    <t>Iva Mayor Valor Arrendamiento Equipo de Computación y Comunicación Administración</t>
  </si>
  <si>
    <t>Gastos Contribuciones y Afiliaciones Administración</t>
  </si>
  <si>
    <t>Contribuciones Administración</t>
  </si>
  <si>
    <t>Contribuciones Administración Iva mayor valor</t>
  </si>
  <si>
    <t>Afiliaciones y Sostenimiento Administración</t>
  </si>
  <si>
    <t>201108056G</t>
  </si>
  <si>
    <t>ZOHO CORPORATION PTE. LTD.</t>
  </si>
  <si>
    <t>Gastos Seguros Administración</t>
  </si>
  <si>
    <t>Seguros Manejo Administración</t>
  </si>
  <si>
    <t>Seguros Cumplimiento Administración</t>
  </si>
  <si>
    <t>COMPAÑIA MUNDIAL DE SEGUROS S.A.</t>
  </si>
  <si>
    <t>Seguros Responsabilidad Civil Administración</t>
  </si>
  <si>
    <t>Otros Seguros administración</t>
  </si>
  <si>
    <t>Poliza complicaciones</t>
  </si>
  <si>
    <t>Gastos Servicios Administración</t>
  </si>
  <si>
    <t>Servicios Aseo y Vigilancia Administración</t>
  </si>
  <si>
    <t>Servicios Acueducto y Alcantarillado Administración</t>
  </si>
  <si>
    <t>Servicios Energía Eléctrica Administración</t>
  </si>
  <si>
    <t>Servicios Telefonía e Internet Administración</t>
  </si>
  <si>
    <t>Servicios Telefonía Fija Administración</t>
  </si>
  <si>
    <t>Servicios Telefonía Móvil Administración</t>
  </si>
  <si>
    <t>Servicios de Internet Administración</t>
  </si>
  <si>
    <t>Iva Mayor Valor Servicios Telefonía e Internet Administración</t>
  </si>
  <si>
    <t>Servicios Transporte, Fletes y Acarreo Administración</t>
  </si>
  <si>
    <t>ADVANCE SERVICE GROUP S.A.S.</t>
  </si>
  <si>
    <t>CATERIN NATALIA RAMIREZ MONTOYA</t>
  </si>
  <si>
    <t>CORPAUL</t>
  </si>
  <si>
    <t>LAURA LEZCANO</t>
  </si>
  <si>
    <t>LUIS ALBERTO GARNICA</t>
  </si>
  <si>
    <t>PROTESCOL S.A.S.</t>
  </si>
  <si>
    <t>Iva Mayor Valor Servicios Transporte, Fletes y Acarreo Administración</t>
  </si>
  <si>
    <t>Otros Servicios Administración</t>
  </si>
  <si>
    <t>Mensajeria</t>
  </si>
  <si>
    <t>INTER RAPIDISIMO S.A</t>
  </si>
  <si>
    <t>Licencias</t>
  </si>
  <si>
    <t>DANIEL MESA ARISTIZABAL</t>
  </si>
  <si>
    <t>Publicidad</t>
  </si>
  <si>
    <t>ZAPIER INC.</t>
  </si>
  <si>
    <t>Iva Mayor Valor Otros Servicios Administración</t>
  </si>
  <si>
    <t>Gastos Legales Administración</t>
  </si>
  <si>
    <t>Gastos Legales Notariales Administración</t>
  </si>
  <si>
    <t>Iva Mayor valor Gastos Legales Notariales</t>
  </si>
  <si>
    <t>Gastos Legales Registro Mercantil Administración</t>
  </si>
  <si>
    <t>Gastos Legales Trámites y Licencias Administración</t>
  </si>
  <si>
    <t>DEPARTAMENTO DE ANTIOQUIA</t>
  </si>
  <si>
    <t>Iva Mayor Valor Gastos Legales Trámites y Licencias Administración</t>
  </si>
  <si>
    <t>Certificado de existencia</t>
  </si>
  <si>
    <t>Gastos Mantenimiento Administración</t>
  </si>
  <si>
    <t>Mantenimiento Construcciones y Edificaciones Administración</t>
  </si>
  <si>
    <t>Mantenimiento Construcciones y Edificaciones Administración Servicios</t>
  </si>
  <si>
    <t>LE BOUQUET MEDELLIN SAS</t>
  </si>
  <si>
    <t>MARIA LEONISA ARTEAGA CORREA</t>
  </si>
  <si>
    <t>ROBERTO GALLO</t>
  </si>
  <si>
    <t>Mantenimiento Construcciones y Edificaciones Administración compras</t>
  </si>
  <si>
    <t>ANGELA MARIA PAMPLONA</t>
  </si>
  <si>
    <t>CAJAS YA S.A.S</t>
  </si>
  <si>
    <t>EDISON HUMBERTO CASTAÑO ZAPATA</t>
  </si>
  <si>
    <t>ELECTROSERVIMOS S.A.</t>
  </si>
  <si>
    <t>Iva Mayor Valor Mantenimiento Construcciones y Edificaciones servicios</t>
  </si>
  <si>
    <t>Iva Mayor Valor Mantenimiento Construcciones y Edificaciones compras</t>
  </si>
  <si>
    <t>Mantenimiento Maquinaria y Equipo Administración</t>
  </si>
  <si>
    <t>Mantenimiento Maquinaria y Equipo Servicios</t>
  </si>
  <si>
    <t>Mantenimiento Maquinaria y Equipo Compras</t>
  </si>
  <si>
    <t>Iva Mayor Valor Mantenimiento Maquinaria y Equipo servicios</t>
  </si>
  <si>
    <t>Iva Mayor Valor Mantenimiento Maquinaria y Equipo compras</t>
  </si>
  <si>
    <t>Mantenimiento Equipo de Oficina Administración</t>
  </si>
  <si>
    <t>Jhon Fredy Jiménez Osorio</t>
  </si>
  <si>
    <t>Iva Mayor Valor Mantenimiento Equipo de Oficina Administración</t>
  </si>
  <si>
    <t>Mantenimiento Equipo de Computación y Comunicación Administración</t>
  </si>
  <si>
    <t>Mantenimiento Equipo de Computación y Comunicación Servicios</t>
  </si>
  <si>
    <t>Mantenimiento Equipo de Computación y Comunicación Compras</t>
  </si>
  <si>
    <t>Iva Mayor Valor Mantenimiento Equipo de Computación y Com servicios</t>
  </si>
  <si>
    <t>Gastos de Viaje Administración</t>
  </si>
  <si>
    <t>Gastos de Viaje Alojamiento y Manutención Administración</t>
  </si>
  <si>
    <t>Gastos de Viaje Pasajes Aéreos Administración</t>
  </si>
  <si>
    <t>AEROVIAS DEL CONTINENTE AMERICANO S.A.</t>
  </si>
  <si>
    <t>Iva mayor valor gastos de viajes pasajes aereos</t>
  </si>
  <si>
    <t>Gastos Depreciaciones Administración</t>
  </si>
  <si>
    <t>Depreciación Construcciones y Edificaciones Administración</t>
  </si>
  <si>
    <t>Depreciación Equipo de Oficina Administración</t>
  </si>
  <si>
    <t>Depreciación Equipo de Cómputo y Comunicación Administración</t>
  </si>
  <si>
    <t>Depreciación Equipos Médicos</t>
  </si>
  <si>
    <t>Amortizaciones</t>
  </si>
  <si>
    <t>Cargos diferidos</t>
  </si>
  <si>
    <t>Gastos Diversos Administración</t>
  </si>
  <si>
    <t>Gastos Diversos Comisiones Administración</t>
  </si>
  <si>
    <t>Iva Mayor Valor Gastos Diversos Comisiones Administración</t>
  </si>
  <si>
    <t>Gastos Diversos de Representación y Relaciones Públicas Administración</t>
  </si>
  <si>
    <t>DANIEL ALFONSO PEDROZO TRONCOSO</t>
  </si>
  <si>
    <t>GLORIA AMPARO PUERTA GONZALEZ</t>
  </si>
  <si>
    <t>INVERSIONES SERVINEGOCIOS SAS</t>
  </si>
  <si>
    <t>JESUS ADOLFO OSORIO BEDOYA</t>
  </si>
  <si>
    <t>MIL PIÑATAS SAS</t>
  </si>
  <si>
    <t>NUTRILIGHT INVERSIONES SALUDABLES S.A</t>
  </si>
  <si>
    <t>PROMOTORA DE CAFE COLOMBIA S.A.</t>
  </si>
  <si>
    <t>Iva Mayor Valor Gastos Diversos de Representación y Relaciones Públicas Administración</t>
  </si>
  <si>
    <t>Gastos Diversos Elementos de Aseo y Cafetería Administración</t>
  </si>
  <si>
    <t>Gastos Diversos Elementos de Aseo y Cafetería gravado</t>
  </si>
  <si>
    <t>BKCOL SAS</t>
  </si>
  <si>
    <t>DEICAPLAST S.A.S</t>
  </si>
  <si>
    <t>JUAN PABLO QUICENO ZULUAGA</t>
  </si>
  <si>
    <t>Gatsos diversos elementos de aseo y cafeteria no gravado</t>
  </si>
  <si>
    <t>JASLIN MILENA CASTAÑEDA MEJIA</t>
  </si>
  <si>
    <t>MINSA DISTRIBUCIONES SAS</t>
  </si>
  <si>
    <t>VALERIA VELANDIA ALZATE</t>
  </si>
  <si>
    <t>Iva Mayor Valor Gastos Diversos Elementos de Aseo y Cafetería gravado</t>
  </si>
  <si>
    <t>Gastos Diversos Útiles, Papelería y Fotocopias Administración</t>
  </si>
  <si>
    <t>DOCUPRINT S.A.S</t>
  </si>
  <si>
    <t>MULTIBOMBILLAS SAS</t>
  </si>
  <si>
    <t>SERVI PROMO SAS</t>
  </si>
  <si>
    <t>TODO TAPICERO S.A.S.</t>
  </si>
  <si>
    <t>VALENTINA MUÑOZ</t>
  </si>
  <si>
    <t>Iva Mayo Valor Gastos Diversos Útiles, Papelería y Fotocopias Administración</t>
  </si>
  <si>
    <t>Gastos Diversos Taxis y Buses Administración</t>
  </si>
  <si>
    <t>Uber Colombia S.A.S.</t>
  </si>
  <si>
    <t>Gastos Diversos Casino y Restaurante Administración</t>
  </si>
  <si>
    <t>INVERSIONES INT COLOMBIA SOCIEDAD POR ACCIONES SIMPLIFICADA</t>
  </si>
  <si>
    <t>Iva Mayor Valor Gastos Diversos Casino y Restaurante Administración</t>
  </si>
  <si>
    <t>Gastos Diversos Parqueaderos Administración</t>
  </si>
  <si>
    <t>Otros Gastos Diversos</t>
  </si>
  <si>
    <t>Activos menores</t>
  </si>
  <si>
    <t>TECNOLOGIA EN OFICINAS Y COMUNICACIONES</t>
  </si>
  <si>
    <t>Iva Mayor Valor Otros Gastos</t>
  </si>
  <si>
    <t>Gastos de Ventas Ordinarios</t>
  </si>
  <si>
    <t>Gastos Diversos Ventas</t>
  </si>
  <si>
    <t>Gastos Diversos Taxis y Buses Ventas</t>
  </si>
  <si>
    <t>Gastos No Operacionales</t>
  </si>
  <si>
    <t>Gastos No Operacionales Financieros</t>
  </si>
  <si>
    <t>Gastos Bancarios</t>
  </si>
  <si>
    <t>Iva mayor valor gastos bancarios</t>
  </si>
  <si>
    <t>Gastos por Comisiones</t>
  </si>
  <si>
    <t>Iva mayor valor comisiones</t>
  </si>
  <si>
    <t>Gastos por Intereses</t>
  </si>
  <si>
    <t>Iva mayor valor Gasto por intereses</t>
  </si>
  <si>
    <t>Otros Gastos Financieros</t>
  </si>
  <si>
    <t>Intereses de mora</t>
  </si>
  <si>
    <t>Intereses sobregiro</t>
  </si>
  <si>
    <t>Iva Mayor Valor Otros Gastos Financieros</t>
  </si>
  <si>
    <t>Gastos Extraordinarios</t>
  </si>
  <si>
    <t>Costos y Gastos de Ejercicios Anteriores</t>
  </si>
  <si>
    <t>Gastos Diversos</t>
  </si>
  <si>
    <t>Demandas Laborales</t>
  </si>
  <si>
    <t>Cartera Castigada</t>
  </si>
  <si>
    <t>Multas, Sanciones y Litigios</t>
  </si>
  <si>
    <t>Otros Gastos No Operacionales Diversos</t>
  </si>
  <si>
    <t>Gastos no deducibles</t>
  </si>
  <si>
    <t>JUAN DAVID VARGAS OSORIO</t>
  </si>
  <si>
    <t>NATALIA ANDREA MARIN VELEZ</t>
  </si>
  <si>
    <t>Ajuste al peso</t>
  </si>
  <si>
    <t>ARIS TEXTIL SAS</t>
  </si>
  <si>
    <t>L M INSTRUMENTS S A</t>
  </si>
  <si>
    <t>Costos y gastos ejercios anteriores</t>
  </si>
  <si>
    <t>Impuesto a las Ganancias</t>
  </si>
  <si>
    <t>Costo de Ventas y Prestación de Servicios</t>
  </si>
  <si>
    <t>Compras de Inventario o Mercancías</t>
  </si>
  <si>
    <t>Honorarios quirofano</t>
  </si>
  <si>
    <t>Honorarios Oftalmologia</t>
  </si>
  <si>
    <t>Honorarios Instrumentador</t>
  </si>
  <si>
    <t>Honorarios Anestesiologia</t>
  </si>
  <si>
    <t>ADA MARIA VILLALBA CADAVID</t>
  </si>
  <si>
    <t>Arrendamientos</t>
  </si>
  <si>
    <t>Arrendamiento equipos</t>
  </si>
  <si>
    <t>Iva Mayor Valor Arrendamiento equipos</t>
  </si>
  <si>
    <t>Gastos de servicio asistencial</t>
  </si>
  <si>
    <t>Otros servicios quirófano</t>
  </si>
  <si>
    <t>Servicio de lavanderia</t>
  </si>
  <si>
    <t>Servicio de esterilizacion</t>
  </si>
  <si>
    <t>Iva mayor valor Otros servicios quirofano</t>
  </si>
  <si>
    <t>Prestacion de servicios</t>
  </si>
  <si>
    <t>Compra insumos oftalmologicos</t>
  </si>
  <si>
    <t>INVERSIONES DACH SAS</t>
  </si>
  <si>
    <t>Compra insumos no gravados</t>
  </si>
  <si>
    <t>DEMPHARMA SAS</t>
  </si>
  <si>
    <t>DISTRIMEDICAL SAS</t>
  </si>
  <si>
    <t>FARMATODO COLOMBIA S.A.</t>
  </si>
  <si>
    <t>QUIROFANOS EL TESORO S.A.S</t>
  </si>
  <si>
    <t>Lentes de contacto</t>
  </si>
  <si>
    <t>Iva Mayor Valor Compra Insumos Oftalmologicos</t>
  </si>
  <si>
    <t>Costos de Producción</t>
  </si>
  <si>
    <t>Mano de Obra Directa</t>
  </si>
  <si>
    <t>Sueldos para Apoyo a Aprendices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</si>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</sst>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#,##0.00###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FF0000"/>
      <name val="Arial"/>
      <family val="2"/>
    </font>
    <font>
      <sz val="10"/>
      <name val="Arial"/>
      <family val="2"/>
    </font>
    <font>
      <b/>
      <sz val="20"/>
      <color rgb="FF3D7B78"/>
      <name val="Arial"/>
      <family val="2"/>
    </font>
    <font>
      <b/>
      <sz val="16"/>
      <color rgb="FF3D7B78"/>
      <name val="Arial"/>
      <family val="2"/>
    </font>
    <font>
      <sz val="11"/>
      <color theme="1"/>
      <name val="Arial"/>
      <family val="2"/>
    </font>
    <font>
      <b/>
      <sz val="12"/>
      <color rgb="FF0070C0"/>
      <name val="Arial"/>
      <family val="2"/>
    </font>
    <font>
      <b/>
      <sz val="11"/>
      <color theme="1"/>
      <name val="Arial"/>
      <family val="2"/>
    </font>
    <font>
      <b/>
      <sz val="12"/>
      <name val="Arial"/>
      <family val="2"/>
    </font>
    <font>
      <b/>
      <sz val="12"/>
      <color theme="0"/>
      <name val="Arial"/>
      <family val="2"/>
    </font>
    <font>
      <b/>
      <sz val="12"/>
      <color rgb="FFFF0000"/>
      <name val="Arial"/>
      <family val="2"/>
    </font>
    <font>
      <b/>
      <sz val="16"/>
      <color theme="9" tint="-0.499984740745262"/>
      <name val="Arial"/>
      <family val="2"/>
    </font>
    <font>
      <b/>
      <sz val="16"/>
      <name val="Arial"/>
      <family val="2"/>
    </font>
    <font>
      <b/>
      <sz val="16"/>
      <color theme="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6"/>
      <color rgb="FFFF0000"/>
      <name val="Franklin Gothic Book"/>
      <family val="2"/>
    </font>
    <font>
      <b/>
      <sz val="16"/>
      <name val="Franklin Gothic Book"/>
      <family val="2"/>
    </font>
    <font>
      <b/>
      <sz val="16"/>
      <color rgb="FF3D7B78"/>
      <name val="Franklin Gothic Book"/>
      <family val="2"/>
    </font>
    <font>
      <b/>
      <sz val="14"/>
      <name val="Franklin Gothic Book"/>
      <family val="2"/>
    </font>
    <font>
      <sz val="11"/>
      <color theme="1"/>
      <name val="Franklin Gothic Book"/>
      <family val="2"/>
    </font>
    <font>
      <b/>
      <sz val="11"/>
      <name val="Franklin Gothic Book"/>
      <family val="2"/>
    </font>
    <font>
      <b/>
      <sz val="12"/>
      <name val="Franklin Gothic Book"/>
      <family val="2"/>
    </font>
    <font>
      <b/>
      <sz val="12"/>
      <color rgb="FF3D7B78"/>
      <name val="Arial"/>
      <family val="2"/>
    </font>
    <font>
      <sz val="11"/>
      <name val="Franklin Gothic Book"/>
      <family val="2"/>
    </font>
    <font>
      <b/>
      <sz val="8"/>
      <name val="Franklin Gothic Book"/>
      <family val="2"/>
    </font>
    <font>
      <sz val="12"/>
      <name val="Arial"/>
      <family val="2"/>
    </font>
    <font>
      <sz val="12"/>
      <name val="Franklin Gothic Book"/>
      <family val="2"/>
    </font>
    <font>
      <b/>
      <sz val="11"/>
      <color rgb="FFFF0000"/>
      <name val="Franklin Gothic Book"/>
      <family val="2"/>
    </font>
    <font>
      <sz val="12"/>
      <color theme="0"/>
      <name val="Arial"/>
      <family val="2"/>
    </font>
    <font>
      <sz val="12"/>
      <color theme="0"/>
      <name val="Franklin Gothic Book"/>
      <family val="2"/>
    </font>
    <font>
      <b/>
      <sz val="11"/>
      <color theme="0"/>
      <name val="Franklin Gothic Book"/>
      <family val="2"/>
    </font>
    <font>
      <sz val="11"/>
      <color theme="0"/>
      <name val="Franklin Gothic Book"/>
      <family val="2"/>
    </font>
    <font>
      <sz val="11"/>
      <color rgb="FFFF0000"/>
      <name val="Franklin Gothic Book"/>
      <family val="2"/>
    </font>
    <font>
      <b/>
      <sz val="11"/>
      <color rgb="FFFF0000"/>
      <name val="Arial"/>
      <family val="2"/>
    </font>
    <font>
      <i/>
      <sz val="12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b/>
      <i/>
      <sz val="11"/>
      <color rgb="FFFF0000"/>
      <name val="Arial"/>
      <family val="2"/>
    </font>
    <font>
      <i/>
      <sz val="12"/>
      <color theme="0"/>
      <name val="Arial"/>
      <family val="2"/>
    </font>
    <font>
      <i/>
      <sz val="11"/>
      <color theme="1"/>
      <name val="Arial"/>
      <family val="2"/>
    </font>
    <font>
      <i/>
      <sz val="12"/>
      <color theme="1"/>
      <name val="Arial"/>
      <family val="2"/>
    </font>
    <font>
      <b/>
      <sz val="11"/>
      <name val="Arial"/>
      <family val="2"/>
    </font>
    <font>
      <b/>
      <sz val="8"/>
      <color rgb="FFFF0000"/>
      <name val="Franklin Gothic Book"/>
      <family val="2"/>
    </font>
    <font>
      <b/>
      <sz val="12"/>
      <color rgb="FF09053D"/>
      <name val="Arial"/>
      <family val="2"/>
    </font>
    <font>
      <b/>
      <sz val="12"/>
      <color theme="1"/>
      <name val="Arial"/>
      <family val="2"/>
    </font>
    <font>
      <b/>
      <sz val="11"/>
      <name val="Calibri"/>
      <family val="2"/>
    </font>
    <font>
      <sz val="10"/>
      <name val="Calibri"/>
      <family val="2"/>
    </font>
    <font>
      <b/>
      <sz val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3F5FB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theme="9" tint="-0.49998474074526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199">
    <xf numFmtId="0" fontId="0" fillId="0" borderId="0" xfId="0"/>
    <xf numFmtId="0" fontId="2" fillId="0" borderId="0" xfId="0" applyFont="1" applyProtection="1">
      <protection locked="0"/>
    </xf>
    <xf numFmtId="0" fontId="4" fillId="2" borderId="0" xfId="3" applyFont="1" applyFill="1" applyAlignment="1">
      <alignment horizontal="left"/>
    </xf>
    <xf numFmtId="0" fontId="5" fillId="2" borderId="0" xfId="3" applyFont="1" applyFill="1" applyAlignment="1">
      <alignment horizontal="center"/>
    </xf>
    <xf numFmtId="0" fontId="5" fillId="2" borderId="0" xfId="3" applyFont="1" applyFill="1" applyAlignment="1">
      <alignment horizontal="left"/>
    </xf>
    <xf numFmtId="0" fontId="5" fillId="2" borderId="0" xfId="0" applyFont="1" applyFill="1" applyAlignment="1" applyProtection="1">
      <alignment horizontal="center"/>
      <protection locked="0"/>
    </xf>
    <xf numFmtId="165" fontId="6" fillId="2" borderId="0" xfId="1" applyNumberFormat="1" applyFont="1" applyFill="1" applyProtection="1">
      <protection locked="0"/>
    </xf>
    <xf numFmtId="165" fontId="6" fillId="0" borderId="0" xfId="1" applyNumberFormat="1" applyFont="1" applyFill="1" applyProtection="1">
      <protection locked="0"/>
    </xf>
    <xf numFmtId="0" fontId="6" fillId="0" borderId="0" xfId="0" applyFont="1" applyProtection="1">
      <protection locked="0"/>
    </xf>
    <xf numFmtId="0" fontId="4" fillId="0" borderId="0" xfId="3" applyFont="1" applyAlignment="1">
      <alignment horizontal="left"/>
    </xf>
    <xf numFmtId="0" fontId="5" fillId="0" borderId="0" xfId="3" applyFont="1" applyAlignment="1">
      <alignment horizontal="center"/>
    </xf>
    <xf numFmtId="0" fontId="5" fillId="0" borderId="0" xfId="3" applyFont="1" applyAlignment="1">
      <alignment horizontal="left"/>
    </xf>
    <xf numFmtId="0" fontId="5" fillId="0" borderId="0" xfId="0" applyFont="1" applyAlignment="1" applyProtection="1">
      <alignment horizontal="center"/>
      <protection locked="0"/>
    </xf>
    <xf numFmtId="0" fontId="7" fillId="0" borderId="0" xfId="3" applyFont="1"/>
    <xf numFmtId="0" fontId="8" fillId="0" borderId="0" xfId="0" applyFont="1" applyAlignment="1" applyProtection="1">
      <alignment horizontal="center"/>
      <protection locked="0"/>
    </xf>
    <xf numFmtId="0" fontId="9" fillId="0" borderId="0" xfId="3" applyFont="1"/>
    <xf numFmtId="0" fontId="10" fillId="0" borderId="0" xfId="3" applyFont="1" applyAlignment="1">
      <alignment horizontal="left"/>
    </xf>
    <xf numFmtId="0" fontId="11" fillId="3" borderId="0" xfId="3" applyFont="1" applyFill="1" applyAlignment="1">
      <alignment horizontal="center"/>
    </xf>
    <xf numFmtId="0" fontId="10" fillId="0" borderId="0" xfId="3" applyFont="1"/>
    <xf numFmtId="0" fontId="12" fillId="0" borderId="1" xfId="3" applyFont="1" applyBorder="1"/>
    <xf numFmtId="0" fontId="8" fillId="0" borderId="1" xfId="0" applyFont="1" applyBorder="1" applyAlignment="1" applyProtection="1">
      <alignment horizontal="center"/>
      <protection locked="0"/>
    </xf>
    <xf numFmtId="0" fontId="13" fillId="0" borderId="1" xfId="3" applyFont="1" applyBorder="1"/>
    <xf numFmtId="0" fontId="13" fillId="0" borderId="0" xfId="3" applyFont="1"/>
    <xf numFmtId="0" fontId="14" fillId="0" borderId="0" xfId="3" applyFont="1" applyAlignment="1">
      <alignment horizontal="left"/>
    </xf>
    <xf numFmtId="0" fontId="8" fillId="3" borderId="0" xfId="0" applyFont="1" applyFill="1" applyProtection="1">
      <protection locked="0"/>
    </xf>
    <xf numFmtId="0" fontId="6" fillId="3" borderId="0" xfId="0" applyFont="1" applyFill="1" applyProtection="1">
      <protection locked="0"/>
    </xf>
    <xf numFmtId="0" fontId="15" fillId="0" borderId="0" xfId="3" applyFont="1" applyAlignment="1">
      <alignment horizontal="left" vertical="center"/>
    </xf>
    <xf numFmtId="0" fontId="16" fillId="0" borderId="0" xfId="3" applyFont="1" applyAlignment="1">
      <alignment horizontal="left" vertical="center"/>
    </xf>
    <xf numFmtId="0" fontId="8" fillId="0" borderId="0" xfId="0" applyFont="1" applyProtection="1">
      <protection locked="0"/>
    </xf>
    <xf numFmtId="0" fontId="17" fillId="0" borderId="0" xfId="0" applyFont="1" applyProtection="1">
      <protection locked="0"/>
    </xf>
    <xf numFmtId="0" fontId="18" fillId="0" borderId="0" xfId="3" applyFont="1" applyAlignment="1">
      <alignment horizontal="left"/>
    </xf>
    <xf numFmtId="0" fontId="19" fillId="0" borderId="0" xfId="3" applyFont="1" applyAlignment="1">
      <alignment horizontal="center"/>
    </xf>
    <xf numFmtId="0" fontId="20" fillId="0" borderId="0" xfId="3" applyFont="1" applyAlignment="1">
      <alignment horizontal="left"/>
    </xf>
    <xf numFmtId="165" fontId="21" fillId="0" borderId="0" xfId="1" applyNumberFormat="1" applyFont="1" applyProtection="1">
      <protection locked="0"/>
    </xf>
    <xf numFmtId="165" fontId="21" fillId="0" borderId="0" xfId="1" applyNumberFormat="1" applyFont="1" applyFill="1" applyProtection="1">
      <protection locked="0"/>
    </xf>
    <xf numFmtId="0" fontId="21" fillId="0" borderId="0" xfId="0" applyFont="1" applyProtection="1">
      <protection locked="0"/>
    </xf>
    <xf numFmtId="0" fontId="22" fillId="0" borderId="0" xfId="0" applyFont="1" applyProtection="1">
      <protection locked="0"/>
    </xf>
    <xf numFmtId="0" fontId="23" fillId="0" borderId="0" xfId="0" applyFont="1" applyAlignment="1" applyProtection="1">
      <alignment horizont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0" fontId="24" fillId="0" borderId="0" xfId="3" applyFont="1" applyAlignment="1">
      <alignment horizontal="center"/>
    </xf>
    <xf numFmtId="0" fontId="23" fillId="0" borderId="0" xfId="0" applyFont="1" applyAlignment="1" applyProtection="1">
      <alignment vertical="center" wrapText="1"/>
      <protection locked="0"/>
    </xf>
    <xf numFmtId="165" fontId="25" fillId="0" borderId="0" xfId="1" applyNumberFormat="1" applyFont="1" applyProtection="1">
      <protection locked="0"/>
    </xf>
    <xf numFmtId="165" fontId="25" fillId="0" borderId="0" xfId="1" applyNumberFormat="1" applyFont="1" applyFill="1" applyProtection="1">
      <protection locked="0"/>
    </xf>
    <xf numFmtId="0" fontId="25" fillId="0" borderId="0" xfId="0" applyFont="1" applyProtection="1">
      <protection locked="0"/>
    </xf>
    <xf numFmtId="0" fontId="9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right" vertical="center" wrapText="1"/>
      <protection locked="0"/>
    </xf>
    <xf numFmtId="49" fontId="7" fillId="0" borderId="0" xfId="0" applyNumberFormat="1" applyFont="1" applyAlignment="1" applyProtection="1">
      <alignment horizontal="right" vertical="center" wrapText="1"/>
      <protection locked="0"/>
    </xf>
    <xf numFmtId="49" fontId="9" fillId="0" borderId="0" xfId="0" applyNumberFormat="1" applyFont="1" applyAlignment="1" applyProtection="1">
      <alignment horizontal="right" vertical="center" wrapText="1"/>
      <protection locked="0"/>
    </xf>
    <xf numFmtId="0" fontId="23" fillId="0" borderId="0" xfId="0" applyFont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right" vertical="center" wrapText="1"/>
      <protection locked="0"/>
    </xf>
    <xf numFmtId="0" fontId="26" fillId="4" borderId="0" xfId="0" applyFont="1" applyFill="1" applyAlignment="1" applyProtection="1">
      <alignment horizontal="right"/>
      <protection locked="0"/>
    </xf>
    <xf numFmtId="0" fontId="9" fillId="0" borderId="1" xfId="3" applyFont="1" applyBorder="1" applyAlignment="1">
      <alignment horizontal="left" vertical="center"/>
    </xf>
    <xf numFmtId="1" fontId="9" fillId="0" borderId="1" xfId="1" applyNumberFormat="1" applyFont="1" applyFill="1" applyBorder="1" applyAlignment="1" applyProtection="1">
      <alignment horizontal="center" vertical="center"/>
      <protection locked="0"/>
    </xf>
    <xf numFmtId="165" fontId="27" fillId="0" borderId="1" xfId="1" applyNumberFormat="1" applyFont="1" applyFill="1" applyBorder="1" applyAlignment="1" applyProtection="1">
      <alignment horizontal="center" vertical="center"/>
      <protection locked="0"/>
    </xf>
    <xf numFmtId="165" fontId="27" fillId="0" borderId="1" xfId="1" applyNumberFormat="1" applyFont="1" applyFill="1" applyBorder="1" applyAlignment="1" applyProtection="1">
      <alignment vertical="center"/>
      <protection locked="0"/>
    </xf>
    <xf numFmtId="165" fontId="28" fillId="0" borderId="0" xfId="1" applyNumberFormat="1" applyFont="1" applyFill="1" applyBorder="1" applyAlignment="1" applyProtection="1">
      <alignment vertical="center"/>
      <protection locked="0"/>
    </xf>
    <xf numFmtId="0" fontId="9" fillId="0" borderId="0" xfId="3" applyFont="1" applyAlignment="1">
      <alignment horizontal="left" vertical="center"/>
    </xf>
    <xf numFmtId="1" fontId="9" fillId="0" borderId="0" xfId="1" applyNumberFormat="1" applyFont="1" applyFill="1" applyBorder="1" applyAlignment="1" applyProtection="1">
      <alignment horizontal="center" vertical="center"/>
      <protection locked="0"/>
    </xf>
    <xf numFmtId="165" fontId="27" fillId="5" borderId="0" xfId="1" applyNumberFormat="1" applyFont="1" applyFill="1" applyBorder="1" applyAlignment="1" applyProtection="1">
      <alignment horizontal="center" vertical="center"/>
      <protection locked="0"/>
    </xf>
    <xf numFmtId="165" fontId="27" fillId="0" borderId="0" xfId="1" applyNumberFormat="1" applyFont="1" applyFill="1" applyBorder="1" applyAlignment="1" applyProtection="1">
      <alignment horizontal="center" vertical="center"/>
      <protection locked="0"/>
    </xf>
    <xf numFmtId="165" fontId="27" fillId="0" borderId="0" xfId="1" applyNumberFormat="1" applyFont="1" applyFill="1" applyBorder="1" applyAlignment="1" applyProtection="1">
      <alignment vertical="center"/>
      <protection locked="0"/>
    </xf>
    <xf numFmtId="0" fontId="29" fillId="4" borderId="0" xfId="0" applyFont="1" applyFill="1" applyProtection="1">
      <protection locked="0"/>
    </xf>
    <xf numFmtId="0" fontId="27" fillId="0" borderId="0" xfId="0" applyFont="1" applyAlignment="1" applyProtection="1">
      <alignment horizontal="left" vertical="center"/>
      <protection locked="0"/>
    </xf>
    <xf numFmtId="1" fontId="27" fillId="0" borderId="0" xfId="0" applyNumberFormat="1" applyFont="1" applyAlignment="1" applyProtection="1">
      <alignment horizontal="center" vertical="center"/>
      <protection locked="0"/>
    </xf>
    <xf numFmtId="165" fontId="9" fillId="5" borderId="0" xfId="1" applyNumberFormat="1" applyFont="1" applyFill="1" applyBorder="1" applyAlignment="1" applyProtection="1">
      <alignment horizontal="center" vertical="center"/>
      <protection locked="0"/>
    </xf>
    <xf numFmtId="165" fontId="9" fillId="0" borderId="0" xfId="1" applyNumberFormat="1" applyFont="1" applyFill="1" applyBorder="1" applyAlignment="1" applyProtection="1">
      <alignment horizontal="center" vertical="center"/>
      <protection locked="0"/>
    </xf>
    <xf numFmtId="9" fontId="27" fillId="0" borderId="0" xfId="2" applyFont="1" applyFill="1" applyBorder="1" applyAlignment="1" applyProtection="1">
      <alignment vertical="center"/>
      <protection locked="0"/>
    </xf>
    <xf numFmtId="165" fontId="28" fillId="0" borderId="0" xfId="1" applyNumberFormat="1" applyFont="1" applyFill="1" applyBorder="1" applyProtection="1">
      <protection locked="0"/>
    </xf>
    <xf numFmtId="0" fontId="10" fillId="2" borderId="0" xfId="3" applyFont="1" applyFill="1" applyAlignment="1">
      <alignment horizontal="left" vertical="center"/>
    </xf>
    <xf numFmtId="1" fontId="10" fillId="2" borderId="0" xfId="1" applyNumberFormat="1" applyFont="1" applyFill="1" applyBorder="1" applyAlignment="1" applyProtection="1">
      <alignment horizontal="center" vertical="center"/>
      <protection locked="0"/>
    </xf>
    <xf numFmtId="165" fontId="30" fillId="2" borderId="0" xfId="1" applyNumberFormat="1" applyFont="1" applyFill="1" applyBorder="1" applyAlignment="1" applyProtection="1">
      <alignment horizontal="center" vertical="center"/>
      <protection locked="0"/>
    </xf>
    <xf numFmtId="165" fontId="30" fillId="2" borderId="0" xfId="1" applyNumberFormat="1" applyFont="1" applyFill="1" applyBorder="1" applyAlignment="1" applyProtection="1">
      <alignment vertical="center"/>
      <protection locked="0"/>
    </xf>
    <xf numFmtId="9" fontId="30" fillId="2" borderId="0" xfId="2" applyFont="1" applyFill="1" applyBorder="1" applyAlignment="1" applyProtection="1">
      <alignment vertical="center"/>
      <protection locked="0"/>
    </xf>
    <xf numFmtId="165" fontId="31" fillId="0" borderId="0" xfId="1" applyNumberFormat="1" applyFont="1" applyFill="1" applyBorder="1" applyAlignment="1" applyProtection="1">
      <alignment vertical="center"/>
      <protection locked="0"/>
    </xf>
    <xf numFmtId="0" fontId="32" fillId="4" borderId="0" xfId="0" applyFont="1" applyFill="1" applyProtection="1">
      <protection locked="0"/>
    </xf>
    <xf numFmtId="0" fontId="9" fillId="6" borderId="0" xfId="3" applyFont="1" applyFill="1" applyAlignment="1">
      <alignment horizontal="left" vertical="center"/>
    </xf>
    <xf numFmtId="0" fontId="27" fillId="6" borderId="0" xfId="0" applyFont="1" applyFill="1" applyAlignment="1" applyProtection="1">
      <alignment horizontal="center" vertical="center"/>
      <protection locked="0"/>
    </xf>
    <xf numFmtId="165" fontId="9" fillId="6" borderId="0" xfId="1" applyNumberFormat="1" applyFont="1" applyFill="1" applyBorder="1" applyAlignment="1" applyProtection="1">
      <alignment horizontal="center" vertical="center"/>
      <protection locked="0"/>
    </xf>
    <xf numFmtId="165" fontId="9" fillId="6" borderId="0" xfId="1" applyNumberFormat="1" applyFont="1" applyFill="1" applyBorder="1" applyAlignment="1" applyProtection="1">
      <alignment vertical="center"/>
      <protection locked="0"/>
    </xf>
    <xf numFmtId="9" fontId="9" fillId="6" borderId="0" xfId="2" applyFont="1" applyFill="1" applyBorder="1" applyAlignment="1" applyProtection="1">
      <alignment vertical="center"/>
      <protection locked="0"/>
    </xf>
    <xf numFmtId="165" fontId="23" fillId="0" borderId="0" xfId="1" applyNumberFormat="1" applyFont="1" applyFill="1" applyBorder="1" applyProtection="1">
      <protection locked="0"/>
    </xf>
    <xf numFmtId="0" fontId="33" fillId="0" borderId="0" xfId="0" applyFont="1" applyProtection="1">
      <protection locked="0"/>
    </xf>
    <xf numFmtId="165" fontId="27" fillId="5" borderId="1" xfId="1" applyNumberFormat="1" applyFont="1" applyFill="1" applyBorder="1" applyAlignment="1" applyProtection="1">
      <alignment horizontal="center" vertical="center"/>
      <protection locked="0"/>
    </xf>
    <xf numFmtId="9" fontId="27" fillId="0" borderId="1" xfId="2" applyFont="1" applyFill="1" applyBorder="1" applyAlignment="1" applyProtection="1">
      <alignment vertical="center"/>
      <protection locked="0"/>
    </xf>
    <xf numFmtId="0" fontId="29" fillId="3" borderId="0" xfId="0" applyFont="1" applyFill="1" applyProtection="1">
      <protection locked="0"/>
    </xf>
    <xf numFmtId="0" fontId="34" fillId="3" borderId="0" xfId="0" applyFont="1" applyFill="1" applyProtection="1">
      <protection locked="0"/>
    </xf>
    <xf numFmtId="0" fontId="27" fillId="0" borderId="0" xfId="0" applyFont="1" applyAlignment="1" applyProtection="1">
      <alignment horizontal="center" vertical="center"/>
      <protection locked="0"/>
    </xf>
    <xf numFmtId="165" fontId="9" fillId="5" borderId="0" xfId="1" applyNumberFormat="1" applyFont="1" applyFill="1" applyBorder="1" applyAlignment="1" applyProtection="1">
      <alignment horizontal="center" vertical="center"/>
    </xf>
    <xf numFmtId="165" fontId="27" fillId="0" borderId="0" xfId="1" applyNumberFormat="1" applyFont="1" applyFill="1" applyBorder="1" applyAlignment="1" applyProtection="1">
      <alignment vertical="center"/>
    </xf>
    <xf numFmtId="9" fontId="27" fillId="0" borderId="0" xfId="2" applyFont="1" applyFill="1" applyBorder="1" applyAlignment="1" applyProtection="1">
      <alignment vertical="center"/>
    </xf>
    <xf numFmtId="165" fontId="28" fillId="0" borderId="0" xfId="1" applyNumberFormat="1" applyFont="1" applyFill="1" applyBorder="1" applyProtection="1"/>
    <xf numFmtId="4" fontId="21" fillId="0" borderId="0" xfId="0" applyNumberFormat="1" applyFont="1"/>
    <xf numFmtId="0" fontId="35" fillId="4" borderId="0" xfId="0" applyFont="1" applyFill="1" applyProtection="1">
      <protection locked="0"/>
    </xf>
    <xf numFmtId="0" fontId="36" fillId="0" borderId="0" xfId="0" applyFont="1" applyAlignment="1" applyProtection="1">
      <alignment horizontal="left"/>
      <protection locked="0"/>
    </xf>
    <xf numFmtId="0" fontId="27" fillId="0" borderId="0" xfId="0" applyFont="1" applyAlignment="1" applyProtection="1">
      <alignment horizontal="center"/>
      <protection locked="0"/>
    </xf>
    <xf numFmtId="165" fontId="27" fillId="0" borderId="0" xfId="1" applyNumberFormat="1" applyFont="1" applyBorder="1" applyProtection="1">
      <protection locked="0"/>
    </xf>
    <xf numFmtId="165" fontId="27" fillId="0" borderId="0" xfId="1" applyNumberFormat="1" applyFont="1" applyFill="1" applyBorder="1" applyProtection="1">
      <protection locked="0"/>
    </xf>
    <xf numFmtId="165" fontId="37" fillId="0" borderId="0" xfId="1" applyNumberFormat="1" applyFont="1" applyProtection="1">
      <protection locked="0"/>
    </xf>
    <xf numFmtId="0" fontId="27" fillId="0" borderId="0" xfId="0" applyFont="1" applyAlignment="1" applyProtection="1">
      <alignment horizontal="left"/>
      <protection locked="0"/>
    </xf>
    <xf numFmtId="165" fontId="38" fillId="0" borderId="0" xfId="1" applyNumberFormat="1" applyFont="1" applyProtection="1">
      <protection locked="0"/>
    </xf>
    <xf numFmtId="165" fontId="27" fillId="0" borderId="0" xfId="1" applyNumberFormat="1" applyFont="1" applyProtection="1">
      <protection locked="0"/>
    </xf>
    <xf numFmtId="165" fontId="27" fillId="0" borderId="0" xfId="1" applyNumberFormat="1" applyFont="1" applyFill="1" applyProtection="1">
      <protection locked="0"/>
    </xf>
    <xf numFmtId="165" fontId="6" fillId="0" borderId="0" xfId="1" applyNumberFormat="1" applyFont="1" applyProtection="1">
      <protection locked="0"/>
    </xf>
    <xf numFmtId="0" fontId="27" fillId="4" borderId="0" xfId="0" applyFont="1" applyFill="1" applyAlignment="1" applyProtection="1">
      <alignment horizontal="left"/>
      <protection locked="0"/>
    </xf>
    <xf numFmtId="0" fontId="27" fillId="4" borderId="0" xfId="0" applyFont="1" applyFill="1" applyAlignment="1" applyProtection="1">
      <alignment horizontal="center"/>
      <protection locked="0"/>
    </xf>
    <xf numFmtId="165" fontId="27" fillId="4" borderId="0" xfId="1" applyNumberFormat="1" applyFont="1" applyFill="1" applyBorder="1" applyProtection="1">
      <protection locked="0"/>
    </xf>
    <xf numFmtId="165" fontId="37" fillId="4" borderId="0" xfId="1" applyNumberFormat="1" applyFont="1" applyFill="1" applyProtection="1">
      <protection locked="0"/>
    </xf>
    <xf numFmtId="0" fontId="6" fillId="4" borderId="0" xfId="0" applyFont="1" applyFill="1" applyProtection="1">
      <protection locked="0"/>
    </xf>
    <xf numFmtId="0" fontId="11" fillId="0" borderId="0" xfId="0" applyFont="1" applyProtection="1">
      <protection locked="0"/>
    </xf>
    <xf numFmtId="0" fontId="30" fillId="0" borderId="0" xfId="0" applyFont="1" applyProtection="1">
      <protection locked="0"/>
    </xf>
    <xf numFmtId="165" fontId="30" fillId="0" borderId="0" xfId="1" applyNumberFormat="1" applyFont="1" applyProtection="1">
      <protection locked="0"/>
    </xf>
    <xf numFmtId="165" fontId="30" fillId="0" borderId="0" xfId="1" applyNumberFormat="1" applyFont="1" applyFill="1" applyProtection="1">
      <protection locked="0"/>
    </xf>
    <xf numFmtId="0" fontId="35" fillId="0" borderId="0" xfId="0" applyFont="1" applyProtection="1">
      <protection locked="0"/>
    </xf>
    <xf numFmtId="0" fontId="9" fillId="0" borderId="0" xfId="0" applyFont="1" applyAlignment="1" applyProtection="1">
      <alignment horizontal="left"/>
      <protection locked="0"/>
    </xf>
    <xf numFmtId="0" fontId="38" fillId="0" borderId="0" xfId="0" applyFont="1" applyAlignment="1" applyProtection="1">
      <alignment horizontal="left"/>
      <protection locked="0"/>
    </xf>
    <xf numFmtId="0" fontId="39" fillId="0" borderId="0" xfId="0" applyFont="1" applyProtection="1">
      <protection locked="0"/>
    </xf>
    <xf numFmtId="0" fontId="40" fillId="0" borderId="0" xfId="0" applyFont="1" applyAlignment="1" applyProtection="1">
      <alignment horizontal="left"/>
      <protection locked="0"/>
    </xf>
    <xf numFmtId="0" fontId="41" fillId="0" borderId="0" xfId="0" applyFont="1" applyProtection="1">
      <protection locked="0"/>
    </xf>
    <xf numFmtId="165" fontId="42" fillId="0" borderId="0" xfId="1" applyNumberFormat="1" applyFont="1" applyProtection="1">
      <protection locked="0"/>
    </xf>
    <xf numFmtId="165" fontId="41" fillId="0" borderId="0" xfId="1" applyNumberFormat="1" applyFont="1" applyFill="1" applyProtection="1">
      <protection locked="0"/>
    </xf>
    <xf numFmtId="165" fontId="36" fillId="0" borderId="0" xfId="1" applyNumberFormat="1" applyFont="1" applyProtection="1">
      <protection locked="0"/>
    </xf>
    <xf numFmtId="0" fontId="36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>
      <alignment horizontal="center" vertical="center"/>
    </xf>
    <xf numFmtId="0" fontId="27" fillId="0" borderId="0" xfId="0" applyFont="1" applyAlignment="1">
      <alignment vertical="center"/>
    </xf>
    <xf numFmtId="0" fontId="6" fillId="0" borderId="0" xfId="0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center"/>
      <protection locked="0"/>
    </xf>
    <xf numFmtId="0" fontId="35" fillId="8" borderId="0" xfId="0" applyFont="1" applyFill="1" applyAlignment="1" applyProtection="1">
      <alignment horizontal="left"/>
      <protection locked="0"/>
    </xf>
    <xf numFmtId="0" fontId="35" fillId="8" borderId="0" xfId="0" applyFont="1" applyFill="1" applyAlignment="1" applyProtection="1">
      <alignment horizontal="center"/>
      <protection locked="0"/>
    </xf>
    <xf numFmtId="165" fontId="35" fillId="8" borderId="0" xfId="1" applyNumberFormat="1" applyFont="1" applyFill="1" applyProtection="1">
      <protection locked="0"/>
    </xf>
    <xf numFmtId="165" fontId="8" fillId="0" borderId="0" xfId="1" applyNumberFormat="1" applyFont="1" applyProtection="1">
      <protection locked="0"/>
    </xf>
    <xf numFmtId="165" fontId="8" fillId="0" borderId="0" xfId="1" applyNumberFormat="1" applyFont="1" applyFill="1" applyProtection="1">
      <protection locked="0"/>
    </xf>
    <xf numFmtId="0" fontId="35" fillId="0" borderId="0" xfId="0" applyFont="1" applyAlignment="1" applyProtection="1">
      <alignment horizontal="left"/>
      <protection locked="0"/>
    </xf>
    <xf numFmtId="165" fontId="35" fillId="3" borderId="0" xfId="1" applyNumberFormat="1" applyFont="1" applyFill="1" applyProtection="1">
      <protection locked="0"/>
    </xf>
    <xf numFmtId="165" fontId="35" fillId="0" borderId="0" xfId="1" applyNumberFormat="1" applyFont="1" applyFill="1" applyProtection="1">
      <protection locked="0"/>
    </xf>
    <xf numFmtId="0" fontId="9" fillId="2" borderId="0" xfId="3" applyFont="1" applyFill="1" applyAlignment="1">
      <alignment horizontal="left"/>
    </xf>
    <xf numFmtId="0" fontId="9" fillId="2" borderId="0" xfId="3" applyFont="1" applyFill="1" applyAlignment="1">
      <alignment horizontal="center"/>
    </xf>
    <xf numFmtId="0" fontId="9" fillId="2" borderId="0" xfId="0" applyFont="1" applyFill="1" applyAlignment="1" applyProtection="1">
      <alignment horizontal="center"/>
      <protection locked="0"/>
    </xf>
    <xf numFmtId="165" fontId="27" fillId="2" borderId="0" xfId="1" applyNumberFormat="1" applyFont="1" applyFill="1" applyProtection="1">
      <protection locked="0"/>
    </xf>
    <xf numFmtId="0" fontId="38" fillId="0" borderId="0" xfId="0" applyFont="1" applyProtection="1">
      <protection locked="0"/>
    </xf>
    <xf numFmtId="0" fontId="9" fillId="0" borderId="0" xfId="3" applyFont="1" applyAlignment="1">
      <alignment horizontal="left"/>
    </xf>
    <xf numFmtId="0" fontId="9" fillId="0" borderId="0" xfId="3" applyFont="1" applyAlignment="1">
      <alignment horizontal="center"/>
    </xf>
    <xf numFmtId="0" fontId="43" fillId="0" borderId="0" xfId="0" applyFont="1" applyProtection="1">
      <protection locked="0"/>
    </xf>
    <xf numFmtId="0" fontId="12" fillId="0" borderId="2" xfId="3" applyFont="1" applyBorder="1"/>
    <xf numFmtId="0" fontId="9" fillId="0" borderId="2" xfId="0" applyFont="1" applyBorder="1" applyAlignment="1" applyProtection="1">
      <alignment horizontal="center"/>
      <protection locked="0"/>
    </xf>
    <xf numFmtId="0" fontId="13" fillId="0" borderId="2" xfId="3" applyFont="1" applyBorder="1"/>
    <xf numFmtId="0" fontId="14" fillId="0" borderId="0" xfId="3" applyFont="1"/>
    <xf numFmtId="0" fontId="13" fillId="0" borderId="0" xfId="3" applyFont="1" applyAlignment="1">
      <alignment horizontal="left"/>
    </xf>
    <xf numFmtId="0" fontId="29" fillId="0" borderId="0" xfId="0" applyFont="1" applyProtection="1">
      <protection locked="0"/>
    </xf>
    <xf numFmtId="0" fontId="9" fillId="0" borderId="0" xfId="0" applyFont="1" applyAlignment="1" applyProtection="1">
      <alignment vertical="center" wrapText="1"/>
      <protection locked="0"/>
    </xf>
    <xf numFmtId="0" fontId="44" fillId="4" borderId="0" xfId="0" applyFont="1" applyFill="1" applyAlignment="1" applyProtection="1">
      <alignment horizontal="right"/>
      <protection locked="0"/>
    </xf>
    <xf numFmtId="9" fontId="27" fillId="0" borderId="0" xfId="2" applyFont="1" applyFill="1" applyBorder="1" applyProtection="1">
      <protection locked="0"/>
    </xf>
    <xf numFmtId="0" fontId="27" fillId="0" borderId="0" xfId="0" applyFont="1" applyAlignment="1" applyProtection="1">
      <alignment vertical="center"/>
      <protection locked="0"/>
    </xf>
    <xf numFmtId="165" fontId="9" fillId="5" borderId="0" xfId="1" applyNumberFormat="1" applyFont="1" applyFill="1" applyBorder="1" applyAlignment="1" applyProtection="1">
      <alignment vertical="center"/>
      <protection locked="0"/>
    </xf>
    <xf numFmtId="165" fontId="9" fillId="0" borderId="0" xfId="1" applyNumberFormat="1" applyFont="1" applyFill="1" applyBorder="1" applyAlignment="1" applyProtection="1">
      <alignment vertical="center"/>
      <protection locked="0"/>
    </xf>
    <xf numFmtId="165" fontId="21" fillId="0" borderId="0" xfId="0" applyNumberFormat="1" applyFont="1" applyProtection="1">
      <protection locked="0"/>
    </xf>
    <xf numFmtId="0" fontId="30" fillId="2" borderId="0" xfId="0" applyFont="1" applyFill="1" applyAlignment="1" applyProtection="1">
      <alignment horizontal="center" vertical="center"/>
      <protection locked="0"/>
    </xf>
    <xf numFmtId="165" fontId="10" fillId="2" borderId="0" xfId="1" applyNumberFormat="1" applyFont="1" applyFill="1" applyBorder="1" applyAlignment="1" applyProtection="1">
      <alignment vertical="center"/>
      <protection locked="0"/>
    </xf>
    <xf numFmtId="9" fontId="10" fillId="2" borderId="0" xfId="2" applyFont="1" applyFill="1" applyBorder="1" applyAlignment="1" applyProtection="1">
      <alignment vertical="center"/>
      <protection locked="0"/>
    </xf>
    <xf numFmtId="9" fontId="9" fillId="0" borderId="0" xfId="2" applyFont="1" applyFill="1" applyBorder="1" applyProtection="1">
      <protection locked="0"/>
    </xf>
    <xf numFmtId="0" fontId="10" fillId="4" borderId="0" xfId="3" applyFont="1" applyFill="1" applyAlignment="1">
      <alignment horizontal="left" vertical="center"/>
    </xf>
    <xf numFmtId="0" fontId="30" fillId="4" borderId="0" xfId="0" applyFont="1" applyFill="1" applyAlignment="1" applyProtection="1">
      <alignment horizontal="center" vertical="center"/>
      <protection locked="0"/>
    </xf>
    <xf numFmtId="9" fontId="45" fillId="4" borderId="0" xfId="2" applyFont="1" applyFill="1" applyBorder="1" applyAlignment="1" applyProtection="1">
      <alignment vertical="center"/>
      <protection locked="0"/>
    </xf>
    <xf numFmtId="9" fontId="9" fillId="4" borderId="0" xfId="2" applyFont="1" applyFill="1" applyBorder="1" applyProtection="1">
      <protection locked="0"/>
    </xf>
    <xf numFmtId="0" fontId="21" fillId="4" borderId="0" xfId="0" applyFont="1" applyFill="1" applyProtection="1">
      <protection locked="0"/>
    </xf>
    <xf numFmtId="1" fontId="27" fillId="0" borderId="1" xfId="0" applyNumberFormat="1" applyFont="1" applyBorder="1" applyAlignment="1" applyProtection="1">
      <alignment horizontal="center" vertical="center"/>
      <protection locked="0"/>
    </xf>
    <xf numFmtId="165" fontId="9" fillId="0" borderId="1" xfId="1" applyNumberFormat="1" applyFont="1" applyFill="1" applyBorder="1" applyAlignment="1" applyProtection="1">
      <alignment vertical="center"/>
      <protection locked="0"/>
    </xf>
    <xf numFmtId="165" fontId="9" fillId="0" borderId="0" xfId="2" applyNumberFormat="1" applyFont="1" applyFill="1" applyBorder="1" applyProtection="1">
      <protection locked="0"/>
    </xf>
    <xf numFmtId="0" fontId="9" fillId="4" borderId="0" xfId="3" applyFont="1" applyFill="1" applyAlignment="1">
      <alignment horizontal="left" vertical="center"/>
    </xf>
    <xf numFmtId="0" fontId="27" fillId="4" borderId="0" xfId="0" applyFont="1" applyFill="1" applyAlignment="1" applyProtection="1">
      <alignment horizontal="center" vertical="center"/>
      <protection locked="0"/>
    </xf>
    <xf numFmtId="9" fontId="9" fillId="4" borderId="0" xfId="2" applyFont="1" applyFill="1" applyBorder="1" applyAlignment="1" applyProtection="1">
      <alignment vertical="center"/>
      <protection locked="0"/>
    </xf>
    <xf numFmtId="165" fontId="9" fillId="4" borderId="0" xfId="1" applyNumberFormat="1" applyFont="1" applyFill="1" applyBorder="1" applyAlignment="1" applyProtection="1">
      <alignment vertical="center"/>
      <protection locked="0"/>
    </xf>
    <xf numFmtId="9" fontId="9" fillId="0" borderId="0" xfId="2" applyFont="1" applyFill="1" applyBorder="1" applyAlignment="1" applyProtection="1">
      <alignment vertical="center"/>
      <protection locked="0"/>
    </xf>
    <xf numFmtId="0" fontId="36" fillId="0" borderId="0" xfId="0" applyFont="1" applyProtection="1">
      <protection locked="0"/>
    </xf>
    <xf numFmtId="0" fontId="27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40" fillId="0" borderId="0" xfId="0" applyFont="1" applyProtection="1">
      <protection locked="0"/>
    </xf>
    <xf numFmtId="165" fontId="40" fillId="0" borderId="0" xfId="1" applyNumberFormat="1" applyFont="1" applyFill="1" applyBorder="1" applyAlignment="1" applyProtection="1">
      <protection locked="0"/>
    </xf>
    <xf numFmtId="165" fontId="37" fillId="0" borderId="0" xfId="1" applyNumberFormat="1" applyFont="1" applyFill="1" applyProtection="1">
      <protection locked="0"/>
    </xf>
    <xf numFmtId="0" fontId="37" fillId="0" borderId="0" xfId="0" applyFont="1" applyAlignment="1" applyProtection="1">
      <alignment horizontal="left"/>
      <protection locked="0"/>
    </xf>
    <xf numFmtId="0" fontId="46" fillId="0" borderId="0" xfId="0" applyFont="1" applyAlignment="1" applyProtection="1">
      <alignment horizontal="center"/>
      <protection locked="0"/>
    </xf>
    <xf numFmtId="165" fontId="37" fillId="0" borderId="0" xfId="1" applyNumberFormat="1" applyFont="1" applyAlignment="1" applyProtection="1">
      <protection locked="0"/>
    </xf>
    <xf numFmtId="0" fontId="37" fillId="0" borderId="0" xfId="0" applyFont="1" applyAlignment="1" applyProtection="1">
      <alignment horizontal="left"/>
      <protection locked="0"/>
    </xf>
    <xf numFmtId="0" fontId="46" fillId="0" borderId="0" xfId="0" applyFont="1" applyAlignment="1" applyProtection="1">
      <alignment horizontal="center"/>
      <protection locked="0"/>
    </xf>
    <xf numFmtId="0" fontId="47" fillId="0" borderId="0" xfId="0" applyFont="1" applyAlignment="1">
      <alignment horizontal="center"/>
    </xf>
    <xf numFmtId="0" fontId="0" fillId="0" borderId="0" xfId="0"/>
    <xf numFmtId="0" fontId="48" fillId="0" borderId="0" xfId="0" applyFont="1" applyAlignment="1">
      <alignment horizontal="center"/>
    </xf>
    <xf numFmtId="4" fontId="49" fillId="0" borderId="3" xfId="0" applyNumberFormat="1" applyFont="1" applyBorder="1" applyAlignment="1">
      <alignment horizontal="left"/>
    </xf>
    <xf numFmtId="4" fontId="49" fillId="0" borderId="3" xfId="0" applyNumberFormat="1" applyFont="1" applyBorder="1" applyAlignment="1">
      <alignment horizontal="right"/>
    </xf>
    <xf numFmtId="4" fontId="49" fillId="0" borderId="4" xfId="0" applyNumberFormat="1" applyFont="1" applyBorder="1" applyAlignment="1">
      <alignment horizontal="left"/>
    </xf>
    <xf numFmtId="166" fontId="48" fillId="0" borderId="0" xfId="0" applyNumberFormat="1" applyFont="1" applyAlignment="1">
      <alignment horizontal="left"/>
    </xf>
    <xf numFmtId="0" fontId="49" fillId="0" borderId="0" xfId="0" applyFont="1" applyAlignment="1">
      <alignment horizontal="left"/>
    </xf>
    <xf numFmtId="166" fontId="49" fillId="0" borderId="0" xfId="0" applyNumberFormat="1" applyFont="1" applyAlignment="1">
      <alignment horizontal="right"/>
    </xf>
    <xf numFmtId="165" fontId="48" fillId="0" borderId="4" xfId="1" applyNumberFormat="1" applyFont="1" applyBorder="1" applyAlignment="1">
      <alignment horizontal="right"/>
    </xf>
    <xf numFmtId="165" fontId="48" fillId="0" borderId="0" xfId="1" applyNumberFormat="1" applyFont="1" applyAlignment="1">
      <alignment horizontal="right"/>
    </xf>
    <xf numFmtId="0" fontId="49" fillId="0" borderId="4" xfId="0" applyNumberFormat="1" applyFont="1" applyBorder="1" applyAlignment="1">
      <alignment horizontal="left"/>
    </xf>
    <xf numFmtId="0" fontId="48" fillId="0" borderId="0" xfId="0" applyNumberFormat="1" applyFont="1" applyAlignment="1">
      <alignment horizontal="left"/>
    </xf>
  </cellXfs>
  <cellStyles count="4">
    <cellStyle name="Millares" xfId="1" builtinId="3"/>
    <cellStyle name="Normal" xfId="0" builtinId="0"/>
    <cellStyle name="Normal 2" xfId="3" xr:uid="{9C6C97A2-6DA8-4D0B-AA8C-50F8D45D7AF6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680161</xdr:colOff>
      <xdr:row>2</xdr:row>
      <xdr:rowOff>66675</xdr:rowOff>
    </xdr:from>
    <xdr:to>
      <xdr:col>13</xdr:col>
      <xdr:colOff>47515</xdr:colOff>
      <xdr:row>5</xdr:row>
      <xdr:rowOff>133350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9EEA6C1-8382-4637-86BA-BA66A601E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4521" y="569595"/>
          <a:ext cx="1729554" cy="8667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1146906</xdr:colOff>
      <xdr:row>2</xdr:row>
      <xdr:rowOff>132523</xdr:rowOff>
    </xdr:from>
    <xdr:to>
      <xdr:col>7</xdr:col>
      <xdr:colOff>1158078</xdr:colOff>
      <xdr:row>6</xdr:row>
      <xdr:rowOff>49697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88930F9-3BC4-4B1E-9BE5-F7C4E163C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75466" y="452563"/>
          <a:ext cx="1565652" cy="98397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142875</xdr:rowOff>
    </xdr:from>
    <xdr:to>
      <xdr:col>0</xdr:col>
      <xdr:colOff>2295525</xdr:colOff>
      <xdr:row>3</xdr:row>
      <xdr:rowOff>381000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D4638107-CFA7-47DC-B3B3-A9C63E2C7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142875"/>
          <a:ext cx="834390" cy="8324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orre\Dropbox\ASESORIAS%20FINANCIERAS\2026\EEFF\07.EEFF%20JULIO%202026.xlsm" TargetMode="External"/><Relationship Id="rId1" Type="http://schemas.openxmlformats.org/officeDocument/2006/relationships/externalLinkPath" Target="07.EEFF%20JULIO%202026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gcaacon003\PUBLICA\william\CARA99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OL"/>
      <sheetName val="PORTADA"/>
      <sheetName val="CONTENIDO"/>
      <sheetName val="1.CERTIFICACIÓN"/>
      <sheetName val="2.ESF"/>
      <sheetName val="3.ERI"/>
      <sheetName val="4.CAMBIOS EN EL PAT"/>
      <sheetName val="5.FLUJO DE EFECTIVO"/>
      <sheetName val="6.NOTAS"/>
      <sheetName val="GRÁFICOS"/>
      <sheetName val="INDICADORES"/>
      <sheetName val="AÑO 2026"/>
      <sheetName val="AÑO 2025"/>
      <sheetName val="BALANCE TERCEROS"/>
      <sheetName val="Periodos"/>
    </sheetNames>
    <sheetDataSet>
      <sheetData sheetId="0"/>
      <sheetData sheetId="1"/>
      <sheetData sheetId="2"/>
      <sheetData sheetId="3">
        <row r="6">
          <cell r="A6" t="str">
            <v>OFTALMOLOGOS EL TESORO S.A.S</v>
          </cell>
        </row>
        <row r="45">
          <cell r="A45" t="str">
            <v>MIGUEL ANTONIO JARAMILLO M</v>
          </cell>
          <cell r="C45" t="str">
            <v>YURANY DEOSSA MURILLO</v>
          </cell>
        </row>
        <row r="46">
          <cell r="A46" t="str">
            <v>Representante Legal</v>
          </cell>
          <cell r="C46" t="str">
            <v>Contador Público</v>
          </cell>
        </row>
        <row r="47">
          <cell r="A47" t="str">
            <v>CC 80.550.424</v>
          </cell>
          <cell r="C47" t="str">
            <v>TP 265026-T</v>
          </cell>
        </row>
      </sheetData>
      <sheetData sheetId="4"/>
      <sheetData sheetId="5"/>
      <sheetData sheetId="6">
        <row r="20">
          <cell r="M20">
            <v>8635840494</v>
          </cell>
        </row>
        <row r="29">
          <cell r="M29">
            <v>8906678127</v>
          </cell>
        </row>
      </sheetData>
      <sheetData sheetId="7">
        <row r="100">
          <cell r="G100">
            <v>228567842</v>
          </cell>
          <cell r="H100">
            <v>-482928266</v>
          </cell>
        </row>
      </sheetData>
      <sheetData sheetId="8"/>
      <sheetData sheetId="9"/>
      <sheetData sheetId="10"/>
      <sheetData sheetId="11">
        <row r="1">
          <cell r="C1" t="str">
            <v>AÑO 2026</v>
          </cell>
        </row>
        <row r="3">
          <cell r="C3" t="str">
            <v>Cuenta</v>
          </cell>
          <cell r="D3" t="str">
            <v>Equivalencia</v>
          </cell>
          <cell r="E3" t="str">
            <v>Nombre</v>
          </cell>
          <cell r="F3" t="str">
            <v>Saldo Anterior</v>
          </cell>
          <cell r="G3" t="str">
            <v>Débitos</v>
          </cell>
          <cell r="H3" t="str">
            <v>Créditos</v>
          </cell>
          <cell r="I3" t="str">
            <v>Nuevo Saldo</v>
          </cell>
        </row>
        <row r="4">
          <cell r="C4">
            <v>1</v>
          </cell>
          <cell r="D4" t="str">
            <v>JUL20261</v>
          </cell>
          <cell r="E4" t="str">
            <v>Activos</v>
          </cell>
          <cell r="F4">
            <v>12928601212.85</v>
          </cell>
          <cell r="G4">
            <v>35281442390.419998</v>
          </cell>
          <cell r="H4">
            <v>34552976254.43</v>
          </cell>
          <cell r="I4">
            <v>13657067348.84</v>
          </cell>
        </row>
        <row r="5">
          <cell r="C5">
            <v>11</v>
          </cell>
          <cell r="D5" t="str">
            <v>JUL202611</v>
          </cell>
          <cell r="E5" t="str">
            <v>Efectivo y Equivalentes del Efectivo</v>
          </cell>
          <cell r="F5">
            <v>178077363.55000001</v>
          </cell>
          <cell r="G5">
            <v>13846946781.27</v>
          </cell>
          <cell r="H5">
            <v>14029238697.940001</v>
          </cell>
          <cell r="I5">
            <v>-4214553.12</v>
          </cell>
        </row>
        <row r="6">
          <cell r="C6">
            <v>1105</v>
          </cell>
          <cell r="D6" t="str">
            <v>JUL20261105</v>
          </cell>
          <cell r="E6" t="str">
            <v>Caja</v>
          </cell>
          <cell r="F6">
            <v>8754.74</v>
          </cell>
          <cell r="G6">
            <v>1709331399.5899999</v>
          </cell>
          <cell r="H6">
            <v>1670286228.9000001</v>
          </cell>
          <cell r="I6">
            <v>39053925.43</v>
          </cell>
        </row>
        <row r="7">
          <cell r="C7">
            <v>110505</v>
          </cell>
          <cell r="D7" t="str">
            <v>JUL2026110505</v>
          </cell>
          <cell r="E7" t="str">
            <v>Caja General</v>
          </cell>
          <cell r="F7">
            <v>722586</v>
          </cell>
          <cell r="G7">
            <v>18479500</v>
          </cell>
          <cell r="H7">
            <v>18803246</v>
          </cell>
          <cell r="I7">
            <v>398840</v>
          </cell>
        </row>
        <row r="8">
          <cell r="C8">
            <v>11050501</v>
          </cell>
          <cell r="D8" t="str">
            <v>JUL202611050501</v>
          </cell>
          <cell r="E8" t="str">
            <v>Caja menor OET</v>
          </cell>
          <cell r="F8">
            <v>722586</v>
          </cell>
          <cell r="G8">
            <v>18479500</v>
          </cell>
          <cell r="H8">
            <v>18803246</v>
          </cell>
          <cell r="I8">
            <v>398840</v>
          </cell>
        </row>
        <row r="9">
          <cell r="C9">
            <v>110510</v>
          </cell>
          <cell r="D9" t="str">
            <v>JUL2026110510</v>
          </cell>
          <cell r="E9" t="str">
            <v>Cajas Menores</v>
          </cell>
          <cell r="F9">
            <v>-713831.26</v>
          </cell>
          <cell r="G9">
            <v>1690851899.5899999</v>
          </cell>
          <cell r="H9">
            <v>1651482982.9000001</v>
          </cell>
          <cell r="I9">
            <v>38655085.43</v>
          </cell>
        </row>
        <row r="10">
          <cell r="C10">
            <v>11051001</v>
          </cell>
          <cell r="D10" t="str">
            <v>JUL202611051001</v>
          </cell>
          <cell r="E10" t="str">
            <v>Caja General</v>
          </cell>
          <cell r="F10">
            <v>2321832.5299999998</v>
          </cell>
          <cell r="G10">
            <v>1626563286</v>
          </cell>
          <cell r="H10">
            <v>1587194370.9000001</v>
          </cell>
          <cell r="I10">
            <v>41690747.630000003</v>
          </cell>
        </row>
        <row r="11">
          <cell r="C11">
            <v>11051003</v>
          </cell>
          <cell r="D11" t="str">
            <v>JUL202611051003</v>
          </cell>
          <cell r="E11" t="str">
            <v>Caja ajustes año 2021</v>
          </cell>
          <cell r="F11">
            <v>3536.21</v>
          </cell>
          <cell r="G11">
            <v>1.59</v>
          </cell>
          <cell r="H11">
            <v>0</v>
          </cell>
          <cell r="I11">
            <v>3537.8</v>
          </cell>
        </row>
        <row r="12">
          <cell r="C12">
            <v>11051004</v>
          </cell>
          <cell r="D12" t="str">
            <v>JUL202611051004</v>
          </cell>
          <cell r="E12" t="str">
            <v>Caja cruce de cuentas</v>
          </cell>
          <cell r="F12">
            <v>-3039200</v>
          </cell>
          <cell r="G12">
            <v>64288612</v>
          </cell>
          <cell r="H12">
            <v>64288612</v>
          </cell>
          <cell r="I12">
            <v>-3039200</v>
          </cell>
        </row>
        <row r="13">
          <cell r="C13">
            <v>1120</v>
          </cell>
          <cell r="D13" t="str">
            <v>JUL20261120</v>
          </cell>
          <cell r="E13" t="str">
            <v>Cuentas de Ahorro</v>
          </cell>
          <cell r="F13">
            <v>178068608.81</v>
          </cell>
          <cell r="G13">
            <v>12137615381.68</v>
          </cell>
          <cell r="H13">
            <v>12358952469.040001</v>
          </cell>
          <cell r="I13">
            <v>-43268478.549999997</v>
          </cell>
        </row>
        <row r="14">
          <cell r="C14">
            <v>112005</v>
          </cell>
          <cell r="D14" t="str">
            <v>JUL2026112005</v>
          </cell>
          <cell r="E14" t="str">
            <v>Bancos</v>
          </cell>
          <cell r="F14">
            <v>178068608.81</v>
          </cell>
          <cell r="G14">
            <v>12137615381.68</v>
          </cell>
          <cell r="H14">
            <v>12358952469.040001</v>
          </cell>
          <cell r="I14">
            <v>-43268478.549999997</v>
          </cell>
        </row>
        <row r="15">
          <cell r="C15">
            <v>11200501</v>
          </cell>
          <cell r="D15" t="str">
            <v>JUL202611200501</v>
          </cell>
          <cell r="E15" t="str">
            <v>Cuenta Bancolombia ahorros OET</v>
          </cell>
          <cell r="F15">
            <v>7782089.5300000003</v>
          </cell>
          <cell r="G15">
            <v>267348376</v>
          </cell>
          <cell r="H15">
            <v>396835594</v>
          </cell>
          <cell r="I15">
            <v>-121705128.47</v>
          </cell>
        </row>
        <row r="16">
          <cell r="C16">
            <v>11200502</v>
          </cell>
          <cell r="D16" t="str">
            <v>JUL202611200502</v>
          </cell>
          <cell r="E16" t="str">
            <v>Cuenta Bancolombia ahorros cuenta participación</v>
          </cell>
          <cell r="F16">
            <v>149970361.75999999</v>
          </cell>
          <cell r="G16">
            <v>5704804439.7200003</v>
          </cell>
          <cell r="H16">
            <v>5863638508</v>
          </cell>
          <cell r="I16">
            <v>-8863706.5199999996</v>
          </cell>
        </row>
        <row r="17">
          <cell r="C17">
            <v>11200503</v>
          </cell>
          <cell r="D17" t="str">
            <v>JUL202611200503</v>
          </cell>
          <cell r="E17" t="str">
            <v>Cuenta BBVA Ahorros OET</v>
          </cell>
          <cell r="F17">
            <v>5712637</v>
          </cell>
          <cell r="G17">
            <v>0</v>
          </cell>
          <cell r="H17">
            <v>0</v>
          </cell>
          <cell r="I17">
            <v>5712637</v>
          </cell>
        </row>
        <row r="18">
          <cell r="C18">
            <v>11200504</v>
          </cell>
          <cell r="D18" t="str">
            <v>JUL202611200504</v>
          </cell>
          <cell r="E18" t="str">
            <v>Cuenta Bancoomeva ahorros OET</v>
          </cell>
          <cell r="F18">
            <v>17622902.41</v>
          </cell>
          <cell r="G18">
            <v>239958699</v>
          </cell>
          <cell r="H18">
            <v>265417183.90000001</v>
          </cell>
          <cell r="I18">
            <v>-7835582.4900000002</v>
          </cell>
        </row>
        <row r="19">
          <cell r="C19">
            <v>11200505</v>
          </cell>
          <cell r="D19" t="str">
            <v>JUL202611200505</v>
          </cell>
          <cell r="E19" t="str">
            <v>CTA BANCO CAJA SOCIAL OET</v>
          </cell>
          <cell r="F19">
            <v>-9184551.8900000006</v>
          </cell>
          <cell r="G19">
            <v>5493904263.96</v>
          </cell>
          <cell r="H19">
            <v>5405544833.1400003</v>
          </cell>
          <cell r="I19">
            <v>79174878.930000007</v>
          </cell>
        </row>
        <row r="20">
          <cell r="C20">
            <v>11200506</v>
          </cell>
          <cell r="D20" t="str">
            <v>JUL202611200506</v>
          </cell>
          <cell r="E20" t="str">
            <v>Cuenta Bancolombia ahorros proyecto expansión</v>
          </cell>
          <cell r="F20">
            <v>6165170</v>
          </cell>
          <cell r="G20">
            <v>431599603</v>
          </cell>
          <cell r="H20">
            <v>427516350</v>
          </cell>
          <cell r="I20">
            <v>10248423</v>
          </cell>
        </row>
        <row r="21">
          <cell r="C21">
            <v>13</v>
          </cell>
          <cell r="D21" t="str">
            <v>JUL202613</v>
          </cell>
          <cell r="E21" t="str">
            <v>Cuentas por Cobrar</v>
          </cell>
          <cell r="F21">
            <v>2103366389.3399999</v>
          </cell>
          <cell r="G21">
            <v>20536832719.009998</v>
          </cell>
          <cell r="H21">
            <v>19866507419.259998</v>
          </cell>
          <cell r="I21">
            <v>2773691689.0900002</v>
          </cell>
        </row>
        <row r="22">
          <cell r="C22">
            <v>1305</v>
          </cell>
          <cell r="D22" t="str">
            <v>JUL20261305</v>
          </cell>
          <cell r="E22" t="str">
            <v>Clientes</v>
          </cell>
          <cell r="F22">
            <v>947915699.21000004</v>
          </cell>
          <cell r="G22">
            <v>17503115267.700001</v>
          </cell>
          <cell r="H22">
            <v>17106747089.27</v>
          </cell>
          <cell r="I22">
            <v>1344283877.6400001</v>
          </cell>
        </row>
        <row r="23">
          <cell r="C23">
            <v>130505</v>
          </cell>
          <cell r="D23" t="str">
            <v>JUL2026130505</v>
          </cell>
          <cell r="E23" t="str">
            <v>Clientes Nacionales</v>
          </cell>
          <cell r="F23">
            <v>877818177.21000004</v>
          </cell>
          <cell r="G23">
            <v>17503115267.700001</v>
          </cell>
          <cell r="H23">
            <v>17036649567.27</v>
          </cell>
          <cell r="I23">
            <v>1344283877.6400001</v>
          </cell>
        </row>
        <row r="24">
          <cell r="C24">
            <v>13050501</v>
          </cell>
          <cell r="D24" t="str">
            <v>JUL202613050501</v>
          </cell>
          <cell r="E24" t="str">
            <v>Clientes Nacionales</v>
          </cell>
          <cell r="F24">
            <v>877818177.21000004</v>
          </cell>
          <cell r="G24">
            <v>17503115267.700001</v>
          </cell>
          <cell r="H24">
            <v>17036649567.27</v>
          </cell>
          <cell r="I24">
            <v>1344283877.6400001</v>
          </cell>
        </row>
        <row r="25">
          <cell r="C25">
            <v>130599</v>
          </cell>
          <cell r="D25" t="str">
            <v>JUL2026130599</v>
          </cell>
          <cell r="E25" t="str">
            <v>Partidas por indentificar</v>
          </cell>
          <cell r="F25">
            <v>70097522</v>
          </cell>
          <cell r="G25">
            <v>0</v>
          </cell>
          <cell r="H25">
            <v>70097522</v>
          </cell>
          <cell r="I25">
            <v>0</v>
          </cell>
        </row>
        <row r="26">
          <cell r="C26">
            <v>13059901</v>
          </cell>
          <cell r="D26" t="str">
            <v>JUL202613059901</v>
          </cell>
          <cell r="E26" t="str">
            <v>Partidas por identificar</v>
          </cell>
          <cell r="F26">
            <v>70097522</v>
          </cell>
          <cell r="G26">
            <v>0</v>
          </cell>
          <cell r="H26">
            <v>70097522</v>
          </cell>
          <cell r="I26">
            <v>0</v>
          </cell>
        </row>
        <row r="27">
          <cell r="C27">
            <v>1320</v>
          </cell>
          <cell r="D27" t="str">
            <v>JUL20261320</v>
          </cell>
          <cell r="E27" t="str">
            <v>Cuentas por cobrar vinculados económicos</v>
          </cell>
          <cell r="F27">
            <v>0</v>
          </cell>
          <cell r="G27">
            <v>0</v>
          </cell>
          <cell r="H27">
            <v>600000</v>
          </cell>
          <cell r="I27">
            <v>-600000</v>
          </cell>
        </row>
        <row r="28">
          <cell r="C28">
            <v>132005</v>
          </cell>
          <cell r="D28" t="str">
            <v>JUL2026132005</v>
          </cell>
          <cell r="E28" t="str">
            <v>Alfiliadas</v>
          </cell>
          <cell r="F28">
            <v>0</v>
          </cell>
          <cell r="G28">
            <v>0</v>
          </cell>
          <cell r="H28">
            <v>600000</v>
          </cell>
          <cell r="I28">
            <v>-600000</v>
          </cell>
        </row>
        <row r="29">
          <cell r="C29">
            <v>1325</v>
          </cell>
          <cell r="D29" t="str">
            <v>JUL20261325</v>
          </cell>
          <cell r="E29" t="str">
            <v>Cuentas por cobrar socios o accionistas</v>
          </cell>
          <cell r="F29">
            <v>183988507.62</v>
          </cell>
          <cell r="G29">
            <v>232000000</v>
          </cell>
          <cell r="H29">
            <v>147500000</v>
          </cell>
          <cell r="I29">
            <v>268488507.62</v>
          </cell>
        </row>
        <row r="30">
          <cell r="C30">
            <v>13250501</v>
          </cell>
          <cell r="D30" t="str">
            <v>JUL202613250501</v>
          </cell>
          <cell r="E30" t="str">
            <v>Cuentas por cobrar socios</v>
          </cell>
          <cell r="F30">
            <v>183988507.62</v>
          </cell>
          <cell r="G30">
            <v>232000000</v>
          </cell>
          <cell r="H30">
            <v>147500000</v>
          </cell>
          <cell r="I30">
            <v>268488507.62</v>
          </cell>
        </row>
        <row r="31">
          <cell r="C31">
            <v>1330</v>
          </cell>
          <cell r="D31" t="str">
            <v>JUL20261330</v>
          </cell>
          <cell r="E31" t="str">
            <v>Anticipos</v>
          </cell>
          <cell r="F31">
            <v>469510737.94</v>
          </cell>
          <cell r="G31">
            <v>2505155865.48</v>
          </cell>
          <cell r="H31">
            <v>2589810607.5799999</v>
          </cell>
          <cell r="I31">
            <v>384855995.83999997</v>
          </cell>
        </row>
        <row r="32">
          <cell r="C32">
            <v>133005</v>
          </cell>
          <cell r="D32" t="str">
            <v>JUL2026133005</v>
          </cell>
          <cell r="E32" t="str">
            <v>Anticipos a Proveedores</v>
          </cell>
          <cell r="F32">
            <v>465652737.94</v>
          </cell>
          <cell r="G32">
            <v>2500960790.48</v>
          </cell>
          <cell r="H32">
            <v>2586695399.5799999</v>
          </cell>
          <cell r="I32">
            <v>379918128.83999997</v>
          </cell>
        </row>
        <row r="33">
          <cell r="C33">
            <v>13300501</v>
          </cell>
          <cell r="D33" t="str">
            <v>JUL202613300501</v>
          </cell>
          <cell r="E33" t="str">
            <v>Anticipos a Proveedores</v>
          </cell>
          <cell r="F33">
            <v>465652737.94</v>
          </cell>
          <cell r="G33">
            <v>2500960790.48</v>
          </cell>
          <cell r="H33">
            <v>2586695399.5799999</v>
          </cell>
          <cell r="I33">
            <v>379918128.83999997</v>
          </cell>
        </row>
        <row r="34">
          <cell r="C34">
            <v>133015</v>
          </cell>
          <cell r="D34" t="str">
            <v>JUL2026133015</v>
          </cell>
          <cell r="E34" t="str">
            <v>Anticipos a Trabajadores</v>
          </cell>
          <cell r="F34">
            <v>3858000</v>
          </cell>
          <cell r="G34">
            <v>4195075</v>
          </cell>
          <cell r="H34">
            <v>3115208</v>
          </cell>
          <cell r="I34">
            <v>4937867</v>
          </cell>
        </row>
        <row r="35">
          <cell r="C35">
            <v>13301501</v>
          </cell>
          <cell r="D35" t="str">
            <v>JUL202613301501</v>
          </cell>
          <cell r="E35" t="str">
            <v>Anticipos a Trabajadores</v>
          </cell>
          <cell r="F35">
            <v>3858000</v>
          </cell>
          <cell r="G35">
            <v>4195075</v>
          </cell>
          <cell r="H35">
            <v>3115208</v>
          </cell>
          <cell r="I35">
            <v>4937867</v>
          </cell>
        </row>
        <row r="36">
          <cell r="C36">
            <v>1355</v>
          </cell>
          <cell r="D36" t="str">
            <v>JUL20261355</v>
          </cell>
          <cell r="E36" t="str">
            <v>Activos Fiscales</v>
          </cell>
          <cell r="F36">
            <v>459674477.56999999</v>
          </cell>
          <cell r="G36">
            <v>283604285.82999998</v>
          </cell>
          <cell r="H36">
            <v>780389.41</v>
          </cell>
          <cell r="I36">
            <v>742498373.99000001</v>
          </cell>
        </row>
        <row r="37">
          <cell r="C37">
            <v>135515</v>
          </cell>
          <cell r="D37" t="str">
            <v>JUL2026135515</v>
          </cell>
          <cell r="E37" t="str">
            <v>Retención en la Fuente</v>
          </cell>
          <cell r="F37">
            <v>236668637.16</v>
          </cell>
          <cell r="G37">
            <v>156057323.44</v>
          </cell>
          <cell r="H37">
            <v>749822.22</v>
          </cell>
          <cell r="I37">
            <v>391976138.38</v>
          </cell>
        </row>
        <row r="38">
          <cell r="C38">
            <v>13551501</v>
          </cell>
          <cell r="D38" t="str">
            <v>JUL202613551501</v>
          </cell>
          <cell r="E38" t="str">
            <v>Retención en la Fuente Honorarios 11%</v>
          </cell>
          <cell r="F38">
            <v>0</v>
          </cell>
          <cell r="G38">
            <v>55347187.18</v>
          </cell>
          <cell r="H38">
            <v>439646.22</v>
          </cell>
          <cell r="I38">
            <v>54907540.960000001</v>
          </cell>
        </row>
        <row r="39">
          <cell r="C39">
            <v>13551503</v>
          </cell>
          <cell r="D39" t="str">
            <v>JUL202613551503</v>
          </cell>
          <cell r="E39" t="str">
            <v>Retención en la Fuente Servicios IPS 2%</v>
          </cell>
          <cell r="F39">
            <v>0</v>
          </cell>
          <cell r="G39">
            <v>37161792.259999998</v>
          </cell>
          <cell r="H39">
            <v>310176</v>
          </cell>
          <cell r="I39">
            <v>36851616.259999998</v>
          </cell>
        </row>
        <row r="40">
          <cell r="C40">
            <v>13551504</v>
          </cell>
          <cell r="D40" t="str">
            <v>JUL202613551504</v>
          </cell>
          <cell r="E40" t="str">
            <v>Retención en la fuente 1.5%</v>
          </cell>
          <cell r="F40">
            <v>0</v>
          </cell>
          <cell r="G40">
            <v>63548344</v>
          </cell>
          <cell r="H40">
            <v>0</v>
          </cell>
          <cell r="I40">
            <v>63548344</v>
          </cell>
        </row>
        <row r="41">
          <cell r="C41">
            <v>13551598</v>
          </cell>
          <cell r="D41" t="str">
            <v>JUL202613551598</v>
          </cell>
          <cell r="E41" t="str">
            <v>Cierre Retefuente anual</v>
          </cell>
          <cell r="F41">
            <v>236668637.16</v>
          </cell>
          <cell r="G41">
            <v>0</v>
          </cell>
          <cell r="H41">
            <v>0</v>
          </cell>
          <cell r="I41">
            <v>236668637.16</v>
          </cell>
        </row>
        <row r="42">
          <cell r="C42">
            <v>135518</v>
          </cell>
          <cell r="D42" t="str">
            <v>JUL2026135518</v>
          </cell>
          <cell r="E42" t="str">
            <v>Impuesto de Industria y Comercio Retenido</v>
          </cell>
          <cell r="F42">
            <v>17544839.93</v>
          </cell>
          <cell r="G42">
            <v>11930962.390000001</v>
          </cell>
          <cell r="H42">
            <v>30567.19</v>
          </cell>
          <cell r="I42">
            <v>29445235.129999999</v>
          </cell>
        </row>
        <row r="43">
          <cell r="C43">
            <v>13551801</v>
          </cell>
          <cell r="D43" t="str">
            <v>JUL202613551801</v>
          </cell>
          <cell r="E43" t="str">
            <v>Impuesto de Industria y Comercio Retenido 0.2%</v>
          </cell>
          <cell r="F43">
            <v>17544839.93</v>
          </cell>
          <cell r="G43">
            <v>11930962.390000001</v>
          </cell>
          <cell r="H43">
            <v>30567.19</v>
          </cell>
          <cell r="I43">
            <v>29445235.129999999</v>
          </cell>
        </row>
        <row r="44">
          <cell r="C44">
            <v>135520</v>
          </cell>
          <cell r="D44" t="str">
            <v>JUL2026135520</v>
          </cell>
          <cell r="E44" t="str">
            <v>Sobrantes en liquidación privada de impuestos</v>
          </cell>
          <cell r="F44">
            <v>41449000.479999997</v>
          </cell>
          <cell r="G44">
            <v>0</v>
          </cell>
          <cell r="H44">
            <v>0</v>
          </cell>
          <cell r="I44">
            <v>41449000.479999997</v>
          </cell>
        </row>
        <row r="45">
          <cell r="C45">
            <v>13552001</v>
          </cell>
          <cell r="D45" t="str">
            <v>JUL202613552001</v>
          </cell>
          <cell r="E45" t="str">
            <v>Saldo a favor renta</v>
          </cell>
          <cell r="F45">
            <v>41449000.479999997</v>
          </cell>
          <cell r="G45">
            <v>0</v>
          </cell>
          <cell r="H45">
            <v>0</v>
          </cell>
          <cell r="I45">
            <v>41449000.479999997</v>
          </cell>
        </row>
        <row r="46">
          <cell r="C46">
            <v>135550</v>
          </cell>
          <cell r="D46" t="str">
            <v>JUL2026135550</v>
          </cell>
          <cell r="E46" t="str">
            <v>Autorretención Especial por Renta</v>
          </cell>
          <cell r="F46">
            <v>164012000</v>
          </cell>
          <cell r="G46">
            <v>115616000</v>
          </cell>
          <cell r="H46">
            <v>0</v>
          </cell>
          <cell r="I46">
            <v>279628000</v>
          </cell>
        </row>
        <row r="47">
          <cell r="C47">
            <v>13555001</v>
          </cell>
          <cell r="D47" t="str">
            <v>JUL202613555001</v>
          </cell>
          <cell r="E47" t="str">
            <v>Autorretención Especial por Renta 1.10%</v>
          </cell>
          <cell r="F47">
            <v>164012000</v>
          </cell>
          <cell r="G47">
            <v>115616000</v>
          </cell>
          <cell r="H47">
            <v>0</v>
          </cell>
          <cell r="I47">
            <v>279628000</v>
          </cell>
        </row>
        <row r="48">
          <cell r="C48">
            <v>1365</v>
          </cell>
          <cell r="D48" t="str">
            <v>JUL20261365</v>
          </cell>
          <cell r="E48" t="str">
            <v>Cuentas por Cobrar a Trabajadores</v>
          </cell>
          <cell r="F48">
            <v>19896856</v>
          </cell>
          <cell r="G48">
            <v>10356500</v>
          </cell>
          <cell r="H48">
            <v>20969333</v>
          </cell>
          <cell r="I48">
            <v>9284023</v>
          </cell>
        </row>
        <row r="49">
          <cell r="C49">
            <v>136595</v>
          </cell>
          <cell r="D49" t="str">
            <v>JUL2026136595</v>
          </cell>
          <cell r="E49" t="str">
            <v>Otras Cuentas por Cobrar a Trabajadores</v>
          </cell>
          <cell r="F49">
            <v>19896856</v>
          </cell>
          <cell r="G49">
            <v>10356500</v>
          </cell>
          <cell r="H49">
            <v>20969333</v>
          </cell>
          <cell r="I49">
            <v>9284023</v>
          </cell>
        </row>
        <row r="50">
          <cell r="C50">
            <v>13659501</v>
          </cell>
          <cell r="D50" t="str">
            <v>JUL202613659501</v>
          </cell>
          <cell r="E50" t="str">
            <v>Otras Cuentas por Cobrar a Trabajadores</v>
          </cell>
          <cell r="F50">
            <v>19896856</v>
          </cell>
          <cell r="G50">
            <v>10356500</v>
          </cell>
          <cell r="H50">
            <v>20969333</v>
          </cell>
          <cell r="I50">
            <v>9284023</v>
          </cell>
        </row>
        <row r="51">
          <cell r="C51">
            <v>1380</v>
          </cell>
          <cell r="D51" t="str">
            <v>JUL20261380</v>
          </cell>
          <cell r="E51" t="str">
            <v>Depositarios</v>
          </cell>
          <cell r="F51">
            <v>22380111</v>
          </cell>
          <cell r="G51">
            <v>2600800</v>
          </cell>
          <cell r="H51">
            <v>100000</v>
          </cell>
          <cell r="I51">
            <v>24880911</v>
          </cell>
        </row>
        <row r="52">
          <cell r="C52">
            <v>138020</v>
          </cell>
          <cell r="D52" t="str">
            <v>JUL2026138020</v>
          </cell>
          <cell r="E52" t="str">
            <v>Depositarios</v>
          </cell>
          <cell r="F52">
            <v>22380111</v>
          </cell>
          <cell r="G52">
            <v>2600800</v>
          </cell>
          <cell r="H52">
            <v>100000</v>
          </cell>
          <cell r="I52">
            <v>24880911</v>
          </cell>
        </row>
        <row r="53">
          <cell r="C53">
            <v>13802001</v>
          </cell>
          <cell r="D53" t="str">
            <v>JUL202613802001</v>
          </cell>
          <cell r="E53" t="str">
            <v>Cuentas por Cobrar a Terceros</v>
          </cell>
          <cell r="F53">
            <v>22380111</v>
          </cell>
          <cell r="G53">
            <v>2600800</v>
          </cell>
          <cell r="H53">
            <v>100000</v>
          </cell>
          <cell r="I53">
            <v>24880911</v>
          </cell>
        </row>
        <row r="54">
          <cell r="C54">
            <v>14</v>
          </cell>
          <cell r="D54" t="str">
            <v>JUL202614</v>
          </cell>
          <cell r="E54" t="str">
            <v>Inventario</v>
          </cell>
          <cell r="F54">
            <v>568990212</v>
          </cell>
          <cell r="G54">
            <v>0</v>
          </cell>
          <cell r="H54">
            <v>0</v>
          </cell>
          <cell r="I54">
            <v>568990212</v>
          </cell>
        </row>
        <row r="55">
          <cell r="C55">
            <v>1435</v>
          </cell>
          <cell r="D55" t="str">
            <v>JUL20261435</v>
          </cell>
          <cell r="E55" t="str">
            <v>Inventario de Mercancías No Fabricadas por la Empresa</v>
          </cell>
          <cell r="F55">
            <v>568990212</v>
          </cell>
          <cell r="G55">
            <v>0</v>
          </cell>
          <cell r="H55">
            <v>0</v>
          </cell>
          <cell r="I55">
            <v>568990212</v>
          </cell>
        </row>
        <row r="56">
          <cell r="C56">
            <v>143505</v>
          </cell>
          <cell r="D56" t="str">
            <v>JUL2026143505</v>
          </cell>
          <cell r="E56" t="str">
            <v>Inventario de Mercancías No Fabricadas por la Empresa</v>
          </cell>
          <cell r="F56">
            <v>568990212</v>
          </cell>
          <cell r="G56">
            <v>0</v>
          </cell>
          <cell r="H56">
            <v>0</v>
          </cell>
          <cell r="I56">
            <v>568990212</v>
          </cell>
        </row>
        <row r="57">
          <cell r="C57">
            <v>14350501</v>
          </cell>
          <cell r="D57" t="str">
            <v>JUL202614350501</v>
          </cell>
          <cell r="E57" t="str">
            <v>Inventario de insumos</v>
          </cell>
          <cell r="F57">
            <v>568990212</v>
          </cell>
          <cell r="G57">
            <v>0</v>
          </cell>
          <cell r="H57">
            <v>0</v>
          </cell>
          <cell r="I57">
            <v>568990212</v>
          </cell>
        </row>
        <row r="58">
          <cell r="C58">
            <v>15</v>
          </cell>
          <cell r="D58" t="str">
            <v>JUL202615</v>
          </cell>
          <cell r="E58" t="str">
            <v>Propiedad Planta y Equipo</v>
          </cell>
          <cell r="F58">
            <v>9757431464.3400002</v>
          </cell>
          <cell r="G58">
            <v>863205916.53999996</v>
          </cell>
          <cell r="H58">
            <v>573901844.23000002</v>
          </cell>
          <cell r="I58">
            <v>10046735536.65</v>
          </cell>
        </row>
        <row r="59">
          <cell r="C59">
            <v>1508</v>
          </cell>
          <cell r="D59" t="str">
            <v>JUL20261508</v>
          </cell>
          <cell r="E59" t="str">
            <v>Construcciones en curso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</row>
        <row r="60">
          <cell r="C60">
            <v>15080501</v>
          </cell>
          <cell r="D60" t="str">
            <v>JUL202615080501</v>
          </cell>
          <cell r="E60" t="str">
            <v>Construcciones y edificaciones en curso</v>
          </cell>
          <cell r="F60">
            <v>-7195758</v>
          </cell>
          <cell r="G60">
            <v>0</v>
          </cell>
          <cell r="H60">
            <v>0</v>
          </cell>
          <cell r="I60">
            <v>-7195758</v>
          </cell>
        </row>
        <row r="61">
          <cell r="C61">
            <v>15080524</v>
          </cell>
          <cell r="D61" t="str">
            <v>JUL202615080524</v>
          </cell>
          <cell r="E61" t="str">
            <v>Iva mayor valor construccion en proceso</v>
          </cell>
          <cell r="F61">
            <v>7195758</v>
          </cell>
          <cell r="G61">
            <v>0</v>
          </cell>
          <cell r="H61">
            <v>0</v>
          </cell>
          <cell r="I61">
            <v>7195758</v>
          </cell>
        </row>
        <row r="62">
          <cell r="C62">
            <v>1516</v>
          </cell>
          <cell r="D62" t="str">
            <v>JUL20261516</v>
          </cell>
          <cell r="E62" t="str">
            <v>Construcciones y Edificaciones</v>
          </cell>
          <cell r="F62">
            <v>4529801870.4200001</v>
          </cell>
          <cell r="G62">
            <v>297692468.89999998</v>
          </cell>
          <cell r="H62">
            <v>107472583.23</v>
          </cell>
          <cell r="I62">
            <v>4720021756.0900002</v>
          </cell>
        </row>
        <row r="63">
          <cell r="C63">
            <v>151605</v>
          </cell>
          <cell r="D63" t="str">
            <v>JUL2026151605</v>
          </cell>
          <cell r="E63" t="str">
            <v>Construcciones y Edificaciones</v>
          </cell>
          <cell r="F63">
            <v>4129801870.4200001</v>
          </cell>
          <cell r="G63">
            <v>297692468.89999998</v>
          </cell>
          <cell r="H63">
            <v>107472583.23</v>
          </cell>
          <cell r="I63">
            <v>4320021756.0900002</v>
          </cell>
        </row>
        <row r="64">
          <cell r="C64">
            <v>15161002</v>
          </cell>
          <cell r="D64" t="str">
            <v>JUL202615161002</v>
          </cell>
          <cell r="E64" t="str">
            <v>Mejoras en propiedad ajena</v>
          </cell>
          <cell r="F64">
            <v>4127132252</v>
          </cell>
          <cell r="G64">
            <v>283942567.44</v>
          </cell>
          <cell r="H64">
            <v>103202436.59</v>
          </cell>
          <cell r="I64">
            <v>4307872382.8500004</v>
          </cell>
        </row>
        <row r="65">
          <cell r="C65">
            <v>15161024</v>
          </cell>
          <cell r="D65" t="str">
            <v>JUL202615161024</v>
          </cell>
          <cell r="E65" t="str">
            <v>Iva mayor valor mejoras en propiedad ajena</v>
          </cell>
          <cell r="F65">
            <v>2669618.42</v>
          </cell>
          <cell r="G65">
            <v>13749901.460000001</v>
          </cell>
          <cell r="H65">
            <v>4270146.6399999997</v>
          </cell>
          <cell r="I65">
            <v>12149373.24</v>
          </cell>
        </row>
        <row r="66">
          <cell r="C66">
            <v>151610</v>
          </cell>
          <cell r="D66" t="str">
            <v>JUL2026151610</v>
          </cell>
          <cell r="E66" t="str">
            <v>Construcciones y Edificaciones Oficinas</v>
          </cell>
          <cell r="F66">
            <v>400000000</v>
          </cell>
          <cell r="G66">
            <v>0</v>
          </cell>
          <cell r="H66">
            <v>0</v>
          </cell>
          <cell r="I66">
            <v>400000000</v>
          </cell>
        </row>
        <row r="67">
          <cell r="C67">
            <v>15161001</v>
          </cell>
          <cell r="D67" t="str">
            <v>JUL202615161001</v>
          </cell>
          <cell r="E67" t="str">
            <v>Construcciones y Edificaciones Oficinas</v>
          </cell>
          <cell r="F67">
            <v>400000000</v>
          </cell>
          <cell r="G67">
            <v>0</v>
          </cell>
          <cell r="H67">
            <v>0</v>
          </cell>
          <cell r="I67">
            <v>400000000</v>
          </cell>
        </row>
        <row r="68">
          <cell r="C68">
            <v>1520</v>
          </cell>
          <cell r="D68" t="str">
            <v>JUL20261520</v>
          </cell>
          <cell r="E68" t="str">
            <v>Maquinaria y Equipo</v>
          </cell>
          <cell r="F68">
            <v>6309546316.6000004</v>
          </cell>
          <cell r="G68">
            <v>376129996.29000002</v>
          </cell>
          <cell r="H68">
            <v>0</v>
          </cell>
          <cell r="I68">
            <v>6685676312.8900003</v>
          </cell>
        </row>
        <row r="69">
          <cell r="C69">
            <v>152005</v>
          </cell>
          <cell r="D69" t="str">
            <v>JUL2026152005</v>
          </cell>
          <cell r="E69" t="str">
            <v>Maquinaria, Equipo y Herramientas</v>
          </cell>
          <cell r="F69">
            <v>6309546316.6000004</v>
          </cell>
          <cell r="G69">
            <v>376129996.29000002</v>
          </cell>
          <cell r="H69">
            <v>0</v>
          </cell>
          <cell r="I69">
            <v>6685676312.8900003</v>
          </cell>
        </row>
        <row r="70">
          <cell r="C70">
            <v>15200501</v>
          </cell>
          <cell r="D70" t="str">
            <v>JUL202615200501</v>
          </cell>
          <cell r="E70" t="str">
            <v>Maquinaria, Equipo y Herramientas</v>
          </cell>
          <cell r="F70">
            <v>1454352854.0699999</v>
          </cell>
          <cell r="G70">
            <v>294131206.97000003</v>
          </cell>
          <cell r="H70">
            <v>0</v>
          </cell>
          <cell r="I70">
            <v>1748484061.04</v>
          </cell>
        </row>
        <row r="71">
          <cell r="C71">
            <v>15200502</v>
          </cell>
          <cell r="D71" t="str">
            <v>JUL202615200502</v>
          </cell>
          <cell r="E71" t="str">
            <v>Equipos Alcon</v>
          </cell>
          <cell r="F71">
            <v>2344495593.7199998</v>
          </cell>
          <cell r="G71">
            <v>45894000</v>
          </cell>
          <cell r="H71">
            <v>0</v>
          </cell>
          <cell r="I71">
            <v>2390389593.7199998</v>
          </cell>
        </row>
        <row r="72">
          <cell r="C72">
            <v>15200503</v>
          </cell>
          <cell r="D72" t="str">
            <v>JUL202615200503</v>
          </cell>
          <cell r="E72" t="str">
            <v>Equipo Statim</v>
          </cell>
          <cell r="F72">
            <v>60744520</v>
          </cell>
          <cell r="G72">
            <v>0</v>
          </cell>
          <cell r="H72">
            <v>0</v>
          </cell>
          <cell r="I72">
            <v>60744520</v>
          </cell>
        </row>
        <row r="73">
          <cell r="C73">
            <v>15200504</v>
          </cell>
          <cell r="D73" t="str">
            <v>JUL202615200504</v>
          </cell>
          <cell r="E73" t="str">
            <v>Equipos cuenta en participacion</v>
          </cell>
          <cell r="F73">
            <v>1908457343.47</v>
          </cell>
          <cell r="G73">
            <v>0</v>
          </cell>
          <cell r="H73">
            <v>0</v>
          </cell>
          <cell r="I73">
            <v>1908457343.47</v>
          </cell>
        </row>
        <row r="74">
          <cell r="C74">
            <v>15200524</v>
          </cell>
          <cell r="D74" t="str">
            <v>JUL202615200524</v>
          </cell>
          <cell r="E74" t="str">
            <v>Iva mayor valor maquinaria y equipo</v>
          </cell>
          <cell r="F74">
            <v>541496005.34000003</v>
          </cell>
          <cell r="G74">
            <v>36104789.32</v>
          </cell>
          <cell r="H74">
            <v>0</v>
          </cell>
          <cell r="I74">
            <v>577600794.65999997</v>
          </cell>
        </row>
        <row r="75">
          <cell r="C75">
            <v>1524</v>
          </cell>
          <cell r="D75" t="str">
            <v>JUL20261524</v>
          </cell>
          <cell r="E75" t="str">
            <v>Equipo de Oficina</v>
          </cell>
          <cell r="F75">
            <v>208954996.99000001</v>
          </cell>
          <cell r="G75">
            <v>117504551.78</v>
          </cell>
          <cell r="H75">
            <v>14953064</v>
          </cell>
          <cell r="I75">
            <v>311506484.76999998</v>
          </cell>
        </row>
        <row r="76">
          <cell r="C76">
            <v>152405</v>
          </cell>
          <cell r="D76" t="str">
            <v>JUL2026152405</v>
          </cell>
          <cell r="E76" t="str">
            <v>Equipo de Oficina Muebles y Enseres</v>
          </cell>
          <cell r="F76">
            <v>179076697.55000001</v>
          </cell>
          <cell r="G76">
            <v>96057551.780000001</v>
          </cell>
          <cell r="H76">
            <v>14953064</v>
          </cell>
          <cell r="I76">
            <v>260181185.33000001</v>
          </cell>
        </row>
        <row r="77">
          <cell r="C77">
            <v>15240501</v>
          </cell>
          <cell r="D77" t="str">
            <v>JUL202615240501</v>
          </cell>
          <cell r="E77" t="str">
            <v>Equipo de Oficina Muebles y Enseres</v>
          </cell>
          <cell r="F77">
            <v>161931809.21000001</v>
          </cell>
          <cell r="G77">
            <v>91187726</v>
          </cell>
          <cell r="H77">
            <v>14953064</v>
          </cell>
          <cell r="I77">
            <v>238166471.21000001</v>
          </cell>
        </row>
        <row r="78">
          <cell r="C78">
            <v>15240524</v>
          </cell>
          <cell r="D78" t="str">
            <v>JUL202615240524</v>
          </cell>
          <cell r="E78" t="str">
            <v>Iva mayor valor muebles y enseres</v>
          </cell>
          <cell r="F78">
            <v>17144888.34</v>
          </cell>
          <cell r="G78">
            <v>4869825.78</v>
          </cell>
          <cell r="H78">
            <v>0</v>
          </cell>
          <cell r="I78">
            <v>22014714.120000001</v>
          </cell>
        </row>
        <row r="79">
          <cell r="C79">
            <v>152410</v>
          </cell>
          <cell r="D79" t="str">
            <v>JUL2026152410</v>
          </cell>
          <cell r="E79" t="str">
            <v>Equipo de Oficina Equipos</v>
          </cell>
          <cell r="F79">
            <v>29635299.440000001</v>
          </cell>
          <cell r="G79">
            <v>21447000</v>
          </cell>
          <cell r="H79">
            <v>0</v>
          </cell>
          <cell r="I79">
            <v>51082299.439999998</v>
          </cell>
        </row>
        <row r="80">
          <cell r="C80">
            <v>15241001</v>
          </cell>
          <cell r="D80" t="str">
            <v>JUL202615241001</v>
          </cell>
          <cell r="E80" t="str">
            <v>Equipo de Oficina Equipos</v>
          </cell>
          <cell r="F80">
            <v>27771176</v>
          </cell>
          <cell r="G80">
            <v>18255000</v>
          </cell>
          <cell r="H80">
            <v>0</v>
          </cell>
          <cell r="I80">
            <v>46026176</v>
          </cell>
        </row>
        <row r="81">
          <cell r="C81">
            <v>15241024</v>
          </cell>
          <cell r="D81" t="str">
            <v>JUL202615241024</v>
          </cell>
          <cell r="E81" t="str">
            <v>Iva mayor valor Equipos de oficina</v>
          </cell>
          <cell r="F81">
            <v>1864123.44</v>
          </cell>
          <cell r="G81">
            <v>3192000</v>
          </cell>
          <cell r="H81">
            <v>0</v>
          </cell>
          <cell r="I81">
            <v>5056123.4400000004</v>
          </cell>
        </row>
        <row r="82">
          <cell r="C82">
            <v>152495</v>
          </cell>
          <cell r="D82" t="str">
            <v>JUL2026152495</v>
          </cell>
          <cell r="E82" t="str">
            <v>Otros Equipo de Oficina</v>
          </cell>
          <cell r="F82">
            <v>243000</v>
          </cell>
          <cell r="G82">
            <v>0</v>
          </cell>
          <cell r="H82">
            <v>0</v>
          </cell>
          <cell r="I82">
            <v>243000</v>
          </cell>
        </row>
        <row r="83">
          <cell r="C83">
            <v>15249501</v>
          </cell>
          <cell r="D83" t="str">
            <v>JUL202615249501</v>
          </cell>
          <cell r="E83" t="str">
            <v>Otros Equipo de Oficina</v>
          </cell>
          <cell r="F83">
            <v>243000</v>
          </cell>
          <cell r="G83">
            <v>0</v>
          </cell>
          <cell r="H83">
            <v>0</v>
          </cell>
          <cell r="I83">
            <v>243000</v>
          </cell>
        </row>
        <row r="84">
          <cell r="C84">
            <v>1528</v>
          </cell>
          <cell r="D84" t="str">
            <v>JUL20261528</v>
          </cell>
          <cell r="E84" t="str">
            <v>Equipo de Cómputo y Comunicación</v>
          </cell>
          <cell r="F84">
            <v>156486548.33000001</v>
          </cell>
          <cell r="G84">
            <v>62078899.57</v>
          </cell>
          <cell r="H84">
            <v>5237400</v>
          </cell>
          <cell r="I84">
            <v>213328047.90000001</v>
          </cell>
        </row>
        <row r="85">
          <cell r="C85">
            <v>152805</v>
          </cell>
          <cell r="D85" t="str">
            <v>JUL2026152805</v>
          </cell>
          <cell r="E85" t="str">
            <v>Equipos de Procesamientos de Datos</v>
          </cell>
          <cell r="F85">
            <v>128250470.56</v>
          </cell>
          <cell r="G85">
            <v>62078899.57</v>
          </cell>
          <cell r="H85">
            <v>5237400</v>
          </cell>
          <cell r="I85">
            <v>185091970.13</v>
          </cell>
        </row>
        <row r="86">
          <cell r="C86">
            <v>15280501</v>
          </cell>
          <cell r="D86" t="str">
            <v>JUL202615280501</v>
          </cell>
          <cell r="E86" t="str">
            <v>Equipos de Procesamientos de Datos</v>
          </cell>
          <cell r="F86">
            <v>122991584.02</v>
          </cell>
          <cell r="G86">
            <v>61009503</v>
          </cell>
          <cell r="H86">
            <v>5237400</v>
          </cell>
          <cell r="I86">
            <v>178763687.02000001</v>
          </cell>
        </row>
        <row r="87">
          <cell r="C87">
            <v>15280524</v>
          </cell>
          <cell r="D87" t="str">
            <v>JUL202615280524</v>
          </cell>
          <cell r="E87" t="str">
            <v>Iva mayor valor e procesamiento e datos</v>
          </cell>
          <cell r="F87">
            <v>5258886.54</v>
          </cell>
          <cell r="G87">
            <v>1069396.57</v>
          </cell>
          <cell r="H87">
            <v>0</v>
          </cell>
          <cell r="I87">
            <v>6328283.1100000003</v>
          </cell>
        </row>
        <row r="88">
          <cell r="C88">
            <v>152810</v>
          </cell>
          <cell r="D88" t="str">
            <v>JUL2026152810</v>
          </cell>
          <cell r="E88" t="str">
            <v>Equipos de Telecomunicaciones</v>
          </cell>
          <cell r="F88">
            <v>28236077.77</v>
          </cell>
          <cell r="G88">
            <v>0</v>
          </cell>
          <cell r="H88">
            <v>0</v>
          </cell>
          <cell r="I88">
            <v>28236077.77</v>
          </cell>
        </row>
        <row r="89">
          <cell r="C89">
            <v>15281001</v>
          </cell>
          <cell r="D89" t="str">
            <v>JUL202615281001</v>
          </cell>
          <cell r="E89" t="str">
            <v>Equipos de Telecomunicaciones</v>
          </cell>
          <cell r="F89">
            <v>25705948.75</v>
          </cell>
          <cell r="G89">
            <v>0</v>
          </cell>
          <cell r="H89">
            <v>0</v>
          </cell>
          <cell r="I89">
            <v>25705948.75</v>
          </cell>
        </row>
        <row r="90">
          <cell r="C90">
            <v>15281024</v>
          </cell>
          <cell r="D90" t="str">
            <v>JUL202615281024</v>
          </cell>
          <cell r="E90" t="str">
            <v>Iva mayor valor equipo telecomunicaciones</v>
          </cell>
          <cell r="F90">
            <v>2530129.02</v>
          </cell>
          <cell r="G90">
            <v>0</v>
          </cell>
          <cell r="H90">
            <v>0</v>
          </cell>
          <cell r="I90">
            <v>2530129.02</v>
          </cell>
        </row>
        <row r="91">
          <cell r="C91">
            <v>1532</v>
          </cell>
          <cell r="D91" t="str">
            <v>JUL20261532</v>
          </cell>
          <cell r="E91" t="str">
            <v>Equipo médico científico</v>
          </cell>
          <cell r="F91">
            <v>422427607</v>
          </cell>
          <cell r="G91">
            <v>9800000</v>
          </cell>
          <cell r="H91">
            <v>4900000</v>
          </cell>
          <cell r="I91">
            <v>427327607</v>
          </cell>
        </row>
        <row r="92">
          <cell r="C92">
            <v>15320501</v>
          </cell>
          <cell r="D92" t="str">
            <v>JUL202615320501</v>
          </cell>
          <cell r="E92" t="str">
            <v>Equipo oftalmológico</v>
          </cell>
          <cell r="F92">
            <v>361956092</v>
          </cell>
          <cell r="G92">
            <v>4900000</v>
          </cell>
          <cell r="H92">
            <v>0</v>
          </cell>
          <cell r="I92">
            <v>366856092</v>
          </cell>
        </row>
        <row r="93">
          <cell r="C93">
            <v>15320502</v>
          </cell>
          <cell r="D93" t="str">
            <v>JUL202615320502</v>
          </cell>
          <cell r="E93" t="str">
            <v>Camilla</v>
          </cell>
          <cell r="F93">
            <v>18944100</v>
          </cell>
          <cell r="G93">
            <v>4900000</v>
          </cell>
          <cell r="H93">
            <v>4900000</v>
          </cell>
          <cell r="I93">
            <v>18944100</v>
          </cell>
        </row>
        <row r="94">
          <cell r="C94">
            <v>15320524</v>
          </cell>
          <cell r="D94" t="str">
            <v>JUL202615320524</v>
          </cell>
          <cell r="E94" t="str">
            <v>Iva mayor valor equipo médico</v>
          </cell>
          <cell r="F94">
            <v>41527415</v>
          </cell>
          <cell r="G94">
            <v>0</v>
          </cell>
          <cell r="H94">
            <v>0</v>
          </cell>
          <cell r="I94">
            <v>41527415</v>
          </cell>
        </row>
        <row r="95">
          <cell r="C95">
            <v>1592</v>
          </cell>
          <cell r="D95" t="str">
            <v>JUL20261592</v>
          </cell>
          <cell r="E95" t="str">
            <v>Depreciación Acumulada</v>
          </cell>
          <cell r="F95">
            <v>-1869785875</v>
          </cell>
          <cell r="G95">
            <v>0</v>
          </cell>
          <cell r="H95">
            <v>441338797</v>
          </cell>
          <cell r="I95">
            <v>-2311124672</v>
          </cell>
        </row>
        <row r="96">
          <cell r="C96">
            <v>159205</v>
          </cell>
          <cell r="D96" t="str">
            <v>JUL2026159205</v>
          </cell>
          <cell r="E96" t="str">
            <v>Depreciación Construcciones y Edificaciones</v>
          </cell>
          <cell r="F96">
            <v>-468097675</v>
          </cell>
          <cell r="G96">
            <v>0</v>
          </cell>
          <cell r="H96">
            <v>158208196</v>
          </cell>
          <cell r="I96">
            <v>-626305871</v>
          </cell>
        </row>
        <row r="97">
          <cell r="C97">
            <v>15920501</v>
          </cell>
          <cell r="D97" t="str">
            <v>JUL202615920501</v>
          </cell>
          <cell r="E97" t="str">
            <v>Depreciación Construcciones y Edificaciones</v>
          </cell>
          <cell r="F97">
            <v>-468097675</v>
          </cell>
          <cell r="G97">
            <v>0</v>
          </cell>
          <cell r="H97">
            <v>158208196</v>
          </cell>
          <cell r="I97">
            <v>-626305871</v>
          </cell>
        </row>
        <row r="98">
          <cell r="C98">
            <v>159215</v>
          </cell>
          <cell r="D98" t="str">
            <v>JUL2026159215</v>
          </cell>
          <cell r="E98" t="str">
            <v>Depreciación Equipo de Oficina</v>
          </cell>
          <cell r="F98">
            <v>-66577261</v>
          </cell>
          <cell r="G98">
            <v>0</v>
          </cell>
          <cell r="H98">
            <v>11228857</v>
          </cell>
          <cell r="I98">
            <v>-77806118</v>
          </cell>
        </row>
        <row r="99">
          <cell r="C99">
            <v>15921501</v>
          </cell>
          <cell r="D99" t="str">
            <v>JUL202615921501</v>
          </cell>
          <cell r="E99" t="str">
            <v>Depreciación Equipo de Oficina</v>
          </cell>
          <cell r="F99">
            <v>-66577261</v>
          </cell>
          <cell r="G99">
            <v>0</v>
          </cell>
          <cell r="H99">
            <v>11228857</v>
          </cell>
          <cell r="I99">
            <v>-77806118</v>
          </cell>
        </row>
        <row r="100">
          <cell r="C100">
            <v>159220</v>
          </cell>
          <cell r="D100" t="str">
            <v>JUL2026159220</v>
          </cell>
          <cell r="E100" t="str">
            <v>Depreciación Equipo de Computo y Comunicación</v>
          </cell>
          <cell r="F100">
            <v>-52529207</v>
          </cell>
          <cell r="G100">
            <v>0</v>
          </cell>
          <cell r="H100">
            <v>20489092</v>
          </cell>
          <cell r="I100">
            <v>-73018299</v>
          </cell>
        </row>
        <row r="101">
          <cell r="C101">
            <v>15922001</v>
          </cell>
          <cell r="D101" t="str">
            <v>JUL202615922001</v>
          </cell>
          <cell r="E101" t="str">
            <v>Depreciación Equipo de Computo y Comunicación</v>
          </cell>
          <cell r="F101">
            <v>-52529207</v>
          </cell>
          <cell r="G101">
            <v>0</v>
          </cell>
          <cell r="H101">
            <v>20489092</v>
          </cell>
          <cell r="I101">
            <v>-73018299</v>
          </cell>
        </row>
        <row r="102">
          <cell r="C102">
            <v>159230</v>
          </cell>
          <cell r="D102" t="str">
            <v>JUL2026159230</v>
          </cell>
          <cell r="E102" t="str">
            <v>Depreciación equipos medicos</v>
          </cell>
          <cell r="F102">
            <v>-1282581732</v>
          </cell>
          <cell r="G102">
            <v>0</v>
          </cell>
          <cell r="H102">
            <v>251412652</v>
          </cell>
          <cell r="I102">
            <v>-1533994384</v>
          </cell>
        </row>
        <row r="103">
          <cell r="C103">
            <v>15923001</v>
          </cell>
          <cell r="D103" t="str">
            <v>JUL202615923001</v>
          </cell>
          <cell r="E103" t="str">
            <v>Deprecición equipos medicos</v>
          </cell>
          <cell r="F103">
            <v>-1282581732</v>
          </cell>
          <cell r="G103">
            <v>0</v>
          </cell>
          <cell r="H103">
            <v>251412652</v>
          </cell>
          <cell r="I103">
            <v>-1533994384</v>
          </cell>
        </row>
        <row r="104">
          <cell r="C104">
            <v>17</v>
          </cell>
          <cell r="D104" t="str">
            <v>JUL202617</v>
          </cell>
          <cell r="E104" t="str">
            <v>Diferidos</v>
          </cell>
          <cell r="F104">
            <v>320735783.62</v>
          </cell>
          <cell r="G104">
            <v>34456973.600000001</v>
          </cell>
          <cell r="H104">
            <v>83328293</v>
          </cell>
          <cell r="I104">
            <v>271864464.22000003</v>
          </cell>
        </row>
        <row r="105">
          <cell r="C105">
            <v>1705</v>
          </cell>
          <cell r="D105" t="str">
            <v>JUL20261705</v>
          </cell>
          <cell r="E105" t="str">
            <v>Gastos Pagados por Anticipado</v>
          </cell>
          <cell r="F105">
            <v>320735783.62</v>
          </cell>
          <cell r="G105">
            <v>34456973.600000001</v>
          </cell>
          <cell r="H105">
            <v>83328293</v>
          </cell>
          <cell r="I105">
            <v>271864464.22000003</v>
          </cell>
        </row>
        <row r="106">
          <cell r="C106">
            <v>170520</v>
          </cell>
          <cell r="D106" t="str">
            <v>JUL2026170520</v>
          </cell>
          <cell r="E106" t="str">
            <v>Gastos Pagados por Anticipado Seguros y Finanzas</v>
          </cell>
          <cell r="F106">
            <v>0</v>
          </cell>
          <cell r="G106">
            <v>34456973.600000001</v>
          </cell>
          <cell r="H106">
            <v>17228490</v>
          </cell>
          <cell r="I106">
            <v>17228483.600000001</v>
          </cell>
        </row>
        <row r="107">
          <cell r="C107">
            <v>17052001</v>
          </cell>
          <cell r="D107" t="str">
            <v>JUL202617052001</v>
          </cell>
          <cell r="E107" t="str">
            <v>Gastos Pagados por Anticipado Seguros y Finanzas</v>
          </cell>
          <cell r="F107">
            <v>0</v>
          </cell>
          <cell r="G107">
            <v>28955440</v>
          </cell>
          <cell r="H107">
            <v>17228490</v>
          </cell>
          <cell r="I107">
            <v>11726950</v>
          </cell>
        </row>
        <row r="108">
          <cell r="C108">
            <v>17052098</v>
          </cell>
          <cell r="D108" t="str">
            <v>JUL202617052098</v>
          </cell>
          <cell r="E108" t="str">
            <v>Iva maor valor gastos pagados por anticipado seguros</v>
          </cell>
          <cell r="F108">
            <v>0</v>
          </cell>
          <cell r="G108">
            <v>5501533.5999999996</v>
          </cell>
          <cell r="H108">
            <v>0</v>
          </cell>
          <cell r="I108">
            <v>5501533.5999999996</v>
          </cell>
        </row>
        <row r="109">
          <cell r="C109">
            <v>170595</v>
          </cell>
          <cell r="D109" t="str">
            <v>JUL2026170595</v>
          </cell>
          <cell r="E109" t="str">
            <v>Otros Gastos Pagados por Anticipado</v>
          </cell>
          <cell r="F109">
            <v>320735783.62</v>
          </cell>
          <cell r="G109">
            <v>0</v>
          </cell>
          <cell r="H109">
            <v>66099803</v>
          </cell>
          <cell r="I109">
            <v>254635980.62</v>
          </cell>
        </row>
        <row r="110">
          <cell r="C110">
            <v>17059501</v>
          </cell>
          <cell r="D110" t="str">
            <v>JUL202617059501</v>
          </cell>
          <cell r="E110" t="str">
            <v>Otros Gastos Pagados por Anticipado</v>
          </cell>
          <cell r="F110">
            <v>282546582</v>
          </cell>
          <cell r="G110">
            <v>0</v>
          </cell>
          <cell r="H110">
            <v>66099803</v>
          </cell>
          <cell r="I110">
            <v>216446779</v>
          </cell>
        </row>
        <row r="111">
          <cell r="C111">
            <v>17059528</v>
          </cell>
          <cell r="D111" t="str">
            <v>JUL202617059528</v>
          </cell>
          <cell r="E111" t="str">
            <v>Iva mayor valor Otros gastos pagados por anticipado</v>
          </cell>
          <cell r="F111">
            <v>38189201.619999997</v>
          </cell>
          <cell r="G111">
            <v>0</v>
          </cell>
          <cell r="H111">
            <v>0</v>
          </cell>
          <cell r="I111">
            <v>38189201.619999997</v>
          </cell>
        </row>
        <row r="112">
          <cell r="C112">
            <v>2</v>
          </cell>
          <cell r="D112" t="str">
            <v>JUL20262</v>
          </cell>
          <cell r="E112" t="str">
            <v>Pasivos</v>
          </cell>
          <cell r="F112">
            <v>-10606247499.07</v>
          </cell>
          <cell r="G112">
            <v>18264751407.029999</v>
          </cell>
          <cell r="H112">
            <v>14988333471.629999</v>
          </cell>
          <cell r="I112">
            <v>-7329829563.6700001</v>
          </cell>
        </row>
        <row r="113">
          <cell r="C113">
            <v>21</v>
          </cell>
          <cell r="D113" t="str">
            <v>JUL202621</v>
          </cell>
          <cell r="E113" t="str">
            <v>Pasivos Financieros</v>
          </cell>
          <cell r="F113">
            <v>-750416473.17999995</v>
          </cell>
          <cell r="G113">
            <v>483897954.95999998</v>
          </cell>
          <cell r="H113">
            <v>464874309.08999997</v>
          </cell>
          <cell r="I113">
            <v>-731392827.30999994</v>
          </cell>
        </row>
        <row r="114">
          <cell r="C114">
            <v>2105</v>
          </cell>
          <cell r="D114" t="str">
            <v>JUL20262105</v>
          </cell>
          <cell r="E114" t="str">
            <v>Pasivos Financieros Bancos Nacionales</v>
          </cell>
          <cell r="F114">
            <v>-700707038.11000001</v>
          </cell>
          <cell r="G114">
            <v>338043814.69</v>
          </cell>
          <cell r="H114">
            <v>206211753.30000001</v>
          </cell>
          <cell r="I114">
            <v>-568874976.72000003</v>
          </cell>
        </row>
        <row r="115">
          <cell r="C115">
            <v>210510</v>
          </cell>
          <cell r="D115" t="str">
            <v>JUL2026210510</v>
          </cell>
          <cell r="E115" t="str">
            <v>Pasivos Financieros Bancos Nacionales Pagarés</v>
          </cell>
          <cell r="F115">
            <v>-683864415</v>
          </cell>
          <cell r="G115">
            <v>242396231</v>
          </cell>
          <cell r="H115">
            <v>114688567</v>
          </cell>
          <cell r="I115">
            <v>-556156751</v>
          </cell>
        </row>
        <row r="116">
          <cell r="C116">
            <v>21051003</v>
          </cell>
          <cell r="D116" t="str">
            <v>JUL202621051003</v>
          </cell>
          <cell r="E116" t="str">
            <v>Pasivos Financieros Bancoomeva crédito rotativo 027031</v>
          </cell>
          <cell r="F116">
            <v>-1727665</v>
          </cell>
          <cell r="G116">
            <v>4626228</v>
          </cell>
          <cell r="H116">
            <v>459551</v>
          </cell>
          <cell r="I116">
            <v>2439012</v>
          </cell>
        </row>
        <row r="117">
          <cell r="C117">
            <v>21051005</v>
          </cell>
          <cell r="D117" t="str">
            <v>JUL202621051005</v>
          </cell>
          <cell r="E117" t="str">
            <v>Leasing Davivienda</v>
          </cell>
          <cell r="F117">
            <v>-217882750</v>
          </cell>
          <cell r="G117">
            <v>5886998</v>
          </cell>
          <cell r="H117">
            <v>0</v>
          </cell>
          <cell r="I117">
            <v>-211995752</v>
          </cell>
        </row>
        <row r="118">
          <cell r="C118">
            <v>21051006</v>
          </cell>
          <cell r="D118" t="str">
            <v>JUL202621051006</v>
          </cell>
          <cell r="E118" t="str">
            <v>Pasivos fianncieros Banco caja social 31006702865</v>
          </cell>
          <cell r="F118">
            <v>-305554000</v>
          </cell>
          <cell r="G118">
            <v>189798000</v>
          </cell>
          <cell r="H118">
            <v>13225000</v>
          </cell>
          <cell r="I118">
            <v>-128981000</v>
          </cell>
        </row>
        <row r="119">
          <cell r="C119">
            <v>21051007</v>
          </cell>
          <cell r="D119" t="str">
            <v>JUL202621051007</v>
          </cell>
          <cell r="E119" t="str">
            <v>Pasivos Financieros Banco caja social 31006786281</v>
          </cell>
          <cell r="F119">
            <v>-158700000</v>
          </cell>
          <cell r="G119">
            <v>0</v>
          </cell>
          <cell r="H119">
            <v>0</v>
          </cell>
          <cell r="I119">
            <v>-158700000</v>
          </cell>
        </row>
        <row r="120">
          <cell r="C120">
            <v>21051008</v>
          </cell>
          <cell r="D120" t="str">
            <v>JUL202621051008</v>
          </cell>
          <cell r="E120" t="str">
            <v>Pasivos financieros Bancolombia Cesantías</v>
          </cell>
          <cell r="F120">
            <v>0</v>
          </cell>
          <cell r="G120">
            <v>42085005</v>
          </cell>
          <cell r="H120">
            <v>101004016</v>
          </cell>
          <cell r="I120">
            <v>-58919011</v>
          </cell>
        </row>
        <row r="121">
          <cell r="C121">
            <v>210525</v>
          </cell>
          <cell r="D121" t="str">
            <v>JUL2026210525</v>
          </cell>
          <cell r="E121" t="str">
            <v>Pasivos Financieros Bancos Nacionales Tarjetas de Crédito</v>
          </cell>
          <cell r="F121">
            <v>-16842623.109999999</v>
          </cell>
          <cell r="G121">
            <v>95647583.689999998</v>
          </cell>
          <cell r="H121">
            <v>91523186.299999997</v>
          </cell>
          <cell r="I121">
            <v>-12718225.720000001</v>
          </cell>
        </row>
        <row r="122">
          <cell r="C122">
            <v>21052501</v>
          </cell>
          <cell r="D122" t="str">
            <v>JUL202621052501</v>
          </cell>
          <cell r="E122" t="str">
            <v>Pasivos Financieros Bancoomeva Tarjetas de Crédito</v>
          </cell>
          <cell r="F122">
            <v>-6615945.1100000003</v>
          </cell>
          <cell r="G122">
            <v>4653006.6900000004</v>
          </cell>
          <cell r="H122">
            <v>4317534.3</v>
          </cell>
          <cell r="I122">
            <v>-6280472.7199999997</v>
          </cell>
        </row>
        <row r="123">
          <cell r="C123">
            <v>21052502</v>
          </cell>
          <cell r="D123" t="str">
            <v>JUL202621052502</v>
          </cell>
          <cell r="E123" t="str">
            <v>Pasivos Financieros Banco Caja Social TC MAJM</v>
          </cell>
          <cell r="F123">
            <v>-3616110</v>
          </cell>
          <cell r="G123">
            <v>78143405</v>
          </cell>
          <cell r="H123">
            <v>76826799</v>
          </cell>
          <cell r="I123">
            <v>-2299504</v>
          </cell>
        </row>
        <row r="124">
          <cell r="C124">
            <v>21052503</v>
          </cell>
          <cell r="D124" t="str">
            <v>JUL202621052503</v>
          </cell>
          <cell r="E124" t="str">
            <v>Pasivos Financieros Banco Caja Social TC MAJN</v>
          </cell>
          <cell r="F124">
            <v>-6610568</v>
          </cell>
          <cell r="G124">
            <v>12851172</v>
          </cell>
          <cell r="H124">
            <v>10378853</v>
          </cell>
          <cell r="I124">
            <v>-4138249</v>
          </cell>
        </row>
        <row r="125">
          <cell r="C125">
            <v>2115</v>
          </cell>
          <cell r="D125" t="str">
            <v>JUL20262115</v>
          </cell>
          <cell r="E125" t="str">
            <v>Pasivos Financieros Corporaciones Financieras</v>
          </cell>
          <cell r="F125">
            <v>-49709435.07</v>
          </cell>
          <cell r="G125">
            <v>145854140.27000001</v>
          </cell>
          <cell r="H125">
            <v>258662555.78999999</v>
          </cell>
          <cell r="I125">
            <v>-162517850.59</v>
          </cell>
        </row>
        <row r="126">
          <cell r="C126">
            <v>211505</v>
          </cell>
          <cell r="D126" t="str">
            <v>JUL2026211505</v>
          </cell>
          <cell r="E126" t="str">
            <v>Pasivos Financieros Corporaciones Financieras Pagarés</v>
          </cell>
          <cell r="F126">
            <v>-49709435.07</v>
          </cell>
          <cell r="G126">
            <v>145854140.27000001</v>
          </cell>
          <cell r="H126">
            <v>258662555.78999999</v>
          </cell>
          <cell r="I126">
            <v>-162517850.59</v>
          </cell>
        </row>
        <row r="127">
          <cell r="C127">
            <v>21150501</v>
          </cell>
          <cell r="D127" t="str">
            <v>JUL202621150501</v>
          </cell>
          <cell r="E127" t="str">
            <v>Pasivos Financieros Corporaciones Financieras Pagarés</v>
          </cell>
          <cell r="F127">
            <v>-49709435.07</v>
          </cell>
          <cell r="G127">
            <v>145854140.27000001</v>
          </cell>
          <cell r="H127">
            <v>258662555.78999999</v>
          </cell>
          <cell r="I127">
            <v>-162517850.59</v>
          </cell>
        </row>
        <row r="128">
          <cell r="C128">
            <v>22</v>
          </cell>
          <cell r="D128" t="str">
            <v>JUL202622</v>
          </cell>
          <cell r="E128" t="str">
            <v>Proveedores</v>
          </cell>
          <cell r="F128">
            <v>-4301786022.7700005</v>
          </cell>
          <cell r="G128">
            <v>10592847348.809999</v>
          </cell>
          <cell r="H128">
            <v>11064676805.120001</v>
          </cell>
          <cell r="I128">
            <v>-4773615479.0799999</v>
          </cell>
        </row>
        <row r="129">
          <cell r="C129">
            <v>2205</v>
          </cell>
          <cell r="D129" t="str">
            <v>JUL20262205</v>
          </cell>
          <cell r="E129" t="str">
            <v>Proveedores Nacionales</v>
          </cell>
          <cell r="F129">
            <v>-4301786022.7700005</v>
          </cell>
          <cell r="G129">
            <v>10592847348.809999</v>
          </cell>
          <cell r="H129">
            <v>11064676805.120001</v>
          </cell>
          <cell r="I129">
            <v>-4773615479.0799999</v>
          </cell>
        </row>
        <row r="130">
          <cell r="C130">
            <v>220505</v>
          </cell>
          <cell r="D130" t="str">
            <v>JUL2026220505</v>
          </cell>
          <cell r="E130" t="str">
            <v>Proveedores Nacionales</v>
          </cell>
          <cell r="F130">
            <v>-4301786022.7700005</v>
          </cell>
          <cell r="G130">
            <v>10592847348.809999</v>
          </cell>
          <cell r="H130">
            <v>11064676805.120001</v>
          </cell>
          <cell r="I130">
            <v>-4773615479.0799999</v>
          </cell>
        </row>
        <row r="131">
          <cell r="C131">
            <v>22050501</v>
          </cell>
          <cell r="D131" t="str">
            <v>JUL202622050501</v>
          </cell>
          <cell r="E131" t="str">
            <v>Proveedores Nacionales</v>
          </cell>
          <cell r="F131">
            <v>-2070620980.77</v>
          </cell>
          <cell r="G131">
            <v>10071792994.809999</v>
          </cell>
          <cell r="H131">
            <v>11064676805.120001</v>
          </cell>
          <cell r="I131">
            <v>-3063504791.0799999</v>
          </cell>
        </row>
        <row r="132">
          <cell r="C132">
            <v>22050502</v>
          </cell>
          <cell r="D132" t="str">
            <v>JUL202622050502</v>
          </cell>
          <cell r="E132" t="str">
            <v>Proveedores Nacionales a largo plazo</v>
          </cell>
          <cell r="F132">
            <v>-2231165042</v>
          </cell>
          <cell r="G132">
            <v>521054354</v>
          </cell>
          <cell r="H132">
            <v>0</v>
          </cell>
          <cell r="I132">
            <v>-1710110688</v>
          </cell>
        </row>
        <row r="133">
          <cell r="C133">
            <v>23</v>
          </cell>
          <cell r="D133" t="str">
            <v>JUL202623</v>
          </cell>
          <cell r="E133" t="str">
            <v>Cuentas por Pagar</v>
          </cell>
          <cell r="F133">
            <v>-275958191.23000002</v>
          </cell>
          <cell r="G133">
            <v>893586499.89999998</v>
          </cell>
          <cell r="H133">
            <v>1008498781.05</v>
          </cell>
          <cell r="I133">
            <v>-390870472.38</v>
          </cell>
        </row>
        <row r="134">
          <cell r="C134">
            <v>2335</v>
          </cell>
          <cell r="D134" t="str">
            <v>JUL20262335</v>
          </cell>
          <cell r="E134" t="str">
            <v>Costos y Gastos por Pagar</v>
          </cell>
          <cell r="F134">
            <v>-25412518.48</v>
          </cell>
          <cell r="G134">
            <v>263250221</v>
          </cell>
          <cell r="H134">
            <v>262487528</v>
          </cell>
          <cell r="I134">
            <v>-24649825.48</v>
          </cell>
        </row>
        <row r="135">
          <cell r="C135">
            <v>233505</v>
          </cell>
          <cell r="D135" t="str">
            <v>JUL2026233505</v>
          </cell>
          <cell r="E135" t="str">
            <v>Costos y Gastos por Pagar</v>
          </cell>
          <cell r="F135">
            <v>-25412518.48</v>
          </cell>
          <cell r="G135">
            <v>762693</v>
          </cell>
          <cell r="H135">
            <v>0</v>
          </cell>
          <cell r="I135">
            <v>-24649825.48</v>
          </cell>
        </row>
        <row r="136">
          <cell r="C136">
            <v>23350501</v>
          </cell>
          <cell r="D136" t="str">
            <v>JUL202623350501</v>
          </cell>
          <cell r="E136" t="str">
            <v>Cuentas por pagar</v>
          </cell>
          <cell r="F136">
            <v>-25412518.48</v>
          </cell>
          <cell r="G136">
            <v>762693</v>
          </cell>
          <cell r="H136">
            <v>0</v>
          </cell>
          <cell r="I136">
            <v>-24649825.48</v>
          </cell>
        </row>
        <row r="137">
          <cell r="C137">
            <v>233525</v>
          </cell>
          <cell r="D137" t="str">
            <v>JUL2026233525</v>
          </cell>
          <cell r="E137" t="str">
            <v>Honorarios por Pagar</v>
          </cell>
          <cell r="F137">
            <v>0</v>
          </cell>
          <cell r="G137">
            <v>262487528</v>
          </cell>
          <cell r="H137">
            <v>262487528</v>
          </cell>
          <cell r="I137">
            <v>0</v>
          </cell>
        </row>
        <row r="138">
          <cell r="C138">
            <v>23352501</v>
          </cell>
          <cell r="D138" t="str">
            <v>JUL202623352501</v>
          </cell>
          <cell r="E138" t="str">
            <v>Honorarios por Pagar</v>
          </cell>
          <cell r="F138">
            <v>0</v>
          </cell>
          <cell r="G138">
            <v>262487528</v>
          </cell>
          <cell r="H138">
            <v>262487528</v>
          </cell>
          <cell r="I138">
            <v>0</v>
          </cell>
        </row>
        <row r="139">
          <cell r="C139">
            <v>2345</v>
          </cell>
          <cell r="D139" t="str">
            <v>JUL20262345</v>
          </cell>
          <cell r="E139" t="str">
            <v>Acredores oficiales</v>
          </cell>
          <cell r="F139">
            <v>-230166754.55000001</v>
          </cell>
          <cell r="G139">
            <v>0</v>
          </cell>
          <cell r="H139">
            <v>0</v>
          </cell>
          <cell r="I139">
            <v>-230166754.55000001</v>
          </cell>
        </row>
        <row r="140">
          <cell r="C140">
            <v>234505</v>
          </cell>
          <cell r="D140" t="str">
            <v>JUL2026234505</v>
          </cell>
          <cell r="E140" t="str">
            <v>Acreedores oficiales impuestos</v>
          </cell>
          <cell r="F140">
            <v>-230166754.55000001</v>
          </cell>
          <cell r="G140">
            <v>0</v>
          </cell>
          <cell r="H140">
            <v>0</v>
          </cell>
          <cell r="I140">
            <v>-230166754.55000001</v>
          </cell>
        </row>
        <row r="141">
          <cell r="C141">
            <v>23450501</v>
          </cell>
          <cell r="D141" t="str">
            <v>JUL202623450501</v>
          </cell>
          <cell r="E141" t="str">
            <v>RF por Renta por pagar</v>
          </cell>
          <cell r="F141">
            <v>-60472869.549999997</v>
          </cell>
          <cell r="G141">
            <v>0</v>
          </cell>
          <cell r="H141">
            <v>0</v>
          </cell>
          <cell r="I141">
            <v>-60472869.549999997</v>
          </cell>
        </row>
        <row r="142">
          <cell r="C142">
            <v>23450502</v>
          </cell>
          <cell r="D142" t="str">
            <v>JUL202623450502</v>
          </cell>
          <cell r="E142" t="str">
            <v>Ica por pagar</v>
          </cell>
          <cell r="F142">
            <v>-169693885</v>
          </cell>
          <cell r="G142">
            <v>0</v>
          </cell>
          <cell r="H142">
            <v>0</v>
          </cell>
          <cell r="I142">
            <v>-169693885</v>
          </cell>
        </row>
        <row r="143">
          <cell r="C143">
            <v>2365</v>
          </cell>
          <cell r="D143" t="str">
            <v>JUL20262365</v>
          </cell>
          <cell r="E143" t="str">
            <v>Retención en la Fuente</v>
          </cell>
          <cell r="F143">
            <v>0</v>
          </cell>
          <cell r="G143">
            <v>386274895.57999998</v>
          </cell>
          <cell r="H143">
            <v>446175601.36000001</v>
          </cell>
          <cell r="I143">
            <v>-59900705.780000001</v>
          </cell>
        </row>
        <row r="144">
          <cell r="C144">
            <v>236505</v>
          </cell>
          <cell r="D144" t="str">
            <v>JUL2026236505</v>
          </cell>
          <cell r="E144" t="str">
            <v>Retención en la Fuente Salarios y Pagos Laborales</v>
          </cell>
          <cell r="F144">
            <v>0</v>
          </cell>
          <cell r="G144">
            <v>46216000</v>
          </cell>
          <cell r="H144">
            <v>51988000</v>
          </cell>
          <cell r="I144">
            <v>-5772000</v>
          </cell>
        </row>
        <row r="145">
          <cell r="C145">
            <v>23650501</v>
          </cell>
          <cell r="D145" t="str">
            <v>JUL202623650501</v>
          </cell>
          <cell r="E145" t="str">
            <v>Retención en la Fuente Salarios y Pagos Laborales</v>
          </cell>
          <cell r="F145">
            <v>0</v>
          </cell>
          <cell r="G145">
            <v>0</v>
          </cell>
          <cell r="H145">
            <v>7189000</v>
          </cell>
          <cell r="I145">
            <v>-7189000</v>
          </cell>
        </row>
        <row r="146">
          <cell r="C146">
            <v>23650510</v>
          </cell>
          <cell r="D146" t="str">
            <v>JUL202623650510</v>
          </cell>
          <cell r="E146" t="str">
            <v>Retención en la Fuente Independientes</v>
          </cell>
          <cell r="F146">
            <v>0</v>
          </cell>
          <cell r="G146">
            <v>14885000</v>
          </cell>
          <cell r="H146">
            <v>44799000</v>
          </cell>
          <cell r="I146">
            <v>-29914000</v>
          </cell>
        </row>
        <row r="147">
          <cell r="C147">
            <v>23650597</v>
          </cell>
          <cell r="D147" t="str">
            <v>JUL202623650597</v>
          </cell>
          <cell r="E147" t="str">
            <v>Pago retención salarios y pagos laborales</v>
          </cell>
          <cell r="F147">
            <v>0</v>
          </cell>
          <cell r="G147">
            <v>31331000</v>
          </cell>
          <cell r="H147">
            <v>0</v>
          </cell>
          <cell r="I147">
            <v>31331000</v>
          </cell>
        </row>
        <row r="148">
          <cell r="C148">
            <v>236515</v>
          </cell>
          <cell r="D148" t="str">
            <v>JUL2026236515</v>
          </cell>
          <cell r="E148" t="str">
            <v>Retención en la Fuente - Honorarios</v>
          </cell>
          <cell r="F148">
            <v>0</v>
          </cell>
          <cell r="G148">
            <v>179322000</v>
          </cell>
          <cell r="H148">
            <v>211711523.41</v>
          </cell>
          <cell r="I148">
            <v>-32389523.41</v>
          </cell>
        </row>
        <row r="149">
          <cell r="C149">
            <v>23651501</v>
          </cell>
          <cell r="D149" t="str">
            <v>JUL202623651501</v>
          </cell>
          <cell r="E149" t="str">
            <v>Retención en la Fuente Honorarios 10%</v>
          </cell>
          <cell r="F149">
            <v>0</v>
          </cell>
          <cell r="G149">
            <v>250000</v>
          </cell>
          <cell r="H149">
            <v>3238424.7</v>
          </cell>
          <cell r="I149">
            <v>-2988424.7</v>
          </cell>
        </row>
        <row r="150">
          <cell r="C150">
            <v>23651502</v>
          </cell>
          <cell r="D150" t="str">
            <v>JUL202623651502</v>
          </cell>
          <cell r="E150" t="str">
            <v>Retención en la Fuente Honorarios 11%</v>
          </cell>
          <cell r="F150">
            <v>0</v>
          </cell>
          <cell r="G150">
            <v>0</v>
          </cell>
          <cell r="H150">
            <v>208473098.71000001</v>
          </cell>
          <cell r="I150">
            <v>-208473098.71000001</v>
          </cell>
        </row>
        <row r="151">
          <cell r="C151">
            <v>23651597</v>
          </cell>
          <cell r="D151" t="str">
            <v>JUL202623651597</v>
          </cell>
          <cell r="E151" t="str">
            <v>Pago retención honorarios</v>
          </cell>
          <cell r="F151">
            <v>0</v>
          </cell>
          <cell r="G151">
            <v>179072000</v>
          </cell>
          <cell r="H151">
            <v>0</v>
          </cell>
          <cell r="I151">
            <v>179072000</v>
          </cell>
        </row>
        <row r="152">
          <cell r="C152">
            <v>236520</v>
          </cell>
          <cell r="D152" t="str">
            <v>JUL2026236520</v>
          </cell>
          <cell r="E152" t="str">
            <v>Retención en la Fuente - Comisiones</v>
          </cell>
          <cell r="F152">
            <v>0</v>
          </cell>
          <cell r="G152">
            <v>110825</v>
          </cell>
          <cell r="H152">
            <v>110825</v>
          </cell>
          <cell r="I152">
            <v>0</v>
          </cell>
        </row>
        <row r="153">
          <cell r="C153">
            <v>23652002</v>
          </cell>
          <cell r="D153" t="str">
            <v>JUL202623652002</v>
          </cell>
          <cell r="E153" t="str">
            <v>Retención en la Fuente Comisiones 11%</v>
          </cell>
          <cell r="F153">
            <v>0</v>
          </cell>
          <cell r="G153">
            <v>110825</v>
          </cell>
          <cell r="H153">
            <v>110825</v>
          </cell>
          <cell r="I153">
            <v>0</v>
          </cell>
        </row>
        <row r="154">
          <cell r="C154">
            <v>236525</v>
          </cell>
          <cell r="D154" t="str">
            <v>JUL2026236525</v>
          </cell>
          <cell r="E154" t="str">
            <v>Retención en la Fuente - Servicios</v>
          </cell>
          <cell r="F154">
            <v>0</v>
          </cell>
          <cell r="G154">
            <v>12264198.59</v>
          </cell>
          <cell r="H154">
            <v>13836510.380000001</v>
          </cell>
          <cell r="I154">
            <v>-1572311.79</v>
          </cell>
        </row>
        <row r="155">
          <cell r="C155">
            <v>23652501</v>
          </cell>
          <cell r="D155" t="str">
            <v>JUL202623652501</v>
          </cell>
          <cell r="E155" t="str">
            <v>Retención en la Fuente Servicios 1%</v>
          </cell>
          <cell r="F155">
            <v>0</v>
          </cell>
          <cell r="G155">
            <v>0</v>
          </cell>
          <cell r="H155">
            <v>28381.45</v>
          </cell>
          <cell r="I155">
            <v>-28381.45</v>
          </cell>
        </row>
        <row r="156">
          <cell r="C156">
            <v>23652503</v>
          </cell>
          <cell r="D156" t="str">
            <v>JUL202623652503</v>
          </cell>
          <cell r="E156" t="str">
            <v>Retención en la Fuente Servicios 3.5%</v>
          </cell>
          <cell r="F156">
            <v>0</v>
          </cell>
          <cell r="G156">
            <v>66500</v>
          </cell>
          <cell r="H156">
            <v>887723.2</v>
          </cell>
          <cell r="I156">
            <v>-821223.2</v>
          </cell>
        </row>
        <row r="157">
          <cell r="C157">
            <v>23652504</v>
          </cell>
          <cell r="D157" t="str">
            <v>JUL202623652504</v>
          </cell>
          <cell r="E157" t="str">
            <v>Retención en la Fuente Servicios 4%</v>
          </cell>
          <cell r="F157">
            <v>0</v>
          </cell>
          <cell r="G157">
            <v>543698.59</v>
          </cell>
          <cell r="H157">
            <v>9749020.0099999998</v>
          </cell>
          <cell r="I157">
            <v>-9205321.4199999999</v>
          </cell>
        </row>
        <row r="158">
          <cell r="C158">
            <v>23652507</v>
          </cell>
          <cell r="D158" t="str">
            <v>JUL202623652507</v>
          </cell>
          <cell r="E158" t="str">
            <v>Retención en la Fuente Servicios AIU 2%</v>
          </cell>
          <cell r="F158">
            <v>0</v>
          </cell>
          <cell r="G158">
            <v>0</v>
          </cell>
          <cell r="H158">
            <v>3171385.72</v>
          </cell>
          <cell r="I158">
            <v>-3171385.72</v>
          </cell>
        </row>
        <row r="159">
          <cell r="C159">
            <v>23652599</v>
          </cell>
          <cell r="D159" t="str">
            <v>JUL202623652599</v>
          </cell>
          <cell r="E159" t="str">
            <v>Pago retefuente servicios</v>
          </cell>
          <cell r="F159">
            <v>0</v>
          </cell>
          <cell r="G159">
            <v>11654000</v>
          </cell>
          <cell r="H159">
            <v>0</v>
          </cell>
          <cell r="I159">
            <v>11654000</v>
          </cell>
        </row>
        <row r="160">
          <cell r="C160">
            <v>236530</v>
          </cell>
          <cell r="D160" t="str">
            <v>JUL2026236530</v>
          </cell>
          <cell r="E160" t="str">
            <v>Retención en la Fuente - Arrendamientos</v>
          </cell>
          <cell r="F160">
            <v>0</v>
          </cell>
          <cell r="G160">
            <v>4830420.26</v>
          </cell>
          <cell r="H160">
            <v>5662309.96</v>
          </cell>
          <cell r="I160">
            <v>-831889.7</v>
          </cell>
        </row>
        <row r="161">
          <cell r="C161">
            <v>23653001</v>
          </cell>
          <cell r="D161" t="str">
            <v>JUL202623653001</v>
          </cell>
          <cell r="E161" t="str">
            <v>Retención en la Fuente Arrendamientos Bienes Muebles 4%</v>
          </cell>
          <cell r="F161">
            <v>0</v>
          </cell>
          <cell r="G161">
            <v>0</v>
          </cell>
          <cell r="H161">
            <v>1120000</v>
          </cell>
          <cell r="I161">
            <v>-1120000</v>
          </cell>
        </row>
        <row r="162">
          <cell r="C162">
            <v>23653002</v>
          </cell>
          <cell r="D162" t="str">
            <v>JUL202623653002</v>
          </cell>
          <cell r="E162" t="str">
            <v>Retención en la Fuente Arrendamientos Bienes Inmuebles 3.5%</v>
          </cell>
          <cell r="F162">
            <v>0</v>
          </cell>
          <cell r="G162">
            <v>58420.26</v>
          </cell>
          <cell r="H162">
            <v>4542309.96</v>
          </cell>
          <cell r="I162">
            <v>-4483889.7</v>
          </cell>
        </row>
        <row r="163">
          <cell r="C163">
            <v>23653097</v>
          </cell>
          <cell r="D163" t="str">
            <v>JUL202623653097</v>
          </cell>
          <cell r="E163" t="str">
            <v>Pago retefuente arrendamientos</v>
          </cell>
          <cell r="F163">
            <v>0</v>
          </cell>
          <cell r="G163">
            <v>4772000</v>
          </cell>
          <cell r="H163">
            <v>0</v>
          </cell>
          <cell r="I163">
            <v>4772000</v>
          </cell>
        </row>
        <row r="164">
          <cell r="C164">
            <v>236535</v>
          </cell>
          <cell r="D164" t="str">
            <v>JUL2026236535</v>
          </cell>
          <cell r="E164" t="str">
            <v>Retención en la Fuente - Rendimientos Financieros</v>
          </cell>
          <cell r="F164">
            <v>0</v>
          </cell>
          <cell r="G164">
            <v>1089000</v>
          </cell>
          <cell r="H164">
            <v>1530729.27</v>
          </cell>
          <cell r="I164">
            <v>-441729.27</v>
          </cell>
        </row>
        <row r="165">
          <cell r="C165">
            <v>23653501</v>
          </cell>
          <cell r="D165" t="str">
            <v>JUL202623653501</v>
          </cell>
          <cell r="E165" t="str">
            <v>Retención en la Fuente Rendimientos Financieros 7%</v>
          </cell>
          <cell r="F165">
            <v>0</v>
          </cell>
          <cell r="G165">
            <v>0</v>
          </cell>
          <cell r="H165">
            <v>1530729.27</v>
          </cell>
          <cell r="I165">
            <v>-1530729.27</v>
          </cell>
        </row>
        <row r="166">
          <cell r="C166">
            <v>23653597</v>
          </cell>
          <cell r="D166" t="str">
            <v>JUL202623653597</v>
          </cell>
          <cell r="E166" t="str">
            <v>Pago retefuente Rendimientos financieros</v>
          </cell>
          <cell r="F166">
            <v>0</v>
          </cell>
          <cell r="G166">
            <v>1089000</v>
          </cell>
          <cell r="H166">
            <v>0</v>
          </cell>
          <cell r="I166">
            <v>1089000</v>
          </cell>
        </row>
        <row r="167">
          <cell r="C167">
            <v>236540</v>
          </cell>
          <cell r="D167" t="str">
            <v>JUL2026236540</v>
          </cell>
          <cell r="E167" t="str">
            <v>Retención en la Fuente - Compras</v>
          </cell>
          <cell r="F167">
            <v>0</v>
          </cell>
          <cell r="G167">
            <v>44318451.729999997</v>
          </cell>
          <cell r="H167">
            <v>45719703.340000004</v>
          </cell>
          <cell r="I167">
            <v>-1401251.61</v>
          </cell>
        </row>
        <row r="168">
          <cell r="C168">
            <v>23654001</v>
          </cell>
          <cell r="D168" t="str">
            <v>JUL202623654001</v>
          </cell>
          <cell r="E168" t="str">
            <v>Retención en la Fuente Compras 2.5%</v>
          </cell>
          <cell r="F168">
            <v>0</v>
          </cell>
          <cell r="G168">
            <v>11996451.73</v>
          </cell>
          <cell r="H168">
            <v>45719703.340000004</v>
          </cell>
          <cell r="I168">
            <v>-33723251.609999999</v>
          </cell>
        </row>
        <row r="169">
          <cell r="C169">
            <v>23654097</v>
          </cell>
          <cell r="D169" t="str">
            <v>JUL202623654097</v>
          </cell>
          <cell r="E169" t="str">
            <v>Pago retefuente compras</v>
          </cell>
          <cell r="F169">
            <v>0</v>
          </cell>
          <cell r="G169">
            <v>32322000</v>
          </cell>
          <cell r="H169">
            <v>0</v>
          </cell>
          <cell r="I169">
            <v>32322000</v>
          </cell>
        </row>
        <row r="170">
          <cell r="C170">
            <v>236575</v>
          </cell>
          <cell r="D170" t="str">
            <v>JUL2026236575</v>
          </cell>
          <cell r="E170" t="str">
            <v>Autorretenciones Renta</v>
          </cell>
          <cell r="F170">
            <v>0</v>
          </cell>
          <cell r="G170">
            <v>98124000</v>
          </cell>
          <cell r="H170">
            <v>115616000</v>
          </cell>
          <cell r="I170">
            <v>-17492000</v>
          </cell>
        </row>
        <row r="171">
          <cell r="C171">
            <v>23657501</v>
          </cell>
          <cell r="D171" t="str">
            <v>JUL202623657501</v>
          </cell>
          <cell r="E171" t="str">
            <v>Autorretención Especial por Renta</v>
          </cell>
          <cell r="F171">
            <v>0</v>
          </cell>
          <cell r="G171">
            <v>98124000</v>
          </cell>
          <cell r="H171">
            <v>115616000</v>
          </cell>
          <cell r="I171">
            <v>-17492000</v>
          </cell>
        </row>
        <row r="172">
          <cell r="C172">
            <v>2367</v>
          </cell>
          <cell r="D172" t="str">
            <v>JUL20262367</v>
          </cell>
          <cell r="E172" t="str">
            <v>Impuesto a las Ventas Retenido</v>
          </cell>
          <cell r="F172">
            <v>0</v>
          </cell>
          <cell r="G172">
            <v>7812547.3200000003</v>
          </cell>
          <cell r="H172">
            <v>8966567.8399999999</v>
          </cell>
          <cell r="I172">
            <v>-1154020.52</v>
          </cell>
        </row>
        <row r="173">
          <cell r="C173">
            <v>236705</v>
          </cell>
          <cell r="D173" t="str">
            <v>JUL2026236705</v>
          </cell>
          <cell r="E173" t="str">
            <v>IVA Retenido a Proveedores del Régimen Ordinario</v>
          </cell>
          <cell r="F173">
            <v>0</v>
          </cell>
          <cell r="G173">
            <v>0</v>
          </cell>
          <cell r="H173">
            <v>6080164.7000000002</v>
          </cell>
          <cell r="I173">
            <v>-6080164.7000000002</v>
          </cell>
        </row>
        <row r="174">
          <cell r="C174">
            <v>23670503</v>
          </cell>
          <cell r="D174" t="str">
            <v>JUL202623670503</v>
          </cell>
          <cell r="E174" t="str">
            <v>Reteiva a Prov. del Ordinario Gastos - IVA 19%</v>
          </cell>
          <cell r="F174">
            <v>0</v>
          </cell>
          <cell r="G174">
            <v>0</v>
          </cell>
          <cell r="H174">
            <v>6080164.7000000002</v>
          </cell>
          <cell r="I174">
            <v>-6080164.7000000002</v>
          </cell>
        </row>
        <row r="175">
          <cell r="C175">
            <v>236710</v>
          </cell>
          <cell r="D175" t="str">
            <v>JUL2026236710</v>
          </cell>
          <cell r="E175" t="str">
            <v>IVA Retenido a Proveedores del Simple</v>
          </cell>
          <cell r="F175">
            <v>0</v>
          </cell>
          <cell r="G175">
            <v>967547.32</v>
          </cell>
          <cell r="H175">
            <v>2886403.14</v>
          </cell>
          <cell r="I175">
            <v>-1918855.82</v>
          </cell>
        </row>
        <row r="176">
          <cell r="C176">
            <v>23671001</v>
          </cell>
          <cell r="D176" t="str">
            <v>JUL202623671001</v>
          </cell>
          <cell r="E176" t="str">
            <v>Reteiva a Prov. del Simple Compras - IVA 19%</v>
          </cell>
          <cell r="F176">
            <v>0</v>
          </cell>
          <cell r="G176">
            <v>967547.32</v>
          </cell>
          <cell r="H176">
            <v>2886403.14</v>
          </cell>
          <cell r="I176">
            <v>-1918855.82</v>
          </cell>
        </row>
        <row r="177">
          <cell r="C177">
            <v>236795</v>
          </cell>
          <cell r="D177" t="str">
            <v>JUL2026236795</v>
          </cell>
          <cell r="E177" t="str">
            <v>Pago Retención en la Fuente por IVA</v>
          </cell>
          <cell r="F177">
            <v>0</v>
          </cell>
          <cell r="G177">
            <v>6845000</v>
          </cell>
          <cell r="H177">
            <v>0</v>
          </cell>
          <cell r="I177">
            <v>6845000</v>
          </cell>
        </row>
        <row r="178">
          <cell r="C178">
            <v>23679501</v>
          </cell>
          <cell r="D178" t="str">
            <v>JUL202623679501</v>
          </cell>
          <cell r="E178" t="str">
            <v>Pago Retención en la Fuente por IVA</v>
          </cell>
          <cell r="F178">
            <v>0</v>
          </cell>
          <cell r="G178">
            <v>6845000</v>
          </cell>
          <cell r="H178">
            <v>0</v>
          </cell>
          <cell r="I178">
            <v>6845000</v>
          </cell>
        </row>
        <row r="179">
          <cell r="C179">
            <v>2370</v>
          </cell>
          <cell r="D179" t="str">
            <v>JUL20262370</v>
          </cell>
          <cell r="E179" t="str">
            <v>Retenciones y Aportes de Nómina</v>
          </cell>
          <cell r="F179">
            <v>-5979381.6900000004</v>
          </cell>
          <cell r="G179">
            <v>97253899</v>
          </cell>
          <cell r="H179">
            <v>118258163</v>
          </cell>
          <cell r="I179">
            <v>-26983645.690000001</v>
          </cell>
        </row>
        <row r="180">
          <cell r="C180">
            <v>237005</v>
          </cell>
          <cell r="D180" t="str">
            <v>JUL2026237005</v>
          </cell>
          <cell r="E180" t="str">
            <v>Aportes a Entidades Promotoras de Salud EPS</v>
          </cell>
          <cell r="F180">
            <v>-1583076.68</v>
          </cell>
          <cell r="G180">
            <v>39154561</v>
          </cell>
          <cell r="H180">
            <v>47992072</v>
          </cell>
          <cell r="I180">
            <v>-10420587.68</v>
          </cell>
        </row>
        <row r="181">
          <cell r="C181">
            <v>23700501</v>
          </cell>
          <cell r="D181" t="str">
            <v>JUL202623700501</v>
          </cell>
          <cell r="E181" t="str">
            <v>Aportes a Salud Sura</v>
          </cell>
          <cell r="F181">
            <v>-1303196.68</v>
          </cell>
          <cell r="G181">
            <v>36765761</v>
          </cell>
          <cell r="H181">
            <v>46708572</v>
          </cell>
          <cell r="I181">
            <v>-11246007.68</v>
          </cell>
        </row>
        <row r="182">
          <cell r="C182">
            <v>23700503</v>
          </cell>
          <cell r="D182" t="str">
            <v>JUL202623700503</v>
          </cell>
          <cell r="E182" t="str">
            <v>Aportes a Salud Total</v>
          </cell>
          <cell r="F182">
            <v>-36700</v>
          </cell>
          <cell r="G182">
            <v>700300</v>
          </cell>
          <cell r="H182">
            <v>268300</v>
          </cell>
          <cell r="I182">
            <v>395300</v>
          </cell>
        </row>
        <row r="183">
          <cell r="C183">
            <v>23700504</v>
          </cell>
          <cell r="D183" t="str">
            <v>JUL202623700504</v>
          </cell>
          <cell r="E183" t="str">
            <v>Aportes a Nueva EPS</v>
          </cell>
          <cell r="F183">
            <v>-93800</v>
          </cell>
          <cell r="G183">
            <v>648200</v>
          </cell>
          <cell r="H183">
            <v>498100</v>
          </cell>
          <cell r="I183">
            <v>56300</v>
          </cell>
        </row>
        <row r="184">
          <cell r="C184">
            <v>23700505</v>
          </cell>
          <cell r="D184" t="str">
            <v>JUL202623700505</v>
          </cell>
          <cell r="E184" t="str">
            <v>Aportes a Sanitas</v>
          </cell>
          <cell r="F184">
            <v>-149380</v>
          </cell>
          <cell r="G184">
            <v>1040300</v>
          </cell>
          <cell r="H184">
            <v>517100</v>
          </cell>
          <cell r="I184">
            <v>373820</v>
          </cell>
        </row>
        <row r="185">
          <cell r="C185">
            <v>237006</v>
          </cell>
          <cell r="D185" t="str">
            <v>JUL2026237006</v>
          </cell>
          <cell r="E185" t="str">
            <v>Aportes a administradoras de Riesgos Laborales</v>
          </cell>
          <cell r="F185">
            <v>-838500</v>
          </cell>
          <cell r="G185">
            <v>9222900</v>
          </cell>
          <cell r="H185">
            <v>11274600</v>
          </cell>
          <cell r="I185">
            <v>-2890200</v>
          </cell>
        </row>
        <row r="186">
          <cell r="C186">
            <v>23700601</v>
          </cell>
          <cell r="D186" t="str">
            <v>JUL202623700601</v>
          </cell>
          <cell r="E186" t="str">
            <v>Aportes a administradoras de Riesgos Laborales</v>
          </cell>
          <cell r="F186">
            <v>-838500</v>
          </cell>
          <cell r="G186">
            <v>9222900</v>
          </cell>
          <cell r="H186">
            <v>11274600</v>
          </cell>
          <cell r="I186">
            <v>-2890200</v>
          </cell>
        </row>
        <row r="187">
          <cell r="C187">
            <v>237010</v>
          </cell>
          <cell r="D187" t="str">
            <v>JUL2026237010</v>
          </cell>
          <cell r="E187" t="str">
            <v>Aportes al ICBF, SENA y Cajas de Compensación</v>
          </cell>
          <cell r="F187">
            <v>-4672300</v>
          </cell>
          <cell r="G187">
            <v>36486600</v>
          </cell>
          <cell r="H187">
            <v>45514900</v>
          </cell>
          <cell r="I187">
            <v>-13700600</v>
          </cell>
        </row>
        <row r="188">
          <cell r="C188">
            <v>23701001</v>
          </cell>
          <cell r="D188" t="str">
            <v>JUL202623701001</v>
          </cell>
          <cell r="E188" t="str">
            <v>Aportes al ICBF, SENA y Cajas de Compensación</v>
          </cell>
          <cell r="F188">
            <v>-4672300</v>
          </cell>
          <cell r="G188">
            <v>36486600</v>
          </cell>
          <cell r="H188">
            <v>45514900</v>
          </cell>
          <cell r="I188">
            <v>-13700600</v>
          </cell>
        </row>
        <row r="189">
          <cell r="C189">
            <v>237025</v>
          </cell>
          <cell r="D189" t="str">
            <v>JUL2026237025</v>
          </cell>
          <cell r="E189" t="str">
            <v>Embargos Judiciales</v>
          </cell>
          <cell r="F189">
            <v>0</v>
          </cell>
          <cell r="G189">
            <v>2310000</v>
          </cell>
          <cell r="H189">
            <v>3570000</v>
          </cell>
          <cell r="I189">
            <v>-1260000</v>
          </cell>
        </row>
        <row r="190">
          <cell r="C190">
            <v>23702501</v>
          </cell>
          <cell r="D190" t="str">
            <v>JUL202623702501</v>
          </cell>
          <cell r="E190" t="str">
            <v>Embargos Judiciales</v>
          </cell>
          <cell r="F190">
            <v>0</v>
          </cell>
          <cell r="G190">
            <v>2310000</v>
          </cell>
          <cell r="H190">
            <v>3570000</v>
          </cell>
          <cell r="I190">
            <v>-1260000</v>
          </cell>
        </row>
        <row r="191">
          <cell r="C191">
            <v>237030</v>
          </cell>
          <cell r="D191" t="str">
            <v>JUL2026237030</v>
          </cell>
          <cell r="E191" t="str">
            <v>Libranzas</v>
          </cell>
          <cell r="F191">
            <v>1114495</v>
          </cell>
          <cell r="G191">
            <v>10079838</v>
          </cell>
          <cell r="H191">
            <v>9906591</v>
          </cell>
          <cell r="I191">
            <v>1287742</v>
          </cell>
        </row>
        <row r="192">
          <cell r="C192">
            <v>23703001</v>
          </cell>
          <cell r="D192" t="str">
            <v>JUL202623703001</v>
          </cell>
          <cell r="E192" t="str">
            <v>Libranzas</v>
          </cell>
          <cell r="F192">
            <v>1114495</v>
          </cell>
          <cell r="G192">
            <v>10079838</v>
          </cell>
          <cell r="H192">
            <v>9906591</v>
          </cell>
          <cell r="I192">
            <v>1287742</v>
          </cell>
        </row>
        <row r="193">
          <cell r="C193">
            <v>237045</v>
          </cell>
          <cell r="D193" t="str">
            <v>JUL2026237045</v>
          </cell>
          <cell r="E193" t="str">
            <v>Fondos</v>
          </cell>
          <cell r="F193">
            <v>-0.01</v>
          </cell>
          <cell r="G193">
            <v>0</v>
          </cell>
          <cell r="H193">
            <v>0</v>
          </cell>
          <cell r="I193">
            <v>-0.01</v>
          </cell>
        </row>
        <row r="194">
          <cell r="C194">
            <v>23704501</v>
          </cell>
          <cell r="D194" t="str">
            <v>JUL202623704501</v>
          </cell>
          <cell r="E194" t="str">
            <v>Aportes a Pensión Protección</v>
          </cell>
          <cell r="F194">
            <v>-0.01</v>
          </cell>
          <cell r="G194">
            <v>0</v>
          </cell>
          <cell r="H194">
            <v>0</v>
          </cell>
          <cell r="I194">
            <v>-0.01</v>
          </cell>
        </row>
        <row r="195">
          <cell r="C195">
            <v>2380</v>
          </cell>
          <cell r="D195" t="str">
            <v>JUL20262380</v>
          </cell>
          <cell r="E195" t="str">
            <v>Acreedores - Depositarios</v>
          </cell>
          <cell r="F195">
            <v>-14399536.51</v>
          </cell>
          <cell r="G195">
            <v>138994937</v>
          </cell>
          <cell r="H195">
            <v>172610920.84999999</v>
          </cell>
          <cell r="I195">
            <v>-48015520.359999999</v>
          </cell>
        </row>
        <row r="196">
          <cell r="C196">
            <v>238030</v>
          </cell>
          <cell r="D196" t="str">
            <v>JUL2026238030</v>
          </cell>
          <cell r="E196" t="str">
            <v>Fondos de Cesantías y/o Pensiones</v>
          </cell>
          <cell r="F196">
            <v>-14462476.91</v>
          </cell>
          <cell r="G196">
            <v>138994937</v>
          </cell>
          <cell r="H196">
            <v>172610920.84999999</v>
          </cell>
          <cell r="I196">
            <v>-48078460.759999998</v>
          </cell>
        </row>
        <row r="197">
          <cell r="C197">
            <v>23803001</v>
          </cell>
          <cell r="D197" t="str">
            <v>JUL202623803001</v>
          </cell>
          <cell r="E197" t="str">
            <v>Aportes pension Protección</v>
          </cell>
          <cell r="F197">
            <v>-5562200.9100000001</v>
          </cell>
          <cell r="G197">
            <v>53257200</v>
          </cell>
          <cell r="H197">
            <v>26078245</v>
          </cell>
          <cell r="I197">
            <v>21616754.09</v>
          </cell>
        </row>
        <row r="198">
          <cell r="C198">
            <v>23803002</v>
          </cell>
          <cell r="D198" t="str">
            <v>JUL202623803002</v>
          </cell>
          <cell r="E198" t="str">
            <v>Aportes pension Porvenir</v>
          </cell>
          <cell r="F198">
            <v>507100</v>
          </cell>
          <cell r="G198">
            <v>38724400</v>
          </cell>
          <cell r="H198">
            <v>18108914.850000001</v>
          </cell>
          <cell r="I198">
            <v>21122585.149999999</v>
          </cell>
        </row>
        <row r="199">
          <cell r="C199">
            <v>23803003</v>
          </cell>
          <cell r="D199" t="str">
            <v>JUL202623803003</v>
          </cell>
          <cell r="E199" t="str">
            <v>Aportes pension Colpensiones</v>
          </cell>
          <cell r="F199">
            <v>-6981176</v>
          </cell>
          <cell r="G199">
            <v>36205137</v>
          </cell>
          <cell r="H199">
            <v>121881693</v>
          </cell>
          <cell r="I199">
            <v>-92657732</v>
          </cell>
        </row>
        <row r="200">
          <cell r="C200">
            <v>23803004</v>
          </cell>
          <cell r="D200" t="str">
            <v>JUL202623803004</v>
          </cell>
          <cell r="E200" t="str">
            <v>Aportes pension Colfondos</v>
          </cell>
          <cell r="F200">
            <v>-2426200</v>
          </cell>
          <cell r="G200">
            <v>10808200</v>
          </cell>
          <cell r="H200">
            <v>6542068</v>
          </cell>
          <cell r="I200">
            <v>1839932</v>
          </cell>
        </row>
        <row r="201">
          <cell r="C201">
            <v>23809502</v>
          </cell>
          <cell r="D201" t="str">
            <v>JUL202623809502</v>
          </cell>
          <cell r="E201" t="str">
            <v>REEMBOLSO CAJA MENOR</v>
          </cell>
          <cell r="F201">
            <v>62940</v>
          </cell>
          <cell r="G201">
            <v>0</v>
          </cell>
          <cell r="H201">
            <v>0</v>
          </cell>
          <cell r="I201">
            <v>62940</v>
          </cell>
        </row>
        <row r="202">
          <cell r="C202">
            <v>28095</v>
          </cell>
          <cell r="D202" t="str">
            <v>JUL202628095</v>
          </cell>
          <cell r="E202" t="str">
            <v>Otros</v>
          </cell>
          <cell r="F202">
            <v>0.4</v>
          </cell>
          <cell r="G202">
            <v>0</v>
          </cell>
          <cell r="H202">
            <v>0</v>
          </cell>
          <cell r="I202">
            <v>0.4</v>
          </cell>
        </row>
        <row r="203">
          <cell r="C203">
            <v>23809501</v>
          </cell>
          <cell r="D203" t="str">
            <v>JUL202623809501</v>
          </cell>
          <cell r="E203" t="str">
            <v>Préstamo por pagar</v>
          </cell>
          <cell r="F203">
            <v>0.4</v>
          </cell>
          <cell r="G203">
            <v>0</v>
          </cell>
          <cell r="H203">
            <v>0</v>
          </cell>
          <cell r="I203">
            <v>0.4</v>
          </cell>
        </row>
        <row r="204">
          <cell r="C204">
            <v>24</v>
          </cell>
          <cell r="D204" t="str">
            <v>JUL202624</v>
          </cell>
          <cell r="E204" t="str">
            <v>Impuestos Gravámenes y Tasas</v>
          </cell>
          <cell r="F204">
            <v>-310748241</v>
          </cell>
          <cell r="G204">
            <v>5926165.3600000003</v>
          </cell>
          <cell r="H204">
            <v>89252614.359999999</v>
          </cell>
          <cell r="I204">
            <v>-394074690</v>
          </cell>
        </row>
        <row r="205">
          <cell r="C205">
            <v>2404</v>
          </cell>
          <cell r="D205" t="str">
            <v>JUL20262404</v>
          </cell>
          <cell r="E205" t="str">
            <v>Impuesto de Renta y Complementarios</v>
          </cell>
          <cell r="F205">
            <v>-310748241</v>
          </cell>
          <cell r="G205">
            <v>0</v>
          </cell>
          <cell r="H205">
            <v>83326449</v>
          </cell>
          <cell r="I205">
            <v>-394074690</v>
          </cell>
        </row>
        <row r="206">
          <cell r="C206">
            <v>240405</v>
          </cell>
          <cell r="D206" t="str">
            <v>JUL2026240405</v>
          </cell>
          <cell r="E206" t="str">
            <v>Impuesto de Renta y Complementarios</v>
          </cell>
          <cell r="F206">
            <v>-310748241</v>
          </cell>
          <cell r="G206">
            <v>0</v>
          </cell>
          <cell r="H206">
            <v>83326449</v>
          </cell>
          <cell r="I206">
            <v>-394074690</v>
          </cell>
        </row>
        <row r="207">
          <cell r="C207">
            <v>24040501</v>
          </cell>
          <cell r="D207" t="str">
            <v>JUL202624040501</v>
          </cell>
          <cell r="E207" t="str">
            <v>Impuesto de Renta Vigencia Fiscal Corriente</v>
          </cell>
          <cell r="F207">
            <v>-310748241</v>
          </cell>
          <cell r="G207">
            <v>0</v>
          </cell>
          <cell r="H207">
            <v>83326449</v>
          </cell>
          <cell r="I207">
            <v>-394074690</v>
          </cell>
        </row>
        <row r="208">
          <cell r="C208">
            <v>2408</v>
          </cell>
          <cell r="D208" t="str">
            <v>JUL20262408</v>
          </cell>
          <cell r="E208" t="str">
            <v>Impuesto a las Ventas por Pagar</v>
          </cell>
          <cell r="F208">
            <v>0</v>
          </cell>
          <cell r="G208">
            <v>5926165.3600000003</v>
          </cell>
          <cell r="H208">
            <v>5926165.3600000003</v>
          </cell>
          <cell r="I208">
            <v>0</v>
          </cell>
        </row>
        <row r="209">
          <cell r="C209">
            <v>240801</v>
          </cell>
          <cell r="D209" t="str">
            <v>JUL2026240801</v>
          </cell>
          <cell r="E209" t="str">
            <v>IVA Generado en Ventas</v>
          </cell>
          <cell r="F209">
            <v>-9206772.0299999993</v>
          </cell>
          <cell r="G209">
            <v>0</v>
          </cell>
          <cell r="H209">
            <v>0</v>
          </cell>
          <cell r="I209">
            <v>-9206772.0299999993</v>
          </cell>
        </row>
        <row r="210">
          <cell r="C210">
            <v>24080101</v>
          </cell>
          <cell r="D210" t="str">
            <v>JUL202624080101</v>
          </cell>
          <cell r="E210" t="str">
            <v>IVA Generado en Ventas 19%</v>
          </cell>
          <cell r="F210">
            <v>-9331708.8699999992</v>
          </cell>
          <cell r="G210">
            <v>0</v>
          </cell>
          <cell r="H210">
            <v>0</v>
          </cell>
          <cell r="I210">
            <v>-9331708.8699999992</v>
          </cell>
        </row>
        <row r="211">
          <cell r="C211">
            <v>24080103</v>
          </cell>
          <cell r="D211" t="str">
            <v>JUL202624080103</v>
          </cell>
          <cell r="E211" t="str">
            <v>Devolución IVA en Ventas 19%</v>
          </cell>
          <cell r="F211">
            <v>124936.84</v>
          </cell>
          <cell r="G211">
            <v>0</v>
          </cell>
          <cell r="H211">
            <v>0</v>
          </cell>
          <cell r="I211">
            <v>124936.84</v>
          </cell>
        </row>
        <row r="212">
          <cell r="C212">
            <v>240830</v>
          </cell>
          <cell r="D212" t="str">
            <v>JUL2026240830</v>
          </cell>
          <cell r="E212" t="str">
            <v>IVA Descontable Compras</v>
          </cell>
          <cell r="F212">
            <v>179152820.68000001</v>
          </cell>
          <cell r="G212">
            <v>5926165.3600000003</v>
          </cell>
          <cell r="H212">
            <v>5926165.3600000003</v>
          </cell>
          <cell r="I212">
            <v>179152820.68000001</v>
          </cell>
        </row>
        <row r="213">
          <cell r="C213">
            <v>24083001</v>
          </cell>
          <cell r="D213" t="str">
            <v>JUL202624083001</v>
          </cell>
          <cell r="E213" t="str">
            <v>IVA Descontable Compras 19%</v>
          </cell>
          <cell r="F213">
            <v>89111193.349999994</v>
          </cell>
          <cell r="G213">
            <v>0</v>
          </cell>
          <cell r="H213">
            <v>0</v>
          </cell>
          <cell r="I213">
            <v>89111193.349999994</v>
          </cell>
        </row>
        <row r="214">
          <cell r="C214">
            <v>24083002</v>
          </cell>
          <cell r="D214" t="str">
            <v>JUL202624083002</v>
          </cell>
          <cell r="E214" t="str">
            <v>IVA Descontable Compras 5%</v>
          </cell>
          <cell r="F214">
            <v>1208427</v>
          </cell>
          <cell r="G214">
            <v>0</v>
          </cell>
          <cell r="H214">
            <v>0</v>
          </cell>
          <cell r="I214">
            <v>1208427</v>
          </cell>
        </row>
        <row r="215">
          <cell r="C215">
            <v>24083003</v>
          </cell>
          <cell r="D215" t="str">
            <v>JUL202624083003</v>
          </cell>
          <cell r="E215" t="str">
            <v>IVA Descontable Servicios 19%</v>
          </cell>
          <cell r="F215">
            <v>90284284.109999999</v>
          </cell>
          <cell r="G215">
            <v>5926165.3600000003</v>
          </cell>
          <cell r="H215">
            <v>5926165.3600000003</v>
          </cell>
          <cell r="I215">
            <v>90284284.109999999</v>
          </cell>
        </row>
        <row r="216">
          <cell r="C216">
            <v>24083004</v>
          </cell>
          <cell r="D216" t="str">
            <v>JUL202624083004</v>
          </cell>
          <cell r="E216" t="str">
            <v>IVA Descontable Gastos 5%</v>
          </cell>
          <cell r="F216">
            <v>35599.800000000003</v>
          </cell>
          <cell r="G216">
            <v>0</v>
          </cell>
          <cell r="H216">
            <v>0</v>
          </cell>
          <cell r="I216">
            <v>35599.800000000003</v>
          </cell>
        </row>
        <row r="217">
          <cell r="C217">
            <v>24083005</v>
          </cell>
          <cell r="D217" t="str">
            <v>JUL202624083005</v>
          </cell>
          <cell r="E217" t="str">
            <v>Devolución IVA Descontable Compras 19%</v>
          </cell>
          <cell r="F217">
            <v>-21345.119999999999</v>
          </cell>
          <cell r="G217">
            <v>0</v>
          </cell>
          <cell r="H217">
            <v>0</v>
          </cell>
          <cell r="I217">
            <v>-21345.119999999999</v>
          </cell>
        </row>
        <row r="218">
          <cell r="C218">
            <v>24083007</v>
          </cell>
          <cell r="D218" t="str">
            <v>JUL202624083007</v>
          </cell>
          <cell r="E218" t="str">
            <v>Devolución IVA Descontable Gastos 19%</v>
          </cell>
          <cell r="F218">
            <v>-1465338.46</v>
          </cell>
          <cell r="G218">
            <v>0</v>
          </cell>
          <cell r="H218">
            <v>0</v>
          </cell>
          <cell r="I218">
            <v>-1465338.46</v>
          </cell>
        </row>
        <row r="219">
          <cell r="C219">
            <v>240895</v>
          </cell>
          <cell r="D219" t="str">
            <v>JUL2026240895</v>
          </cell>
          <cell r="E219" t="str">
            <v>Pago IVA</v>
          </cell>
          <cell r="F219">
            <v>-169946048.65000001</v>
          </cell>
          <cell r="G219">
            <v>0</v>
          </cell>
          <cell r="H219">
            <v>0</v>
          </cell>
          <cell r="I219">
            <v>-169946048.65000001</v>
          </cell>
        </row>
        <row r="220">
          <cell r="C220">
            <v>24089501</v>
          </cell>
          <cell r="D220" t="str">
            <v>JUL202624089501</v>
          </cell>
          <cell r="E220" t="str">
            <v>Pago IVA</v>
          </cell>
          <cell r="F220">
            <v>7819000</v>
          </cell>
          <cell r="G220">
            <v>0</v>
          </cell>
          <cell r="H220">
            <v>0</v>
          </cell>
          <cell r="I220">
            <v>7819000</v>
          </cell>
        </row>
        <row r="221">
          <cell r="C221">
            <v>240896</v>
          </cell>
          <cell r="D221" t="str">
            <v>JUL2026240896</v>
          </cell>
          <cell r="E221" t="str">
            <v>Prorrateo Iva</v>
          </cell>
          <cell r="F221">
            <v>-177765048.65000001</v>
          </cell>
          <cell r="G221">
            <v>0</v>
          </cell>
          <cell r="H221">
            <v>0</v>
          </cell>
          <cell r="I221">
            <v>-177765048.65000001</v>
          </cell>
        </row>
        <row r="222">
          <cell r="C222">
            <v>24089601</v>
          </cell>
          <cell r="D222" t="str">
            <v>JUL202624089601</v>
          </cell>
          <cell r="E222" t="str">
            <v>Prorrateo IVA</v>
          </cell>
          <cell r="F222">
            <v>-177765048.65000001</v>
          </cell>
          <cell r="G222">
            <v>0</v>
          </cell>
          <cell r="H222">
            <v>0</v>
          </cell>
          <cell r="I222">
            <v>-177765048.65000001</v>
          </cell>
        </row>
        <row r="223">
          <cell r="C223">
            <v>25</v>
          </cell>
          <cell r="D223" t="str">
            <v>JUL202625</v>
          </cell>
          <cell r="E223" t="str">
            <v>Pasivos por Beneficios a Empleados</v>
          </cell>
          <cell r="F223">
            <v>-159779694.22999999</v>
          </cell>
          <cell r="G223">
            <v>1573219181</v>
          </cell>
          <cell r="H223">
            <v>1685318205.01</v>
          </cell>
          <cell r="I223">
            <v>-271878718.24000001</v>
          </cell>
        </row>
        <row r="224">
          <cell r="C224">
            <v>2505</v>
          </cell>
          <cell r="D224" t="str">
            <v>JUL20262505</v>
          </cell>
          <cell r="E224" t="str">
            <v>Salarios por Pagar</v>
          </cell>
          <cell r="F224">
            <v>-1590817</v>
          </cell>
          <cell r="G224">
            <v>1300067863</v>
          </cell>
          <cell r="H224">
            <v>1389537567</v>
          </cell>
          <cell r="I224">
            <v>-91060521</v>
          </cell>
        </row>
        <row r="225">
          <cell r="C225">
            <v>250505</v>
          </cell>
          <cell r="D225" t="str">
            <v>JUL2026250505</v>
          </cell>
          <cell r="E225" t="str">
            <v>Salarios por Pagar</v>
          </cell>
          <cell r="F225">
            <v>-1590817</v>
          </cell>
          <cell r="G225">
            <v>1300067863</v>
          </cell>
          <cell r="H225">
            <v>1389537567</v>
          </cell>
          <cell r="I225">
            <v>-91060521</v>
          </cell>
        </row>
        <row r="226">
          <cell r="C226">
            <v>25050501</v>
          </cell>
          <cell r="D226" t="str">
            <v>JUL202625050501</v>
          </cell>
          <cell r="E226" t="str">
            <v>Salarios por Pagar</v>
          </cell>
          <cell r="F226">
            <v>-1590817</v>
          </cell>
          <cell r="G226">
            <v>1300067863</v>
          </cell>
          <cell r="H226">
            <v>1389537567</v>
          </cell>
          <cell r="I226">
            <v>-91060521</v>
          </cell>
        </row>
        <row r="227">
          <cell r="C227">
            <v>2510</v>
          </cell>
          <cell r="D227" t="str">
            <v>JUL20262510</v>
          </cell>
          <cell r="E227" t="str">
            <v>Cesantías Consolidadas</v>
          </cell>
          <cell r="F227">
            <v>-105031518</v>
          </cell>
          <cell r="G227">
            <v>108414596</v>
          </cell>
          <cell r="H227">
            <v>101064080</v>
          </cell>
          <cell r="I227">
            <v>-97681002</v>
          </cell>
        </row>
        <row r="228">
          <cell r="C228">
            <v>251010</v>
          </cell>
          <cell r="D228" t="str">
            <v>JUL2026251010</v>
          </cell>
          <cell r="E228" t="str">
            <v>Cesantías Consolidadas Ley 50 de 1990 y Normas Posteriores</v>
          </cell>
          <cell r="F228">
            <v>-322820205</v>
          </cell>
          <cell r="G228">
            <v>7914</v>
          </cell>
          <cell r="H228">
            <v>101064080</v>
          </cell>
          <cell r="I228">
            <v>-423876371</v>
          </cell>
        </row>
        <row r="229">
          <cell r="C229">
            <v>25101001</v>
          </cell>
          <cell r="D229" t="str">
            <v>JUL202625101001</v>
          </cell>
          <cell r="E229" t="str">
            <v>Cesantías - Beneficios a Empleados</v>
          </cell>
          <cell r="F229">
            <v>-322820205</v>
          </cell>
          <cell r="G229">
            <v>7914</v>
          </cell>
          <cell r="H229">
            <v>101064080</v>
          </cell>
          <cell r="I229">
            <v>-423876371</v>
          </cell>
        </row>
        <row r="230">
          <cell r="C230">
            <v>251095</v>
          </cell>
          <cell r="D230" t="str">
            <v>JUL2026251095</v>
          </cell>
          <cell r="E230" t="str">
            <v>Pago de Cesantías</v>
          </cell>
          <cell r="F230">
            <v>217788687</v>
          </cell>
          <cell r="G230">
            <v>108406682</v>
          </cell>
          <cell r="H230">
            <v>0</v>
          </cell>
          <cell r="I230">
            <v>326195369</v>
          </cell>
        </row>
        <row r="231">
          <cell r="C231">
            <v>25109501</v>
          </cell>
          <cell r="D231" t="str">
            <v>JUL202625109501</v>
          </cell>
          <cell r="E231" t="str">
            <v>Pago de Cesantías</v>
          </cell>
          <cell r="F231">
            <v>217788687</v>
          </cell>
          <cell r="G231">
            <v>108406682</v>
          </cell>
          <cell r="H231">
            <v>0</v>
          </cell>
          <cell r="I231">
            <v>326195369</v>
          </cell>
        </row>
        <row r="232">
          <cell r="C232">
            <v>2515</v>
          </cell>
          <cell r="D232" t="str">
            <v>JUL20262515</v>
          </cell>
          <cell r="E232" t="str">
            <v>Intereses Sobre Cesantías</v>
          </cell>
          <cell r="F232">
            <v>-11371850</v>
          </cell>
          <cell r="G232">
            <v>11476680</v>
          </cell>
          <cell r="H232">
            <v>6584221</v>
          </cell>
          <cell r="I232">
            <v>-6479391</v>
          </cell>
        </row>
        <row r="233">
          <cell r="C233">
            <v>251510</v>
          </cell>
          <cell r="D233" t="str">
            <v>JUL2026251510</v>
          </cell>
          <cell r="E233" t="str">
            <v>Intereses Sobre Cesantías</v>
          </cell>
          <cell r="F233">
            <v>-33491690</v>
          </cell>
          <cell r="G233">
            <v>789</v>
          </cell>
          <cell r="H233">
            <v>6584221</v>
          </cell>
          <cell r="I233">
            <v>-40075122</v>
          </cell>
        </row>
        <row r="234">
          <cell r="C234">
            <v>25151001</v>
          </cell>
          <cell r="D234" t="str">
            <v>JUL202625151001</v>
          </cell>
          <cell r="E234" t="str">
            <v>Intereses Sobre Cesantías</v>
          </cell>
          <cell r="F234">
            <v>-33491690</v>
          </cell>
          <cell r="G234">
            <v>789</v>
          </cell>
          <cell r="H234">
            <v>6584221</v>
          </cell>
          <cell r="I234">
            <v>-40075122</v>
          </cell>
        </row>
        <row r="235">
          <cell r="C235">
            <v>251595</v>
          </cell>
          <cell r="D235" t="str">
            <v>JUL2026251595</v>
          </cell>
          <cell r="E235" t="str">
            <v>Pago de Intereses sobre Cesantías</v>
          </cell>
          <cell r="F235">
            <v>22119840</v>
          </cell>
          <cell r="G235">
            <v>11475891</v>
          </cell>
          <cell r="H235">
            <v>0</v>
          </cell>
          <cell r="I235">
            <v>33595731</v>
          </cell>
        </row>
        <row r="236">
          <cell r="C236">
            <v>25159501</v>
          </cell>
          <cell r="D236" t="str">
            <v>JUL202625159501</v>
          </cell>
          <cell r="E236" t="str">
            <v>Pago de Intereses sobre Cesantías</v>
          </cell>
          <cell r="F236">
            <v>22119840</v>
          </cell>
          <cell r="G236">
            <v>11475891</v>
          </cell>
          <cell r="H236">
            <v>0</v>
          </cell>
          <cell r="I236">
            <v>33595731</v>
          </cell>
        </row>
        <row r="237">
          <cell r="C237">
            <v>2520</v>
          </cell>
          <cell r="D237" t="str">
            <v>JUL20262520</v>
          </cell>
          <cell r="E237" t="str">
            <v>Prima de Servicios</v>
          </cell>
          <cell r="F237">
            <v>0</v>
          </cell>
          <cell r="G237">
            <v>84551604</v>
          </cell>
          <cell r="H237">
            <v>99852360</v>
          </cell>
          <cell r="I237">
            <v>-15300756</v>
          </cell>
        </row>
        <row r="238">
          <cell r="C238">
            <v>252010</v>
          </cell>
          <cell r="D238" t="str">
            <v>JUL2026252010</v>
          </cell>
          <cell r="E238" t="str">
            <v>Prima de Servicios</v>
          </cell>
          <cell r="F238">
            <v>-311412858</v>
          </cell>
          <cell r="G238">
            <v>37334</v>
          </cell>
          <cell r="H238">
            <v>99852360</v>
          </cell>
          <cell r="I238">
            <v>-411227884</v>
          </cell>
        </row>
        <row r="239">
          <cell r="C239">
            <v>25201001</v>
          </cell>
          <cell r="D239" t="str">
            <v>JUL202625201001</v>
          </cell>
          <cell r="E239" t="str">
            <v>Prima de Servicios</v>
          </cell>
          <cell r="F239">
            <v>-311412858</v>
          </cell>
          <cell r="G239">
            <v>37334</v>
          </cell>
          <cell r="H239">
            <v>99852360</v>
          </cell>
          <cell r="I239">
            <v>-411227884</v>
          </cell>
        </row>
        <row r="240">
          <cell r="C240">
            <v>252095</v>
          </cell>
          <cell r="D240" t="str">
            <v>JUL2026252095</v>
          </cell>
          <cell r="E240" t="str">
            <v>Pago de Prima de Servicio</v>
          </cell>
          <cell r="F240">
            <v>311412858</v>
          </cell>
          <cell r="G240">
            <v>84514270</v>
          </cell>
          <cell r="H240">
            <v>0</v>
          </cell>
          <cell r="I240">
            <v>395927128</v>
          </cell>
        </row>
        <row r="241">
          <cell r="C241">
            <v>25209501</v>
          </cell>
          <cell r="D241" t="str">
            <v>JUL202625209501</v>
          </cell>
          <cell r="E241" t="str">
            <v>Pago de Prima de Servicio</v>
          </cell>
          <cell r="F241">
            <v>311412858</v>
          </cell>
          <cell r="G241">
            <v>84514270</v>
          </cell>
          <cell r="H241">
            <v>0</v>
          </cell>
          <cell r="I241">
            <v>395927128</v>
          </cell>
        </row>
        <row r="242">
          <cell r="C242">
            <v>2525</v>
          </cell>
          <cell r="D242" t="str">
            <v>JUL20262525</v>
          </cell>
          <cell r="E242" t="str">
            <v>Vacaciones Consolidadas</v>
          </cell>
          <cell r="F242">
            <v>-41785509.229999997</v>
          </cell>
          <cell r="G242">
            <v>68708438</v>
          </cell>
          <cell r="H242">
            <v>88279977.010000005</v>
          </cell>
          <cell r="I242">
            <v>-61357048.240000002</v>
          </cell>
        </row>
        <row r="243">
          <cell r="C243">
            <v>252510</v>
          </cell>
          <cell r="D243" t="str">
            <v>JUL2026252510</v>
          </cell>
          <cell r="E243" t="str">
            <v>Vacaciones Consolidadas</v>
          </cell>
          <cell r="F243">
            <v>-174086875.25</v>
          </cell>
          <cell r="G243">
            <v>3611</v>
          </cell>
          <cell r="H243">
            <v>68396166.010000005</v>
          </cell>
          <cell r="I243">
            <v>-242479430.25999999</v>
          </cell>
        </row>
        <row r="244">
          <cell r="C244">
            <v>25251001</v>
          </cell>
          <cell r="D244" t="str">
            <v>JUL202625251001</v>
          </cell>
          <cell r="E244" t="str">
            <v>Vacaciones</v>
          </cell>
          <cell r="F244">
            <v>-174086875.25</v>
          </cell>
          <cell r="G244">
            <v>3611</v>
          </cell>
          <cell r="H244">
            <v>68396166.010000005</v>
          </cell>
          <cell r="I244">
            <v>-242479430.25999999</v>
          </cell>
        </row>
        <row r="245">
          <cell r="C245">
            <v>252595</v>
          </cell>
          <cell r="D245" t="str">
            <v>JUL2026252595</v>
          </cell>
          <cell r="E245" t="str">
            <v>Pago de Vacaciones</v>
          </cell>
          <cell r="F245">
            <v>132301366.02</v>
          </cell>
          <cell r="G245">
            <v>68704827</v>
          </cell>
          <cell r="H245">
            <v>19883811</v>
          </cell>
          <cell r="I245">
            <v>181122382.02000001</v>
          </cell>
        </row>
        <row r="246">
          <cell r="C246">
            <v>25259501</v>
          </cell>
          <cell r="D246" t="str">
            <v>JUL202625259501</v>
          </cell>
          <cell r="E246" t="str">
            <v>Pago de Vacaciones Disfrutadas en Tiempo</v>
          </cell>
          <cell r="F246">
            <v>117465289.02</v>
          </cell>
          <cell r="G246">
            <v>57167178</v>
          </cell>
          <cell r="H246">
            <v>18942803</v>
          </cell>
          <cell r="I246">
            <v>155689664.02000001</v>
          </cell>
        </row>
        <row r="247">
          <cell r="C247">
            <v>25259502</v>
          </cell>
          <cell r="D247" t="str">
            <v>JUL202625259502</v>
          </cell>
          <cell r="E247" t="str">
            <v>Pago de Vacaciones Compensadas en Dinero</v>
          </cell>
          <cell r="F247">
            <v>14836077</v>
          </cell>
          <cell r="G247">
            <v>11537649</v>
          </cell>
          <cell r="H247">
            <v>941008</v>
          </cell>
          <cell r="I247">
            <v>25432718</v>
          </cell>
        </row>
        <row r="248">
          <cell r="C248">
            <v>28</v>
          </cell>
          <cell r="D248" t="str">
            <v>JUL202628</v>
          </cell>
          <cell r="E248" t="str">
            <v>Otros Pasivos</v>
          </cell>
          <cell r="F248">
            <v>-4277977221.6599998</v>
          </cell>
          <cell r="G248">
            <v>4265896164</v>
          </cell>
          <cell r="H248">
            <v>675712757</v>
          </cell>
          <cell r="I248">
            <v>-687793814.65999997</v>
          </cell>
        </row>
        <row r="249">
          <cell r="C249">
            <v>2805</v>
          </cell>
          <cell r="D249" t="str">
            <v>JUL20262805</v>
          </cell>
          <cell r="E249" t="str">
            <v>Otros Pasivos, Anticipos y Avances Recibidos</v>
          </cell>
          <cell r="F249">
            <v>-185465024.66</v>
          </cell>
          <cell r="G249">
            <v>480479483</v>
          </cell>
          <cell r="H249">
            <v>492808193</v>
          </cell>
          <cell r="I249">
            <v>-197793734.66</v>
          </cell>
        </row>
        <row r="250">
          <cell r="C250">
            <v>280505</v>
          </cell>
          <cell r="D250" t="str">
            <v>JUL2026280505</v>
          </cell>
          <cell r="E250" t="str">
            <v>Otros Pasivos, Anticipos y Avances Recibidos de Clientes</v>
          </cell>
          <cell r="F250">
            <v>-185465024.66</v>
          </cell>
          <cell r="G250">
            <v>480479483</v>
          </cell>
          <cell r="H250">
            <v>492808193</v>
          </cell>
          <cell r="I250">
            <v>-197793734.66</v>
          </cell>
        </row>
        <row r="251">
          <cell r="C251">
            <v>28050501</v>
          </cell>
          <cell r="D251" t="str">
            <v>JUL202628050501</v>
          </cell>
          <cell r="E251" t="str">
            <v>Anticipos recibidos</v>
          </cell>
          <cell r="F251">
            <v>-185465024.66</v>
          </cell>
          <cell r="G251">
            <v>480479483</v>
          </cell>
          <cell r="H251">
            <v>492808193</v>
          </cell>
          <cell r="I251">
            <v>-197793734.66</v>
          </cell>
        </row>
        <row r="252">
          <cell r="C252">
            <v>2810</v>
          </cell>
          <cell r="D252" t="str">
            <v>JUL20262810</v>
          </cell>
          <cell r="E252" t="str">
            <v>Depositos recibidos</v>
          </cell>
          <cell r="F252">
            <v>-3602512117</v>
          </cell>
          <cell r="G252">
            <v>3785416681</v>
          </cell>
          <cell r="H252">
            <v>182904564</v>
          </cell>
          <cell r="I252">
            <v>0</v>
          </cell>
        </row>
        <row r="253">
          <cell r="C253">
            <v>281005</v>
          </cell>
          <cell r="D253" t="str">
            <v>JUL2026281005</v>
          </cell>
          <cell r="E253" t="str">
            <v>Para futura suscripcion de acciones</v>
          </cell>
          <cell r="F253">
            <v>-3602512117</v>
          </cell>
          <cell r="G253">
            <v>3785416681</v>
          </cell>
          <cell r="H253">
            <v>182904564</v>
          </cell>
          <cell r="I253">
            <v>0</v>
          </cell>
        </row>
        <row r="254">
          <cell r="C254">
            <v>28100501</v>
          </cell>
          <cell r="D254" t="str">
            <v>JUL202628100501</v>
          </cell>
          <cell r="E254" t="str">
            <v>Para futura suscripcion de acciones</v>
          </cell>
          <cell r="F254">
            <v>-3602512117</v>
          </cell>
          <cell r="G254">
            <v>3785416681</v>
          </cell>
          <cell r="H254">
            <v>182904564</v>
          </cell>
          <cell r="I254">
            <v>0</v>
          </cell>
        </row>
        <row r="255">
          <cell r="C255">
            <v>2840</v>
          </cell>
          <cell r="D255" t="str">
            <v>JUL20262840</v>
          </cell>
          <cell r="E255" t="str">
            <v>Cuentas en participación</v>
          </cell>
          <cell r="F255">
            <v>-490000080</v>
          </cell>
          <cell r="G255">
            <v>0</v>
          </cell>
          <cell r="H255">
            <v>0</v>
          </cell>
          <cell r="I255">
            <v>-490000080</v>
          </cell>
        </row>
        <row r="256">
          <cell r="C256">
            <v>284005</v>
          </cell>
          <cell r="D256" t="str">
            <v>JUL2026284005</v>
          </cell>
          <cell r="E256" t="str">
            <v>Cuentas en participación</v>
          </cell>
          <cell r="F256">
            <v>-490000080</v>
          </cell>
          <cell r="G256">
            <v>0</v>
          </cell>
          <cell r="H256">
            <v>0</v>
          </cell>
          <cell r="I256">
            <v>-490000080</v>
          </cell>
        </row>
        <row r="257">
          <cell r="C257">
            <v>28400501</v>
          </cell>
          <cell r="D257" t="str">
            <v>JUL202628400501</v>
          </cell>
          <cell r="E257" t="str">
            <v>Cuentas de participación</v>
          </cell>
          <cell r="F257">
            <v>-490000080</v>
          </cell>
          <cell r="G257">
            <v>0</v>
          </cell>
          <cell r="H257">
            <v>0</v>
          </cell>
          <cell r="I257">
            <v>-490000080</v>
          </cell>
        </row>
        <row r="258">
          <cell r="C258">
            <v>29</v>
          </cell>
          <cell r="D258" t="str">
            <v>JUL202629</v>
          </cell>
          <cell r="E258" t="str">
            <v>Diferidos</v>
          </cell>
          <cell r="F258">
            <v>-529581655</v>
          </cell>
          <cell r="G258">
            <v>449378093</v>
          </cell>
          <cell r="H258">
            <v>0</v>
          </cell>
          <cell r="I258">
            <v>-80203562</v>
          </cell>
        </row>
        <row r="259">
          <cell r="C259">
            <v>2905</v>
          </cell>
          <cell r="D259" t="str">
            <v>JUL20262905</v>
          </cell>
          <cell r="E259" t="str">
            <v>Partidas por identificar</v>
          </cell>
          <cell r="F259">
            <v>-449378093</v>
          </cell>
          <cell r="G259">
            <v>449378093</v>
          </cell>
          <cell r="H259">
            <v>0</v>
          </cell>
          <cell r="I259">
            <v>0</v>
          </cell>
        </row>
        <row r="260">
          <cell r="C260">
            <v>29051505</v>
          </cell>
          <cell r="D260" t="str">
            <v>JUL202629051505</v>
          </cell>
          <cell r="E260" t="str">
            <v>Partidas por indentificar</v>
          </cell>
          <cell r="F260">
            <v>-449378093</v>
          </cell>
          <cell r="G260">
            <v>449378093</v>
          </cell>
          <cell r="H260">
            <v>0</v>
          </cell>
          <cell r="I260">
            <v>0</v>
          </cell>
        </row>
        <row r="261">
          <cell r="C261">
            <v>2915</v>
          </cell>
          <cell r="D261" t="str">
            <v>JUL20262915</v>
          </cell>
          <cell r="E261" t="str">
            <v>Impuesto diferido</v>
          </cell>
          <cell r="F261">
            <v>-80203562</v>
          </cell>
          <cell r="G261">
            <v>0</v>
          </cell>
          <cell r="H261">
            <v>0</v>
          </cell>
          <cell r="I261">
            <v>-80203562</v>
          </cell>
        </row>
        <row r="262">
          <cell r="C262">
            <v>291505</v>
          </cell>
          <cell r="D262" t="str">
            <v>JUL2026291505</v>
          </cell>
          <cell r="E262" t="str">
            <v>Impuestos diferido pasivo</v>
          </cell>
          <cell r="F262">
            <v>-80203562</v>
          </cell>
          <cell r="G262">
            <v>0</v>
          </cell>
          <cell r="H262">
            <v>0</v>
          </cell>
          <cell r="I262">
            <v>-80203562</v>
          </cell>
        </row>
        <row r="263">
          <cell r="C263">
            <v>3</v>
          </cell>
          <cell r="D263" t="str">
            <v>JUL20263</v>
          </cell>
          <cell r="E263" t="str">
            <v>Patrimonio</v>
          </cell>
          <cell r="F263">
            <v>-2322353713.7800002</v>
          </cell>
          <cell r="G263">
            <v>582947083.41999996</v>
          </cell>
          <cell r="H263">
            <v>4497947083.4200001</v>
          </cell>
          <cell r="I263">
            <v>-6237353713.7799997</v>
          </cell>
        </row>
        <row r="264">
          <cell r="C264">
            <v>31</v>
          </cell>
          <cell r="D264" t="str">
            <v>JUL202631</v>
          </cell>
          <cell r="E264" t="str">
            <v>Capital Social</v>
          </cell>
          <cell r="F264">
            <v>-1200500000</v>
          </cell>
          <cell r="G264">
            <v>0</v>
          </cell>
          <cell r="H264">
            <v>3915000000</v>
          </cell>
          <cell r="I264">
            <v>-5115500000</v>
          </cell>
        </row>
        <row r="265">
          <cell r="C265">
            <v>3105</v>
          </cell>
          <cell r="D265" t="str">
            <v>JUL20263105</v>
          </cell>
          <cell r="E265" t="str">
            <v>Capital Suscrito y Pagado</v>
          </cell>
          <cell r="F265">
            <v>-1200500000</v>
          </cell>
          <cell r="G265">
            <v>0</v>
          </cell>
          <cell r="H265">
            <v>0</v>
          </cell>
          <cell r="I265">
            <v>-1200500000</v>
          </cell>
        </row>
        <row r="266">
          <cell r="C266">
            <v>310505</v>
          </cell>
          <cell r="D266" t="str">
            <v>JUL2026310505</v>
          </cell>
          <cell r="E266" t="str">
            <v>Capital Autorizado</v>
          </cell>
          <cell r="F266">
            <v>-1200500000</v>
          </cell>
          <cell r="G266">
            <v>0</v>
          </cell>
          <cell r="H266">
            <v>0</v>
          </cell>
          <cell r="I266">
            <v>-1200500000</v>
          </cell>
        </row>
        <row r="267">
          <cell r="C267">
            <v>31050501</v>
          </cell>
          <cell r="D267" t="str">
            <v>JUL202631050501</v>
          </cell>
          <cell r="E267" t="str">
            <v>Capital Autorizado</v>
          </cell>
          <cell r="F267">
            <v>-1600000000</v>
          </cell>
          <cell r="G267">
            <v>0</v>
          </cell>
          <cell r="H267">
            <v>0</v>
          </cell>
          <cell r="I267">
            <v>-1600000000</v>
          </cell>
        </row>
        <row r="268">
          <cell r="C268">
            <v>31050510</v>
          </cell>
          <cell r="D268" t="str">
            <v>JUL202631050510</v>
          </cell>
          <cell r="E268" t="str">
            <v>Capital por Suscribir (DB)</v>
          </cell>
          <cell r="F268">
            <v>399500000</v>
          </cell>
          <cell r="G268">
            <v>0</v>
          </cell>
          <cell r="H268">
            <v>0</v>
          </cell>
          <cell r="I268">
            <v>399500000</v>
          </cell>
        </row>
        <row r="269">
          <cell r="C269">
            <v>3115</v>
          </cell>
          <cell r="D269" t="str">
            <v>JUL20263115</v>
          </cell>
          <cell r="E269" t="str">
            <v>Aportes sociales</v>
          </cell>
          <cell r="F269">
            <v>0</v>
          </cell>
          <cell r="G269">
            <v>0</v>
          </cell>
          <cell r="H269">
            <v>3915000000</v>
          </cell>
          <cell r="I269">
            <v>-3915000000</v>
          </cell>
        </row>
        <row r="270">
          <cell r="C270">
            <v>311510</v>
          </cell>
          <cell r="D270" t="str">
            <v>JUL2026311510</v>
          </cell>
          <cell r="E270" t="str">
            <v>Aporte de socios</v>
          </cell>
          <cell r="F270">
            <v>0</v>
          </cell>
          <cell r="G270">
            <v>0</v>
          </cell>
          <cell r="H270">
            <v>3915000000</v>
          </cell>
          <cell r="I270">
            <v>-3915000000</v>
          </cell>
        </row>
        <row r="271">
          <cell r="C271">
            <v>31151001</v>
          </cell>
          <cell r="D271" t="str">
            <v>JUL202631151001</v>
          </cell>
          <cell r="E271" t="str">
            <v>Aporte socios</v>
          </cell>
          <cell r="F271">
            <v>0</v>
          </cell>
          <cell r="G271">
            <v>0</v>
          </cell>
          <cell r="H271">
            <v>3915000000</v>
          </cell>
          <cell r="I271">
            <v>-3915000000</v>
          </cell>
        </row>
        <row r="272">
          <cell r="C272">
            <v>32</v>
          </cell>
          <cell r="D272" t="str">
            <v>JUL202632</v>
          </cell>
          <cell r="E272" t="str">
            <v>Superávit de Capital</v>
          </cell>
          <cell r="F272">
            <v>-388784717.97000003</v>
          </cell>
          <cell r="G272">
            <v>0</v>
          </cell>
          <cell r="H272">
            <v>0</v>
          </cell>
          <cell r="I272">
            <v>-388784717.97000003</v>
          </cell>
        </row>
        <row r="273">
          <cell r="C273">
            <v>3205</v>
          </cell>
          <cell r="D273" t="str">
            <v>JUL20263205</v>
          </cell>
          <cell r="E273" t="str">
            <v>Prima en Colocación de Acciones, Cuotas o Partes de Interés Social</v>
          </cell>
          <cell r="F273">
            <v>-388784717.97000003</v>
          </cell>
          <cell r="G273">
            <v>0</v>
          </cell>
          <cell r="H273">
            <v>0</v>
          </cell>
          <cell r="I273">
            <v>-388784717.97000003</v>
          </cell>
        </row>
        <row r="274">
          <cell r="C274">
            <v>320505</v>
          </cell>
          <cell r="D274" t="str">
            <v>JUL2026320505</v>
          </cell>
          <cell r="E274" t="str">
            <v>Prima en Colocación de Acciones, Cuotas o Partes de Interés Social</v>
          </cell>
          <cell r="F274">
            <v>-388784717.97000003</v>
          </cell>
          <cell r="G274">
            <v>0</v>
          </cell>
          <cell r="H274">
            <v>0</v>
          </cell>
          <cell r="I274">
            <v>-388784717.97000003</v>
          </cell>
        </row>
        <row r="275">
          <cell r="C275">
            <v>32050501</v>
          </cell>
          <cell r="D275" t="str">
            <v>JUL202632050501</v>
          </cell>
          <cell r="E275" t="str">
            <v>Prima en Colocación de Acciones</v>
          </cell>
          <cell r="F275">
            <v>-388784717.97000003</v>
          </cell>
          <cell r="G275">
            <v>0</v>
          </cell>
          <cell r="H275">
            <v>0</v>
          </cell>
          <cell r="I275">
            <v>-388784717.97000003</v>
          </cell>
        </row>
        <row r="276">
          <cell r="C276">
            <v>36</v>
          </cell>
          <cell r="D276" t="str">
            <v>JUL202636</v>
          </cell>
          <cell r="E276" t="str">
            <v>Resultados del Ejercicio</v>
          </cell>
          <cell r="F276">
            <v>-490732530.42000002</v>
          </cell>
          <cell r="G276">
            <v>582947083.41999996</v>
          </cell>
          <cell r="H276">
            <v>92214553</v>
          </cell>
          <cell r="I276">
            <v>0</v>
          </cell>
        </row>
        <row r="277">
          <cell r="C277">
            <v>3605</v>
          </cell>
          <cell r="D277" t="str">
            <v>JUL20263605</v>
          </cell>
          <cell r="E277" t="str">
            <v>Utilidad del Ejercicio</v>
          </cell>
          <cell r="F277">
            <v>-490732530.42000002</v>
          </cell>
          <cell r="G277">
            <v>582947083.41999996</v>
          </cell>
          <cell r="H277">
            <v>92214553</v>
          </cell>
          <cell r="I277">
            <v>0</v>
          </cell>
        </row>
        <row r="278">
          <cell r="C278">
            <v>360505</v>
          </cell>
          <cell r="D278" t="str">
            <v>JUL2026360505</v>
          </cell>
          <cell r="E278" t="str">
            <v>Utilidad del Ejercicio</v>
          </cell>
          <cell r="F278">
            <v>-490732530.42000002</v>
          </cell>
          <cell r="G278">
            <v>582947083.41999996</v>
          </cell>
          <cell r="H278">
            <v>92214553</v>
          </cell>
          <cell r="I278">
            <v>0</v>
          </cell>
        </row>
        <row r="279">
          <cell r="C279">
            <v>36050501</v>
          </cell>
          <cell r="D279" t="str">
            <v>JUL202636050501</v>
          </cell>
          <cell r="E279" t="str">
            <v>Utilidad del Ejercicio</v>
          </cell>
          <cell r="F279">
            <v>-582947083.41999996</v>
          </cell>
          <cell r="G279">
            <v>582947083.41999996</v>
          </cell>
          <cell r="H279">
            <v>0</v>
          </cell>
          <cell r="I279">
            <v>0</v>
          </cell>
        </row>
        <row r="280">
          <cell r="C280">
            <v>36050502</v>
          </cell>
          <cell r="D280" t="str">
            <v>JUL202636050502</v>
          </cell>
          <cell r="E280" t="str">
            <v>Utilidad CPP participe oculto</v>
          </cell>
          <cell r="F280">
            <v>92214553</v>
          </cell>
          <cell r="G280">
            <v>0</v>
          </cell>
          <cell r="H280">
            <v>92214553</v>
          </cell>
          <cell r="I280">
            <v>0</v>
          </cell>
        </row>
        <row r="281">
          <cell r="C281">
            <v>37</v>
          </cell>
          <cell r="D281" t="str">
            <v>JUL202637</v>
          </cell>
          <cell r="E281" t="str">
            <v>Resultados de Ejercicios Anteriores</v>
          </cell>
          <cell r="F281">
            <v>-242336465.38999999</v>
          </cell>
          <cell r="G281">
            <v>0</v>
          </cell>
          <cell r="H281">
            <v>490732530.42000002</v>
          </cell>
          <cell r="I281">
            <v>-733068995.80999994</v>
          </cell>
        </row>
        <row r="282">
          <cell r="C282">
            <v>3705</v>
          </cell>
          <cell r="D282" t="str">
            <v>JUL20263705</v>
          </cell>
          <cell r="E282" t="str">
            <v>Utilidades Acumuladas</v>
          </cell>
          <cell r="F282">
            <v>-1380162236.05</v>
          </cell>
          <cell r="G282">
            <v>0</v>
          </cell>
          <cell r="H282">
            <v>490732530.42000002</v>
          </cell>
          <cell r="I282">
            <v>-1870894766.47</v>
          </cell>
        </row>
        <row r="283">
          <cell r="C283">
            <v>370505</v>
          </cell>
          <cell r="D283" t="str">
            <v>JUL2026370505</v>
          </cell>
          <cell r="E283" t="str">
            <v>Utilidad Exenta a Disposición de la Asamblea</v>
          </cell>
          <cell r="F283">
            <v>-1380162236.05</v>
          </cell>
          <cell r="G283">
            <v>0</v>
          </cell>
          <cell r="H283">
            <v>490732530.42000002</v>
          </cell>
          <cell r="I283">
            <v>-1870894766.47</v>
          </cell>
        </row>
        <row r="284">
          <cell r="C284">
            <v>37050510</v>
          </cell>
          <cell r="D284" t="str">
            <v>JUL202637050510</v>
          </cell>
          <cell r="E284" t="str">
            <v>Utilidades de Ejercicios Anteriores</v>
          </cell>
          <cell r="F284">
            <v>-1380162236.05</v>
          </cell>
          <cell r="G284">
            <v>0</v>
          </cell>
          <cell r="H284">
            <v>490732530.42000002</v>
          </cell>
          <cell r="I284">
            <v>-1870894766.47</v>
          </cell>
        </row>
        <row r="285">
          <cell r="C285">
            <v>3710</v>
          </cell>
          <cell r="D285" t="str">
            <v>JUL20263710</v>
          </cell>
          <cell r="E285" t="str">
            <v>Pérdidas Acumuladas</v>
          </cell>
          <cell r="F285">
            <v>971583932.65999997</v>
          </cell>
          <cell r="G285">
            <v>0</v>
          </cell>
          <cell r="H285">
            <v>0</v>
          </cell>
          <cell r="I285">
            <v>971583932.65999997</v>
          </cell>
        </row>
        <row r="286">
          <cell r="C286">
            <v>371005</v>
          </cell>
          <cell r="D286" t="str">
            <v>JUL2026371005</v>
          </cell>
          <cell r="E286" t="str">
            <v>Pérdidas de Ejercicios Anteriores</v>
          </cell>
          <cell r="F286">
            <v>971583932.65999997</v>
          </cell>
          <cell r="G286">
            <v>0</v>
          </cell>
          <cell r="H286">
            <v>0</v>
          </cell>
          <cell r="I286">
            <v>971583932.65999997</v>
          </cell>
        </row>
        <row r="287">
          <cell r="C287">
            <v>37100501</v>
          </cell>
          <cell r="D287" t="str">
            <v>JUL202637100501</v>
          </cell>
          <cell r="E287" t="str">
            <v>Pérdidas de Ejercicios Anteriores</v>
          </cell>
          <cell r="F287">
            <v>971583932.65999997</v>
          </cell>
          <cell r="G287">
            <v>0</v>
          </cell>
          <cell r="H287">
            <v>0</v>
          </cell>
          <cell r="I287">
            <v>971583932.65999997</v>
          </cell>
        </row>
        <row r="288">
          <cell r="C288">
            <v>3715</v>
          </cell>
          <cell r="D288" t="str">
            <v>JUL20263715</v>
          </cell>
          <cell r="E288" t="str">
            <v>Ajuste NIIF</v>
          </cell>
          <cell r="F288">
            <v>166241838</v>
          </cell>
          <cell r="G288">
            <v>0</v>
          </cell>
          <cell r="H288">
            <v>0</v>
          </cell>
          <cell r="I288">
            <v>166241838</v>
          </cell>
        </row>
        <row r="289">
          <cell r="C289">
            <v>371501</v>
          </cell>
          <cell r="D289" t="str">
            <v>JUL2026371501</v>
          </cell>
          <cell r="E289" t="str">
            <v>Ajuste por bajade preoperativo</v>
          </cell>
          <cell r="F289">
            <v>182683339</v>
          </cell>
          <cell r="G289">
            <v>0</v>
          </cell>
          <cell r="H289">
            <v>0</v>
          </cell>
          <cell r="I289">
            <v>182683339</v>
          </cell>
        </row>
        <row r="290">
          <cell r="C290">
            <v>371502</v>
          </cell>
          <cell r="D290" t="str">
            <v>JUL2026371502</v>
          </cell>
          <cell r="E290" t="str">
            <v>Ajuste por impuesto diferido</v>
          </cell>
          <cell r="F290">
            <v>-16441501</v>
          </cell>
          <cell r="G290">
            <v>0</v>
          </cell>
          <cell r="H290">
            <v>0</v>
          </cell>
          <cell r="I290">
            <v>-16441501</v>
          </cell>
        </row>
        <row r="291">
          <cell r="C291">
            <v>4</v>
          </cell>
          <cell r="D291" t="str">
            <v>JUL20264</v>
          </cell>
          <cell r="E291" t="str">
            <v>Ingresos</v>
          </cell>
          <cell r="F291">
            <v>0</v>
          </cell>
          <cell r="G291">
            <v>435534125</v>
          </cell>
          <cell r="H291">
            <v>11209886551.16</v>
          </cell>
          <cell r="I291">
            <v>-10774352426.16</v>
          </cell>
        </row>
        <row r="292">
          <cell r="C292">
            <v>41</v>
          </cell>
          <cell r="D292" t="str">
            <v>JUL202641</v>
          </cell>
          <cell r="E292" t="str">
            <v>Ingresos Ordinarios</v>
          </cell>
          <cell r="F292">
            <v>0</v>
          </cell>
          <cell r="G292">
            <v>432627541</v>
          </cell>
          <cell r="H292">
            <v>11062041442</v>
          </cell>
          <cell r="I292">
            <v>-10629413901</v>
          </cell>
        </row>
        <row r="293">
          <cell r="C293">
            <v>4165</v>
          </cell>
          <cell r="D293" t="str">
            <v>JUL20264165</v>
          </cell>
          <cell r="E293" t="str">
            <v>Servicios Sociales Y De Salud</v>
          </cell>
          <cell r="F293">
            <v>0</v>
          </cell>
          <cell r="G293">
            <v>431487547</v>
          </cell>
          <cell r="H293">
            <v>11062041442</v>
          </cell>
          <cell r="I293">
            <v>-10630553895</v>
          </cell>
        </row>
        <row r="294">
          <cell r="C294">
            <v>416510</v>
          </cell>
          <cell r="D294" t="str">
            <v>JUL2026416510</v>
          </cell>
          <cell r="E294" t="str">
            <v>Servicio Medico</v>
          </cell>
          <cell r="F294">
            <v>0</v>
          </cell>
          <cell r="G294">
            <v>431487547</v>
          </cell>
          <cell r="H294">
            <v>11062041442</v>
          </cell>
          <cell r="I294">
            <v>-10630553895</v>
          </cell>
        </row>
        <row r="295">
          <cell r="C295">
            <v>41651001</v>
          </cell>
          <cell r="D295" t="str">
            <v>JUL202641651001</v>
          </cell>
          <cell r="E295" t="str">
            <v>Consultas</v>
          </cell>
          <cell r="F295">
            <v>0</v>
          </cell>
          <cell r="G295">
            <v>7525256</v>
          </cell>
          <cell r="H295">
            <v>856051150</v>
          </cell>
          <cell r="I295">
            <v>-848525894</v>
          </cell>
        </row>
        <row r="296">
          <cell r="C296">
            <v>41651002</v>
          </cell>
          <cell r="D296" t="str">
            <v>JUL202641651002</v>
          </cell>
          <cell r="E296" t="str">
            <v>Cirugias</v>
          </cell>
          <cell r="F296">
            <v>0</v>
          </cell>
          <cell r="G296">
            <v>264491193</v>
          </cell>
          <cell r="H296">
            <v>7595092541</v>
          </cell>
          <cell r="I296">
            <v>-7330601348</v>
          </cell>
        </row>
        <row r="297">
          <cell r="C297">
            <v>41651003</v>
          </cell>
          <cell r="D297" t="str">
            <v>JUL202641651003</v>
          </cell>
          <cell r="E297" t="str">
            <v>Exámenes</v>
          </cell>
          <cell r="F297">
            <v>0</v>
          </cell>
          <cell r="G297">
            <v>85264531</v>
          </cell>
          <cell r="H297">
            <v>608754087</v>
          </cell>
          <cell r="I297">
            <v>-523489556</v>
          </cell>
        </row>
        <row r="298">
          <cell r="C298">
            <v>41651004</v>
          </cell>
          <cell r="D298" t="str">
            <v>JUL202641651004</v>
          </cell>
          <cell r="E298" t="str">
            <v>Medicamentos</v>
          </cell>
          <cell r="F298">
            <v>0</v>
          </cell>
          <cell r="G298">
            <v>6796282</v>
          </cell>
          <cell r="H298">
            <v>290177853</v>
          </cell>
          <cell r="I298">
            <v>-283381571</v>
          </cell>
        </row>
        <row r="299">
          <cell r="C299">
            <v>41651005</v>
          </cell>
          <cell r="D299" t="str">
            <v>JUL202641651005</v>
          </cell>
          <cell r="E299" t="str">
            <v>Lente intraocular</v>
          </cell>
          <cell r="F299">
            <v>0</v>
          </cell>
          <cell r="G299">
            <v>67410285</v>
          </cell>
          <cell r="H299">
            <v>1711965811</v>
          </cell>
          <cell r="I299">
            <v>-1644555526</v>
          </cell>
        </row>
        <row r="300">
          <cell r="C300">
            <v>4175</v>
          </cell>
          <cell r="D300" t="str">
            <v>JUL20264175</v>
          </cell>
          <cell r="E300" t="str">
            <v>Devoluciones en Ventas (DB)</v>
          </cell>
          <cell r="F300">
            <v>0</v>
          </cell>
          <cell r="G300">
            <v>1139994</v>
          </cell>
          <cell r="H300">
            <v>0</v>
          </cell>
          <cell r="I300">
            <v>1139994</v>
          </cell>
        </row>
        <row r="301">
          <cell r="C301">
            <v>417505</v>
          </cell>
          <cell r="D301" t="str">
            <v>JUL2026417505</v>
          </cell>
          <cell r="E301" t="str">
            <v>Devoluciones en Ventas (DB)</v>
          </cell>
          <cell r="F301">
            <v>0</v>
          </cell>
          <cell r="G301">
            <v>1139994</v>
          </cell>
          <cell r="H301">
            <v>0</v>
          </cell>
          <cell r="I301">
            <v>1139994</v>
          </cell>
        </row>
        <row r="302">
          <cell r="C302">
            <v>41750501</v>
          </cell>
          <cell r="D302" t="str">
            <v>JUL202641750501</v>
          </cell>
          <cell r="E302" t="str">
            <v>Devoluciones en Ventas (DB) Servicio médico</v>
          </cell>
          <cell r="F302">
            <v>0</v>
          </cell>
          <cell r="G302">
            <v>1139994</v>
          </cell>
          <cell r="H302">
            <v>0</v>
          </cell>
          <cell r="I302">
            <v>1139994</v>
          </cell>
        </row>
        <row r="303">
          <cell r="C303">
            <v>42</v>
          </cell>
          <cell r="D303" t="str">
            <v>JUL202642</v>
          </cell>
          <cell r="E303" t="str">
            <v>Ingresos No Operacionales</v>
          </cell>
          <cell r="F303">
            <v>0</v>
          </cell>
          <cell r="G303">
            <v>2906584</v>
          </cell>
          <cell r="H303">
            <v>147845109.16</v>
          </cell>
          <cell r="I303">
            <v>-144938525.16</v>
          </cell>
        </row>
        <row r="304">
          <cell r="C304">
            <v>4210</v>
          </cell>
          <cell r="D304" t="str">
            <v>JUL20264210</v>
          </cell>
          <cell r="E304" t="str">
            <v>Financieros</v>
          </cell>
          <cell r="F304">
            <v>0</v>
          </cell>
          <cell r="G304">
            <v>0</v>
          </cell>
          <cell r="H304">
            <v>13179908</v>
          </cell>
          <cell r="I304">
            <v>-13179908</v>
          </cell>
        </row>
        <row r="305">
          <cell r="C305">
            <v>421005</v>
          </cell>
          <cell r="D305" t="str">
            <v>JUL2026421005</v>
          </cell>
          <cell r="E305" t="str">
            <v>Intereses</v>
          </cell>
          <cell r="F305">
            <v>0</v>
          </cell>
          <cell r="G305">
            <v>0</v>
          </cell>
          <cell r="H305">
            <v>10023827</v>
          </cell>
          <cell r="I305">
            <v>-10023827</v>
          </cell>
        </row>
        <row r="306">
          <cell r="C306">
            <v>42100501</v>
          </cell>
          <cell r="D306" t="str">
            <v>JUL202642100501</v>
          </cell>
          <cell r="E306" t="str">
            <v>Intereses</v>
          </cell>
          <cell r="F306">
            <v>0</v>
          </cell>
          <cell r="G306">
            <v>0</v>
          </cell>
          <cell r="H306">
            <v>10023827</v>
          </cell>
          <cell r="I306">
            <v>-10023827</v>
          </cell>
        </row>
        <row r="307">
          <cell r="C307">
            <v>421095</v>
          </cell>
          <cell r="D307" t="str">
            <v>JUL2026421095</v>
          </cell>
          <cell r="E307" t="str">
            <v>Otros Ingresos No Operacionales</v>
          </cell>
          <cell r="F307">
            <v>0</v>
          </cell>
          <cell r="G307">
            <v>0</v>
          </cell>
          <cell r="H307">
            <v>3156081</v>
          </cell>
          <cell r="I307">
            <v>-3156081</v>
          </cell>
        </row>
        <row r="308">
          <cell r="C308">
            <v>42109501</v>
          </cell>
          <cell r="D308" t="str">
            <v>JUL202642109501</v>
          </cell>
          <cell r="E308" t="str">
            <v>Otros Ingresos No Operacionales</v>
          </cell>
          <cell r="F308">
            <v>0</v>
          </cell>
          <cell r="G308">
            <v>0</v>
          </cell>
          <cell r="H308">
            <v>3156081</v>
          </cell>
          <cell r="I308">
            <v>-3156081</v>
          </cell>
        </row>
        <row r="309">
          <cell r="C309">
            <v>4250</v>
          </cell>
          <cell r="D309" t="str">
            <v>JUL20264250</v>
          </cell>
          <cell r="E309" t="str">
            <v>Recuperaciones costos y gastos</v>
          </cell>
          <cell r="F309">
            <v>0</v>
          </cell>
          <cell r="G309">
            <v>2906584</v>
          </cell>
          <cell r="H309">
            <v>132637750</v>
          </cell>
          <cell r="I309">
            <v>-129731166</v>
          </cell>
        </row>
        <row r="310">
          <cell r="C310">
            <v>425010</v>
          </cell>
          <cell r="D310" t="str">
            <v>JUL2026425010</v>
          </cell>
          <cell r="E310" t="str">
            <v>Recuperacion costos y gastos</v>
          </cell>
          <cell r="F310">
            <v>0</v>
          </cell>
          <cell r="G310">
            <v>2906584</v>
          </cell>
          <cell r="H310">
            <v>132637750</v>
          </cell>
          <cell r="I310">
            <v>-129731166</v>
          </cell>
        </row>
        <row r="311">
          <cell r="C311">
            <v>42501001</v>
          </cell>
          <cell r="D311" t="str">
            <v>JUL202642501001</v>
          </cell>
          <cell r="E311" t="str">
            <v>Recuperacion costos y gastos</v>
          </cell>
          <cell r="F311">
            <v>0</v>
          </cell>
          <cell r="G311">
            <v>2906584</v>
          </cell>
          <cell r="H311">
            <v>132637750</v>
          </cell>
          <cell r="I311">
            <v>-129731166</v>
          </cell>
        </row>
        <row r="312">
          <cell r="C312">
            <v>4255</v>
          </cell>
          <cell r="D312" t="str">
            <v>JUL20264255</v>
          </cell>
          <cell r="E312" t="str">
            <v>Indemnizaciones</v>
          </cell>
          <cell r="F312">
            <v>0</v>
          </cell>
          <cell r="G312">
            <v>0</v>
          </cell>
          <cell r="H312">
            <v>1692542</v>
          </cell>
          <cell r="I312">
            <v>-1692542</v>
          </cell>
        </row>
        <row r="313">
          <cell r="C313">
            <v>425540</v>
          </cell>
          <cell r="D313" t="str">
            <v>JUL2026425540</v>
          </cell>
          <cell r="E313" t="str">
            <v>Incapacidades</v>
          </cell>
          <cell r="F313">
            <v>0</v>
          </cell>
          <cell r="G313">
            <v>0</v>
          </cell>
          <cell r="H313">
            <v>1692542</v>
          </cell>
          <cell r="I313">
            <v>-1692542</v>
          </cell>
        </row>
        <row r="314">
          <cell r="C314">
            <v>4295</v>
          </cell>
          <cell r="D314" t="str">
            <v>JUL20264295</v>
          </cell>
          <cell r="E314" t="str">
            <v>Diversos</v>
          </cell>
          <cell r="F314">
            <v>0</v>
          </cell>
          <cell r="G314">
            <v>0</v>
          </cell>
          <cell r="H314">
            <v>334909.15999999997</v>
          </cell>
          <cell r="I314">
            <v>-334909.15999999997</v>
          </cell>
        </row>
        <row r="315">
          <cell r="C315">
            <v>429505</v>
          </cell>
          <cell r="D315" t="str">
            <v>JUL2026429505</v>
          </cell>
          <cell r="E315" t="str">
            <v>Diversos</v>
          </cell>
          <cell r="F315">
            <v>0</v>
          </cell>
          <cell r="G315">
            <v>0</v>
          </cell>
          <cell r="H315">
            <v>334909.15999999997</v>
          </cell>
          <cell r="I315">
            <v>-334909.15999999997</v>
          </cell>
        </row>
        <row r="316">
          <cell r="C316">
            <v>42950501</v>
          </cell>
          <cell r="D316" t="str">
            <v>JUL202642950501</v>
          </cell>
          <cell r="E316" t="str">
            <v>Aprovechamientos</v>
          </cell>
          <cell r="F316">
            <v>0</v>
          </cell>
          <cell r="G316">
            <v>0</v>
          </cell>
          <cell r="H316">
            <v>334909.15999999997</v>
          </cell>
          <cell r="I316">
            <v>-334909.15999999997</v>
          </cell>
        </row>
        <row r="317">
          <cell r="C317">
            <v>5</v>
          </cell>
          <cell r="D317" t="str">
            <v>JUL20265</v>
          </cell>
          <cell r="E317" t="str">
            <v>Gastos</v>
          </cell>
          <cell r="F317">
            <v>0</v>
          </cell>
          <cell r="G317">
            <v>4376567775.3199997</v>
          </cell>
          <cell r="H317">
            <v>357386977.38999999</v>
          </cell>
          <cell r="I317">
            <v>4019180797.9299998</v>
          </cell>
        </row>
        <row r="318">
          <cell r="C318">
            <v>51</v>
          </cell>
          <cell r="D318" t="str">
            <v>JUL202651</v>
          </cell>
          <cell r="E318" t="str">
            <v>Gastos de Administración Ordinarios</v>
          </cell>
          <cell r="F318">
            <v>0</v>
          </cell>
          <cell r="G318">
            <v>4033755769.5599999</v>
          </cell>
          <cell r="H318">
            <v>354191201.76999998</v>
          </cell>
          <cell r="I318">
            <v>3679564567.79</v>
          </cell>
        </row>
        <row r="319">
          <cell r="C319">
            <v>5105</v>
          </cell>
          <cell r="D319" t="str">
            <v>JUL20265105</v>
          </cell>
          <cell r="E319" t="str">
            <v>Gasto de Personal</v>
          </cell>
          <cell r="F319">
            <v>0</v>
          </cell>
          <cell r="G319">
            <v>1131849932.95</v>
          </cell>
          <cell r="H319">
            <v>87433747.969999999</v>
          </cell>
          <cell r="I319">
            <v>1044416184.98</v>
          </cell>
        </row>
        <row r="320">
          <cell r="C320">
            <v>510506</v>
          </cell>
          <cell r="D320" t="str">
            <v>JUL2026510506</v>
          </cell>
          <cell r="E320" t="str">
            <v>Sueldos</v>
          </cell>
          <cell r="F320">
            <v>0</v>
          </cell>
          <cell r="G320">
            <v>715668075</v>
          </cell>
          <cell r="H320">
            <v>61842807</v>
          </cell>
          <cell r="I320">
            <v>653825268</v>
          </cell>
        </row>
        <row r="321">
          <cell r="C321">
            <v>51050601</v>
          </cell>
          <cell r="D321" t="str">
            <v>JUL202651050601</v>
          </cell>
          <cell r="E321" t="str">
            <v>Salarios</v>
          </cell>
          <cell r="F321">
            <v>0</v>
          </cell>
          <cell r="G321">
            <v>715668075</v>
          </cell>
          <cell r="H321">
            <v>61842807</v>
          </cell>
          <cell r="I321">
            <v>653825268</v>
          </cell>
        </row>
        <row r="322">
          <cell r="C322">
            <v>510515</v>
          </cell>
          <cell r="D322" t="str">
            <v>JUL2026510515</v>
          </cell>
          <cell r="E322" t="str">
            <v>Horas Extras y Recargos</v>
          </cell>
          <cell r="F322">
            <v>0</v>
          </cell>
          <cell r="G322">
            <v>3336010</v>
          </cell>
          <cell r="H322">
            <v>522727</v>
          </cell>
          <cell r="I322">
            <v>2813283</v>
          </cell>
        </row>
        <row r="323">
          <cell r="C323">
            <v>51051501</v>
          </cell>
          <cell r="D323" t="str">
            <v>JUL202651051501</v>
          </cell>
          <cell r="E323" t="str">
            <v>Horas Extras y Recargos</v>
          </cell>
          <cell r="F323">
            <v>0</v>
          </cell>
          <cell r="G323">
            <v>3336010</v>
          </cell>
          <cell r="H323">
            <v>522727</v>
          </cell>
          <cell r="I323">
            <v>2813283</v>
          </cell>
        </row>
        <row r="324">
          <cell r="C324">
            <v>510524</v>
          </cell>
          <cell r="D324" t="str">
            <v>JUL2026510524</v>
          </cell>
          <cell r="E324" t="str">
            <v>Incapacidades</v>
          </cell>
          <cell r="F324">
            <v>0</v>
          </cell>
          <cell r="G324">
            <v>7471883</v>
          </cell>
          <cell r="H324">
            <v>779836</v>
          </cell>
          <cell r="I324">
            <v>6692047</v>
          </cell>
        </row>
        <row r="325">
          <cell r="C325">
            <v>51052401</v>
          </cell>
          <cell r="D325" t="str">
            <v>JUL202651052401</v>
          </cell>
          <cell r="E325" t="str">
            <v>Incapacidades</v>
          </cell>
          <cell r="F325">
            <v>0</v>
          </cell>
          <cell r="G325">
            <v>7471883</v>
          </cell>
          <cell r="H325">
            <v>779836</v>
          </cell>
          <cell r="I325">
            <v>6692047</v>
          </cell>
        </row>
        <row r="326">
          <cell r="C326">
            <v>510527</v>
          </cell>
          <cell r="D326" t="str">
            <v>JUL2026510527</v>
          </cell>
          <cell r="E326" t="str">
            <v>Auxilio de Transporte</v>
          </cell>
          <cell r="F326">
            <v>0</v>
          </cell>
          <cell r="G326">
            <v>39753910</v>
          </cell>
          <cell r="H326">
            <v>4697936</v>
          </cell>
          <cell r="I326">
            <v>35055974</v>
          </cell>
        </row>
        <row r="327">
          <cell r="C327">
            <v>51052701</v>
          </cell>
          <cell r="D327" t="str">
            <v>JUL202651052701</v>
          </cell>
          <cell r="E327" t="str">
            <v>Auxilio de Transporte</v>
          </cell>
          <cell r="F327">
            <v>0</v>
          </cell>
          <cell r="G327">
            <v>39753910</v>
          </cell>
          <cell r="H327">
            <v>4697936</v>
          </cell>
          <cell r="I327">
            <v>35055974</v>
          </cell>
        </row>
        <row r="328">
          <cell r="C328">
            <v>510530</v>
          </cell>
          <cell r="D328" t="str">
            <v>JUL2026510530</v>
          </cell>
          <cell r="E328" t="str">
            <v>Cesantías</v>
          </cell>
          <cell r="F328">
            <v>0</v>
          </cell>
          <cell r="G328">
            <v>64654986</v>
          </cell>
          <cell r="H328">
            <v>3084791</v>
          </cell>
          <cell r="I328">
            <v>61570195</v>
          </cell>
        </row>
        <row r="329">
          <cell r="C329">
            <v>51053001</v>
          </cell>
          <cell r="D329" t="str">
            <v>JUL202651053001</v>
          </cell>
          <cell r="E329" t="str">
            <v>Cesantías</v>
          </cell>
          <cell r="F329">
            <v>0</v>
          </cell>
          <cell r="G329">
            <v>64654986</v>
          </cell>
          <cell r="H329">
            <v>3084791</v>
          </cell>
          <cell r="I329">
            <v>61570195</v>
          </cell>
        </row>
        <row r="330">
          <cell r="C330">
            <v>510533</v>
          </cell>
          <cell r="D330" t="str">
            <v>JUL2026510533</v>
          </cell>
          <cell r="E330" t="str">
            <v>Intereses Sobre Cesantías</v>
          </cell>
          <cell r="F330">
            <v>0</v>
          </cell>
          <cell r="G330">
            <v>4194618</v>
          </cell>
          <cell r="H330">
            <v>182960</v>
          </cell>
          <cell r="I330">
            <v>4011658</v>
          </cell>
        </row>
        <row r="331">
          <cell r="C331">
            <v>51053301</v>
          </cell>
          <cell r="D331" t="str">
            <v>JUL202651053301</v>
          </cell>
          <cell r="E331" t="str">
            <v>Intereses sobre Cesantías</v>
          </cell>
          <cell r="F331">
            <v>0</v>
          </cell>
          <cell r="G331">
            <v>4194618</v>
          </cell>
          <cell r="H331">
            <v>182960</v>
          </cell>
          <cell r="I331">
            <v>4011658</v>
          </cell>
        </row>
        <row r="332">
          <cell r="C332">
            <v>510536</v>
          </cell>
          <cell r="D332" t="str">
            <v>JUL2026510536</v>
          </cell>
          <cell r="E332" t="str">
            <v>Prima de Servicios</v>
          </cell>
          <cell r="F332">
            <v>0</v>
          </cell>
          <cell r="G332">
            <v>63787024</v>
          </cell>
          <cell r="H332">
            <v>3102588</v>
          </cell>
          <cell r="I332">
            <v>60684436</v>
          </cell>
        </row>
        <row r="333">
          <cell r="C333">
            <v>51053601</v>
          </cell>
          <cell r="D333" t="str">
            <v>JUL202651053601</v>
          </cell>
          <cell r="E333" t="str">
            <v>Prima de Servicios</v>
          </cell>
          <cell r="F333">
            <v>0</v>
          </cell>
          <cell r="G333">
            <v>63787024</v>
          </cell>
          <cell r="H333">
            <v>3102588</v>
          </cell>
          <cell r="I333">
            <v>60684436</v>
          </cell>
        </row>
        <row r="334">
          <cell r="C334">
            <v>510539</v>
          </cell>
          <cell r="D334" t="str">
            <v>JUL2026510539</v>
          </cell>
          <cell r="E334" t="str">
            <v>Vacaciones</v>
          </cell>
          <cell r="F334">
            <v>0</v>
          </cell>
          <cell r="G334">
            <v>45329132.009999998</v>
          </cell>
          <cell r="H334">
            <v>2193969</v>
          </cell>
          <cell r="I334">
            <v>43135163.009999998</v>
          </cell>
        </row>
        <row r="335">
          <cell r="C335">
            <v>51053901</v>
          </cell>
          <cell r="D335" t="str">
            <v>JUL202651053901</v>
          </cell>
          <cell r="E335" t="str">
            <v>Vacaciones</v>
          </cell>
          <cell r="F335">
            <v>0</v>
          </cell>
          <cell r="G335">
            <v>45329132.009999998</v>
          </cell>
          <cell r="H335">
            <v>2193969</v>
          </cell>
          <cell r="I335">
            <v>43135163.009999998</v>
          </cell>
        </row>
        <row r="336">
          <cell r="C336">
            <v>510548</v>
          </cell>
          <cell r="D336" t="str">
            <v>JUL2026510548</v>
          </cell>
          <cell r="E336" t="str">
            <v>Bonificaciones</v>
          </cell>
          <cell r="F336">
            <v>0</v>
          </cell>
          <cell r="G336">
            <v>23857765</v>
          </cell>
          <cell r="H336">
            <v>3759764</v>
          </cell>
          <cell r="I336">
            <v>20098001</v>
          </cell>
        </row>
        <row r="337">
          <cell r="C337">
            <v>51054825</v>
          </cell>
          <cell r="D337" t="str">
            <v>JUL202651054825</v>
          </cell>
          <cell r="E337" t="str">
            <v>Bonificaciones no Constitutivas de Salario</v>
          </cell>
          <cell r="F337">
            <v>0</v>
          </cell>
          <cell r="G337">
            <v>23857765</v>
          </cell>
          <cell r="H337">
            <v>3759764</v>
          </cell>
          <cell r="I337">
            <v>20098001</v>
          </cell>
        </row>
        <row r="338">
          <cell r="C338">
            <v>510551</v>
          </cell>
          <cell r="D338" t="str">
            <v>JUL2026510551</v>
          </cell>
          <cell r="E338" t="str">
            <v>Dotación y Suministro a Trabajadores</v>
          </cell>
          <cell r="F338">
            <v>0</v>
          </cell>
          <cell r="G338">
            <v>22755598.09</v>
          </cell>
          <cell r="H338">
            <v>1198999.97</v>
          </cell>
          <cell r="I338">
            <v>21556598.120000001</v>
          </cell>
        </row>
        <row r="339">
          <cell r="C339">
            <v>51055101</v>
          </cell>
          <cell r="D339" t="str">
            <v>JUL202651055101</v>
          </cell>
          <cell r="E339" t="str">
            <v>Dotación y Suministro a Trabajadores</v>
          </cell>
          <cell r="F339">
            <v>0</v>
          </cell>
          <cell r="G339">
            <v>19122351.34</v>
          </cell>
          <cell r="H339">
            <v>1007563</v>
          </cell>
          <cell r="I339">
            <v>18114788.34</v>
          </cell>
        </row>
        <row r="340">
          <cell r="C340">
            <v>51055198</v>
          </cell>
          <cell r="D340" t="str">
            <v>JUL202651055198</v>
          </cell>
          <cell r="E340" t="str">
            <v>Iva Mayor Valor Dotación y Suministro a Trabajadores</v>
          </cell>
          <cell r="F340">
            <v>0</v>
          </cell>
          <cell r="G340">
            <v>3633246.75</v>
          </cell>
          <cell r="H340">
            <v>191436.97</v>
          </cell>
          <cell r="I340">
            <v>3441809.78</v>
          </cell>
        </row>
        <row r="341">
          <cell r="C341">
            <v>510560</v>
          </cell>
          <cell r="D341" t="str">
            <v>JUL2026510560</v>
          </cell>
          <cell r="E341" t="str">
            <v>Indemnizaciones Laborales</v>
          </cell>
          <cell r="F341">
            <v>0</v>
          </cell>
          <cell r="G341">
            <v>6090517</v>
          </cell>
          <cell r="H341">
            <v>0</v>
          </cell>
          <cell r="I341">
            <v>6090517</v>
          </cell>
        </row>
        <row r="342">
          <cell r="C342">
            <v>51056001</v>
          </cell>
          <cell r="D342" t="str">
            <v>JUL202651056001</v>
          </cell>
          <cell r="E342" t="str">
            <v>Indemnizaciones Laborales</v>
          </cell>
          <cell r="F342">
            <v>0</v>
          </cell>
          <cell r="G342">
            <v>6090517</v>
          </cell>
          <cell r="H342">
            <v>0</v>
          </cell>
          <cell r="I342">
            <v>6090517</v>
          </cell>
        </row>
        <row r="343">
          <cell r="C343">
            <v>510563</v>
          </cell>
          <cell r="D343" t="str">
            <v>JUL2026510563</v>
          </cell>
          <cell r="E343" t="str">
            <v>Capacitación al Personal</v>
          </cell>
          <cell r="F343">
            <v>0</v>
          </cell>
          <cell r="G343">
            <v>18846900</v>
          </cell>
          <cell r="H343">
            <v>0</v>
          </cell>
          <cell r="I343">
            <v>18846900</v>
          </cell>
        </row>
        <row r="344">
          <cell r="C344">
            <v>51056301</v>
          </cell>
          <cell r="D344" t="str">
            <v>JUL202651056301</v>
          </cell>
          <cell r="E344" t="str">
            <v>Capacitación al Personal</v>
          </cell>
          <cell r="F344">
            <v>0</v>
          </cell>
          <cell r="G344">
            <v>18846900</v>
          </cell>
          <cell r="H344">
            <v>0</v>
          </cell>
          <cell r="I344">
            <v>18846900</v>
          </cell>
        </row>
        <row r="345">
          <cell r="C345">
            <v>510568</v>
          </cell>
          <cell r="D345" t="str">
            <v>JUL2026510568</v>
          </cell>
          <cell r="E345" t="str">
            <v>Aportes Riesgos Profesionales</v>
          </cell>
          <cell r="F345">
            <v>0</v>
          </cell>
          <cell r="G345">
            <v>7198898</v>
          </cell>
          <cell r="H345">
            <v>349698</v>
          </cell>
          <cell r="I345">
            <v>6849200</v>
          </cell>
        </row>
        <row r="346">
          <cell r="C346">
            <v>51056801</v>
          </cell>
          <cell r="D346" t="str">
            <v>JUL202651056801</v>
          </cell>
          <cell r="E346" t="str">
            <v>Aportes Riesgos Profesionales</v>
          </cell>
          <cell r="F346">
            <v>0</v>
          </cell>
          <cell r="G346">
            <v>7198898</v>
          </cell>
          <cell r="H346">
            <v>349698</v>
          </cell>
          <cell r="I346">
            <v>6849200</v>
          </cell>
        </row>
        <row r="347">
          <cell r="C347">
            <v>510569</v>
          </cell>
          <cell r="D347" t="str">
            <v>JUL2026510569</v>
          </cell>
          <cell r="E347" t="str">
            <v>Aportes Salud</v>
          </cell>
          <cell r="F347">
            <v>0</v>
          </cell>
          <cell r="G347">
            <v>15856</v>
          </cell>
          <cell r="H347">
            <v>5024</v>
          </cell>
          <cell r="I347">
            <v>10832</v>
          </cell>
        </row>
        <row r="348">
          <cell r="C348">
            <v>51056901</v>
          </cell>
          <cell r="D348" t="str">
            <v>JUL202651056901</v>
          </cell>
          <cell r="E348" t="str">
            <v>Aportes Salud Empleador</v>
          </cell>
          <cell r="F348">
            <v>0</v>
          </cell>
          <cell r="G348">
            <v>15856</v>
          </cell>
          <cell r="H348">
            <v>5024</v>
          </cell>
          <cell r="I348">
            <v>10832</v>
          </cell>
        </row>
        <row r="349">
          <cell r="C349">
            <v>510570</v>
          </cell>
          <cell r="D349" t="str">
            <v>JUL2026510570</v>
          </cell>
          <cell r="E349" t="str">
            <v>Aportes Pensión</v>
          </cell>
          <cell r="F349">
            <v>0</v>
          </cell>
          <cell r="G349">
            <v>77611093.849999994</v>
          </cell>
          <cell r="H349">
            <v>4193516</v>
          </cell>
          <cell r="I349">
            <v>73417577.849999994</v>
          </cell>
        </row>
        <row r="350">
          <cell r="C350">
            <v>51057001</v>
          </cell>
          <cell r="D350" t="str">
            <v>JUL202651057001</v>
          </cell>
          <cell r="E350" t="str">
            <v>Aportes Pensión Empleador</v>
          </cell>
          <cell r="F350">
            <v>0</v>
          </cell>
          <cell r="G350">
            <v>77611093.849999994</v>
          </cell>
          <cell r="H350">
            <v>4193516</v>
          </cell>
          <cell r="I350">
            <v>73417577.849999994</v>
          </cell>
        </row>
        <row r="351">
          <cell r="C351">
            <v>510572</v>
          </cell>
          <cell r="D351" t="str">
            <v>JUL2026510572</v>
          </cell>
          <cell r="E351" t="str">
            <v>Aportes Caja de Compensación Familiar</v>
          </cell>
          <cell r="F351">
            <v>0</v>
          </cell>
          <cell r="G351">
            <v>28807332</v>
          </cell>
          <cell r="H351">
            <v>1341632</v>
          </cell>
          <cell r="I351">
            <v>27465700</v>
          </cell>
        </row>
        <row r="352">
          <cell r="C352">
            <v>51057201</v>
          </cell>
          <cell r="D352" t="str">
            <v>JUL202651057201</v>
          </cell>
          <cell r="E352" t="str">
            <v>Aportes Caja de Compensación Familiar</v>
          </cell>
          <cell r="F352">
            <v>0</v>
          </cell>
          <cell r="G352">
            <v>28807332</v>
          </cell>
          <cell r="H352">
            <v>1341632</v>
          </cell>
          <cell r="I352">
            <v>27465700</v>
          </cell>
        </row>
        <row r="353">
          <cell r="C353">
            <v>510584</v>
          </cell>
          <cell r="D353" t="str">
            <v>JUL2026510584</v>
          </cell>
          <cell r="E353" t="str">
            <v>Gastos Médicos y Drogas</v>
          </cell>
          <cell r="F353">
            <v>0</v>
          </cell>
          <cell r="G353">
            <v>2470335</v>
          </cell>
          <cell r="H353">
            <v>177500</v>
          </cell>
          <cell r="I353">
            <v>2292835</v>
          </cell>
        </row>
        <row r="354">
          <cell r="C354">
            <v>51058401</v>
          </cell>
          <cell r="D354" t="str">
            <v>JUL202651058401</v>
          </cell>
          <cell r="E354" t="str">
            <v>Gastos Médicos y Drogas</v>
          </cell>
          <cell r="F354">
            <v>0</v>
          </cell>
          <cell r="G354">
            <v>2470335</v>
          </cell>
          <cell r="H354">
            <v>177500</v>
          </cell>
          <cell r="I354">
            <v>2292835</v>
          </cell>
        </row>
        <row r="355">
          <cell r="C355">
            <v>5110</v>
          </cell>
          <cell r="D355" t="str">
            <v>JUL20265110</v>
          </cell>
          <cell r="E355" t="str">
            <v>Gastos Honorarios Administración</v>
          </cell>
          <cell r="F355">
            <v>0</v>
          </cell>
          <cell r="G355">
            <v>207410188.02000001</v>
          </cell>
          <cell r="H355">
            <v>7500000</v>
          </cell>
          <cell r="I355">
            <v>199910188.02000001</v>
          </cell>
        </row>
        <row r="356">
          <cell r="C356">
            <v>511010</v>
          </cell>
          <cell r="D356" t="str">
            <v>JUL2026511010</v>
          </cell>
          <cell r="E356" t="str">
            <v>Honorarios Revisoría Fiscal Administración</v>
          </cell>
          <cell r="F356">
            <v>0</v>
          </cell>
          <cell r="G356">
            <v>21000000</v>
          </cell>
          <cell r="H356">
            <v>5000000</v>
          </cell>
          <cell r="I356">
            <v>16000000</v>
          </cell>
        </row>
        <row r="357">
          <cell r="C357">
            <v>51101001</v>
          </cell>
          <cell r="D357" t="str">
            <v>JUL202651101001</v>
          </cell>
          <cell r="E357" t="str">
            <v>Honorarios Revisoría Fiscal Administración</v>
          </cell>
          <cell r="F357">
            <v>0</v>
          </cell>
          <cell r="G357">
            <v>21000000</v>
          </cell>
          <cell r="H357">
            <v>5000000</v>
          </cell>
          <cell r="I357">
            <v>16000000</v>
          </cell>
        </row>
        <row r="358">
          <cell r="C358">
            <v>511025</v>
          </cell>
          <cell r="D358" t="str">
            <v>JUL2026511025</v>
          </cell>
          <cell r="E358" t="str">
            <v>Honorarios Asesoría Jurídica Administración</v>
          </cell>
          <cell r="F358">
            <v>0</v>
          </cell>
          <cell r="G358">
            <v>19340000</v>
          </cell>
          <cell r="H358">
            <v>0</v>
          </cell>
          <cell r="I358">
            <v>19340000</v>
          </cell>
        </row>
        <row r="359">
          <cell r="C359">
            <v>51102501</v>
          </cell>
          <cell r="D359" t="str">
            <v>JUL202651102501</v>
          </cell>
          <cell r="E359" t="str">
            <v>Honorarios Asesoría Jurídica Administración</v>
          </cell>
          <cell r="F359">
            <v>0</v>
          </cell>
          <cell r="G359">
            <v>17440000</v>
          </cell>
          <cell r="H359">
            <v>0</v>
          </cell>
          <cell r="I359">
            <v>17440000</v>
          </cell>
        </row>
        <row r="360">
          <cell r="C360">
            <v>51102598</v>
          </cell>
          <cell r="D360" t="str">
            <v>JUL202651102598</v>
          </cell>
          <cell r="E360" t="str">
            <v>Iva Mayor Valor Honorarios Asesoría Jurídica Administración</v>
          </cell>
          <cell r="F360">
            <v>0</v>
          </cell>
          <cell r="G360">
            <v>1900000</v>
          </cell>
          <cell r="H360">
            <v>0</v>
          </cell>
          <cell r="I360">
            <v>1900000</v>
          </cell>
        </row>
        <row r="361">
          <cell r="C361">
            <v>511035</v>
          </cell>
          <cell r="D361" t="str">
            <v>JUL2026511035</v>
          </cell>
          <cell r="E361" t="str">
            <v>Honorarios Asesoría Técnica Administración</v>
          </cell>
          <cell r="F361">
            <v>0</v>
          </cell>
          <cell r="G361">
            <v>38295541.049999997</v>
          </cell>
          <cell r="H361">
            <v>2500000</v>
          </cell>
          <cell r="I361">
            <v>35795541.049999997</v>
          </cell>
        </row>
        <row r="362">
          <cell r="C362">
            <v>51103501</v>
          </cell>
          <cell r="D362" t="str">
            <v>JUL202651103501</v>
          </cell>
          <cell r="E362" t="str">
            <v>Honorarios Asesoría Técnica Administración</v>
          </cell>
          <cell r="F362">
            <v>0</v>
          </cell>
          <cell r="G362">
            <v>35046295</v>
          </cell>
          <cell r="H362">
            <v>2500000</v>
          </cell>
          <cell r="I362">
            <v>32546295</v>
          </cell>
        </row>
        <row r="363">
          <cell r="C363">
            <v>51103598</v>
          </cell>
          <cell r="D363" t="str">
            <v>JUL202651103598</v>
          </cell>
          <cell r="E363" t="str">
            <v>Iva Mayor Valor Honorarios Asesoría Técnica Administración</v>
          </cell>
          <cell r="F363">
            <v>0</v>
          </cell>
          <cell r="G363">
            <v>3249246.05</v>
          </cell>
          <cell r="H363">
            <v>0</v>
          </cell>
          <cell r="I363">
            <v>3249246.05</v>
          </cell>
        </row>
        <row r="364">
          <cell r="C364">
            <v>511095</v>
          </cell>
          <cell r="D364" t="str">
            <v>JUL2026511095</v>
          </cell>
          <cell r="E364" t="str">
            <v>Otros Honorarios Administración</v>
          </cell>
          <cell r="F364">
            <v>0</v>
          </cell>
          <cell r="G364">
            <v>128774646.97</v>
          </cell>
          <cell r="H364">
            <v>0</v>
          </cell>
          <cell r="I364">
            <v>128774646.97</v>
          </cell>
        </row>
        <row r="365">
          <cell r="C365">
            <v>51109503</v>
          </cell>
          <cell r="D365" t="str">
            <v>JUL202651109503</v>
          </cell>
          <cell r="E365" t="str">
            <v>Honorarios arquitectura</v>
          </cell>
          <cell r="F365">
            <v>0</v>
          </cell>
          <cell r="G365">
            <v>126844178</v>
          </cell>
          <cell r="H365">
            <v>0</v>
          </cell>
          <cell r="I365">
            <v>126844178</v>
          </cell>
        </row>
        <row r="366">
          <cell r="C366">
            <v>51109598</v>
          </cell>
          <cell r="D366" t="str">
            <v>JUL202651109598</v>
          </cell>
          <cell r="E366" t="str">
            <v>Iva Mayor Valor Otros Honorarios Administración</v>
          </cell>
          <cell r="F366">
            <v>0</v>
          </cell>
          <cell r="G366">
            <v>1930468.97</v>
          </cell>
          <cell r="H366">
            <v>0</v>
          </cell>
          <cell r="I366">
            <v>1930468.97</v>
          </cell>
        </row>
        <row r="367">
          <cell r="C367">
            <v>5115</v>
          </cell>
          <cell r="D367" t="str">
            <v>JUL20265115</v>
          </cell>
          <cell r="E367" t="str">
            <v>Gastos Impuestos Administración</v>
          </cell>
          <cell r="F367">
            <v>0</v>
          </cell>
          <cell r="G367">
            <v>49819181.899999999</v>
          </cell>
          <cell r="H367">
            <v>279708.68</v>
          </cell>
          <cell r="I367">
            <v>49539473.219999999</v>
          </cell>
        </row>
        <row r="368">
          <cell r="C368">
            <v>511515</v>
          </cell>
          <cell r="D368" t="str">
            <v>JUL2026511515</v>
          </cell>
          <cell r="E368" t="str">
            <v>Impuesto Predial o a la Propiedad Raíz Administración</v>
          </cell>
          <cell r="F368">
            <v>0</v>
          </cell>
          <cell r="G368">
            <v>2161284</v>
          </cell>
          <cell r="H368">
            <v>0</v>
          </cell>
          <cell r="I368">
            <v>2161284</v>
          </cell>
        </row>
        <row r="369">
          <cell r="C369">
            <v>51151501</v>
          </cell>
          <cell r="D369" t="str">
            <v>JUL202651151501</v>
          </cell>
          <cell r="E369" t="str">
            <v>Impuesto Predial o a la Propiedad Raíz Administración</v>
          </cell>
          <cell r="F369">
            <v>0</v>
          </cell>
          <cell r="G369">
            <v>2161284</v>
          </cell>
          <cell r="H369">
            <v>0</v>
          </cell>
          <cell r="I369">
            <v>2161284</v>
          </cell>
        </row>
        <row r="370">
          <cell r="C370">
            <v>511595</v>
          </cell>
          <cell r="D370" t="str">
            <v>JUL2026511595</v>
          </cell>
          <cell r="E370" t="str">
            <v>Otros Impuestos Administración</v>
          </cell>
          <cell r="F370">
            <v>0</v>
          </cell>
          <cell r="G370">
            <v>47657897.899999999</v>
          </cell>
          <cell r="H370">
            <v>279708.68</v>
          </cell>
          <cell r="I370">
            <v>47378189.219999999</v>
          </cell>
        </row>
        <row r="371">
          <cell r="C371">
            <v>51159501</v>
          </cell>
          <cell r="D371" t="str">
            <v>JUL202651159501</v>
          </cell>
          <cell r="E371" t="str">
            <v>Impuestos telefónico</v>
          </cell>
          <cell r="F371">
            <v>0</v>
          </cell>
          <cell r="G371">
            <v>184862.76</v>
          </cell>
          <cell r="H371">
            <v>0</v>
          </cell>
          <cell r="I371">
            <v>184862.76</v>
          </cell>
        </row>
        <row r="372">
          <cell r="C372">
            <v>51159502</v>
          </cell>
          <cell r="D372" t="str">
            <v>JUL202651159502</v>
          </cell>
          <cell r="E372" t="str">
            <v>Alumbrado público</v>
          </cell>
          <cell r="F372">
            <v>0</v>
          </cell>
          <cell r="G372">
            <v>2059774.04</v>
          </cell>
          <cell r="H372">
            <v>30019.77</v>
          </cell>
          <cell r="I372">
            <v>2029754.27</v>
          </cell>
        </row>
        <row r="373">
          <cell r="C373">
            <v>51159503</v>
          </cell>
          <cell r="D373" t="str">
            <v>JUL202651159503</v>
          </cell>
          <cell r="E373" t="str">
            <v>GMF</v>
          </cell>
          <cell r="F373">
            <v>0</v>
          </cell>
          <cell r="G373">
            <v>41690844</v>
          </cell>
          <cell r="H373">
            <v>194844</v>
          </cell>
          <cell r="I373">
            <v>41496000</v>
          </cell>
        </row>
        <row r="374">
          <cell r="C374">
            <v>51159504</v>
          </cell>
          <cell r="D374" t="str">
            <v>JUL202651159504</v>
          </cell>
          <cell r="E374" t="str">
            <v>Impuesto al consumo</v>
          </cell>
          <cell r="F374">
            <v>0</v>
          </cell>
          <cell r="G374">
            <v>616755.68000000005</v>
          </cell>
          <cell r="H374">
            <v>15689.63</v>
          </cell>
          <cell r="I374">
            <v>601066.05000000005</v>
          </cell>
        </row>
        <row r="375">
          <cell r="C375">
            <v>51159505</v>
          </cell>
          <cell r="D375" t="str">
            <v>JUL202651159505</v>
          </cell>
          <cell r="E375" t="str">
            <v>Tasa Aseo</v>
          </cell>
          <cell r="F375">
            <v>0</v>
          </cell>
          <cell r="G375">
            <v>2998037.17</v>
          </cell>
          <cell r="H375">
            <v>39155.279999999999</v>
          </cell>
          <cell r="I375">
            <v>2958881.89</v>
          </cell>
        </row>
        <row r="376">
          <cell r="C376">
            <v>51159506</v>
          </cell>
          <cell r="D376" t="str">
            <v>JUL202651159506</v>
          </cell>
          <cell r="E376" t="str">
            <v>Impuesto bolsa</v>
          </cell>
          <cell r="F376">
            <v>0</v>
          </cell>
          <cell r="G376">
            <v>34624.25</v>
          </cell>
          <cell r="H376">
            <v>0</v>
          </cell>
          <cell r="I376">
            <v>34624.25</v>
          </cell>
        </row>
        <row r="377">
          <cell r="C377">
            <v>51159509</v>
          </cell>
          <cell r="D377" t="str">
            <v>JUL202651159509</v>
          </cell>
          <cell r="E377" t="str">
            <v>Tasa de seguridad</v>
          </cell>
          <cell r="F377">
            <v>0</v>
          </cell>
          <cell r="G377">
            <v>73000</v>
          </cell>
          <cell r="H377">
            <v>0</v>
          </cell>
          <cell r="I377">
            <v>73000</v>
          </cell>
        </row>
        <row r="378">
          <cell r="C378">
            <v>5120</v>
          </cell>
          <cell r="D378" t="str">
            <v>JUL20265120</v>
          </cell>
          <cell r="E378" t="str">
            <v>Gastos Arrendamientos Administración</v>
          </cell>
          <cell r="F378">
            <v>0</v>
          </cell>
          <cell r="G378">
            <v>787843711.75</v>
          </cell>
          <cell r="H378">
            <v>46227616.369999997</v>
          </cell>
          <cell r="I378">
            <v>741616095.38</v>
          </cell>
        </row>
        <row r="379">
          <cell r="C379">
            <v>512010</v>
          </cell>
          <cell r="D379" t="str">
            <v>JUL2026512010</v>
          </cell>
          <cell r="E379" t="str">
            <v>Arrendamiento Construcciones y Edificaciones Administración</v>
          </cell>
          <cell r="F379">
            <v>0</v>
          </cell>
          <cell r="G379">
            <v>787052361.75</v>
          </cell>
          <cell r="H379">
            <v>46227616.369999997</v>
          </cell>
          <cell r="I379">
            <v>740824745.38</v>
          </cell>
        </row>
        <row r="380">
          <cell r="C380">
            <v>51201001</v>
          </cell>
          <cell r="D380" t="str">
            <v>JUL202651201001</v>
          </cell>
          <cell r="E380" t="str">
            <v>Arrendamiento Construcciones y Edificaciones Administración</v>
          </cell>
          <cell r="F380">
            <v>0</v>
          </cell>
          <cell r="G380">
            <v>669051358.20000005</v>
          </cell>
          <cell r="H380">
            <v>45778123.07</v>
          </cell>
          <cell r="I380">
            <v>623273235.13</v>
          </cell>
        </row>
        <row r="381">
          <cell r="C381">
            <v>51201098</v>
          </cell>
          <cell r="D381" t="str">
            <v>JUL202651201098</v>
          </cell>
          <cell r="E381" t="str">
            <v>Iva Mayor Valor Arrendamiento Construcciones y Edificaciones Administración</v>
          </cell>
          <cell r="F381">
            <v>0</v>
          </cell>
          <cell r="G381">
            <v>118001003.55</v>
          </cell>
          <cell r="H381">
            <v>449493.3</v>
          </cell>
          <cell r="I381">
            <v>117551510.25</v>
          </cell>
        </row>
        <row r="382">
          <cell r="C382">
            <v>512025</v>
          </cell>
          <cell r="D382" t="str">
            <v>JUL2026512025</v>
          </cell>
          <cell r="E382" t="str">
            <v>Arrendamiento Equipo de Computación y Comunicación Administración</v>
          </cell>
          <cell r="F382">
            <v>0</v>
          </cell>
          <cell r="G382">
            <v>791350</v>
          </cell>
          <cell r="H382">
            <v>0</v>
          </cell>
          <cell r="I382">
            <v>791350</v>
          </cell>
        </row>
        <row r="383">
          <cell r="C383">
            <v>51202501</v>
          </cell>
          <cell r="D383" t="str">
            <v>JUL202651202501</v>
          </cell>
          <cell r="E383" t="str">
            <v>Arrendamiento Equipo de Computación y Comunicación Administración</v>
          </cell>
          <cell r="F383">
            <v>0</v>
          </cell>
          <cell r="G383">
            <v>710600</v>
          </cell>
          <cell r="H383">
            <v>0</v>
          </cell>
          <cell r="I383">
            <v>710600</v>
          </cell>
        </row>
        <row r="384">
          <cell r="C384">
            <v>51202598</v>
          </cell>
          <cell r="D384" t="str">
            <v>JUL202651202598</v>
          </cell>
          <cell r="E384" t="str">
            <v>Iva Mayor Valor Arrendamiento Equipo de Computación y Comunicación Administración</v>
          </cell>
          <cell r="F384">
            <v>0</v>
          </cell>
          <cell r="G384">
            <v>80750</v>
          </cell>
          <cell r="H384">
            <v>0</v>
          </cell>
          <cell r="I384">
            <v>80750</v>
          </cell>
        </row>
        <row r="385">
          <cell r="C385">
            <v>5125</v>
          </cell>
          <cell r="D385" t="str">
            <v>JUL20265125</v>
          </cell>
          <cell r="E385" t="str">
            <v>Gastos Contribuciones y Afiliaciones Administración</v>
          </cell>
          <cell r="F385">
            <v>0</v>
          </cell>
          <cell r="G385">
            <v>150647242.53</v>
          </cell>
          <cell r="H385">
            <v>30628013.780000001</v>
          </cell>
          <cell r="I385">
            <v>120019228.75</v>
          </cell>
        </row>
        <row r="386">
          <cell r="C386">
            <v>512505</v>
          </cell>
          <cell r="D386" t="str">
            <v>JUL2026512505</v>
          </cell>
          <cell r="E386" t="str">
            <v>Contribuciones Administración</v>
          </cell>
          <cell r="F386">
            <v>0</v>
          </cell>
          <cell r="G386">
            <v>97633608.060000002</v>
          </cell>
          <cell r="H386">
            <v>17743487.780000001</v>
          </cell>
          <cell r="I386">
            <v>79890120.280000001</v>
          </cell>
        </row>
        <row r="387">
          <cell r="C387">
            <v>51250501</v>
          </cell>
          <cell r="D387" t="str">
            <v>JUL202651250501</v>
          </cell>
          <cell r="E387" t="str">
            <v>Contribuciones Administración</v>
          </cell>
          <cell r="F387">
            <v>0</v>
          </cell>
          <cell r="G387">
            <v>95855372.900000006</v>
          </cell>
          <cell r="H387">
            <v>17481580</v>
          </cell>
          <cell r="I387">
            <v>78373792.900000006</v>
          </cell>
        </row>
        <row r="388">
          <cell r="C388">
            <v>51250598</v>
          </cell>
          <cell r="D388" t="str">
            <v>JUL202651250598</v>
          </cell>
          <cell r="E388" t="str">
            <v>Contribuciones Administración Iva mayor valor</v>
          </cell>
          <cell r="F388">
            <v>0</v>
          </cell>
          <cell r="G388">
            <v>1778235.16</v>
          </cell>
          <cell r="H388">
            <v>261907.78</v>
          </cell>
          <cell r="I388">
            <v>1516327.38</v>
          </cell>
        </row>
        <row r="389">
          <cell r="C389">
            <v>512510</v>
          </cell>
          <cell r="D389" t="str">
            <v>JUL2026512510</v>
          </cell>
          <cell r="E389" t="str">
            <v>Afiliaciones y Sostenimiento Administración</v>
          </cell>
          <cell r="F389">
            <v>0</v>
          </cell>
          <cell r="G389">
            <v>53013634.469999999</v>
          </cell>
          <cell r="H389">
            <v>12884526</v>
          </cell>
          <cell r="I389">
            <v>40129108.469999999</v>
          </cell>
        </row>
        <row r="390">
          <cell r="C390">
            <v>51251001</v>
          </cell>
          <cell r="D390" t="str">
            <v>JUL202651251001</v>
          </cell>
          <cell r="E390" t="str">
            <v>Afiliaciones y Sostenimiento Administración</v>
          </cell>
          <cell r="F390">
            <v>0</v>
          </cell>
          <cell r="G390">
            <v>53013634.469999999</v>
          </cell>
          <cell r="H390">
            <v>12884526</v>
          </cell>
          <cell r="I390">
            <v>40129108.469999999</v>
          </cell>
        </row>
        <row r="391">
          <cell r="C391">
            <v>5130</v>
          </cell>
          <cell r="D391" t="str">
            <v>JUL20265130</v>
          </cell>
          <cell r="E391" t="str">
            <v>Gastos Seguros Administración</v>
          </cell>
          <cell r="F391">
            <v>0</v>
          </cell>
          <cell r="G391">
            <v>148464399.78</v>
          </cell>
          <cell r="H391">
            <v>8960736.8900000006</v>
          </cell>
          <cell r="I391">
            <v>139503662.88999999</v>
          </cell>
        </row>
        <row r="392">
          <cell r="C392">
            <v>513005</v>
          </cell>
          <cell r="D392" t="str">
            <v>JUL2026513005</v>
          </cell>
          <cell r="E392" t="str">
            <v>Seguros Manejo Administración</v>
          </cell>
          <cell r="F392">
            <v>0</v>
          </cell>
          <cell r="G392">
            <v>448644</v>
          </cell>
          <cell r="H392">
            <v>0</v>
          </cell>
          <cell r="I392">
            <v>448644</v>
          </cell>
        </row>
        <row r="393">
          <cell r="C393">
            <v>51300501</v>
          </cell>
          <cell r="D393" t="str">
            <v>JUL202651300501</v>
          </cell>
          <cell r="E393" t="str">
            <v>Seguros Manejo Administración</v>
          </cell>
          <cell r="F393">
            <v>0</v>
          </cell>
          <cell r="G393">
            <v>448644</v>
          </cell>
          <cell r="H393">
            <v>0</v>
          </cell>
          <cell r="I393">
            <v>448644</v>
          </cell>
        </row>
        <row r="394">
          <cell r="C394">
            <v>513010</v>
          </cell>
          <cell r="D394" t="str">
            <v>JUL2026513010</v>
          </cell>
          <cell r="E394" t="str">
            <v>Seguros Cumplimiento Administración</v>
          </cell>
          <cell r="F394">
            <v>0</v>
          </cell>
          <cell r="G394">
            <v>17921473.780000001</v>
          </cell>
          <cell r="H394">
            <v>8960736.8900000006</v>
          </cell>
          <cell r="I394">
            <v>8960736.8900000006</v>
          </cell>
        </row>
        <row r="395">
          <cell r="C395">
            <v>51301001</v>
          </cell>
          <cell r="D395" t="str">
            <v>JUL202651301001</v>
          </cell>
          <cell r="E395" t="str">
            <v>Seguros Cumplimiento Administración</v>
          </cell>
          <cell r="F395">
            <v>0</v>
          </cell>
          <cell r="G395">
            <v>17921473.780000001</v>
          </cell>
          <cell r="H395">
            <v>8960736.8900000006</v>
          </cell>
          <cell r="I395">
            <v>8960736.8900000006</v>
          </cell>
        </row>
        <row r="396">
          <cell r="C396">
            <v>513060</v>
          </cell>
          <cell r="D396" t="str">
            <v>JUL2026513060</v>
          </cell>
          <cell r="E396" t="str">
            <v>Seguros Responsabilidad Civil Administración</v>
          </cell>
          <cell r="F396">
            <v>0</v>
          </cell>
          <cell r="G396">
            <v>17228490</v>
          </cell>
          <cell r="H396">
            <v>0</v>
          </cell>
          <cell r="I396">
            <v>17228490</v>
          </cell>
        </row>
        <row r="397">
          <cell r="C397">
            <v>51306001</v>
          </cell>
          <cell r="D397" t="str">
            <v>JUL202651306001</v>
          </cell>
          <cell r="E397" t="str">
            <v>Seguros Responsabilidad Civil Administración</v>
          </cell>
          <cell r="F397">
            <v>0</v>
          </cell>
          <cell r="G397">
            <v>17228490</v>
          </cell>
          <cell r="H397">
            <v>0</v>
          </cell>
          <cell r="I397">
            <v>17228490</v>
          </cell>
        </row>
        <row r="398">
          <cell r="C398">
            <v>513095</v>
          </cell>
          <cell r="D398" t="str">
            <v>JUL2026513095</v>
          </cell>
          <cell r="E398" t="str">
            <v>Otros Seguros administración</v>
          </cell>
          <cell r="F398">
            <v>0</v>
          </cell>
          <cell r="G398">
            <v>112865792</v>
          </cell>
          <cell r="H398">
            <v>0</v>
          </cell>
          <cell r="I398">
            <v>112865792</v>
          </cell>
        </row>
        <row r="399">
          <cell r="C399">
            <v>51309501</v>
          </cell>
          <cell r="D399" t="str">
            <v>JUL202651309501</v>
          </cell>
          <cell r="E399" t="str">
            <v>Poliza complicaciones</v>
          </cell>
          <cell r="F399">
            <v>0</v>
          </cell>
          <cell r="G399">
            <v>112865792</v>
          </cell>
          <cell r="H399">
            <v>0</v>
          </cell>
          <cell r="I399">
            <v>112865792</v>
          </cell>
        </row>
        <row r="400">
          <cell r="C400">
            <v>5135</v>
          </cell>
          <cell r="D400" t="str">
            <v>JUL20265135</v>
          </cell>
          <cell r="E400" t="str">
            <v>Gastos Servicios Administración</v>
          </cell>
          <cell r="F400">
            <v>0</v>
          </cell>
          <cell r="G400">
            <v>399482484.76999998</v>
          </cell>
          <cell r="H400">
            <v>42342828.039999999</v>
          </cell>
          <cell r="I400">
            <v>357139656.73000002</v>
          </cell>
        </row>
        <row r="401">
          <cell r="C401">
            <v>513505</v>
          </cell>
          <cell r="D401" t="str">
            <v>JUL2026513505</v>
          </cell>
          <cell r="E401" t="str">
            <v>Servicios Aseo y Vigilancia Administración</v>
          </cell>
          <cell r="F401">
            <v>0</v>
          </cell>
          <cell r="G401">
            <v>73798547.519999996</v>
          </cell>
          <cell r="H401">
            <v>19422730.52</v>
          </cell>
          <cell r="I401">
            <v>54375817</v>
          </cell>
        </row>
        <row r="402">
          <cell r="C402">
            <v>51350501</v>
          </cell>
          <cell r="D402" t="str">
            <v>JUL202651350501</v>
          </cell>
          <cell r="E402" t="str">
            <v>Servicios Aseo y Vigilancia Administración</v>
          </cell>
          <cell r="F402">
            <v>0</v>
          </cell>
          <cell r="G402">
            <v>73798547.519999996</v>
          </cell>
          <cell r="H402">
            <v>19422730.52</v>
          </cell>
          <cell r="I402">
            <v>54375817</v>
          </cell>
        </row>
        <row r="403">
          <cell r="C403">
            <v>513525</v>
          </cell>
          <cell r="D403" t="str">
            <v>JUL2026513525</v>
          </cell>
          <cell r="E403" t="str">
            <v>Servicios Acueducto y Alcantarillado Administración</v>
          </cell>
          <cell r="F403">
            <v>0</v>
          </cell>
          <cell r="G403">
            <v>5641276.9299999997</v>
          </cell>
          <cell r="H403">
            <v>233447.18</v>
          </cell>
          <cell r="I403">
            <v>5407829.75</v>
          </cell>
        </row>
        <row r="404">
          <cell r="C404">
            <v>51352501</v>
          </cell>
          <cell r="D404" t="str">
            <v>JUL202651352501</v>
          </cell>
          <cell r="E404" t="str">
            <v>Servicios Acueducto y Alcantarillado Administración</v>
          </cell>
          <cell r="F404">
            <v>0</v>
          </cell>
          <cell r="G404">
            <v>5641276.9299999997</v>
          </cell>
          <cell r="H404">
            <v>233447.18</v>
          </cell>
          <cell r="I404">
            <v>5407829.75</v>
          </cell>
        </row>
        <row r="405">
          <cell r="C405">
            <v>513530</v>
          </cell>
          <cell r="D405" t="str">
            <v>JUL2026513530</v>
          </cell>
          <cell r="E405" t="str">
            <v>Servicios Energía Eléctrica Administración</v>
          </cell>
          <cell r="F405">
            <v>0</v>
          </cell>
          <cell r="G405">
            <v>52152406.920000002</v>
          </cell>
          <cell r="H405">
            <v>4544247.3899999997</v>
          </cell>
          <cell r="I405">
            <v>47608159.530000001</v>
          </cell>
        </row>
        <row r="406">
          <cell r="C406">
            <v>51353001</v>
          </cell>
          <cell r="D406" t="str">
            <v>JUL202651353001</v>
          </cell>
          <cell r="E406" t="str">
            <v>Servicios Energía Eléctrica Administración</v>
          </cell>
          <cell r="F406">
            <v>0</v>
          </cell>
          <cell r="G406">
            <v>52152406.920000002</v>
          </cell>
          <cell r="H406">
            <v>4544247.3899999997</v>
          </cell>
          <cell r="I406">
            <v>47608159.530000001</v>
          </cell>
        </row>
        <row r="407">
          <cell r="C407">
            <v>513535</v>
          </cell>
          <cell r="D407" t="str">
            <v>JUL2026513535</v>
          </cell>
          <cell r="E407" t="str">
            <v>Servicios Telefonía e Internet Administración</v>
          </cell>
          <cell r="F407">
            <v>0</v>
          </cell>
          <cell r="G407">
            <v>17819885.059999999</v>
          </cell>
          <cell r="H407">
            <v>80820</v>
          </cell>
          <cell r="I407">
            <v>17739065.059999999</v>
          </cell>
        </row>
        <row r="408">
          <cell r="C408">
            <v>51353501</v>
          </cell>
          <cell r="D408" t="str">
            <v>JUL202651353501</v>
          </cell>
          <cell r="E408" t="str">
            <v>Servicios Telefonía Fija Administración</v>
          </cell>
          <cell r="F408">
            <v>0</v>
          </cell>
          <cell r="G408">
            <v>737906.82</v>
          </cell>
          <cell r="H408">
            <v>67915.960000000006</v>
          </cell>
          <cell r="I408">
            <v>669990.86</v>
          </cell>
        </row>
        <row r="409">
          <cell r="C409">
            <v>51353502</v>
          </cell>
          <cell r="D409" t="str">
            <v>JUL202651353502</v>
          </cell>
          <cell r="E409" t="str">
            <v>Servicios Telefonía Móvil Administración</v>
          </cell>
          <cell r="F409">
            <v>0</v>
          </cell>
          <cell r="G409">
            <v>1012915</v>
          </cell>
          <cell r="H409">
            <v>0</v>
          </cell>
          <cell r="I409">
            <v>1012915</v>
          </cell>
        </row>
        <row r="410">
          <cell r="C410">
            <v>51353503</v>
          </cell>
          <cell r="D410" t="str">
            <v>JUL202651353503</v>
          </cell>
          <cell r="E410" t="str">
            <v>Servicios de Internet Administración</v>
          </cell>
          <cell r="F410">
            <v>0</v>
          </cell>
          <cell r="G410">
            <v>13320547.460000001</v>
          </cell>
          <cell r="H410">
            <v>0</v>
          </cell>
          <cell r="I410">
            <v>13320547.460000001</v>
          </cell>
        </row>
        <row r="411">
          <cell r="C411">
            <v>51353598</v>
          </cell>
          <cell r="D411" t="str">
            <v>JUL202651353598</v>
          </cell>
          <cell r="E411" t="str">
            <v>Iva Mayor Valor Servicios Telefonía e Internet Administración</v>
          </cell>
          <cell r="F411">
            <v>0</v>
          </cell>
          <cell r="G411">
            <v>2748515.78</v>
          </cell>
          <cell r="H411">
            <v>12904.04</v>
          </cell>
          <cell r="I411">
            <v>2735611.74</v>
          </cell>
        </row>
        <row r="412">
          <cell r="C412">
            <v>513550</v>
          </cell>
          <cell r="D412" t="str">
            <v>JUL2026513550</v>
          </cell>
          <cell r="E412" t="str">
            <v>Servicios Transporte, Fletes y Acarreo Administración</v>
          </cell>
          <cell r="F412">
            <v>0</v>
          </cell>
          <cell r="G412">
            <v>13778184.34</v>
          </cell>
          <cell r="H412">
            <v>2905998.38</v>
          </cell>
          <cell r="I412">
            <v>10872185.960000001</v>
          </cell>
        </row>
        <row r="413">
          <cell r="C413">
            <v>51355001</v>
          </cell>
          <cell r="D413" t="str">
            <v>JUL202651355001</v>
          </cell>
          <cell r="E413" t="str">
            <v>Servicios Transporte, Fletes y Acarreo Administración</v>
          </cell>
          <cell r="F413">
            <v>0</v>
          </cell>
          <cell r="G413">
            <v>12722502.890000001</v>
          </cell>
          <cell r="H413">
            <v>2449998.38</v>
          </cell>
          <cell r="I413">
            <v>10272504.51</v>
          </cell>
        </row>
        <row r="414">
          <cell r="C414">
            <v>51355098</v>
          </cell>
          <cell r="D414" t="str">
            <v>JUL202651355098</v>
          </cell>
          <cell r="E414" t="str">
            <v>Iva Mayor Valor Servicios Transporte, Fletes y Acarreo Administración</v>
          </cell>
          <cell r="F414">
            <v>0</v>
          </cell>
          <cell r="G414">
            <v>1055681.45</v>
          </cell>
          <cell r="H414">
            <v>456000</v>
          </cell>
          <cell r="I414">
            <v>599681.44999999995</v>
          </cell>
        </row>
        <row r="415">
          <cell r="C415">
            <v>513595</v>
          </cell>
          <cell r="D415" t="str">
            <v>JUL2026513595</v>
          </cell>
          <cell r="E415" t="str">
            <v>Otros Servicios Administración</v>
          </cell>
          <cell r="F415">
            <v>0</v>
          </cell>
          <cell r="G415">
            <v>236292184</v>
          </cell>
          <cell r="H415">
            <v>15155584.57</v>
          </cell>
          <cell r="I415">
            <v>221136599.43000001</v>
          </cell>
        </row>
        <row r="416">
          <cell r="C416">
            <v>51359502</v>
          </cell>
          <cell r="D416" t="str">
            <v>JUL202651359502</v>
          </cell>
          <cell r="E416" t="str">
            <v>Mensajeria</v>
          </cell>
          <cell r="F416">
            <v>0</v>
          </cell>
          <cell r="G416">
            <v>104000</v>
          </cell>
          <cell r="H416">
            <v>0</v>
          </cell>
          <cell r="I416">
            <v>104000</v>
          </cell>
        </row>
        <row r="417">
          <cell r="C417">
            <v>51359503</v>
          </cell>
          <cell r="D417" t="str">
            <v>JUL202651359503</v>
          </cell>
          <cell r="E417" t="str">
            <v>Licencias</v>
          </cell>
          <cell r="F417">
            <v>0</v>
          </cell>
          <cell r="G417">
            <v>51349023.109999999</v>
          </cell>
          <cell r="H417">
            <v>3856958</v>
          </cell>
          <cell r="I417">
            <v>47492065.109999999</v>
          </cell>
        </row>
        <row r="418">
          <cell r="C418">
            <v>51359504</v>
          </cell>
          <cell r="D418" t="str">
            <v>JUL202651359504</v>
          </cell>
          <cell r="E418" t="str">
            <v>Publicidad</v>
          </cell>
          <cell r="F418">
            <v>0</v>
          </cell>
          <cell r="G418">
            <v>162192455.36000001</v>
          </cell>
          <cell r="H418">
            <v>9842348.3300000001</v>
          </cell>
          <cell r="I418">
            <v>152350107.03</v>
          </cell>
        </row>
        <row r="419">
          <cell r="C419">
            <v>51359598</v>
          </cell>
          <cell r="D419" t="str">
            <v>JUL202651359598</v>
          </cell>
          <cell r="E419" t="str">
            <v>Iva Mayor Valor Otros Servicios Administración</v>
          </cell>
          <cell r="F419">
            <v>0</v>
          </cell>
          <cell r="G419">
            <v>22646705.530000001</v>
          </cell>
          <cell r="H419">
            <v>1456278.24</v>
          </cell>
          <cell r="I419">
            <v>21190427.289999999</v>
          </cell>
        </row>
        <row r="420">
          <cell r="C420">
            <v>5140</v>
          </cell>
          <cell r="D420" t="str">
            <v>JUL20265140</v>
          </cell>
          <cell r="E420" t="str">
            <v>Gastos Legales Administración</v>
          </cell>
          <cell r="F420">
            <v>0</v>
          </cell>
          <cell r="G420">
            <v>9086208.1899999995</v>
          </cell>
          <cell r="H420">
            <v>0</v>
          </cell>
          <cell r="I420">
            <v>9086208.1899999995</v>
          </cell>
        </row>
        <row r="421">
          <cell r="C421">
            <v>514005</v>
          </cell>
          <cell r="D421" t="str">
            <v>JUL2026514005</v>
          </cell>
          <cell r="E421" t="str">
            <v>Gastos Legales Notariales Administración</v>
          </cell>
          <cell r="F421">
            <v>0</v>
          </cell>
          <cell r="G421">
            <v>77707</v>
          </cell>
          <cell r="H421">
            <v>0</v>
          </cell>
          <cell r="I421">
            <v>77707</v>
          </cell>
        </row>
        <row r="422">
          <cell r="C422">
            <v>51400501</v>
          </cell>
          <cell r="D422" t="str">
            <v>JUL202651400501</v>
          </cell>
          <cell r="E422" t="str">
            <v>Gastos Legales Notariales Administración</v>
          </cell>
          <cell r="F422">
            <v>0</v>
          </cell>
          <cell r="G422">
            <v>65300</v>
          </cell>
          <cell r="H422">
            <v>0</v>
          </cell>
          <cell r="I422">
            <v>65300</v>
          </cell>
        </row>
        <row r="423">
          <cell r="C423">
            <v>51400598</v>
          </cell>
          <cell r="D423" t="str">
            <v>JUL202651400598</v>
          </cell>
          <cell r="E423" t="str">
            <v>Iva Mayor valor Gastos Legales Notariales</v>
          </cell>
          <cell r="F423">
            <v>0</v>
          </cell>
          <cell r="G423">
            <v>12407</v>
          </cell>
          <cell r="H423">
            <v>0</v>
          </cell>
          <cell r="I423">
            <v>12407</v>
          </cell>
        </row>
        <row r="424">
          <cell r="C424">
            <v>514010</v>
          </cell>
          <cell r="D424" t="str">
            <v>JUL2026514010</v>
          </cell>
          <cell r="E424" t="str">
            <v>Gastos Legales Registro Mercantil Administración</v>
          </cell>
          <cell r="F424">
            <v>0</v>
          </cell>
          <cell r="G424">
            <v>7600600</v>
          </cell>
          <cell r="H424">
            <v>0</v>
          </cell>
          <cell r="I424">
            <v>7600600</v>
          </cell>
        </row>
        <row r="425">
          <cell r="C425">
            <v>51401001</v>
          </cell>
          <cell r="D425" t="str">
            <v>JUL202651401001</v>
          </cell>
          <cell r="E425" t="str">
            <v>Gastos Legales Registro Mercantil Administración</v>
          </cell>
          <cell r="F425">
            <v>0</v>
          </cell>
          <cell r="G425">
            <v>7600600</v>
          </cell>
          <cell r="H425">
            <v>0</v>
          </cell>
          <cell r="I425">
            <v>7600600</v>
          </cell>
        </row>
        <row r="426">
          <cell r="C426">
            <v>514015</v>
          </cell>
          <cell r="D426" t="str">
            <v>JUL2026514015</v>
          </cell>
          <cell r="E426" t="str">
            <v>Gastos Legales Trámites y Licencias Administración</v>
          </cell>
          <cell r="F426">
            <v>0</v>
          </cell>
          <cell r="G426">
            <v>1359501.19</v>
          </cell>
          <cell r="H426">
            <v>0</v>
          </cell>
          <cell r="I426">
            <v>1359501.19</v>
          </cell>
        </row>
        <row r="427">
          <cell r="C427">
            <v>51401501</v>
          </cell>
          <cell r="D427" t="str">
            <v>JUL202651401501</v>
          </cell>
          <cell r="E427" t="str">
            <v>Gastos Legales Trámites y Licencias Administración</v>
          </cell>
          <cell r="F427">
            <v>0</v>
          </cell>
          <cell r="G427">
            <v>1302501</v>
          </cell>
          <cell r="H427">
            <v>0</v>
          </cell>
          <cell r="I427">
            <v>1302501</v>
          </cell>
        </row>
        <row r="428">
          <cell r="C428">
            <v>51401598</v>
          </cell>
          <cell r="D428" t="str">
            <v>JUL202651401598</v>
          </cell>
          <cell r="E428" t="str">
            <v>Iva Mayor Valor Gastos Legales Trámites y Licencias Administración</v>
          </cell>
          <cell r="F428">
            <v>0</v>
          </cell>
          <cell r="G428">
            <v>57000.19</v>
          </cell>
          <cell r="H428">
            <v>0</v>
          </cell>
          <cell r="I428">
            <v>57000.19</v>
          </cell>
        </row>
        <row r="429">
          <cell r="C429">
            <v>5140950102</v>
          </cell>
          <cell r="D429" t="str">
            <v>JUL20265140950102</v>
          </cell>
          <cell r="E429" t="str">
            <v>Certificado de existencia</v>
          </cell>
          <cell r="F429">
            <v>0</v>
          </cell>
          <cell r="G429">
            <v>48400</v>
          </cell>
          <cell r="H429">
            <v>0</v>
          </cell>
          <cell r="I429">
            <v>48400</v>
          </cell>
        </row>
        <row r="430">
          <cell r="C430">
            <v>5145</v>
          </cell>
          <cell r="D430" t="str">
            <v>JUL20265145</v>
          </cell>
          <cell r="E430" t="str">
            <v>Gastos Mantenimiento Administración</v>
          </cell>
          <cell r="F430">
            <v>0</v>
          </cell>
          <cell r="G430">
            <v>426140308.44999999</v>
          </cell>
          <cell r="H430">
            <v>120112747.34999999</v>
          </cell>
          <cell r="I430">
            <v>306027561.10000002</v>
          </cell>
        </row>
        <row r="431">
          <cell r="C431">
            <v>514510</v>
          </cell>
          <cell r="D431" t="str">
            <v>JUL2026514510</v>
          </cell>
          <cell r="E431" t="str">
            <v>Mantenimiento Construcciones y Edificaciones Administración</v>
          </cell>
          <cell r="F431">
            <v>0</v>
          </cell>
          <cell r="G431">
            <v>27040153.43</v>
          </cell>
          <cell r="H431">
            <v>4303406.8099999996</v>
          </cell>
          <cell r="I431">
            <v>22736746.620000001</v>
          </cell>
        </row>
        <row r="432">
          <cell r="C432">
            <v>51451001</v>
          </cell>
          <cell r="D432" t="str">
            <v>JUL202651451001</v>
          </cell>
          <cell r="E432" t="str">
            <v>Mantenimiento Construcciones y Edificaciones Administración Servicios</v>
          </cell>
          <cell r="F432">
            <v>0</v>
          </cell>
          <cell r="G432">
            <v>12659801.210000001</v>
          </cell>
          <cell r="H432">
            <v>3031600</v>
          </cell>
          <cell r="I432">
            <v>9628201.2100000009</v>
          </cell>
        </row>
        <row r="433">
          <cell r="C433">
            <v>51451002</v>
          </cell>
          <cell r="D433" t="str">
            <v>JUL202651451002</v>
          </cell>
          <cell r="E433" t="str">
            <v>Mantenimiento Construcciones y Edificaciones Administración compras</v>
          </cell>
          <cell r="F433">
            <v>0</v>
          </cell>
          <cell r="G433">
            <v>11645078.199999999</v>
          </cell>
          <cell r="H433">
            <v>921599</v>
          </cell>
          <cell r="I433">
            <v>10723479.199999999</v>
          </cell>
        </row>
        <row r="434">
          <cell r="C434">
            <v>51451098</v>
          </cell>
          <cell r="D434" t="str">
            <v>JUL202651451098</v>
          </cell>
          <cell r="E434" t="str">
            <v>Iva Mayor Valor Mantenimiento Construcciones y Edificaciones servicios</v>
          </cell>
          <cell r="F434">
            <v>0</v>
          </cell>
          <cell r="G434">
            <v>2495441.4500000002</v>
          </cell>
          <cell r="H434">
            <v>350207.81</v>
          </cell>
          <cell r="I434">
            <v>2145233.64</v>
          </cell>
        </row>
        <row r="435">
          <cell r="C435">
            <v>51451099</v>
          </cell>
          <cell r="D435" t="str">
            <v>JUL202651451099</v>
          </cell>
          <cell r="E435" t="str">
            <v>Iva Mayor Valor Mantenimiento Construcciones y Edificaciones compras</v>
          </cell>
          <cell r="F435">
            <v>0</v>
          </cell>
          <cell r="G435">
            <v>239832.57</v>
          </cell>
          <cell r="H435">
            <v>0</v>
          </cell>
          <cell r="I435">
            <v>239832.57</v>
          </cell>
        </row>
        <row r="436">
          <cell r="C436">
            <v>514515</v>
          </cell>
          <cell r="D436" t="str">
            <v>JUL2026514515</v>
          </cell>
          <cell r="E436" t="str">
            <v>Mantenimiento Maquinaria y Equipo Administración</v>
          </cell>
          <cell r="F436">
            <v>0</v>
          </cell>
          <cell r="G436">
            <v>367175759.11000001</v>
          </cell>
          <cell r="H436">
            <v>113468610.54000001</v>
          </cell>
          <cell r="I436">
            <v>253707148.56999999</v>
          </cell>
        </row>
        <row r="437">
          <cell r="C437">
            <v>51451501</v>
          </cell>
          <cell r="D437" t="str">
            <v>JUL202651451501</v>
          </cell>
          <cell r="E437" t="str">
            <v>Mantenimiento Maquinaria y Equipo Servicios</v>
          </cell>
          <cell r="F437">
            <v>0</v>
          </cell>
          <cell r="G437">
            <v>247416834.41999999</v>
          </cell>
          <cell r="H437">
            <v>104420828.76000001</v>
          </cell>
          <cell r="I437">
            <v>142996005.66</v>
          </cell>
        </row>
        <row r="438">
          <cell r="C438">
            <v>51451502</v>
          </cell>
          <cell r="D438" t="str">
            <v>JUL202651451502</v>
          </cell>
          <cell r="E438" t="str">
            <v>Mantenimiento Maquinaria y Equipo Compras</v>
          </cell>
          <cell r="F438">
            <v>0</v>
          </cell>
          <cell r="G438">
            <v>74736000.079999998</v>
          </cell>
          <cell r="H438">
            <v>5186020</v>
          </cell>
          <cell r="I438">
            <v>69549980.079999998</v>
          </cell>
        </row>
        <row r="439">
          <cell r="C439">
            <v>51451598</v>
          </cell>
          <cell r="D439" t="str">
            <v>JUL202651451598</v>
          </cell>
          <cell r="E439" t="str">
            <v>Iva Mayor Valor Mantenimiento Maquinaria y Equipo servicios</v>
          </cell>
          <cell r="F439">
            <v>0</v>
          </cell>
          <cell r="G439">
            <v>43803884.609999999</v>
          </cell>
          <cell r="H439">
            <v>3861761.78</v>
          </cell>
          <cell r="I439">
            <v>39942122.829999998</v>
          </cell>
        </row>
        <row r="440">
          <cell r="C440">
            <v>51451599</v>
          </cell>
          <cell r="D440" t="str">
            <v>JUL202651451599</v>
          </cell>
          <cell r="E440" t="str">
            <v>Iva Mayor Valor Mantenimiento Maquinaria y Equipo compras</v>
          </cell>
          <cell r="F440">
            <v>0</v>
          </cell>
          <cell r="G440">
            <v>1219040</v>
          </cell>
          <cell r="H440">
            <v>0</v>
          </cell>
          <cell r="I440">
            <v>1219040</v>
          </cell>
        </row>
        <row r="441">
          <cell r="C441">
            <v>514520</v>
          </cell>
          <cell r="D441" t="str">
            <v>JUL2026514520</v>
          </cell>
          <cell r="E441" t="str">
            <v>Mantenimiento Equipo de Oficina Administración</v>
          </cell>
          <cell r="F441">
            <v>0</v>
          </cell>
          <cell r="G441">
            <v>821119.52</v>
          </cell>
          <cell r="H441">
            <v>59500</v>
          </cell>
          <cell r="I441">
            <v>761619.52</v>
          </cell>
        </row>
        <row r="442">
          <cell r="C442">
            <v>51452001</v>
          </cell>
          <cell r="D442" t="str">
            <v>JUL202651452001</v>
          </cell>
          <cell r="E442" t="str">
            <v>Mantenimiento Equipo de Oficina Administración</v>
          </cell>
          <cell r="F442">
            <v>0</v>
          </cell>
          <cell r="G442">
            <v>788308.28</v>
          </cell>
          <cell r="H442">
            <v>59500</v>
          </cell>
          <cell r="I442">
            <v>728808.28</v>
          </cell>
        </row>
        <row r="443">
          <cell r="C443">
            <v>51452098</v>
          </cell>
          <cell r="D443" t="str">
            <v>JUL202651452098</v>
          </cell>
          <cell r="E443" t="str">
            <v>Iva Mayor Valor Mantenimiento Equipo de Oficina Administración</v>
          </cell>
          <cell r="F443">
            <v>0</v>
          </cell>
          <cell r="G443">
            <v>32811.24</v>
          </cell>
          <cell r="H443">
            <v>0</v>
          </cell>
          <cell r="I443">
            <v>32811.24</v>
          </cell>
        </row>
        <row r="444">
          <cell r="C444">
            <v>514525</v>
          </cell>
          <cell r="D444" t="str">
            <v>JUL2026514525</v>
          </cell>
          <cell r="E444" t="str">
            <v>Mantenimiento Equipo de Computación y Comunicación Administración</v>
          </cell>
          <cell r="F444">
            <v>0</v>
          </cell>
          <cell r="G444">
            <v>31103276.390000001</v>
          </cell>
          <cell r="H444">
            <v>2281230</v>
          </cell>
          <cell r="I444">
            <v>28822046.390000001</v>
          </cell>
        </row>
        <row r="445">
          <cell r="C445">
            <v>51452501</v>
          </cell>
          <cell r="D445" t="str">
            <v>JUL202651452501</v>
          </cell>
          <cell r="E445" t="str">
            <v>Mantenimiento Equipo de Computación y Comunicación Servicios</v>
          </cell>
          <cell r="F445">
            <v>0</v>
          </cell>
          <cell r="G445">
            <v>13220681</v>
          </cell>
          <cell r="H445">
            <v>0</v>
          </cell>
          <cell r="I445">
            <v>13220681</v>
          </cell>
        </row>
        <row r="446">
          <cell r="C446">
            <v>51452502</v>
          </cell>
          <cell r="D446" t="str">
            <v>JUL202651452502</v>
          </cell>
          <cell r="E446" t="str">
            <v>Mantenimiento Equipo de Computación y Comunicación Compras</v>
          </cell>
          <cell r="F446">
            <v>0</v>
          </cell>
          <cell r="G446">
            <v>13084843.699999999</v>
          </cell>
          <cell r="H446">
            <v>1917000</v>
          </cell>
          <cell r="I446">
            <v>11167843.699999999</v>
          </cell>
        </row>
        <row r="447">
          <cell r="C447">
            <v>51452598</v>
          </cell>
          <cell r="D447" t="str">
            <v>JUL202651452598</v>
          </cell>
          <cell r="E447" t="str">
            <v>Iva Mayor Valor Mantenimiento Equipo de Computación y Com servicios</v>
          </cell>
          <cell r="F447">
            <v>0</v>
          </cell>
          <cell r="G447">
            <v>4797751.6900000004</v>
          </cell>
          <cell r="H447">
            <v>364230</v>
          </cell>
          <cell r="I447">
            <v>4433521.6900000004</v>
          </cell>
        </row>
        <row r="448">
          <cell r="C448">
            <v>5155</v>
          </cell>
          <cell r="D448" t="str">
            <v>JUL20265155</v>
          </cell>
          <cell r="E448" t="str">
            <v>Gastos de Viaje Administración</v>
          </cell>
          <cell r="F448">
            <v>0</v>
          </cell>
          <cell r="G448">
            <v>6545628.3200000003</v>
          </cell>
          <cell r="H448">
            <v>5716811.3099999996</v>
          </cell>
          <cell r="I448">
            <v>828817.01</v>
          </cell>
        </row>
        <row r="449">
          <cell r="C449">
            <v>515505</v>
          </cell>
          <cell r="D449" t="str">
            <v>JUL2026515505</v>
          </cell>
          <cell r="E449" t="str">
            <v>Gastos de Viaje Alojamiento y Manutención Administración</v>
          </cell>
          <cell r="F449">
            <v>0</v>
          </cell>
          <cell r="G449">
            <v>828814.82</v>
          </cell>
          <cell r="H449">
            <v>0</v>
          </cell>
          <cell r="I449">
            <v>828814.82</v>
          </cell>
        </row>
        <row r="450">
          <cell r="C450">
            <v>51550501</v>
          </cell>
          <cell r="D450" t="str">
            <v>JUL202651550501</v>
          </cell>
          <cell r="E450" t="str">
            <v>Gastos de Viaje Alojamiento y Manutención Administración</v>
          </cell>
          <cell r="F450">
            <v>0</v>
          </cell>
          <cell r="G450">
            <v>828814.82</v>
          </cell>
          <cell r="H450">
            <v>0</v>
          </cell>
          <cell r="I450">
            <v>828814.82</v>
          </cell>
        </row>
        <row r="451">
          <cell r="C451">
            <v>515515</v>
          </cell>
          <cell r="D451" t="str">
            <v>JUL2026515515</v>
          </cell>
          <cell r="E451" t="str">
            <v>Gastos de Viaje Pasajes Aéreos Administración</v>
          </cell>
          <cell r="F451">
            <v>0</v>
          </cell>
          <cell r="G451">
            <v>5716813.5</v>
          </cell>
          <cell r="H451">
            <v>5716811.3099999996</v>
          </cell>
          <cell r="I451">
            <v>2.19</v>
          </cell>
        </row>
        <row r="452">
          <cell r="C452">
            <v>51551501</v>
          </cell>
          <cell r="D452" t="str">
            <v>JUL202651551501</v>
          </cell>
          <cell r="E452" t="str">
            <v>Gastos de Viaje Pasajes Aéreos Administración</v>
          </cell>
          <cell r="F452">
            <v>0</v>
          </cell>
          <cell r="G452">
            <v>5243400</v>
          </cell>
          <cell r="H452">
            <v>5243398</v>
          </cell>
          <cell r="I452">
            <v>2</v>
          </cell>
        </row>
        <row r="453">
          <cell r="C453">
            <v>51551524</v>
          </cell>
          <cell r="D453" t="str">
            <v>JUL202651551524</v>
          </cell>
          <cell r="E453" t="str">
            <v>Iva mayor valor gastos de viajes pasajes aereos</v>
          </cell>
          <cell r="F453">
            <v>0</v>
          </cell>
          <cell r="G453">
            <v>473413.5</v>
          </cell>
          <cell r="H453">
            <v>473413.31</v>
          </cell>
          <cell r="I453">
            <v>0.19</v>
          </cell>
        </row>
        <row r="454">
          <cell r="C454">
            <v>5160</v>
          </cell>
          <cell r="D454" t="str">
            <v>JUL20265160</v>
          </cell>
          <cell r="E454" t="str">
            <v>Gastos Depreciaciones Administración</v>
          </cell>
          <cell r="F454">
            <v>0</v>
          </cell>
          <cell r="G454">
            <v>441338797</v>
          </cell>
          <cell r="H454">
            <v>0</v>
          </cell>
          <cell r="I454">
            <v>441338797</v>
          </cell>
        </row>
        <row r="455">
          <cell r="C455">
            <v>516005</v>
          </cell>
          <cell r="D455" t="str">
            <v>JUL2026516005</v>
          </cell>
          <cell r="E455" t="str">
            <v>Depreciación Construcciones y Edificaciones Administración</v>
          </cell>
          <cell r="F455">
            <v>0</v>
          </cell>
          <cell r="G455">
            <v>158208196</v>
          </cell>
          <cell r="H455">
            <v>0</v>
          </cell>
          <cell r="I455">
            <v>158208196</v>
          </cell>
        </row>
        <row r="456">
          <cell r="C456">
            <v>51600501</v>
          </cell>
          <cell r="D456" t="str">
            <v>JUL202651600501</v>
          </cell>
          <cell r="E456" t="str">
            <v>Depreciación Construcciones y Edificaciones Administración</v>
          </cell>
          <cell r="F456">
            <v>0</v>
          </cell>
          <cell r="G456">
            <v>158208196</v>
          </cell>
          <cell r="H456">
            <v>0</v>
          </cell>
          <cell r="I456">
            <v>158208196</v>
          </cell>
        </row>
        <row r="457">
          <cell r="C457">
            <v>516015</v>
          </cell>
          <cell r="D457" t="str">
            <v>JUL2026516015</v>
          </cell>
          <cell r="E457" t="str">
            <v>Depreciación Equipo de Oficina Administración</v>
          </cell>
          <cell r="F457">
            <v>0</v>
          </cell>
          <cell r="G457">
            <v>11228857</v>
          </cell>
          <cell r="H457">
            <v>0</v>
          </cell>
          <cell r="I457">
            <v>11228857</v>
          </cell>
        </row>
        <row r="458">
          <cell r="C458">
            <v>51601501</v>
          </cell>
          <cell r="D458" t="str">
            <v>JUL202651601501</v>
          </cell>
          <cell r="E458" t="str">
            <v>Depreciación Equipo de Oficina Administración</v>
          </cell>
          <cell r="F458">
            <v>0</v>
          </cell>
          <cell r="G458">
            <v>11228857</v>
          </cell>
          <cell r="H458">
            <v>0</v>
          </cell>
          <cell r="I458">
            <v>11228857</v>
          </cell>
        </row>
        <row r="459">
          <cell r="C459">
            <v>516020</v>
          </cell>
          <cell r="D459" t="str">
            <v>JUL2026516020</v>
          </cell>
          <cell r="E459" t="str">
            <v>Depreciación Equipo de Cómputo y Comunicación Administración</v>
          </cell>
          <cell r="F459">
            <v>0</v>
          </cell>
          <cell r="G459">
            <v>20489092</v>
          </cell>
          <cell r="H459">
            <v>0</v>
          </cell>
          <cell r="I459">
            <v>20489092</v>
          </cell>
        </row>
        <row r="460">
          <cell r="C460">
            <v>51602001</v>
          </cell>
          <cell r="D460" t="str">
            <v>JUL202651602001</v>
          </cell>
          <cell r="E460" t="str">
            <v>Depreciación Equipo de Cómputo y Comunicación Administración</v>
          </cell>
          <cell r="F460">
            <v>0</v>
          </cell>
          <cell r="G460">
            <v>20489092</v>
          </cell>
          <cell r="H460">
            <v>0</v>
          </cell>
          <cell r="I460">
            <v>20489092</v>
          </cell>
        </row>
        <row r="461">
          <cell r="C461">
            <v>516030</v>
          </cell>
          <cell r="D461" t="str">
            <v>JUL2026516030</v>
          </cell>
          <cell r="E461" t="str">
            <v>Depreciación Equipos Médicos</v>
          </cell>
          <cell r="F461">
            <v>0</v>
          </cell>
          <cell r="G461">
            <v>251412652</v>
          </cell>
          <cell r="H461">
            <v>0</v>
          </cell>
          <cell r="I461">
            <v>251412652</v>
          </cell>
        </row>
        <row r="462">
          <cell r="C462">
            <v>51603001</v>
          </cell>
          <cell r="D462" t="str">
            <v>JUL202651603001</v>
          </cell>
          <cell r="E462" t="str">
            <v>Depreciación Equipos Médicos</v>
          </cell>
          <cell r="F462">
            <v>0</v>
          </cell>
          <cell r="G462">
            <v>251412652</v>
          </cell>
          <cell r="H462">
            <v>0</v>
          </cell>
          <cell r="I462">
            <v>251412652</v>
          </cell>
        </row>
        <row r="463">
          <cell r="C463">
            <v>5165</v>
          </cell>
          <cell r="D463" t="str">
            <v>JUL20265165</v>
          </cell>
          <cell r="E463" t="str">
            <v>Amortizaciones</v>
          </cell>
          <cell r="F463">
            <v>0</v>
          </cell>
          <cell r="G463">
            <v>66099803</v>
          </cell>
          <cell r="H463">
            <v>0</v>
          </cell>
          <cell r="I463">
            <v>66099803</v>
          </cell>
        </row>
        <row r="464">
          <cell r="C464">
            <v>516515</v>
          </cell>
          <cell r="D464" t="str">
            <v>JUL2026516515</v>
          </cell>
          <cell r="E464" t="str">
            <v>Cargos diferidos</v>
          </cell>
          <cell r="F464">
            <v>0</v>
          </cell>
          <cell r="G464">
            <v>66099803</v>
          </cell>
          <cell r="H464">
            <v>0</v>
          </cell>
          <cell r="I464">
            <v>66099803</v>
          </cell>
        </row>
        <row r="465">
          <cell r="C465">
            <v>51651501</v>
          </cell>
          <cell r="D465" t="str">
            <v>JUL202651651501</v>
          </cell>
          <cell r="E465" t="str">
            <v>Intereses</v>
          </cell>
          <cell r="F465">
            <v>0</v>
          </cell>
          <cell r="G465">
            <v>66099803</v>
          </cell>
          <cell r="H465">
            <v>0</v>
          </cell>
          <cell r="I465">
            <v>66099803</v>
          </cell>
        </row>
        <row r="466">
          <cell r="C466">
            <v>5195</v>
          </cell>
          <cell r="D466" t="str">
            <v>JUL20265195</v>
          </cell>
          <cell r="E466" t="str">
            <v>Gastos Diversos Administración</v>
          </cell>
          <cell r="F466">
            <v>0</v>
          </cell>
          <cell r="G466">
            <v>209027882.90000001</v>
          </cell>
          <cell r="H466">
            <v>4988991.38</v>
          </cell>
          <cell r="I466">
            <v>204038891.52000001</v>
          </cell>
        </row>
        <row r="467">
          <cell r="C467">
            <v>519505</v>
          </cell>
          <cell r="D467" t="str">
            <v>JUL2026519505</v>
          </cell>
          <cell r="E467" t="str">
            <v>Gastos Diversos Comisiones Administración</v>
          </cell>
          <cell r="F467">
            <v>0</v>
          </cell>
          <cell r="G467">
            <v>3225495</v>
          </cell>
          <cell r="H467">
            <v>1314950</v>
          </cell>
          <cell r="I467">
            <v>1910545</v>
          </cell>
        </row>
        <row r="468">
          <cell r="C468">
            <v>51950501</v>
          </cell>
          <cell r="D468" t="str">
            <v>JUL202651950501</v>
          </cell>
          <cell r="E468" t="str">
            <v>Gastos Diversos Comisiones Administración</v>
          </cell>
          <cell r="F468">
            <v>0</v>
          </cell>
          <cell r="G468">
            <v>2729025</v>
          </cell>
          <cell r="H468">
            <v>1123525</v>
          </cell>
          <cell r="I468">
            <v>1605500</v>
          </cell>
        </row>
        <row r="469">
          <cell r="C469">
            <v>51950598</v>
          </cell>
          <cell r="D469" t="str">
            <v>JUL202651950598</v>
          </cell>
          <cell r="E469" t="str">
            <v>Iva Mayor Valor Gastos Diversos Comisiones Administración</v>
          </cell>
          <cell r="F469">
            <v>0</v>
          </cell>
          <cell r="G469">
            <v>496470</v>
          </cell>
          <cell r="H469">
            <v>191425</v>
          </cell>
          <cell r="I469">
            <v>305045</v>
          </cell>
        </row>
        <row r="470">
          <cell r="C470">
            <v>519520</v>
          </cell>
          <cell r="D470" t="str">
            <v>JUL2026519520</v>
          </cell>
          <cell r="E470" t="str">
            <v>Gastos Diversos de Representación y Relaciones Públicas Administración</v>
          </cell>
          <cell r="F470">
            <v>0</v>
          </cell>
          <cell r="G470">
            <v>130175910.36</v>
          </cell>
          <cell r="H470">
            <v>1995874.06</v>
          </cell>
          <cell r="I470">
            <v>128180036.3</v>
          </cell>
        </row>
        <row r="471">
          <cell r="C471">
            <v>51952001</v>
          </cell>
          <cell r="D471" t="str">
            <v>JUL202651952001</v>
          </cell>
          <cell r="E471" t="str">
            <v>Gastos Diversos de Representación y Relaciones Públicas Administración</v>
          </cell>
          <cell r="F471">
            <v>0</v>
          </cell>
          <cell r="G471">
            <v>128752572.33</v>
          </cell>
          <cell r="H471">
            <v>1741988.71</v>
          </cell>
          <cell r="I471">
            <v>127010583.62</v>
          </cell>
        </row>
        <row r="472">
          <cell r="C472">
            <v>51952098</v>
          </cell>
          <cell r="D472" t="str">
            <v>JUL202651952098</v>
          </cell>
          <cell r="E472" t="str">
            <v>Iva Mayor Valor Gastos Diversos de Representación y Relaciones Públicas Administración</v>
          </cell>
          <cell r="F472">
            <v>0</v>
          </cell>
          <cell r="G472">
            <v>1423338.03</v>
          </cell>
          <cell r="H472">
            <v>253885.35</v>
          </cell>
          <cell r="I472">
            <v>1169452.68</v>
          </cell>
        </row>
        <row r="473">
          <cell r="C473">
            <v>519525</v>
          </cell>
          <cell r="D473" t="str">
            <v>JUL2026519525</v>
          </cell>
          <cell r="E473" t="str">
            <v>Gastos Diversos Elementos de Aseo y Cafetería Administración</v>
          </cell>
          <cell r="F473">
            <v>0</v>
          </cell>
          <cell r="G473">
            <v>43931309.130000003</v>
          </cell>
          <cell r="H473">
            <v>239897.95</v>
          </cell>
          <cell r="I473">
            <v>43691411.18</v>
          </cell>
        </row>
        <row r="474">
          <cell r="C474">
            <v>51952501</v>
          </cell>
          <cell r="D474" t="str">
            <v>JUL202651952501</v>
          </cell>
          <cell r="E474" t="str">
            <v>Gastos Diversos Elementos de Aseo y Cafetería gravado</v>
          </cell>
          <cell r="F474">
            <v>0</v>
          </cell>
          <cell r="G474">
            <v>32832790.960000001</v>
          </cell>
          <cell r="H474">
            <v>2605</v>
          </cell>
          <cell r="I474">
            <v>32830185.960000001</v>
          </cell>
        </row>
        <row r="475">
          <cell r="C475">
            <v>51952502</v>
          </cell>
          <cell r="D475" t="str">
            <v>JUL202651952502</v>
          </cell>
          <cell r="E475" t="str">
            <v>Gatsos diversos elementos de aseo y cafeteria no gravado</v>
          </cell>
          <cell r="F475">
            <v>0</v>
          </cell>
          <cell r="G475">
            <v>5615420.2300000004</v>
          </cell>
          <cell r="H475">
            <v>236798</v>
          </cell>
          <cell r="I475">
            <v>5378622.2300000004</v>
          </cell>
        </row>
        <row r="476">
          <cell r="C476">
            <v>51952598</v>
          </cell>
          <cell r="D476" t="str">
            <v>JUL202651952598</v>
          </cell>
          <cell r="E476" t="str">
            <v>Iva Mayor Valor Gastos Diversos Elementos de Aseo y Cafetería gravado</v>
          </cell>
          <cell r="F476">
            <v>0</v>
          </cell>
          <cell r="G476">
            <v>5483097.9400000004</v>
          </cell>
          <cell r="H476">
            <v>494.95</v>
          </cell>
          <cell r="I476">
            <v>5482602.9900000002</v>
          </cell>
        </row>
        <row r="477">
          <cell r="C477">
            <v>519530</v>
          </cell>
          <cell r="D477" t="str">
            <v>JUL2026519530</v>
          </cell>
          <cell r="E477" t="str">
            <v>Gastos Diversos Útiles, Papelería y Fotocopias Administración</v>
          </cell>
          <cell r="F477">
            <v>0</v>
          </cell>
          <cell r="G477">
            <v>7284618.79</v>
          </cell>
          <cell r="H477">
            <v>0</v>
          </cell>
          <cell r="I477">
            <v>7284618.79</v>
          </cell>
        </row>
        <row r="478">
          <cell r="C478">
            <v>51953001</v>
          </cell>
          <cell r="D478" t="str">
            <v>JUL202651953001</v>
          </cell>
          <cell r="E478" t="str">
            <v>Gastos Diversos Útiles, Papelería y Fotocopias Administración</v>
          </cell>
          <cell r="F478">
            <v>0</v>
          </cell>
          <cell r="G478">
            <v>6536782.1799999997</v>
          </cell>
          <cell r="H478">
            <v>0</v>
          </cell>
          <cell r="I478">
            <v>6536782.1799999997</v>
          </cell>
        </row>
        <row r="479">
          <cell r="C479">
            <v>51953098</v>
          </cell>
          <cell r="D479" t="str">
            <v>JUL202651953098</v>
          </cell>
          <cell r="E479" t="str">
            <v>Iva Mayo Valor Gastos Diversos Útiles, Papelería y Fotocopias Administración</v>
          </cell>
          <cell r="F479">
            <v>0</v>
          </cell>
          <cell r="G479">
            <v>747836.61</v>
          </cell>
          <cell r="H479">
            <v>0</v>
          </cell>
          <cell r="I479">
            <v>747836.61</v>
          </cell>
        </row>
        <row r="480">
          <cell r="C480">
            <v>519545</v>
          </cell>
          <cell r="D480" t="str">
            <v>JUL2026519545</v>
          </cell>
          <cell r="E480" t="str">
            <v>Gastos Diversos Taxis y Buses Administración</v>
          </cell>
          <cell r="F480">
            <v>0</v>
          </cell>
          <cell r="G480">
            <v>3098600</v>
          </cell>
          <cell r="H480">
            <v>147899</v>
          </cell>
          <cell r="I480">
            <v>2950701</v>
          </cell>
        </row>
        <row r="481">
          <cell r="C481">
            <v>51954501</v>
          </cell>
          <cell r="D481" t="str">
            <v>JUL202651954501</v>
          </cell>
          <cell r="E481" t="str">
            <v>Gastos Diversos Taxis y Buses Administración</v>
          </cell>
          <cell r="F481">
            <v>0</v>
          </cell>
          <cell r="G481">
            <v>3098600</v>
          </cell>
          <cell r="H481">
            <v>147899</v>
          </cell>
          <cell r="I481">
            <v>2950701</v>
          </cell>
        </row>
        <row r="482">
          <cell r="C482">
            <v>519560</v>
          </cell>
          <cell r="D482" t="str">
            <v>JUL2026519560</v>
          </cell>
          <cell r="E482" t="str">
            <v>Gastos Diversos Casino y Restaurante Administración</v>
          </cell>
          <cell r="F482">
            <v>0</v>
          </cell>
          <cell r="G482">
            <v>5982214.21</v>
          </cell>
          <cell r="H482">
            <v>45370.37</v>
          </cell>
          <cell r="I482">
            <v>5936843.8399999999</v>
          </cell>
        </row>
        <row r="483">
          <cell r="C483">
            <v>51956001</v>
          </cell>
          <cell r="D483" t="str">
            <v>JUL202651956001</v>
          </cell>
          <cell r="E483" t="str">
            <v>Gastos Diversos Casino y Restaurante Administración</v>
          </cell>
          <cell r="F483">
            <v>0</v>
          </cell>
          <cell r="G483">
            <v>5824167.0499999998</v>
          </cell>
          <cell r="H483">
            <v>45370.37</v>
          </cell>
          <cell r="I483">
            <v>5778796.6799999997</v>
          </cell>
        </row>
        <row r="484">
          <cell r="C484">
            <v>51956098</v>
          </cell>
          <cell r="D484" t="str">
            <v>JUL202651956098</v>
          </cell>
          <cell r="E484" t="str">
            <v>Iva Mayor Valor Gastos Diversos Casino y Restaurante Administración</v>
          </cell>
          <cell r="F484">
            <v>0</v>
          </cell>
          <cell r="G484">
            <v>158047.16</v>
          </cell>
          <cell r="H484">
            <v>0</v>
          </cell>
          <cell r="I484">
            <v>158047.16</v>
          </cell>
        </row>
        <row r="485">
          <cell r="C485">
            <v>519565</v>
          </cell>
          <cell r="D485" t="str">
            <v>JUL2026519565</v>
          </cell>
          <cell r="E485" t="str">
            <v>Gastos Diversos Parqueaderos Administración</v>
          </cell>
          <cell r="F485">
            <v>0</v>
          </cell>
          <cell r="G485">
            <v>181400</v>
          </cell>
          <cell r="H485">
            <v>0</v>
          </cell>
          <cell r="I485">
            <v>181400</v>
          </cell>
        </row>
        <row r="486">
          <cell r="C486">
            <v>51956501</v>
          </cell>
          <cell r="D486" t="str">
            <v>JUL202651956501</v>
          </cell>
          <cell r="E486" t="str">
            <v>Gastos Diversos Parqueaderos Administración</v>
          </cell>
          <cell r="F486">
            <v>0</v>
          </cell>
          <cell r="G486">
            <v>181400</v>
          </cell>
          <cell r="H486">
            <v>0</v>
          </cell>
          <cell r="I486">
            <v>181400</v>
          </cell>
        </row>
        <row r="487">
          <cell r="C487">
            <v>519595</v>
          </cell>
          <cell r="D487" t="str">
            <v>JUL2026519595</v>
          </cell>
          <cell r="E487" t="str">
            <v>Otros Gastos Diversos</v>
          </cell>
          <cell r="F487">
            <v>0</v>
          </cell>
          <cell r="G487">
            <v>15148335.41</v>
          </cell>
          <cell r="H487">
            <v>1245000</v>
          </cell>
          <cell r="I487">
            <v>13903335.41</v>
          </cell>
        </row>
        <row r="488">
          <cell r="C488">
            <v>51959504</v>
          </cell>
          <cell r="D488" t="str">
            <v>JUL202651959504</v>
          </cell>
          <cell r="E488" t="str">
            <v>Activos menores</v>
          </cell>
          <cell r="F488">
            <v>0</v>
          </cell>
          <cell r="G488">
            <v>13596673.199999999</v>
          </cell>
          <cell r="H488">
            <v>1245000</v>
          </cell>
          <cell r="I488">
            <v>12351673.199999999</v>
          </cell>
        </row>
        <row r="489">
          <cell r="C489">
            <v>51959598</v>
          </cell>
          <cell r="D489" t="str">
            <v>JUL202651959598</v>
          </cell>
          <cell r="E489" t="str">
            <v>Iva Mayor Valor Otros Gastos</v>
          </cell>
          <cell r="F489">
            <v>0</v>
          </cell>
          <cell r="G489">
            <v>1551662.21</v>
          </cell>
          <cell r="H489">
            <v>0</v>
          </cell>
          <cell r="I489">
            <v>1551662.21</v>
          </cell>
        </row>
        <row r="490">
          <cell r="C490">
            <v>52</v>
          </cell>
          <cell r="D490" t="str">
            <v>JUL202652</v>
          </cell>
          <cell r="E490" t="str">
            <v>Gastos de Ventas Ordinarios</v>
          </cell>
          <cell r="F490">
            <v>0</v>
          </cell>
          <cell r="G490">
            <v>100000</v>
          </cell>
          <cell r="H490">
            <v>0</v>
          </cell>
          <cell r="I490">
            <v>100000</v>
          </cell>
        </row>
        <row r="491">
          <cell r="C491">
            <v>5295</v>
          </cell>
          <cell r="D491" t="str">
            <v>JUL20265295</v>
          </cell>
          <cell r="E491" t="str">
            <v>Gastos Diversos Ventas</v>
          </cell>
          <cell r="F491">
            <v>0</v>
          </cell>
          <cell r="G491">
            <v>100000</v>
          </cell>
          <cell r="H491">
            <v>0</v>
          </cell>
          <cell r="I491">
            <v>100000</v>
          </cell>
        </row>
        <row r="492">
          <cell r="C492">
            <v>529545</v>
          </cell>
          <cell r="D492" t="str">
            <v>JUL2026529545</v>
          </cell>
          <cell r="E492" t="str">
            <v>Gastos Diversos Taxis y Buses Ventas</v>
          </cell>
          <cell r="F492">
            <v>0</v>
          </cell>
          <cell r="G492">
            <v>100000</v>
          </cell>
          <cell r="H492">
            <v>0</v>
          </cell>
          <cell r="I492">
            <v>100000</v>
          </cell>
        </row>
        <row r="493">
          <cell r="C493">
            <v>52954501</v>
          </cell>
          <cell r="D493" t="str">
            <v>JUL202652954501</v>
          </cell>
          <cell r="E493" t="str">
            <v>Gastos Diversos Taxis y Buses Ventas</v>
          </cell>
          <cell r="F493">
            <v>0</v>
          </cell>
          <cell r="G493">
            <v>100000</v>
          </cell>
          <cell r="H493">
            <v>0</v>
          </cell>
          <cell r="I493">
            <v>100000</v>
          </cell>
        </row>
        <row r="494">
          <cell r="C494">
            <v>53</v>
          </cell>
          <cell r="D494" t="str">
            <v>JUL202653</v>
          </cell>
          <cell r="E494" t="str">
            <v>Gastos No Operacionales</v>
          </cell>
          <cell r="F494">
            <v>0</v>
          </cell>
          <cell r="G494">
            <v>259385556.75999999</v>
          </cell>
          <cell r="H494">
            <v>3195775.62</v>
          </cell>
          <cell r="I494">
            <v>256189781.13999999</v>
          </cell>
        </row>
        <row r="495">
          <cell r="C495">
            <v>5305</v>
          </cell>
          <cell r="D495" t="str">
            <v>JUL20265305</v>
          </cell>
          <cell r="E495" t="str">
            <v>Gastos No Operacionales Financieros</v>
          </cell>
          <cell r="F495">
            <v>0</v>
          </cell>
          <cell r="G495">
            <v>174848492.96000001</v>
          </cell>
          <cell r="H495">
            <v>2924423.52</v>
          </cell>
          <cell r="I495">
            <v>171924069.44</v>
          </cell>
        </row>
        <row r="496">
          <cell r="C496">
            <v>530505</v>
          </cell>
          <cell r="D496" t="str">
            <v>JUL2026530505</v>
          </cell>
          <cell r="E496" t="str">
            <v>Gastos Bancarios</v>
          </cell>
          <cell r="F496">
            <v>0</v>
          </cell>
          <cell r="G496">
            <v>1330703.1000000001</v>
          </cell>
          <cell r="H496">
            <v>95344</v>
          </cell>
          <cell r="I496">
            <v>1235359.1000000001</v>
          </cell>
        </row>
        <row r="497">
          <cell r="C497">
            <v>53050501</v>
          </cell>
          <cell r="D497" t="str">
            <v>JUL202653050501</v>
          </cell>
          <cell r="E497" t="str">
            <v>Gastos Bancarios</v>
          </cell>
          <cell r="F497">
            <v>0</v>
          </cell>
          <cell r="G497">
            <v>1244711</v>
          </cell>
          <cell r="H497">
            <v>95344</v>
          </cell>
          <cell r="I497">
            <v>1149367</v>
          </cell>
        </row>
        <row r="498">
          <cell r="C498">
            <v>53050598</v>
          </cell>
          <cell r="D498" t="str">
            <v>JUL202653050598</v>
          </cell>
          <cell r="E498" t="str">
            <v>Iva mayor valor gastos bancarios</v>
          </cell>
          <cell r="F498">
            <v>0</v>
          </cell>
          <cell r="G498">
            <v>85992.1</v>
          </cell>
          <cell r="H498">
            <v>0</v>
          </cell>
          <cell r="I498">
            <v>85992.1</v>
          </cell>
        </row>
        <row r="499">
          <cell r="C499">
            <v>530515</v>
          </cell>
          <cell r="D499" t="str">
            <v>JUL2026530515</v>
          </cell>
          <cell r="E499" t="str">
            <v>Gastos por Comisiones</v>
          </cell>
          <cell r="F499">
            <v>0</v>
          </cell>
          <cell r="G499">
            <v>80446561.310000002</v>
          </cell>
          <cell r="H499">
            <v>978786.9</v>
          </cell>
          <cell r="I499">
            <v>79467774.409999996</v>
          </cell>
        </row>
        <row r="500">
          <cell r="C500">
            <v>53051501</v>
          </cell>
          <cell r="D500" t="str">
            <v>JUL202653051501</v>
          </cell>
          <cell r="E500" t="str">
            <v>Gastos por Comisiones</v>
          </cell>
          <cell r="F500">
            <v>0</v>
          </cell>
          <cell r="G500">
            <v>79146482.510000005</v>
          </cell>
          <cell r="H500">
            <v>978786.9</v>
          </cell>
          <cell r="I500">
            <v>78167695.609999999</v>
          </cell>
        </row>
        <row r="501">
          <cell r="C501">
            <v>53051598</v>
          </cell>
          <cell r="D501" t="str">
            <v>JUL202653051598</v>
          </cell>
          <cell r="E501" t="str">
            <v>Iva mayor valor comisiones</v>
          </cell>
          <cell r="F501">
            <v>0</v>
          </cell>
          <cell r="G501">
            <v>1300078.8</v>
          </cell>
          <cell r="H501">
            <v>0</v>
          </cell>
          <cell r="I501">
            <v>1300078.8</v>
          </cell>
        </row>
        <row r="502">
          <cell r="C502">
            <v>530520</v>
          </cell>
          <cell r="D502" t="str">
            <v>JUL2026530520</v>
          </cell>
          <cell r="E502" t="str">
            <v>Gastos por Intereses</v>
          </cell>
          <cell r="F502">
            <v>0</v>
          </cell>
          <cell r="G502">
            <v>84635348.969999999</v>
          </cell>
          <cell r="H502">
            <v>1836450.62</v>
          </cell>
          <cell r="I502">
            <v>82798898.349999994</v>
          </cell>
        </row>
        <row r="503">
          <cell r="C503">
            <v>53052001</v>
          </cell>
          <cell r="D503" t="str">
            <v>JUL202653052001</v>
          </cell>
          <cell r="E503" t="str">
            <v>Gastos por Intereses</v>
          </cell>
          <cell r="F503">
            <v>0</v>
          </cell>
          <cell r="G503">
            <v>83898179.390000001</v>
          </cell>
          <cell r="H503">
            <v>1723935.47</v>
          </cell>
          <cell r="I503">
            <v>82174243.920000002</v>
          </cell>
        </row>
        <row r="504">
          <cell r="C504">
            <v>53052098</v>
          </cell>
          <cell r="D504" t="str">
            <v>JUL202653052098</v>
          </cell>
          <cell r="E504" t="str">
            <v>Iva mayor valor Gasto por intereses</v>
          </cell>
          <cell r="F504">
            <v>0</v>
          </cell>
          <cell r="G504">
            <v>737169.58</v>
          </cell>
          <cell r="H504">
            <v>112515.15</v>
          </cell>
          <cell r="I504">
            <v>624654.43000000005</v>
          </cell>
        </row>
        <row r="505">
          <cell r="C505">
            <v>530595</v>
          </cell>
          <cell r="D505" t="str">
            <v>JUL2026530595</v>
          </cell>
          <cell r="E505" t="str">
            <v>Otros Gastos Financieros</v>
          </cell>
          <cell r="F505">
            <v>0</v>
          </cell>
          <cell r="G505">
            <v>8435879.5800000001</v>
          </cell>
          <cell r="H505">
            <v>13842</v>
          </cell>
          <cell r="I505">
            <v>8422037.5800000001</v>
          </cell>
        </row>
        <row r="506">
          <cell r="C506">
            <v>53059501</v>
          </cell>
          <cell r="D506" t="str">
            <v>JUL202653059501</v>
          </cell>
          <cell r="E506" t="str">
            <v>Intereses de mora</v>
          </cell>
          <cell r="F506">
            <v>0</v>
          </cell>
          <cell r="G506">
            <v>8230910.0899999999</v>
          </cell>
          <cell r="H506">
            <v>13842</v>
          </cell>
          <cell r="I506">
            <v>8217068.0899999999</v>
          </cell>
        </row>
        <row r="507">
          <cell r="C507">
            <v>53059502</v>
          </cell>
          <cell r="D507" t="str">
            <v>JUL202653059502</v>
          </cell>
          <cell r="E507" t="str">
            <v>Intereses sobregiro</v>
          </cell>
          <cell r="F507">
            <v>0</v>
          </cell>
          <cell r="G507">
            <v>127182</v>
          </cell>
          <cell r="H507">
            <v>0</v>
          </cell>
          <cell r="I507">
            <v>127182</v>
          </cell>
        </row>
        <row r="508">
          <cell r="C508">
            <v>53059598</v>
          </cell>
          <cell r="D508" t="str">
            <v>JUL202653059598</v>
          </cell>
          <cell r="E508" t="str">
            <v>Iva Mayor Valor Otros Gastos Financieros</v>
          </cell>
          <cell r="F508">
            <v>0</v>
          </cell>
          <cell r="G508">
            <v>77787.490000000005</v>
          </cell>
          <cell r="H508">
            <v>0</v>
          </cell>
          <cell r="I508">
            <v>77787.490000000005</v>
          </cell>
        </row>
        <row r="509">
          <cell r="C509">
            <v>5315</v>
          </cell>
          <cell r="D509" t="str">
            <v>JUL20265315</v>
          </cell>
          <cell r="E509" t="str">
            <v>Gastos Extraordinarios</v>
          </cell>
          <cell r="F509">
            <v>0</v>
          </cell>
          <cell r="G509">
            <v>2010</v>
          </cell>
          <cell r="H509">
            <v>0</v>
          </cell>
          <cell r="I509">
            <v>2010</v>
          </cell>
        </row>
        <row r="510">
          <cell r="C510">
            <v>531515</v>
          </cell>
          <cell r="D510" t="str">
            <v>JUL2026531515</v>
          </cell>
          <cell r="E510" t="str">
            <v>Costos y Gastos de Ejercicios Anteriores</v>
          </cell>
          <cell r="F510">
            <v>0</v>
          </cell>
          <cell r="G510">
            <v>2010</v>
          </cell>
          <cell r="H510">
            <v>0</v>
          </cell>
          <cell r="I510">
            <v>2010</v>
          </cell>
        </row>
        <row r="511">
          <cell r="C511">
            <v>53151501</v>
          </cell>
          <cell r="D511" t="str">
            <v>JUL202653151501</v>
          </cell>
          <cell r="E511" t="str">
            <v>Costos y Gastos de Ejercicios Anteriores</v>
          </cell>
          <cell r="F511">
            <v>0</v>
          </cell>
          <cell r="G511">
            <v>2010</v>
          </cell>
          <cell r="H511">
            <v>0</v>
          </cell>
          <cell r="I511">
            <v>2010</v>
          </cell>
        </row>
        <row r="512">
          <cell r="C512">
            <v>5395</v>
          </cell>
          <cell r="D512" t="str">
            <v>JUL20265395</v>
          </cell>
          <cell r="E512" t="str">
            <v>Gastos Diversos</v>
          </cell>
          <cell r="F512">
            <v>0</v>
          </cell>
          <cell r="G512">
            <v>84535053.799999997</v>
          </cell>
          <cell r="H512">
            <v>271352.09999999998</v>
          </cell>
          <cell r="I512">
            <v>84263701.700000003</v>
          </cell>
        </row>
        <row r="513">
          <cell r="C513">
            <v>539505</v>
          </cell>
          <cell r="D513" t="str">
            <v>JUL2026539505</v>
          </cell>
          <cell r="E513" t="str">
            <v>Demandas Laborales</v>
          </cell>
          <cell r="F513">
            <v>0</v>
          </cell>
          <cell r="G513">
            <v>1938572</v>
          </cell>
          <cell r="H513">
            <v>0</v>
          </cell>
          <cell r="I513">
            <v>1938572</v>
          </cell>
        </row>
        <row r="514">
          <cell r="C514">
            <v>53959601</v>
          </cell>
          <cell r="D514" t="str">
            <v>JUL202653959601</v>
          </cell>
          <cell r="E514" t="str">
            <v>Cartera Castigada</v>
          </cell>
          <cell r="F514">
            <v>0</v>
          </cell>
          <cell r="G514">
            <v>1938572</v>
          </cell>
          <cell r="H514">
            <v>0</v>
          </cell>
          <cell r="I514">
            <v>1938572</v>
          </cell>
        </row>
        <row r="515">
          <cell r="C515">
            <v>539520</v>
          </cell>
          <cell r="D515" t="str">
            <v>JUL2026539520</v>
          </cell>
          <cell r="E515" t="str">
            <v>Multas, Sanciones y Litigios</v>
          </cell>
          <cell r="F515">
            <v>0</v>
          </cell>
          <cell r="G515">
            <v>2530000</v>
          </cell>
          <cell r="H515">
            <v>0</v>
          </cell>
          <cell r="I515">
            <v>2530000</v>
          </cell>
        </row>
        <row r="516">
          <cell r="C516">
            <v>53952001</v>
          </cell>
          <cell r="D516" t="str">
            <v>JUL202653952001</v>
          </cell>
          <cell r="E516" t="str">
            <v>Multas, Sanciones y Litigios</v>
          </cell>
          <cell r="F516">
            <v>0</v>
          </cell>
          <cell r="G516">
            <v>2530000</v>
          </cell>
          <cell r="H516">
            <v>0</v>
          </cell>
          <cell r="I516">
            <v>2530000</v>
          </cell>
        </row>
        <row r="517">
          <cell r="C517">
            <v>539595</v>
          </cell>
          <cell r="D517" t="str">
            <v>JUL2026539595</v>
          </cell>
          <cell r="E517" t="str">
            <v>Otros Gastos No Operacionales Diversos</v>
          </cell>
          <cell r="F517">
            <v>0</v>
          </cell>
          <cell r="G517">
            <v>80066481.799999997</v>
          </cell>
          <cell r="H517">
            <v>271352.09999999998</v>
          </cell>
          <cell r="I517">
            <v>79795129.700000003</v>
          </cell>
        </row>
        <row r="518">
          <cell r="C518">
            <v>53959501</v>
          </cell>
          <cell r="D518" t="str">
            <v>JUL202653959501</v>
          </cell>
          <cell r="E518" t="str">
            <v>Gastos no deducibles</v>
          </cell>
          <cell r="F518">
            <v>0</v>
          </cell>
          <cell r="G518">
            <v>831495</v>
          </cell>
          <cell r="H518">
            <v>0</v>
          </cell>
          <cell r="I518">
            <v>831495</v>
          </cell>
        </row>
        <row r="519">
          <cell r="C519">
            <v>53959502</v>
          </cell>
          <cell r="D519" t="str">
            <v>JUL202653959502</v>
          </cell>
          <cell r="E519" t="str">
            <v>Ajuste al peso</v>
          </cell>
          <cell r="F519">
            <v>0</v>
          </cell>
          <cell r="G519">
            <v>131.1</v>
          </cell>
          <cell r="H519">
            <v>88.85</v>
          </cell>
          <cell r="I519">
            <v>42.25</v>
          </cell>
        </row>
        <row r="520">
          <cell r="C520">
            <v>53959503</v>
          </cell>
          <cell r="D520" t="str">
            <v>JUL202653959503</v>
          </cell>
          <cell r="E520" t="str">
            <v>Costos y gastos ejercios anteriores</v>
          </cell>
          <cell r="F520">
            <v>0</v>
          </cell>
          <cell r="G520">
            <v>79234855.700000003</v>
          </cell>
          <cell r="H520">
            <v>271263.25</v>
          </cell>
          <cell r="I520">
            <v>78963592.450000003</v>
          </cell>
        </row>
        <row r="521">
          <cell r="C521">
            <v>54</v>
          </cell>
          <cell r="D521" t="str">
            <v>JUL202654</v>
          </cell>
          <cell r="E521" t="str">
            <v>Impuesto a las Ganancias</v>
          </cell>
          <cell r="F521">
            <v>0</v>
          </cell>
          <cell r="G521">
            <v>83326449</v>
          </cell>
          <cell r="H521">
            <v>0</v>
          </cell>
          <cell r="I521">
            <v>83326449</v>
          </cell>
        </row>
        <row r="522">
          <cell r="C522">
            <v>5405</v>
          </cell>
          <cell r="D522" t="str">
            <v>JUL20265405</v>
          </cell>
          <cell r="E522" t="str">
            <v>Impuesto a las Ganancias</v>
          </cell>
          <cell r="F522">
            <v>0</v>
          </cell>
          <cell r="G522">
            <v>83326449</v>
          </cell>
          <cell r="H522">
            <v>0</v>
          </cell>
          <cell r="I522">
            <v>83326449</v>
          </cell>
        </row>
        <row r="523">
          <cell r="C523">
            <v>540505</v>
          </cell>
          <cell r="D523" t="str">
            <v>JUL2026540505</v>
          </cell>
          <cell r="E523" t="str">
            <v>Impuesto de Renta y Complementarios</v>
          </cell>
          <cell r="F523">
            <v>0</v>
          </cell>
          <cell r="G523">
            <v>83326449</v>
          </cell>
          <cell r="H523">
            <v>0</v>
          </cell>
          <cell r="I523">
            <v>83326449</v>
          </cell>
        </row>
        <row r="524">
          <cell r="C524">
            <v>54050501</v>
          </cell>
          <cell r="D524" t="str">
            <v>JUL202654050501</v>
          </cell>
          <cell r="E524" t="str">
            <v>Impuesto de Renta y Complementarios</v>
          </cell>
          <cell r="F524">
            <v>0</v>
          </cell>
          <cell r="G524">
            <v>83326449</v>
          </cell>
          <cell r="H524">
            <v>0</v>
          </cell>
          <cell r="I524">
            <v>83326449</v>
          </cell>
        </row>
        <row r="525">
          <cell r="C525">
            <v>6</v>
          </cell>
          <cell r="D525" t="str">
            <v>JUL20266</v>
          </cell>
          <cell r="E525" t="str">
            <v>Costo de Ventas y Prestación de Servicios</v>
          </cell>
          <cell r="F525">
            <v>0</v>
          </cell>
          <cell r="G525">
            <v>7311225782.1999998</v>
          </cell>
          <cell r="H525">
            <v>1306740912.3599999</v>
          </cell>
          <cell r="I525">
            <v>6004484869.8400002</v>
          </cell>
        </row>
        <row r="526">
          <cell r="C526">
            <v>62</v>
          </cell>
          <cell r="D526" t="str">
            <v>JUL202662</v>
          </cell>
          <cell r="E526" t="str">
            <v>Compras de Inventario o Mercancías</v>
          </cell>
          <cell r="F526">
            <v>0</v>
          </cell>
          <cell r="G526">
            <v>7311225782.1999998</v>
          </cell>
          <cell r="H526">
            <v>1306740912.3599999</v>
          </cell>
          <cell r="I526">
            <v>6004484869.8400002</v>
          </cell>
        </row>
        <row r="527">
          <cell r="C527">
            <v>6210</v>
          </cell>
          <cell r="D527" t="str">
            <v>JUL20266210</v>
          </cell>
          <cell r="E527" t="str">
            <v>Honorarios quirofano</v>
          </cell>
          <cell r="F527">
            <v>0</v>
          </cell>
          <cell r="G527">
            <v>4072191177.5</v>
          </cell>
          <cell r="H527">
            <v>616981816.5</v>
          </cell>
          <cell r="I527">
            <v>3455209361</v>
          </cell>
        </row>
        <row r="528">
          <cell r="C528">
            <v>621010</v>
          </cell>
          <cell r="D528" t="str">
            <v>JUL2026621010</v>
          </cell>
          <cell r="E528" t="str">
            <v>Honorarios quirofano</v>
          </cell>
          <cell r="F528">
            <v>0</v>
          </cell>
          <cell r="G528">
            <v>4072191177.5</v>
          </cell>
          <cell r="H528">
            <v>616981816.5</v>
          </cell>
          <cell r="I528">
            <v>3455209361</v>
          </cell>
        </row>
        <row r="529">
          <cell r="C529">
            <v>62101001</v>
          </cell>
          <cell r="D529" t="str">
            <v>JUL202662101001</v>
          </cell>
          <cell r="E529" t="str">
            <v>Honorarios Oftalmologia</v>
          </cell>
          <cell r="F529">
            <v>0</v>
          </cell>
          <cell r="G529">
            <v>3657124309.5</v>
          </cell>
          <cell r="H529">
            <v>546367816.5</v>
          </cell>
          <cell r="I529">
            <v>3110756493</v>
          </cell>
        </row>
        <row r="530">
          <cell r="C530">
            <v>62101002</v>
          </cell>
          <cell r="D530" t="str">
            <v>JUL202662101002</v>
          </cell>
          <cell r="E530" t="str">
            <v>Honorarios Instrumentador</v>
          </cell>
          <cell r="F530">
            <v>0</v>
          </cell>
          <cell r="G530">
            <v>59941868</v>
          </cell>
          <cell r="H530">
            <v>1614000</v>
          </cell>
          <cell r="I530">
            <v>58327868</v>
          </cell>
        </row>
        <row r="531">
          <cell r="C531">
            <v>62101003</v>
          </cell>
          <cell r="D531" t="str">
            <v>JUL202662101003</v>
          </cell>
          <cell r="E531" t="str">
            <v>Honorarios Anestesiologia</v>
          </cell>
          <cell r="F531">
            <v>0</v>
          </cell>
          <cell r="G531">
            <v>355125000</v>
          </cell>
          <cell r="H531">
            <v>69000000</v>
          </cell>
          <cell r="I531">
            <v>286125000</v>
          </cell>
        </row>
        <row r="532">
          <cell r="C532">
            <v>6220</v>
          </cell>
          <cell r="D532" t="str">
            <v>JUL20266220</v>
          </cell>
          <cell r="E532" t="str">
            <v>Arrendamientos</v>
          </cell>
          <cell r="F532">
            <v>0</v>
          </cell>
          <cell r="G532">
            <v>33320000</v>
          </cell>
          <cell r="H532">
            <v>0</v>
          </cell>
          <cell r="I532">
            <v>33320000</v>
          </cell>
        </row>
        <row r="533">
          <cell r="C533">
            <v>62201001</v>
          </cell>
          <cell r="D533" t="str">
            <v>JUL202662201001</v>
          </cell>
          <cell r="E533" t="str">
            <v>Arrendamiento equipos</v>
          </cell>
          <cell r="F533">
            <v>0</v>
          </cell>
          <cell r="G533">
            <v>28760000</v>
          </cell>
          <cell r="H533">
            <v>0</v>
          </cell>
          <cell r="I533">
            <v>28760000</v>
          </cell>
        </row>
        <row r="534">
          <cell r="C534">
            <v>62201098</v>
          </cell>
          <cell r="D534" t="str">
            <v>JUL202662201098</v>
          </cell>
          <cell r="E534" t="str">
            <v>Iva Mayor Valor Arrendamiento equipos</v>
          </cell>
          <cell r="F534">
            <v>0</v>
          </cell>
          <cell r="G534">
            <v>4560000</v>
          </cell>
          <cell r="H534">
            <v>0</v>
          </cell>
          <cell r="I534">
            <v>4560000</v>
          </cell>
        </row>
        <row r="535">
          <cell r="C535">
            <v>6235</v>
          </cell>
          <cell r="D535" t="str">
            <v>JUL20266235</v>
          </cell>
          <cell r="E535" t="str">
            <v>Gastos de servicio asistencial</v>
          </cell>
          <cell r="F535">
            <v>0</v>
          </cell>
          <cell r="G535">
            <v>175984843.47999999</v>
          </cell>
          <cell r="H535">
            <v>30531654.760000002</v>
          </cell>
          <cell r="I535">
            <v>145453188.72</v>
          </cell>
        </row>
        <row r="536">
          <cell r="C536">
            <v>623595</v>
          </cell>
          <cell r="D536" t="str">
            <v>JUL2026623595</v>
          </cell>
          <cell r="E536" t="str">
            <v>Otros servicios quirófano</v>
          </cell>
          <cell r="F536">
            <v>0</v>
          </cell>
          <cell r="G536">
            <v>175984843.47999999</v>
          </cell>
          <cell r="H536">
            <v>30531654.760000002</v>
          </cell>
          <cell r="I536">
            <v>145453188.72</v>
          </cell>
        </row>
        <row r="537">
          <cell r="C537">
            <v>62359502</v>
          </cell>
          <cell r="D537" t="str">
            <v>JUL202662359502</v>
          </cell>
          <cell r="E537" t="str">
            <v>Servicio de lavanderia</v>
          </cell>
          <cell r="F537">
            <v>0</v>
          </cell>
          <cell r="G537">
            <v>51168887.350000001</v>
          </cell>
          <cell r="H537">
            <v>19065341.789999999</v>
          </cell>
          <cell r="I537">
            <v>32103545.559999999</v>
          </cell>
        </row>
        <row r="538">
          <cell r="C538">
            <v>62359503</v>
          </cell>
          <cell r="D538" t="str">
            <v>JUL202662359503</v>
          </cell>
          <cell r="E538" t="str">
            <v>Servicio de esterilizacion</v>
          </cell>
          <cell r="F538">
            <v>0</v>
          </cell>
          <cell r="G538">
            <v>97688188.840000004</v>
          </cell>
          <cell r="H538">
            <v>7562164.0999999996</v>
          </cell>
          <cell r="I538">
            <v>90126024.739999995</v>
          </cell>
        </row>
        <row r="539">
          <cell r="C539">
            <v>62359598</v>
          </cell>
          <cell r="D539" t="str">
            <v>JUL202662359598</v>
          </cell>
          <cell r="E539" t="str">
            <v>Iva mayor valor Otros servicios quirofano</v>
          </cell>
          <cell r="F539">
            <v>0</v>
          </cell>
          <cell r="G539">
            <v>27127767.289999999</v>
          </cell>
          <cell r="H539">
            <v>3904148.87</v>
          </cell>
          <cell r="I539">
            <v>23223618.420000002</v>
          </cell>
        </row>
        <row r="540">
          <cell r="C540">
            <v>6245</v>
          </cell>
          <cell r="D540" t="str">
            <v>JUL20266245</v>
          </cell>
          <cell r="E540" t="str">
            <v>Prestacion de servicios</v>
          </cell>
          <cell r="F540">
            <v>0</v>
          </cell>
          <cell r="G540">
            <v>3029729761.2199998</v>
          </cell>
          <cell r="H540">
            <v>659227441.10000002</v>
          </cell>
          <cell r="I540">
            <v>2370502320.1199999</v>
          </cell>
        </row>
        <row r="541">
          <cell r="C541">
            <v>62451001</v>
          </cell>
          <cell r="D541" t="str">
            <v>JUL202662451001</v>
          </cell>
          <cell r="E541" t="str">
            <v>Compra insumos oftalmologicos</v>
          </cell>
          <cell r="F541">
            <v>0</v>
          </cell>
          <cell r="G541">
            <v>319724033.50999999</v>
          </cell>
          <cell r="H541">
            <v>19605443.289999999</v>
          </cell>
          <cell r="I541">
            <v>300118590.22000003</v>
          </cell>
        </row>
        <row r="542">
          <cell r="C542">
            <v>62451002</v>
          </cell>
          <cell r="D542" t="str">
            <v>JUL202662451002</v>
          </cell>
          <cell r="E542" t="str">
            <v>Compra insumos no gravados</v>
          </cell>
          <cell r="F542">
            <v>0</v>
          </cell>
          <cell r="G542">
            <v>1198172050.8399999</v>
          </cell>
          <cell r="H542">
            <v>419810909.47000003</v>
          </cell>
          <cell r="I542">
            <v>778361141.37</v>
          </cell>
        </row>
        <row r="543">
          <cell r="C543">
            <v>62451006</v>
          </cell>
          <cell r="D543" t="str">
            <v>JUL202662451006</v>
          </cell>
          <cell r="E543" t="str">
            <v>Lentes de contacto</v>
          </cell>
          <cell r="F543">
            <v>0</v>
          </cell>
          <cell r="G543">
            <v>7461304</v>
          </cell>
          <cell r="H543">
            <v>0</v>
          </cell>
          <cell r="I543">
            <v>7461304</v>
          </cell>
        </row>
        <row r="544">
          <cell r="C544">
            <v>62451009</v>
          </cell>
          <cell r="D544" t="str">
            <v>JUL202662451009</v>
          </cell>
          <cell r="E544" t="str">
            <v>Lente intraocular</v>
          </cell>
          <cell r="F544">
            <v>0</v>
          </cell>
          <cell r="G544">
            <v>1449607400</v>
          </cell>
          <cell r="H544">
            <v>216333954</v>
          </cell>
          <cell r="I544">
            <v>1233273446</v>
          </cell>
        </row>
        <row r="545">
          <cell r="C545">
            <v>62451098</v>
          </cell>
          <cell r="D545" t="str">
            <v>JUL202662451098</v>
          </cell>
          <cell r="E545" t="str">
            <v>Iva Mayor Valor Compra Insumos Oftalmologicos</v>
          </cell>
          <cell r="F545">
            <v>0</v>
          </cell>
          <cell r="G545">
            <v>54764972.869999997</v>
          </cell>
          <cell r="H545">
            <v>3477134.34</v>
          </cell>
          <cell r="I545">
            <v>51287838.530000001</v>
          </cell>
        </row>
        <row r="546">
          <cell r="C546">
            <v>7</v>
          </cell>
          <cell r="D546" t="str">
            <v>JUL20267</v>
          </cell>
          <cell r="E546" t="str">
            <v>Costos de Producción</v>
          </cell>
          <cell r="F546">
            <v>0</v>
          </cell>
          <cell r="G546">
            <v>810673738</v>
          </cell>
          <cell r="H546">
            <v>149871051</v>
          </cell>
          <cell r="I546">
            <v>660802687</v>
          </cell>
        </row>
        <row r="547">
          <cell r="C547">
            <v>72</v>
          </cell>
          <cell r="D547" t="str">
            <v>JUL202672</v>
          </cell>
          <cell r="E547" t="str">
            <v>Mano de Obra Directa</v>
          </cell>
          <cell r="F547">
            <v>0</v>
          </cell>
          <cell r="G547">
            <v>810673738</v>
          </cell>
          <cell r="H547">
            <v>149871051</v>
          </cell>
          <cell r="I547">
            <v>660802687</v>
          </cell>
        </row>
        <row r="548">
          <cell r="C548">
            <v>7205</v>
          </cell>
          <cell r="D548" t="str">
            <v>JUL20267205</v>
          </cell>
          <cell r="E548" t="str">
            <v>Gasto de Personal</v>
          </cell>
          <cell r="F548">
            <v>0</v>
          </cell>
          <cell r="G548">
            <v>810673738</v>
          </cell>
          <cell r="H548">
            <v>149871051</v>
          </cell>
          <cell r="I548">
            <v>660802687</v>
          </cell>
        </row>
        <row r="549">
          <cell r="C549">
            <v>720506</v>
          </cell>
          <cell r="D549" t="str">
            <v>JUL2026720506</v>
          </cell>
          <cell r="E549" t="str">
            <v>Sueldos</v>
          </cell>
          <cell r="F549">
            <v>0</v>
          </cell>
          <cell r="G549">
            <v>527512673</v>
          </cell>
          <cell r="H549">
            <v>101594085</v>
          </cell>
          <cell r="I549">
            <v>425918588</v>
          </cell>
        </row>
        <row r="550">
          <cell r="C550">
            <v>72050601</v>
          </cell>
          <cell r="D550" t="str">
            <v>JUL202672050601</v>
          </cell>
          <cell r="E550" t="str">
            <v>Salarios</v>
          </cell>
          <cell r="F550">
            <v>0</v>
          </cell>
          <cell r="G550">
            <v>523602317</v>
          </cell>
          <cell r="H550">
            <v>100718632</v>
          </cell>
          <cell r="I550">
            <v>422883685</v>
          </cell>
        </row>
        <row r="551">
          <cell r="C551">
            <v>72050602</v>
          </cell>
          <cell r="D551" t="str">
            <v>JUL202672050602</v>
          </cell>
          <cell r="E551" t="str">
            <v>Sueldos para Apoyo a Aprendices</v>
          </cell>
          <cell r="F551">
            <v>0</v>
          </cell>
          <cell r="G551">
            <v>3910356</v>
          </cell>
          <cell r="H551">
            <v>875453</v>
          </cell>
          <cell r="I551">
            <v>3034903</v>
          </cell>
        </row>
        <row r="552">
          <cell r="C552">
            <v>720515</v>
          </cell>
          <cell r="D552" t="str">
            <v>JUL2026720515</v>
          </cell>
          <cell r="E552" t="str">
            <v>Horas Extras y Recargos</v>
          </cell>
          <cell r="F552">
            <v>0</v>
          </cell>
          <cell r="G552">
            <v>7265145</v>
          </cell>
          <cell r="H552">
            <v>1939269</v>
          </cell>
          <cell r="I552">
            <v>5325876</v>
          </cell>
        </row>
        <row r="553">
          <cell r="C553">
            <v>72051501</v>
          </cell>
          <cell r="D553" t="str">
            <v>JUL202672051501</v>
          </cell>
          <cell r="E553" t="str">
            <v>Horas Extras y Recargos</v>
          </cell>
          <cell r="F553">
            <v>0</v>
          </cell>
          <cell r="G553">
            <v>7265145</v>
          </cell>
          <cell r="H553">
            <v>1939269</v>
          </cell>
          <cell r="I553">
            <v>5325876</v>
          </cell>
        </row>
        <row r="554">
          <cell r="C554">
            <v>720524</v>
          </cell>
          <cell r="D554" t="str">
            <v>JUL2026720524</v>
          </cell>
          <cell r="E554" t="str">
            <v>Incapacidades</v>
          </cell>
          <cell r="F554">
            <v>0</v>
          </cell>
          <cell r="G554">
            <v>1313582</v>
          </cell>
          <cell r="H554">
            <v>0</v>
          </cell>
          <cell r="I554">
            <v>1313582</v>
          </cell>
        </row>
        <row r="555">
          <cell r="C555">
            <v>72052401</v>
          </cell>
          <cell r="D555" t="str">
            <v>JUL202672052401</v>
          </cell>
          <cell r="E555" t="str">
            <v>Incapacidades</v>
          </cell>
          <cell r="F555">
            <v>0</v>
          </cell>
          <cell r="G555">
            <v>1313582</v>
          </cell>
          <cell r="H555">
            <v>0</v>
          </cell>
          <cell r="I555">
            <v>1313582</v>
          </cell>
        </row>
        <row r="556">
          <cell r="C556">
            <v>720527</v>
          </cell>
          <cell r="D556" t="str">
            <v>JUL2026720527</v>
          </cell>
          <cell r="E556" t="str">
            <v>Auxilio de Transporte</v>
          </cell>
          <cell r="F556">
            <v>0</v>
          </cell>
          <cell r="G556">
            <v>25249937</v>
          </cell>
          <cell r="H556">
            <v>2831384</v>
          </cell>
          <cell r="I556">
            <v>22418553</v>
          </cell>
        </row>
        <row r="557">
          <cell r="C557">
            <v>72052701</v>
          </cell>
          <cell r="D557" t="str">
            <v>JUL202672052701</v>
          </cell>
          <cell r="E557" t="str">
            <v>Auxilio de Transporte</v>
          </cell>
          <cell r="F557">
            <v>0</v>
          </cell>
          <cell r="G557">
            <v>25249937</v>
          </cell>
          <cell r="H557">
            <v>2831384</v>
          </cell>
          <cell r="I557">
            <v>22418553</v>
          </cell>
        </row>
        <row r="558">
          <cell r="C558">
            <v>720530</v>
          </cell>
          <cell r="D558" t="str">
            <v>JUL2026720530</v>
          </cell>
          <cell r="E558" t="str">
            <v>Cesantías</v>
          </cell>
          <cell r="F558">
            <v>0</v>
          </cell>
          <cell r="G558">
            <v>47292270</v>
          </cell>
          <cell r="H558">
            <v>7806299</v>
          </cell>
          <cell r="I558">
            <v>39485971</v>
          </cell>
        </row>
        <row r="559">
          <cell r="C559">
            <v>72053001</v>
          </cell>
          <cell r="D559" t="str">
            <v>JUL202672053001</v>
          </cell>
          <cell r="E559" t="str">
            <v>Cesantías</v>
          </cell>
          <cell r="F559">
            <v>0</v>
          </cell>
          <cell r="G559">
            <v>47292270</v>
          </cell>
          <cell r="H559">
            <v>7806299</v>
          </cell>
          <cell r="I559">
            <v>39485971</v>
          </cell>
        </row>
        <row r="560">
          <cell r="C560">
            <v>720533</v>
          </cell>
          <cell r="D560" t="str">
            <v>JUL2026720533</v>
          </cell>
          <cell r="E560" t="str">
            <v>Intereses Sobre Cesantías</v>
          </cell>
          <cell r="F560">
            <v>0</v>
          </cell>
          <cell r="G560">
            <v>3017366</v>
          </cell>
          <cell r="H560">
            <v>445592</v>
          </cell>
          <cell r="I560">
            <v>2571774</v>
          </cell>
        </row>
        <row r="561">
          <cell r="C561">
            <v>72053301</v>
          </cell>
          <cell r="D561" t="str">
            <v>JUL202672053301</v>
          </cell>
          <cell r="E561" t="str">
            <v>Intereses sobre Cesantías</v>
          </cell>
          <cell r="F561">
            <v>0</v>
          </cell>
          <cell r="G561">
            <v>3017366</v>
          </cell>
          <cell r="H561">
            <v>445592</v>
          </cell>
          <cell r="I561">
            <v>2571774</v>
          </cell>
        </row>
        <row r="562">
          <cell r="C562">
            <v>720536</v>
          </cell>
          <cell r="D562" t="str">
            <v>JUL2026720536</v>
          </cell>
          <cell r="E562" t="str">
            <v>Prima de Servicios</v>
          </cell>
          <cell r="F562">
            <v>0</v>
          </cell>
          <cell r="G562">
            <v>46787079</v>
          </cell>
          <cell r="H562">
            <v>7656489</v>
          </cell>
          <cell r="I562">
            <v>39130590</v>
          </cell>
        </row>
        <row r="563">
          <cell r="C563">
            <v>72053601</v>
          </cell>
          <cell r="D563" t="str">
            <v>JUL202672053601</v>
          </cell>
          <cell r="E563" t="str">
            <v>Prima de Servicios</v>
          </cell>
          <cell r="F563">
            <v>0</v>
          </cell>
          <cell r="G563">
            <v>46787079</v>
          </cell>
          <cell r="H563">
            <v>7656489</v>
          </cell>
          <cell r="I563">
            <v>39130590</v>
          </cell>
        </row>
        <row r="564">
          <cell r="C564">
            <v>720539</v>
          </cell>
          <cell r="D564" t="str">
            <v>JUL2026720539</v>
          </cell>
          <cell r="E564" t="str">
            <v>Vacaciones</v>
          </cell>
          <cell r="F564">
            <v>0</v>
          </cell>
          <cell r="G564">
            <v>31504471</v>
          </cell>
          <cell r="H564">
            <v>6247079</v>
          </cell>
          <cell r="I564">
            <v>25257392</v>
          </cell>
        </row>
        <row r="565">
          <cell r="C565">
            <v>72053901</v>
          </cell>
          <cell r="D565" t="str">
            <v>JUL202672053901</v>
          </cell>
          <cell r="E565" t="str">
            <v>Vacaciones</v>
          </cell>
          <cell r="F565">
            <v>0</v>
          </cell>
          <cell r="G565">
            <v>31504471</v>
          </cell>
          <cell r="H565">
            <v>6247079</v>
          </cell>
          <cell r="I565">
            <v>25257392</v>
          </cell>
        </row>
        <row r="566">
          <cell r="C566">
            <v>720548</v>
          </cell>
          <cell r="D566" t="str">
            <v>JUL2026720548</v>
          </cell>
          <cell r="E566" t="str">
            <v>Bonificaciones</v>
          </cell>
          <cell r="F566">
            <v>0</v>
          </cell>
          <cell r="G566">
            <v>13881996</v>
          </cell>
          <cell r="H566">
            <v>2958000</v>
          </cell>
          <cell r="I566">
            <v>10923996</v>
          </cell>
        </row>
        <row r="567">
          <cell r="C567">
            <v>72054825</v>
          </cell>
          <cell r="D567" t="str">
            <v>JUL202672054825</v>
          </cell>
          <cell r="E567" t="str">
            <v>Bonificaciones no Constitutivas de Salario</v>
          </cell>
          <cell r="F567">
            <v>0</v>
          </cell>
          <cell r="G567">
            <v>13881996</v>
          </cell>
          <cell r="H567">
            <v>2958000</v>
          </cell>
          <cell r="I567">
            <v>10923996</v>
          </cell>
        </row>
        <row r="568">
          <cell r="C568">
            <v>720560</v>
          </cell>
          <cell r="D568" t="str">
            <v>JUL2026720560</v>
          </cell>
          <cell r="E568" t="str">
            <v>Indemnizaciones Laborales</v>
          </cell>
          <cell r="F568">
            <v>0</v>
          </cell>
          <cell r="G568">
            <v>16027690</v>
          </cell>
          <cell r="H568">
            <v>3675897</v>
          </cell>
          <cell r="I568">
            <v>12351793</v>
          </cell>
        </row>
        <row r="569">
          <cell r="C569">
            <v>72056001</v>
          </cell>
          <cell r="D569" t="str">
            <v>JUL202672056001</v>
          </cell>
          <cell r="E569" t="str">
            <v>Indemnizaciones Laborales</v>
          </cell>
          <cell r="F569">
            <v>0</v>
          </cell>
          <cell r="G569">
            <v>16027690</v>
          </cell>
          <cell r="H569">
            <v>3675897</v>
          </cell>
          <cell r="I569">
            <v>12351793</v>
          </cell>
        </row>
        <row r="570">
          <cell r="C570">
            <v>720568</v>
          </cell>
          <cell r="D570" t="str">
            <v>JUL2026720568</v>
          </cell>
          <cell r="E570" t="str">
            <v>Aportes Riesgos Profesionales</v>
          </cell>
          <cell r="F570">
            <v>0</v>
          </cell>
          <cell r="G570">
            <v>5452278</v>
          </cell>
          <cell r="H570">
            <v>1026878</v>
          </cell>
          <cell r="I570">
            <v>4425400</v>
          </cell>
        </row>
        <row r="571">
          <cell r="C571">
            <v>72056801</v>
          </cell>
          <cell r="D571" t="str">
            <v>JUL202672056801</v>
          </cell>
          <cell r="E571" t="str">
            <v>Aportes Riesgos Profesionales</v>
          </cell>
          <cell r="F571">
            <v>0</v>
          </cell>
          <cell r="G571">
            <v>5452278</v>
          </cell>
          <cell r="H571">
            <v>1026878</v>
          </cell>
          <cell r="I571">
            <v>4425400</v>
          </cell>
        </row>
        <row r="572">
          <cell r="C572">
            <v>720569</v>
          </cell>
          <cell r="D572" t="str">
            <v>JUL2026720569</v>
          </cell>
          <cell r="E572" t="str">
            <v>Aportes Salud</v>
          </cell>
          <cell r="F572">
            <v>0</v>
          </cell>
          <cell r="G572">
            <v>15136</v>
          </cell>
          <cell r="H572">
            <v>900</v>
          </cell>
          <cell r="I572">
            <v>14236</v>
          </cell>
        </row>
        <row r="573">
          <cell r="C573">
            <v>72056901</v>
          </cell>
          <cell r="D573" t="str">
            <v>JUL202672056901</v>
          </cell>
          <cell r="E573" t="str">
            <v>Aportes Salud Empleador</v>
          </cell>
          <cell r="F573">
            <v>0</v>
          </cell>
          <cell r="G573">
            <v>15136</v>
          </cell>
          <cell r="H573">
            <v>900</v>
          </cell>
          <cell r="I573">
            <v>14236</v>
          </cell>
        </row>
        <row r="574">
          <cell r="C574">
            <v>720570</v>
          </cell>
          <cell r="D574" t="str">
            <v>JUL2026720570</v>
          </cell>
          <cell r="E574" t="str">
            <v>Aportes Pensión</v>
          </cell>
          <cell r="F574">
            <v>0</v>
          </cell>
          <cell r="G574">
            <v>63861924</v>
          </cell>
          <cell r="H574">
            <v>10246188</v>
          </cell>
          <cell r="I574">
            <v>53615736</v>
          </cell>
        </row>
        <row r="575">
          <cell r="C575">
            <v>72057001</v>
          </cell>
          <cell r="D575" t="str">
            <v>JUL202672057001</v>
          </cell>
          <cell r="E575" t="str">
            <v>Aportes Pensión Empleador</v>
          </cell>
          <cell r="F575">
            <v>0</v>
          </cell>
          <cell r="G575">
            <v>63861924</v>
          </cell>
          <cell r="H575">
            <v>10246188</v>
          </cell>
          <cell r="I575">
            <v>53615736</v>
          </cell>
        </row>
        <row r="576">
          <cell r="C576">
            <v>720572</v>
          </cell>
          <cell r="D576" t="str">
            <v>JUL2026720572</v>
          </cell>
          <cell r="E576" t="str">
            <v>Aportes Caja de Compensación Familiar</v>
          </cell>
          <cell r="F576">
            <v>0</v>
          </cell>
          <cell r="G576">
            <v>21492191</v>
          </cell>
          <cell r="H576">
            <v>3442991</v>
          </cell>
          <cell r="I576">
            <v>18049200</v>
          </cell>
        </row>
        <row r="577">
          <cell r="C577">
            <v>72057201</v>
          </cell>
          <cell r="D577" t="str">
            <v>FEB202672057201</v>
          </cell>
          <cell r="E577" t="str">
            <v>Aportes Caja de Compensación Familiar</v>
          </cell>
          <cell r="F577">
            <v>0</v>
          </cell>
          <cell r="G577">
            <v>21492191</v>
          </cell>
          <cell r="H577">
            <v>3442991</v>
          </cell>
          <cell r="I577">
            <v>18049200</v>
          </cell>
        </row>
        <row r="578">
          <cell r="D578" t="str">
            <v>FEB2026</v>
          </cell>
        </row>
        <row r="579">
          <cell r="D579" t="str">
            <v>FEB2026</v>
          </cell>
        </row>
        <row r="580">
          <cell r="D580" t="str">
            <v>FEB2026</v>
          </cell>
        </row>
        <row r="581">
          <cell r="D581" t="str">
            <v>FEB2026</v>
          </cell>
        </row>
        <row r="582">
          <cell r="D582" t="str">
            <v>FEB2026</v>
          </cell>
        </row>
        <row r="583">
          <cell r="D583" t="str">
            <v>FEB2026</v>
          </cell>
        </row>
        <row r="584">
          <cell r="D584" t="str">
            <v>FEB2026</v>
          </cell>
        </row>
        <row r="585">
          <cell r="D585" t="str">
            <v>FEB2026</v>
          </cell>
        </row>
        <row r="586">
          <cell r="D586" t="str">
            <v>FEB2026</v>
          </cell>
        </row>
        <row r="587">
          <cell r="D587" t="str">
            <v>FEB2026</v>
          </cell>
        </row>
        <row r="588">
          <cell r="D588" t="str">
            <v>FEB2026</v>
          </cell>
        </row>
        <row r="589">
          <cell r="D589" t="str">
            <v>FEB2026</v>
          </cell>
        </row>
        <row r="590">
          <cell r="D590" t="str">
            <v>FEB2026</v>
          </cell>
        </row>
        <row r="591">
          <cell r="D591" t="str">
            <v>FEB2026</v>
          </cell>
        </row>
        <row r="592">
          <cell r="D592" t="str">
            <v>FEB2026</v>
          </cell>
        </row>
        <row r="593">
          <cell r="D593" t="str">
            <v>FEB2026</v>
          </cell>
        </row>
        <row r="594">
          <cell r="D594" t="str">
            <v>FEB2026</v>
          </cell>
        </row>
        <row r="595">
          <cell r="D595" t="str">
            <v>FEB2026</v>
          </cell>
        </row>
        <row r="596">
          <cell r="D596" t="str">
            <v>FEB2026</v>
          </cell>
        </row>
        <row r="597">
          <cell r="D597" t="str">
            <v>FEB2026</v>
          </cell>
        </row>
        <row r="598">
          <cell r="D598" t="str">
            <v/>
          </cell>
        </row>
        <row r="600">
          <cell r="I600">
            <v>-3361260557.3899956</v>
          </cell>
        </row>
      </sheetData>
      <sheetData sheetId="12">
        <row r="1">
          <cell r="C1" t="str">
            <v>AÑO 2025</v>
          </cell>
        </row>
        <row r="3">
          <cell r="C3" t="str">
            <v>Cuenta</v>
          </cell>
          <cell r="D3" t="str">
            <v>Equivalencia</v>
          </cell>
          <cell r="E3" t="str">
            <v>Nombre</v>
          </cell>
          <cell r="F3" t="str">
            <v>Saldo Anterior</v>
          </cell>
          <cell r="G3" t="str">
            <v>Débitos</v>
          </cell>
          <cell r="H3" t="str">
            <v>Créditos</v>
          </cell>
          <cell r="I3" t="str">
            <v>Nuevo Saldo</v>
          </cell>
        </row>
        <row r="4">
          <cell r="C4">
            <v>1</v>
          </cell>
          <cell r="D4" t="str">
            <v>JUL20251</v>
          </cell>
          <cell r="E4" t="str">
            <v>Activos</v>
          </cell>
          <cell r="F4">
            <v>6102365014.1599998</v>
          </cell>
          <cell r="G4">
            <v>30078011470.27</v>
          </cell>
          <cell r="H4">
            <v>27098681574.18</v>
          </cell>
          <cell r="I4">
            <v>9081694910.25</v>
          </cell>
        </row>
        <row r="5">
          <cell r="C5">
            <v>11</v>
          </cell>
          <cell r="D5" t="str">
            <v>JUL202511</v>
          </cell>
          <cell r="E5" t="str">
            <v>Efectivo y Equivalentes del Efectivo</v>
          </cell>
          <cell r="F5">
            <v>187431031.25999999</v>
          </cell>
          <cell r="G5">
            <v>14422582304.68</v>
          </cell>
          <cell r="H5">
            <v>13654046504.08</v>
          </cell>
          <cell r="I5">
            <v>955966831.86000001</v>
          </cell>
        </row>
        <row r="6">
          <cell r="C6">
            <v>1105</v>
          </cell>
          <cell r="D6" t="str">
            <v>JUL20251105</v>
          </cell>
          <cell r="E6" t="str">
            <v>Caja</v>
          </cell>
          <cell r="F6">
            <v>767645.94</v>
          </cell>
          <cell r="G6">
            <v>1920496583</v>
          </cell>
          <cell r="H6">
            <v>1911024490.3</v>
          </cell>
          <cell r="I6">
            <v>10239738.640000001</v>
          </cell>
        </row>
        <row r="7">
          <cell r="C7">
            <v>110505</v>
          </cell>
          <cell r="D7" t="str">
            <v>JUL2025110505</v>
          </cell>
          <cell r="E7" t="str">
            <v>Caja General</v>
          </cell>
          <cell r="F7">
            <v>101346</v>
          </cell>
          <cell r="G7">
            <v>14021190</v>
          </cell>
          <cell r="H7">
            <v>13115215</v>
          </cell>
          <cell r="I7">
            <v>1007321</v>
          </cell>
        </row>
        <row r="8">
          <cell r="C8">
            <v>11050501</v>
          </cell>
          <cell r="D8" t="str">
            <v>JUL202511050501</v>
          </cell>
          <cell r="E8" t="str">
            <v>Caja menor OET</v>
          </cell>
          <cell r="F8">
            <v>101346</v>
          </cell>
          <cell r="G8">
            <v>14021190</v>
          </cell>
          <cell r="H8">
            <v>13115215</v>
          </cell>
          <cell r="I8">
            <v>1007321</v>
          </cell>
        </row>
        <row r="9">
          <cell r="C9">
            <v>110510</v>
          </cell>
          <cell r="D9" t="str">
            <v>JUL2025110510</v>
          </cell>
          <cell r="E9" t="str">
            <v>Cajas Menores</v>
          </cell>
          <cell r="F9">
            <v>666299.93999999994</v>
          </cell>
          <cell r="G9">
            <v>1906475393</v>
          </cell>
          <cell r="H9">
            <v>1897909275.3</v>
          </cell>
          <cell r="I9">
            <v>9232417.6400000006</v>
          </cell>
        </row>
        <row r="10">
          <cell r="C10">
            <v>11051001</v>
          </cell>
          <cell r="D10" t="str">
            <v>JUL202511051001</v>
          </cell>
          <cell r="E10" t="str">
            <v>Caja General</v>
          </cell>
          <cell r="F10">
            <v>666299.93999999994</v>
          </cell>
          <cell r="G10">
            <v>1901450068</v>
          </cell>
          <cell r="H10">
            <v>1893876372.3</v>
          </cell>
          <cell r="I10">
            <v>8239995.6399999997</v>
          </cell>
        </row>
        <row r="11">
          <cell r="C11">
            <v>11051003</v>
          </cell>
          <cell r="D11" t="str">
            <v>JUL202511051003</v>
          </cell>
          <cell r="E11" t="str">
            <v>Caja ajustes año 2021</v>
          </cell>
          <cell r="F11">
            <v>0</v>
          </cell>
          <cell r="G11">
            <v>100</v>
          </cell>
          <cell r="H11">
            <v>378</v>
          </cell>
          <cell r="I11">
            <v>-278</v>
          </cell>
        </row>
        <row r="12">
          <cell r="C12">
            <v>11051004</v>
          </cell>
          <cell r="D12" t="str">
            <v>JUL202511051004</v>
          </cell>
          <cell r="E12" t="str">
            <v>Caja cruce de cuentas</v>
          </cell>
          <cell r="F12">
            <v>0</v>
          </cell>
          <cell r="G12">
            <v>5025225</v>
          </cell>
          <cell r="H12">
            <v>4032525</v>
          </cell>
          <cell r="I12">
            <v>992700</v>
          </cell>
        </row>
        <row r="13">
          <cell r="C13">
            <v>1120</v>
          </cell>
          <cell r="D13" t="str">
            <v>JUL20251120</v>
          </cell>
          <cell r="E13" t="str">
            <v>Cuentas de Ahorro</v>
          </cell>
          <cell r="F13">
            <v>186663385.31999999</v>
          </cell>
          <cell r="G13">
            <v>12502085721.68</v>
          </cell>
          <cell r="H13">
            <v>11743022013.780001</v>
          </cell>
          <cell r="I13">
            <v>945727093.22000003</v>
          </cell>
        </row>
        <row r="14">
          <cell r="C14">
            <v>112005</v>
          </cell>
          <cell r="D14" t="str">
            <v>JUL2025112005</v>
          </cell>
          <cell r="E14" t="str">
            <v>Bancos</v>
          </cell>
          <cell r="F14">
            <v>186663385.31999999</v>
          </cell>
          <cell r="G14">
            <v>12502085721.68</v>
          </cell>
          <cell r="H14">
            <v>11743022013.780001</v>
          </cell>
          <cell r="I14">
            <v>945727093.22000003</v>
          </cell>
        </row>
        <row r="15">
          <cell r="C15">
            <v>11200501</v>
          </cell>
          <cell r="D15" t="str">
            <v>JUL202511200501</v>
          </cell>
          <cell r="E15" t="str">
            <v>Cuenta Bancolombia ahorros OET</v>
          </cell>
          <cell r="F15">
            <v>98826.95</v>
          </cell>
          <cell r="G15">
            <v>1210128917</v>
          </cell>
          <cell r="H15">
            <v>1252850625</v>
          </cell>
          <cell r="I15">
            <v>-42622881.049999997</v>
          </cell>
        </row>
        <row r="16">
          <cell r="C16">
            <v>11200502</v>
          </cell>
          <cell r="D16" t="str">
            <v>JUL202511200502</v>
          </cell>
          <cell r="E16" t="str">
            <v>Cuenta Bancolombia ahorros cuenta participación</v>
          </cell>
          <cell r="F16">
            <v>102311790.47</v>
          </cell>
          <cell r="G16">
            <v>4717071879.3800001</v>
          </cell>
          <cell r="H16">
            <v>4329170323</v>
          </cell>
          <cell r="I16">
            <v>490213346.85000002</v>
          </cell>
        </row>
        <row r="17">
          <cell r="C17">
            <v>11200503</v>
          </cell>
          <cell r="D17" t="str">
            <v>JUL202511200503</v>
          </cell>
          <cell r="E17" t="str">
            <v>Cuenta BBVA Ahorros OET</v>
          </cell>
          <cell r="F17">
            <v>212637</v>
          </cell>
          <cell r="G17">
            <v>0</v>
          </cell>
          <cell r="H17">
            <v>0</v>
          </cell>
          <cell r="I17">
            <v>212637</v>
          </cell>
        </row>
        <row r="18">
          <cell r="C18">
            <v>11200504</v>
          </cell>
          <cell r="D18" t="str">
            <v>JUL202511200504</v>
          </cell>
          <cell r="E18" t="str">
            <v>Cuenta Bancoomeva ahorros OET</v>
          </cell>
          <cell r="F18">
            <v>52951728</v>
          </cell>
          <cell r="G18">
            <v>1077397316</v>
          </cell>
          <cell r="H18">
            <v>1134746187.4000001</v>
          </cell>
          <cell r="I18">
            <v>-4397143.4000000004</v>
          </cell>
        </row>
        <row r="19">
          <cell r="C19">
            <v>11200505</v>
          </cell>
          <cell r="D19" t="str">
            <v>JUL202511200505</v>
          </cell>
          <cell r="E19" t="str">
            <v>CTA BANCO CAJA SOCIAL OET</v>
          </cell>
          <cell r="F19">
            <v>626883.9</v>
          </cell>
          <cell r="G19">
            <v>3279617446.3000002</v>
          </cell>
          <cell r="H19">
            <v>3082434474.3800001</v>
          </cell>
          <cell r="I19">
            <v>197809855.81999999</v>
          </cell>
        </row>
        <row r="20">
          <cell r="C20">
            <v>11200506</v>
          </cell>
          <cell r="D20" t="str">
            <v>JUL202511200506</v>
          </cell>
          <cell r="E20" t="str">
            <v>Cuenta Bancolombia ahorros proyecto expansión</v>
          </cell>
          <cell r="F20">
            <v>30461519</v>
          </cell>
          <cell r="G20">
            <v>2217870163</v>
          </cell>
          <cell r="H20">
            <v>1943820404</v>
          </cell>
          <cell r="I20">
            <v>304511278</v>
          </cell>
        </row>
        <row r="21">
          <cell r="C21">
            <v>13</v>
          </cell>
          <cell r="D21" t="str">
            <v>JUL202513</v>
          </cell>
          <cell r="E21" t="str">
            <v>Cuentas por Cobrar</v>
          </cell>
          <cell r="F21">
            <v>461715925.85000002</v>
          </cell>
          <cell r="G21">
            <v>13835811423.09</v>
          </cell>
          <cell r="H21">
            <v>12952488785.07</v>
          </cell>
          <cell r="I21">
            <v>1345038563.8699999</v>
          </cell>
        </row>
        <row r="22">
          <cell r="C22">
            <v>1305</v>
          </cell>
          <cell r="D22" t="str">
            <v>JUL20251305</v>
          </cell>
          <cell r="E22" t="str">
            <v>Clientes</v>
          </cell>
          <cell r="F22">
            <v>341020740.56999999</v>
          </cell>
          <cell r="G22">
            <v>10530041471.379999</v>
          </cell>
          <cell r="H22">
            <v>10421130116.07</v>
          </cell>
          <cell r="I22">
            <v>449932095.88</v>
          </cell>
        </row>
        <row r="23">
          <cell r="C23">
            <v>130505</v>
          </cell>
          <cell r="D23" t="str">
            <v>JUL2025130505</v>
          </cell>
          <cell r="E23" t="str">
            <v>Clientes Nacionales</v>
          </cell>
          <cell r="F23">
            <v>363895593.97000003</v>
          </cell>
          <cell r="G23">
            <v>10507166617.98</v>
          </cell>
          <cell r="H23">
            <v>10421130116.07</v>
          </cell>
          <cell r="I23">
            <v>449932095.88</v>
          </cell>
        </row>
        <row r="24">
          <cell r="C24">
            <v>13050501</v>
          </cell>
          <cell r="D24" t="str">
            <v>JUL202513050501</v>
          </cell>
          <cell r="E24" t="str">
            <v>Clientes Nacionales</v>
          </cell>
          <cell r="F24">
            <v>363895593.97000003</v>
          </cell>
          <cell r="G24">
            <v>10507166617.98</v>
          </cell>
          <cell r="H24">
            <v>10421130116.07</v>
          </cell>
          <cell r="I24">
            <v>449932095.88</v>
          </cell>
        </row>
        <row r="25">
          <cell r="C25">
            <v>130599</v>
          </cell>
          <cell r="D25" t="str">
            <v>JUL2025130599</v>
          </cell>
          <cell r="E25" t="str">
            <v>Partidas por indentificar</v>
          </cell>
          <cell r="F25">
            <v>-22874853.399999999</v>
          </cell>
          <cell r="G25">
            <v>22874853.399999999</v>
          </cell>
          <cell r="H25">
            <v>0</v>
          </cell>
          <cell r="I25">
            <v>0</v>
          </cell>
        </row>
        <row r="26">
          <cell r="C26">
            <v>13059901</v>
          </cell>
          <cell r="D26" t="str">
            <v>JUL202513059901</v>
          </cell>
          <cell r="E26" t="str">
            <v>Partidas por identificar</v>
          </cell>
          <cell r="F26">
            <v>-22874853.399999999</v>
          </cell>
          <cell r="G26">
            <v>22874853.399999999</v>
          </cell>
          <cell r="H26">
            <v>0</v>
          </cell>
          <cell r="I26">
            <v>0</v>
          </cell>
        </row>
        <row r="27">
          <cell r="C27">
            <v>1325</v>
          </cell>
          <cell r="D27" t="str">
            <v>JUL20251325</v>
          </cell>
          <cell r="E27" t="str">
            <v>Cuentas por cobrar socios o accionistas</v>
          </cell>
          <cell r="F27">
            <v>69547420.620000005</v>
          </cell>
          <cell r="G27">
            <v>118715405</v>
          </cell>
          <cell r="H27">
            <v>140068758</v>
          </cell>
          <cell r="I27">
            <v>48194067.619999997</v>
          </cell>
        </row>
        <row r="28">
          <cell r="C28">
            <v>13250501</v>
          </cell>
          <cell r="D28" t="str">
            <v>JUL202513250501</v>
          </cell>
          <cell r="E28" t="str">
            <v>Cuentas por cobrar socios</v>
          </cell>
          <cell r="F28">
            <v>69547420.620000005</v>
          </cell>
          <cell r="G28">
            <v>118715405</v>
          </cell>
          <cell r="H28">
            <v>140068758</v>
          </cell>
          <cell r="I28">
            <v>48194067.619999997</v>
          </cell>
        </row>
        <row r="29">
          <cell r="C29">
            <v>1330</v>
          </cell>
          <cell r="D29" t="str">
            <v>JUL20251330</v>
          </cell>
          <cell r="E29" t="str">
            <v>Anticipos</v>
          </cell>
          <cell r="F29">
            <v>16067408.939999999</v>
          </cell>
          <cell r="G29">
            <v>2939390572</v>
          </cell>
          <cell r="H29">
            <v>2372605013</v>
          </cell>
          <cell r="I29">
            <v>582852967.94000006</v>
          </cell>
        </row>
        <row r="30">
          <cell r="C30">
            <v>133005</v>
          </cell>
          <cell r="D30" t="str">
            <v>JUL2025133005</v>
          </cell>
          <cell r="E30" t="str">
            <v>Anticipos a Proveedores</v>
          </cell>
          <cell r="F30">
            <v>15683303.939999999</v>
          </cell>
          <cell r="G30">
            <v>2935940572</v>
          </cell>
          <cell r="H30">
            <v>2369155013</v>
          </cell>
          <cell r="I30">
            <v>582468862.94000006</v>
          </cell>
        </row>
        <row r="31">
          <cell r="C31">
            <v>13300501</v>
          </cell>
          <cell r="D31" t="str">
            <v>JUL202513300501</v>
          </cell>
          <cell r="E31" t="str">
            <v>Anticipos a Proveedores</v>
          </cell>
          <cell r="F31">
            <v>15683303.939999999</v>
          </cell>
          <cell r="G31">
            <v>2935940572</v>
          </cell>
          <cell r="H31">
            <v>2369155013</v>
          </cell>
          <cell r="I31">
            <v>582468862.94000006</v>
          </cell>
        </row>
        <row r="32">
          <cell r="C32">
            <v>133015</v>
          </cell>
          <cell r="D32" t="str">
            <v>JUL2025133015</v>
          </cell>
          <cell r="E32" t="str">
            <v>Anticipos a Trabajadores</v>
          </cell>
          <cell r="F32">
            <v>384105</v>
          </cell>
          <cell r="G32">
            <v>3450000</v>
          </cell>
          <cell r="H32">
            <v>3450000</v>
          </cell>
          <cell r="I32">
            <v>384105</v>
          </cell>
        </row>
        <row r="33">
          <cell r="C33">
            <v>13301501</v>
          </cell>
          <cell r="D33" t="str">
            <v>JUL202513301501</v>
          </cell>
          <cell r="E33" t="str">
            <v>Anticipos a Trabajadores</v>
          </cell>
          <cell r="F33">
            <v>384105</v>
          </cell>
          <cell r="G33">
            <v>3450000</v>
          </cell>
          <cell r="H33">
            <v>3450000</v>
          </cell>
          <cell r="I33">
            <v>384105</v>
          </cell>
        </row>
        <row r="34">
          <cell r="C34">
            <v>1355</v>
          </cell>
          <cell r="D34" t="str">
            <v>JUL20251355</v>
          </cell>
          <cell r="E34" t="str">
            <v>Activos Fiscales</v>
          </cell>
          <cell r="F34">
            <v>23158773.719999999</v>
          </cell>
          <cell r="G34">
            <v>227248774.71000001</v>
          </cell>
          <cell r="H34">
            <v>1159715</v>
          </cell>
          <cell r="I34">
            <v>249247833.43000001</v>
          </cell>
        </row>
        <row r="35">
          <cell r="C35">
            <v>135515</v>
          </cell>
          <cell r="D35" t="str">
            <v>JUL2025135515</v>
          </cell>
          <cell r="E35" t="str">
            <v>Retención en la Fuente</v>
          </cell>
          <cell r="F35">
            <v>0</v>
          </cell>
          <cell r="G35">
            <v>114610479.93000001</v>
          </cell>
          <cell r="H35">
            <v>1155070</v>
          </cell>
          <cell r="I35">
            <v>113455409.93000001</v>
          </cell>
        </row>
        <row r="36">
          <cell r="C36">
            <v>13551501</v>
          </cell>
          <cell r="D36" t="str">
            <v>JUL202513551501</v>
          </cell>
          <cell r="E36" t="str">
            <v>Retención en la Fuente Honorarios 11%</v>
          </cell>
          <cell r="F36">
            <v>0</v>
          </cell>
          <cell r="G36">
            <v>36454992.850000001</v>
          </cell>
          <cell r="H36">
            <v>283646</v>
          </cell>
          <cell r="I36">
            <v>36171346.850000001</v>
          </cell>
        </row>
        <row r="37">
          <cell r="C37">
            <v>13551503</v>
          </cell>
          <cell r="D37" t="str">
            <v>JUL202513551503</v>
          </cell>
          <cell r="E37" t="str">
            <v>Retención en la Fuente Servicios IPS 2%</v>
          </cell>
          <cell r="F37">
            <v>0</v>
          </cell>
          <cell r="G37">
            <v>30268287.079999998</v>
          </cell>
          <cell r="H37">
            <v>871424</v>
          </cell>
          <cell r="I37">
            <v>29396863.079999998</v>
          </cell>
        </row>
        <row r="38">
          <cell r="C38">
            <v>13551504</v>
          </cell>
          <cell r="D38" t="str">
            <v>JUL202513551504</v>
          </cell>
          <cell r="E38" t="str">
            <v>Retención en la fuente 1.5%</v>
          </cell>
          <cell r="F38">
            <v>0</v>
          </cell>
          <cell r="G38">
            <v>47887200</v>
          </cell>
          <cell r="H38">
            <v>0</v>
          </cell>
          <cell r="I38">
            <v>47887200</v>
          </cell>
        </row>
        <row r="39">
          <cell r="C39">
            <v>135518</v>
          </cell>
          <cell r="D39" t="str">
            <v>JUL2025135518</v>
          </cell>
          <cell r="E39" t="str">
            <v>Impuesto de Industria y Comercio Retenido</v>
          </cell>
          <cell r="F39">
            <v>0</v>
          </cell>
          <cell r="G39">
            <v>9392068.0199999996</v>
          </cell>
          <cell r="H39">
            <v>4645</v>
          </cell>
          <cell r="I39">
            <v>9387423.0199999996</v>
          </cell>
        </row>
        <row r="40">
          <cell r="C40">
            <v>13551801</v>
          </cell>
          <cell r="D40" t="str">
            <v>JUL202513551801</v>
          </cell>
          <cell r="E40" t="str">
            <v>Impuesto de Industria y Comercio Retenido 0.2%</v>
          </cell>
          <cell r="F40">
            <v>0</v>
          </cell>
          <cell r="G40">
            <v>9392068.0199999996</v>
          </cell>
          <cell r="H40">
            <v>4645</v>
          </cell>
          <cell r="I40">
            <v>9387423.0199999996</v>
          </cell>
        </row>
        <row r="41">
          <cell r="C41">
            <v>135520</v>
          </cell>
          <cell r="D41" t="str">
            <v>JUL2025135520</v>
          </cell>
          <cell r="E41" t="str">
            <v>Sobrantes en liquidación privada de impuestos</v>
          </cell>
          <cell r="F41">
            <v>23158773.719999999</v>
          </cell>
          <cell r="G41">
            <v>18290226.760000002</v>
          </cell>
          <cell r="H41">
            <v>0</v>
          </cell>
          <cell r="I41">
            <v>41449000.479999997</v>
          </cell>
        </row>
        <row r="42">
          <cell r="C42">
            <v>13552001</v>
          </cell>
          <cell r="D42" t="str">
            <v>JUL202513552001</v>
          </cell>
          <cell r="E42" t="str">
            <v>Saldo a favor renta</v>
          </cell>
          <cell r="F42">
            <v>23158773.719999999</v>
          </cell>
          <cell r="G42">
            <v>18290226.760000002</v>
          </cell>
          <cell r="H42">
            <v>0</v>
          </cell>
          <cell r="I42">
            <v>41449000.479999997</v>
          </cell>
        </row>
        <row r="43">
          <cell r="C43">
            <v>135550</v>
          </cell>
          <cell r="D43" t="str">
            <v>JUL2025135550</v>
          </cell>
          <cell r="E43" t="str">
            <v>Autorretención Especial por Renta</v>
          </cell>
          <cell r="F43">
            <v>0</v>
          </cell>
          <cell r="G43">
            <v>84956000</v>
          </cell>
          <cell r="H43">
            <v>0</v>
          </cell>
          <cell r="I43">
            <v>84956000</v>
          </cell>
        </row>
        <row r="44">
          <cell r="C44">
            <v>13555001</v>
          </cell>
          <cell r="D44" t="str">
            <v>JUL202513555001</v>
          </cell>
          <cell r="E44" t="str">
            <v>Autorretención Especial por Renta 1.10%</v>
          </cell>
          <cell r="F44">
            <v>0</v>
          </cell>
          <cell r="G44">
            <v>84956000</v>
          </cell>
          <cell r="H44">
            <v>0</v>
          </cell>
          <cell r="I44">
            <v>84956000</v>
          </cell>
        </row>
        <row r="45">
          <cell r="C45">
            <v>1365</v>
          </cell>
          <cell r="D45" t="str">
            <v>JUL20251365</v>
          </cell>
          <cell r="E45" t="str">
            <v>Cuentas por Cobrar a Trabajadores</v>
          </cell>
          <cell r="F45">
            <v>8263582</v>
          </cell>
          <cell r="G45">
            <v>17069600</v>
          </cell>
          <cell r="H45">
            <v>16110433</v>
          </cell>
          <cell r="I45">
            <v>9222749</v>
          </cell>
        </row>
        <row r="46">
          <cell r="C46">
            <v>136595</v>
          </cell>
          <cell r="D46" t="str">
            <v>JUL2025136595</v>
          </cell>
          <cell r="E46" t="str">
            <v>Otras Cuentas por Cobrar a Trabajadores</v>
          </cell>
          <cell r="F46">
            <v>8263582</v>
          </cell>
          <cell r="G46">
            <v>17069600</v>
          </cell>
          <cell r="H46">
            <v>16110433</v>
          </cell>
          <cell r="I46">
            <v>9222749</v>
          </cell>
        </row>
        <row r="47">
          <cell r="C47">
            <v>13659501</v>
          </cell>
          <cell r="D47" t="str">
            <v>JUL202513659501</v>
          </cell>
          <cell r="E47" t="str">
            <v>Otras Cuentas por Cobrar a Trabajadores</v>
          </cell>
          <cell r="F47">
            <v>8263582</v>
          </cell>
          <cell r="G47">
            <v>17069600</v>
          </cell>
          <cell r="H47">
            <v>16110433</v>
          </cell>
          <cell r="I47">
            <v>9222749</v>
          </cell>
        </row>
        <row r="48">
          <cell r="C48">
            <v>1380</v>
          </cell>
          <cell r="D48" t="str">
            <v>JUL20251380</v>
          </cell>
          <cell r="E48" t="str">
            <v>Depositarios</v>
          </cell>
          <cell r="F48">
            <v>3658000</v>
          </cell>
          <cell r="G48">
            <v>3345600</v>
          </cell>
          <cell r="H48">
            <v>1414750</v>
          </cell>
          <cell r="I48">
            <v>5588850</v>
          </cell>
        </row>
        <row r="49">
          <cell r="C49">
            <v>138020</v>
          </cell>
          <cell r="D49" t="str">
            <v>JUL2025138020</v>
          </cell>
          <cell r="E49" t="str">
            <v>Depositarios</v>
          </cell>
          <cell r="F49">
            <v>3658000</v>
          </cell>
          <cell r="G49">
            <v>3345600</v>
          </cell>
          <cell r="H49">
            <v>1414750</v>
          </cell>
          <cell r="I49">
            <v>5588850</v>
          </cell>
        </row>
        <row r="50">
          <cell r="C50">
            <v>13802001</v>
          </cell>
          <cell r="D50" t="str">
            <v>JUL202513802001</v>
          </cell>
          <cell r="E50" t="str">
            <v>Cuentas por Cobrar a Terceros</v>
          </cell>
          <cell r="F50">
            <v>3658000</v>
          </cell>
          <cell r="G50">
            <v>3345600</v>
          </cell>
          <cell r="H50">
            <v>1414750</v>
          </cell>
          <cell r="I50">
            <v>5588850</v>
          </cell>
        </row>
        <row r="51">
          <cell r="C51">
            <v>15</v>
          </cell>
          <cell r="D51" t="str">
            <v>JUL202515</v>
          </cell>
          <cell r="E51" t="str">
            <v>Propiedad Planta y Equipo</v>
          </cell>
          <cell r="F51">
            <v>5299061536.2700005</v>
          </cell>
          <cell r="G51">
            <v>1819617742.5</v>
          </cell>
          <cell r="H51">
            <v>456954757.25</v>
          </cell>
          <cell r="I51">
            <v>6661724521.5200005</v>
          </cell>
        </row>
        <row r="52">
          <cell r="C52">
            <v>1508</v>
          </cell>
          <cell r="D52" t="str">
            <v>JUL20251508</v>
          </cell>
          <cell r="E52" t="str">
            <v>Construcciones en curso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</row>
        <row r="53">
          <cell r="C53">
            <v>15080501</v>
          </cell>
          <cell r="D53" t="str">
            <v>JUL202515080501</v>
          </cell>
          <cell r="E53" t="str">
            <v>Construcciones y edificaciones en curso</v>
          </cell>
          <cell r="F53">
            <v>-7195758</v>
          </cell>
          <cell r="G53">
            <v>0</v>
          </cell>
          <cell r="H53">
            <v>0</v>
          </cell>
          <cell r="I53">
            <v>-7195758</v>
          </cell>
        </row>
        <row r="54">
          <cell r="C54">
            <v>15080524</v>
          </cell>
          <cell r="D54" t="str">
            <v>JUL202515080524</v>
          </cell>
          <cell r="E54" t="str">
            <v>Iva mayor valor construccion en proceso</v>
          </cell>
          <cell r="F54">
            <v>7195758</v>
          </cell>
          <cell r="G54">
            <v>0</v>
          </cell>
          <cell r="H54">
            <v>0</v>
          </cell>
          <cell r="I54">
            <v>7195758</v>
          </cell>
        </row>
        <row r="55">
          <cell r="C55">
            <v>1516</v>
          </cell>
          <cell r="D55" t="str">
            <v>JUL20251516</v>
          </cell>
          <cell r="E55" t="str">
            <v>Construcciones y Edificaciones</v>
          </cell>
          <cell r="F55">
            <v>1455908149</v>
          </cell>
          <cell r="G55">
            <v>1789110140</v>
          </cell>
          <cell r="H55">
            <v>199027721</v>
          </cell>
          <cell r="I55">
            <v>3045990568</v>
          </cell>
        </row>
        <row r="56">
          <cell r="C56">
            <v>151605</v>
          </cell>
          <cell r="D56" t="str">
            <v>JUL2025151605</v>
          </cell>
          <cell r="E56" t="str">
            <v>Construcciones y Edificaciones</v>
          </cell>
          <cell r="F56">
            <v>1055908149</v>
          </cell>
          <cell r="G56">
            <v>1789110140</v>
          </cell>
          <cell r="H56">
            <v>199027721</v>
          </cell>
          <cell r="I56">
            <v>2645990568</v>
          </cell>
        </row>
        <row r="57">
          <cell r="C57">
            <v>15161002</v>
          </cell>
          <cell r="D57" t="str">
            <v>JUL202515161002</v>
          </cell>
          <cell r="E57" t="str">
            <v>Mejoras en propiedad ajena</v>
          </cell>
          <cell r="F57">
            <v>1055908149</v>
          </cell>
          <cell r="G57">
            <v>1789110140</v>
          </cell>
          <cell r="H57">
            <v>199027721</v>
          </cell>
          <cell r="I57">
            <v>2645990568</v>
          </cell>
        </row>
        <row r="58">
          <cell r="C58">
            <v>151610</v>
          </cell>
          <cell r="D58" t="str">
            <v>JUL2025151610</v>
          </cell>
          <cell r="E58" t="str">
            <v>Construcciones y Edificaciones Oficinas</v>
          </cell>
          <cell r="F58">
            <v>400000000</v>
          </cell>
          <cell r="G58">
            <v>0</v>
          </cell>
          <cell r="H58">
            <v>0</v>
          </cell>
          <cell r="I58">
            <v>400000000</v>
          </cell>
        </row>
        <row r="59">
          <cell r="C59">
            <v>15161001</v>
          </cell>
          <cell r="D59" t="str">
            <v>JUL202515161001</v>
          </cell>
          <cell r="E59" t="str">
            <v>Construcciones y Edificaciones Oficinas</v>
          </cell>
          <cell r="F59">
            <v>400000000</v>
          </cell>
          <cell r="G59">
            <v>0</v>
          </cell>
          <cell r="H59">
            <v>0</v>
          </cell>
          <cell r="I59">
            <v>400000000</v>
          </cell>
        </row>
        <row r="60">
          <cell r="C60">
            <v>1520</v>
          </cell>
          <cell r="D60" t="str">
            <v>JUL20251520</v>
          </cell>
          <cell r="E60" t="str">
            <v>Maquinaria y Equipo</v>
          </cell>
          <cell r="F60">
            <v>4569581282.9799995</v>
          </cell>
          <cell r="G60">
            <v>2178652</v>
          </cell>
          <cell r="H60">
            <v>2178652</v>
          </cell>
          <cell r="I60">
            <v>4569581282.9799995</v>
          </cell>
        </row>
        <row r="61">
          <cell r="C61">
            <v>152005</v>
          </cell>
          <cell r="D61" t="str">
            <v>JUL2025152005</v>
          </cell>
          <cell r="E61" t="str">
            <v>Maquinaria, Equipo y Herramientas</v>
          </cell>
          <cell r="F61">
            <v>4569581282.9799995</v>
          </cell>
          <cell r="G61">
            <v>2178652</v>
          </cell>
          <cell r="H61">
            <v>2178652</v>
          </cell>
          <cell r="I61">
            <v>4569581282.9799995</v>
          </cell>
        </row>
        <row r="62">
          <cell r="C62">
            <v>15200501</v>
          </cell>
          <cell r="D62" t="str">
            <v>JUL202515200501</v>
          </cell>
          <cell r="E62" t="str">
            <v>Maquinaria, Equipo y Herramientas</v>
          </cell>
          <cell r="F62">
            <v>1220614456.0699999</v>
          </cell>
          <cell r="G62">
            <v>2178652</v>
          </cell>
          <cell r="H62">
            <v>2178652</v>
          </cell>
          <cell r="I62">
            <v>1220614456.0699999</v>
          </cell>
        </row>
        <row r="63">
          <cell r="C63">
            <v>15200502</v>
          </cell>
          <cell r="D63" t="str">
            <v>JUL202515200502</v>
          </cell>
          <cell r="E63" t="str">
            <v>Equipos Alcon</v>
          </cell>
          <cell r="F63">
            <v>1155015400</v>
          </cell>
          <cell r="G63">
            <v>0</v>
          </cell>
          <cell r="H63">
            <v>0</v>
          </cell>
          <cell r="I63">
            <v>1155015400</v>
          </cell>
        </row>
        <row r="64">
          <cell r="C64">
            <v>15200503</v>
          </cell>
          <cell r="D64" t="str">
            <v>JUL202515200503</v>
          </cell>
          <cell r="E64" t="str">
            <v>Equipo Statim</v>
          </cell>
          <cell r="F64">
            <v>21944520</v>
          </cell>
          <cell r="G64">
            <v>0</v>
          </cell>
          <cell r="H64">
            <v>0</v>
          </cell>
          <cell r="I64">
            <v>21944520</v>
          </cell>
        </row>
        <row r="65">
          <cell r="C65">
            <v>15200504</v>
          </cell>
          <cell r="D65" t="str">
            <v>JUL202515200504</v>
          </cell>
          <cell r="E65" t="str">
            <v>Equipos cuenta en participacion</v>
          </cell>
          <cell r="F65">
            <v>1908457343.47</v>
          </cell>
          <cell r="G65">
            <v>0</v>
          </cell>
          <cell r="H65">
            <v>0</v>
          </cell>
          <cell r="I65">
            <v>1908457343.47</v>
          </cell>
        </row>
        <row r="66">
          <cell r="C66">
            <v>15200524</v>
          </cell>
          <cell r="D66" t="str">
            <v>JUL202515200524</v>
          </cell>
          <cell r="E66" t="str">
            <v>Iva mayor valor maquinaria y equipo</v>
          </cell>
          <cell r="F66">
            <v>263549563.44</v>
          </cell>
          <cell r="G66">
            <v>0</v>
          </cell>
          <cell r="H66">
            <v>0</v>
          </cell>
          <cell r="I66">
            <v>263549563.44</v>
          </cell>
        </row>
        <row r="67">
          <cell r="C67">
            <v>1524</v>
          </cell>
          <cell r="D67" t="str">
            <v>JUL20251524</v>
          </cell>
          <cell r="E67" t="str">
            <v>Equipo de Oficina</v>
          </cell>
          <cell r="F67">
            <v>128113004.92</v>
          </cell>
          <cell r="G67">
            <v>90000</v>
          </cell>
          <cell r="H67">
            <v>90000</v>
          </cell>
          <cell r="I67">
            <v>128113004.92</v>
          </cell>
        </row>
        <row r="68">
          <cell r="C68">
            <v>152405</v>
          </cell>
          <cell r="D68" t="str">
            <v>JUL2025152405</v>
          </cell>
          <cell r="E68" t="str">
            <v>Equipo de Oficina Muebles y Enseres</v>
          </cell>
          <cell r="F68">
            <v>122733235.45</v>
          </cell>
          <cell r="G68">
            <v>0</v>
          </cell>
          <cell r="H68">
            <v>0</v>
          </cell>
          <cell r="I68">
            <v>122733235.45</v>
          </cell>
        </row>
        <row r="69">
          <cell r="C69">
            <v>15240501</v>
          </cell>
          <cell r="D69" t="str">
            <v>JUL202515240501</v>
          </cell>
          <cell r="E69" t="str">
            <v>Equipo de Oficina Muebles y Enseres</v>
          </cell>
          <cell r="F69">
            <v>112046116.15000001</v>
          </cell>
          <cell r="G69">
            <v>0</v>
          </cell>
          <cell r="H69">
            <v>0</v>
          </cell>
          <cell r="I69">
            <v>112046116.15000001</v>
          </cell>
        </row>
        <row r="70">
          <cell r="C70">
            <v>15240524</v>
          </cell>
          <cell r="D70" t="str">
            <v>JUL202515240524</v>
          </cell>
          <cell r="E70" t="str">
            <v>Iva mayor valor muebles y enseres</v>
          </cell>
          <cell r="F70">
            <v>10687119.300000001</v>
          </cell>
          <cell r="G70">
            <v>0</v>
          </cell>
          <cell r="H70">
            <v>0</v>
          </cell>
          <cell r="I70">
            <v>10687119.300000001</v>
          </cell>
        </row>
        <row r="71">
          <cell r="C71">
            <v>152410</v>
          </cell>
          <cell r="D71" t="str">
            <v>JUL2025152410</v>
          </cell>
          <cell r="E71" t="str">
            <v>Equipo de Oficina Equipos</v>
          </cell>
          <cell r="F71">
            <v>5136769.47</v>
          </cell>
          <cell r="G71">
            <v>90000</v>
          </cell>
          <cell r="H71">
            <v>90000</v>
          </cell>
          <cell r="I71">
            <v>5136769.47</v>
          </cell>
        </row>
        <row r="72">
          <cell r="C72">
            <v>15241001</v>
          </cell>
          <cell r="D72" t="str">
            <v>JUL202515241001</v>
          </cell>
          <cell r="E72" t="str">
            <v>Equipo de Oficina Equipos</v>
          </cell>
          <cell r="F72">
            <v>4316613</v>
          </cell>
          <cell r="G72">
            <v>90000</v>
          </cell>
          <cell r="H72">
            <v>90000</v>
          </cell>
          <cell r="I72">
            <v>4316613</v>
          </cell>
        </row>
        <row r="73">
          <cell r="C73">
            <v>15241024</v>
          </cell>
          <cell r="D73" t="str">
            <v>JUL202515241024</v>
          </cell>
          <cell r="E73" t="str">
            <v>Iva mayor valor Equipos de oficina</v>
          </cell>
          <cell r="F73">
            <v>820156.47</v>
          </cell>
          <cell r="G73">
            <v>0</v>
          </cell>
          <cell r="H73">
            <v>0</v>
          </cell>
          <cell r="I73">
            <v>820156.47</v>
          </cell>
        </row>
        <row r="74">
          <cell r="C74">
            <v>152495</v>
          </cell>
          <cell r="D74" t="str">
            <v>JUL2025152495</v>
          </cell>
          <cell r="E74" t="str">
            <v>Otros Equipo de Oficina</v>
          </cell>
          <cell r="F74">
            <v>243000</v>
          </cell>
          <cell r="G74">
            <v>0</v>
          </cell>
          <cell r="H74">
            <v>0</v>
          </cell>
          <cell r="I74">
            <v>243000</v>
          </cell>
        </row>
        <row r="75">
          <cell r="C75">
            <v>15249501</v>
          </cell>
          <cell r="D75" t="str">
            <v>JUL202515249501</v>
          </cell>
          <cell r="E75" t="str">
            <v>Otros Equipo de Oficina</v>
          </cell>
          <cell r="F75">
            <v>243000</v>
          </cell>
          <cell r="G75">
            <v>0</v>
          </cell>
          <cell r="H75">
            <v>0</v>
          </cell>
          <cell r="I75">
            <v>243000</v>
          </cell>
        </row>
        <row r="76">
          <cell r="C76">
            <v>1528</v>
          </cell>
          <cell r="D76" t="str">
            <v>JUL20251528</v>
          </cell>
          <cell r="E76" t="str">
            <v>Equipo de Cómputo y Comunicación</v>
          </cell>
          <cell r="F76">
            <v>79514559.370000005</v>
          </cell>
          <cell r="G76">
            <v>28238950.5</v>
          </cell>
          <cell r="H76">
            <v>6553300.25</v>
          </cell>
          <cell r="I76">
            <v>101200209.62</v>
          </cell>
        </row>
        <row r="77">
          <cell r="C77">
            <v>152805</v>
          </cell>
          <cell r="D77" t="str">
            <v>JUL2025152805</v>
          </cell>
          <cell r="E77" t="str">
            <v>Equipos de Procesamientos de Datos</v>
          </cell>
          <cell r="F77">
            <v>73678379.370000005</v>
          </cell>
          <cell r="G77">
            <v>15132350</v>
          </cell>
          <cell r="H77">
            <v>0</v>
          </cell>
          <cell r="I77">
            <v>88810729.370000005</v>
          </cell>
        </row>
        <row r="78">
          <cell r="C78">
            <v>15280501</v>
          </cell>
          <cell r="D78" t="str">
            <v>JUL202515280501</v>
          </cell>
          <cell r="E78" t="str">
            <v>Equipos de Procesamientos de Datos</v>
          </cell>
          <cell r="F78">
            <v>71632583.019999996</v>
          </cell>
          <cell r="G78">
            <v>15025000</v>
          </cell>
          <cell r="H78">
            <v>0</v>
          </cell>
          <cell r="I78">
            <v>86657583.019999996</v>
          </cell>
        </row>
        <row r="79">
          <cell r="C79">
            <v>15280524</v>
          </cell>
          <cell r="D79" t="str">
            <v>JUL202515280524</v>
          </cell>
          <cell r="E79" t="str">
            <v>Iva mayor valor e procesamiento e datos</v>
          </cell>
          <cell r="F79">
            <v>2045796.35</v>
          </cell>
          <cell r="G79">
            <v>107350</v>
          </cell>
          <cell r="H79">
            <v>0</v>
          </cell>
          <cell r="I79">
            <v>2153146.35</v>
          </cell>
        </row>
        <row r="80">
          <cell r="C80">
            <v>152810</v>
          </cell>
          <cell r="D80" t="str">
            <v>JUL2025152810</v>
          </cell>
          <cell r="E80" t="str">
            <v>Equipos de Telecomunicaciones</v>
          </cell>
          <cell r="F80">
            <v>5836180</v>
          </cell>
          <cell r="G80">
            <v>13106600.5</v>
          </cell>
          <cell r="H80">
            <v>6553300.25</v>
          </cell>
          <cell r="I80">
            <v>12389480.25</v>
          </cell>
        </row>
        <row r="81">
          <cell r="C81">
            <v>15281001</v>
          </cell>
          <cell r="D81" t="str">
            <v>JUL202515281001</v>
          </cell>
          <cell r="E81" t="str">
            <v>Equipos de Telecomunicaciones</v>
          </cell>
          <cell r="F81">
            <v>5836180</v>
          </cell>
          <cell r="G81">
            <v>12060275.25</v>
          </cell>
          <cell r="H81">
            <v>5506975</v>
          </cell>
          <cell r="I81">
            <v>12389480.25</v>
          </cell>
        </row>
        <row r="82">
          <cell r="C82">
            <v>15281024</v>
          </cell>
          <cell r="D82" t="str">
            <v>JUL202515281024</v>
          </cell>
          <cell r="E82" t="str">
            <v>Iva mayor valor equipo telecomunicaciones</v>
          </cell>
          <cell r="F82">
            <v>0</v>
          </cell>
          <cell r="G82">
            <v>1046325.25</v>
          </cell>
          <cell r="H82">
            <v>1046325.25</v>
          </cell>
          <cell r="I82">
            <v>0</v>
          </cell>
        </row>
        <row r="83">
          <cell r="C83">
            <v>1532</v>
          </cell>
          <cell r="D83" t="str">
            <v>JUL20251532</v>
          </cell>
          <cell r="E83" t="str">
            <v>Equipo médico científico</v>
          </cell>
          <cell r="F83">
            <v>422427607</v>
          </cell>
          <cell r="G83">
            <v>0</v>
          </cell>
          <cell r="H83">
            <v>0</v>
          </cell>
          <cell r="I83">
            <v>422427607</v>
          </cell>
        </row>
        <row r="84">
          <cell r="C84">
            <v>15320501</v>
          </cell>
          <cell r="D84" t="str">
            <v>JUL202515320501</v>
          </cell>
          <cell r="E84" t="str">
            <v>Equipo oftalmológico</v>
          </cell>
          <cell r="F84">
            <v>361956092</v>
          </cell>
          <cell r="G84">
            <v>0</v>
          </cell>
          <cell r="H84">
            <v>0</v>
          </cell>
          <cell r="I84">
            <v>361956092</v>
          </cell>
        </row>
        <row r="85">
          <cell r="C85">
            <v>15320502</v>
          </cell>
          <cell r="D85" t="str">
            <v>JUL202515320502</v>
          </cell>
          <cell r="E85" t="str">
            <v>Camilla</v>
          </cell>
          <cell r="F85">
            <v>18944100</v>
          </cell>
          <cell r="G85">
            <v>0</v>
          </cell>
          <cell r="H85">
            <v>0</v>
          </cell>
          <cell r="I85">
            <v>18944100</v>
          </cell>
        </row>
        <row r="86">
          <cell r="C86">
            <v>15320524</v>
          </cell>
          <cell r="D86" t="str">
            <v>JUL202515320524</v>
          </cell>
          <cell r="E86" t="str">
            <v>Iva mayor valor equipo médico</v>
          </cell>
          <cell r="F86">
            <v>41527415</v>
          </cell>
          <cell r="G86">
            <v>0</v>
          </cell>
          <cell r="H86">
            <v>0</v>
          </cell>
          <cell r="I86">
            <v>41527415</v>
          </cell>
        </row>
        <row r="87">
          <cell r="C87">
            <v>1592</v>
          </cell>
          <cell r="D87" t="str">
            <v>JUL20251592</v>
          </cell>
          <cell r="E87" t="str">
            <v>Depreciación Acumulada</v>
          </cell>
          <cell r="F87">
            <v>-1356483067</v>
          </cell>
          <cell r="G87">
            <v>0</v>
          </cell>
          <cell r="H87">
            <v>249105084</v>
          </cell>
          <cell r="I87">
            <v>-1605588151</v>
          </cell>
        </row>
        <row r="88">
          <cell r="C88">
            <v>159205</v>
          </cell>
          <cell r="D88" t="str">
            <v>JUL2025159205</v>
          </cell>
          <cell r="E88" t="str">
            <v>Depreciación Construcciones y Edificaciones</v>
          </cell>
          <cell r="F88">
            <v>-309579991</v>
          </cell>
          <cell r="G88">
            <v>0</v>
          </cell>
          <cell r="H88">
            <v>60941034</v>
          </cell>
          <cell r="I88">
            <v>-370521025</v>
          </cell>
        </row>
        <row r="89">
          <cell r="C89">
            <v>15920501</v>
          </cell>
          <cell r="D89" t="str">
            <v>JUL202515920501</v>
          </cell>
          <cell r="E89" t="str">
            <v>Depreciación Construcciones y Edificaciones</v>
          </cell>
          <cell r="F89">
            <v>-309579991</v>
          </cell>
          <cell r="G89">
            <v>0</v>
          </cell>
          <cell r="H89">
            <v>60941034</v>
          </cell>
          <cell r="I89">
            <v>-370521025</v>
          </cell>
        </row>
        <row r="90">
          <cell r="C90">
            <v>159215</v>
          </cell>
          <cell r="D90" t="str">
            <v>JUL2025159215</v>
          </cell>
          <cell r="E90" t="str">
            <v>Depreciación Equipo de Oficina</v>
          </cell>
          <cell r="F90">
            <v>-54585700</v>
          </cell>
          <cell r="G90">
            <v>0</v>
          </cell>
          <cell r="H90">
            <v>6241816</v>
          </cell>
          <cell r="I90">
            <v>-60827516</v>
          </cell>
        </row>
        <row r="91">
          <cell r="C91">
            <v>15921501</v>
          </cell>
          <cell r="D91" t="str">
            <v>JUL202515921501</v>
          </cell>
          <cell r="E91" t="str">
            <v>Depreciación Equipo de Oficina</v>
          </cell>
          <cell r="F91">
            <v>-54585700</v>
          </cell>
          <cell r="G91">
            <v>0</v>
          </cell>
          <cell r="H91">
            <v>6241816</v>
          </cell>
          <cell r="I91">
            <v>-60827516</v>
          </cell>
        </row>
        <row r="92">
          <cell r="C92">
            <v>159220</v>
          </cell>
          <cell r="D92" t="str">
            <v>JUL2025159220</v>
          </cell>
          <cell r="E92" t="str">
            <v>Depreciación Equipo de Computo y Comunicación</v>
          </cell>
          <cell r="F92">
            <v>-34992696</v>
          </cell>
          <cell r="G92">
            <v>0</v>
          </cell>
          <cell r="H92">
            <v>7965808</v>
          </cell>
          <cell r="I92">
            <v>-42958504</v>
          </cell>
        </row>
        <row r="93">
          <cell r="C93">
            <v>15922001</v>
          </cell>
          <cell r="D93" t="str">
            <v>JUL202515922001</v>
          </cell>
          <cell r="E93" t="str">
            <v>Depreciación Equipo de Computo y Comunicación</v>
          </cell>
          <cell r="F93">
            <v>-34992696</v>
          </cell>
          <cell r="G93">
            <v>0</v>
          </cell>
          <cell r="H93">
            <v>7965808</v>
          </cell>
          <cell r="I93">
            <v>-42958504</v>
          </cell>
        </row>
        <row r="94">
          <cell r="C94">
            <v>159230</v>
          </cell>
          <cell r="D94" t="str">
            <v>JUL2025159230</v>
          </cell>
          <cell r="E94" t="str">
            <v>Depreciación equipos medicos</v>
          </cell>
          <cell r="F94">
            <v>-957324680</v>
          </cell>
          <cell r="G94">
            <v>0</v>
          </cell>
          <cell r="H94">
            <v>173956426</v>
          </cell>
          <cell r="I94">
            <v>-1131281106</v>
          </cell>
        </row>
        <row r="95">
          <cell r="C95">
            <v>15923001</v>
          </cell>
          <cell r="D95" t="str">
            <v>JUL202515923001</v>
          </cell>
          <cell r="E95" t="str">
            <v>Deprecición equipos medicos</v>
          </cell>
          <cell r="F95">
            <v>-957324680</v>
          </cell>
          <cell r="G95">
            <v>0</v>
          </cell>
          <cell r="H95">
            <v>173956426</v>
          </cell>
          <cell r="I95">
            <v>-1131281106</v>
          </cell>
        </row>
        <row r="96">
          <cell r="C96">
            <v>17</v>
          </cell>
          <cell r="D96" t="str">
            <v>JUL202517</v>
          </cell>
          <cell r="E96" t="str">
            <v>Diferidos</v>
          </cell>
          <cell r="F96">
            <v>154156520.78</v>
          </cell>
          <cell r="G96">
            <v>0</v>
          </cell>
          <cell r="H96">
            <v>35191527.780000001</v>
          </cell>
          <cell r="I96">
            <v>118964993</v>
          </cell>
        </row>
        <row r="97">
          <cell r="C97">
            <v>1705</v>
          </cell>
          <cell r="D97" t="str">
            <v>JUL20251705</v>
          </cell>
          <cell r="E97" t="str">
            <v>Gastos Pagados por Anticipado</v>
          </cell>
          <cell r="F97">
            <v>154156520.78</v>
          </cell>
          <cell r="G97">
            <v>0</v>
          </cell>
          <cell r="H97">
            <v>35191527.780000001</v>
          </cell>
          <cell r="I97">
            <v>118964993</v>
          </cell>
        </row>
        <row r="98">
          <cell r="C98">
            <v>170520</v>
          </cell>
          <cell r="D98" t="str">
            <v>JUL2025170520</v>
          </cell>
          <cell r="E98" t="str">
            <v>Gastos Pagados por Anticipado Seguros y Finanzas</v>
          </cell>
          <cell r="F98">
            <v>2799740.78</v>
          </cell>
          <cell r="G98">
            <v>0</v>
          </cell>
          <cell r="H98">
            <v>2799740.78</v>
          </cell>
          <cell r="I98">
            <v>0</v>
          </cell>
        </row>
        <row r="99">
          <cell r="C99">
            <v>17052001</v>
          </cell>
          <cell r="D99" t="str">
            <v>JUL202517052001</v>
          </cell>
          <cell r="E99" t="str">
            <v>Gastos Pagados por Anticipado Seguros y Finanzas</v>
          </cell>
          <cell r="F99">
            <v>117632</v>
          </cell>
          <cell r="G99">
            <v>0</v>
          </cell>
          <cell r="H99">
            <v>117632</v>
          </cell>
          <cell r="I99">
            <v>0</v>
          </cell>
        </row>
        <row r="100">
          <cell r="C100">
            <v>17052098</v>
          </cell>
          <cell r="D100" t="str">
            <v>JUL202517052098</v>
          </cell>
          <cell r="E100" t="str">
            <v>Iva maor valor gastos pagados por anticipado seguros</v>
          </cell>
          <cell r="F100">
            <v>2682108.7799999998</v>
          </cell>
          <cell r="G100">
            <v>0</v>
          </cell>
          <cell r="H100">
            <v>2682108.7799999998</v>
          </cell>
          <cell r="I100">
            <v>0</v>
          </cell>
        </row>
        <row r="101">
          <cell r="C101">
            <v>170595</v>
          </cell>
          <cell r="D101" t="str">
            <v>JUL2025170595</v>
          </cell>
          <cell r="E101" t="str">
            <v>Otros Gastos Pagados por Anticipado</v>
          </cell>
          <cell r="F101">
            <v>151356780</v>
          </cell>
          <cell r="G101">
            <v>0</v>
          </cell>
          <cell r="H101">
            <v>32391787</v>
          </cell>
          <cell r="I101">
            <v>118964993</v>
          </cell>
        </row>
        <row r="102">
          <cell r="C102">
            <v>17059501</v>
          </cell>
          <cell r="D102" t="str">
            <v>JUL202517059501</v>
          </cell>
          <cell r="E102" t="str">
            <v>Otros Gastos Pagados por Anticipado</v>
          </cell>
          <cell r="F102">
            <v>151356780</v>
          </cell>
          <cell r="G102">
            <v>0</v>
          </cell>
          <cell r="H102">
            <v>32391787</v>
          </cell>
          <cell r="I102">
            <v>118964993</v>
          </cell>
        </row>
        <row r="103">
          <cell r="C103">
            <v>2</v>
          </cell>
          <cell r="D103" t="str">
            <v>JUL20252</v>
          </cell>
          <cell r="E103" t="str">
            <v>Pasivos</v>
          </cell>
          <cell r="F103">
            <v>-4253844855.6399999</v>
          </cell>
          <cell r="G103">
            <v>10543402459.08</v>
          </cell>
          <cell r="H103">
            <v>12727787095.309999</v>
          </cell>
          <cell r="I103">
            <v>-6438229491.8699999</v>
          </cell>
        </row>
        <row r="104">
          <cell r="C104">
            <v>21</v>
          </cell>
          <cell r="D104" t="str">
            <v>JUL202521</v>
          </cell>
          <cell r="E104" t="str">
            <v>Pasivos Financieros</v>
          </cell>
          <cell r="F104">
            <v>-824136984.05999994</v>
          </cell>
          <cell r="G104">
            <v>292766048.50999999</v>
          </cell>
          <cell r="H104">
            <v>149948427.34</v>
          </cell>
          <cell r="I104">
            <v>-681319362.88999999</v>
          </cell>
        </row>
        <row r="105">
          <cell r="C105">
            <v>2105</v>
          </cell>
          <cell r="D105" t="str">
            <v>JUL20252105</v>
          </cell>
          <cell r="E105" t="str">
            <v>Pasivos Financieros Bancos Nacionales</v>
          </cell>
          <cell r="F105">
            <v>-760457834.05999994</v>
          </cell>
          <cell r="G105">
            <v>285025844</v>
          </cell>
          <cell r="H105">
            <v>148965192.34</v>
          </cell>
          <cell r="I105">
            <v>-624397182.39999998</v>
          </cell>
        </row>
        <row r="106">
          <cell r="C106">
            <v>210510</v>
          </cell>
          <cell r="D106" t="str">
            <v>JUL2025210510</v>
          </cell>
          <cell r="E106" t="str">
            <v>Pasivos Financieros Bancos Nacionales Pagarés</v>
          </cell>
          <cell r="F106">
            <v>-750366009</v>
          </cell>
          <cell r="G106">
            <v>169882592</v>
          </cell>
          <cell r="H106">
            <v>23888992</v>
          </cell>
          <cell r="I106">
            <v>-604372409</v>
          </cell>
        </row>
        <row r="107">
          <cell r="C107">
            <v>21051001</v>
          </cell>
          <cell r="D107" t="str">
            <v>JUL202521051001</v>
          </cell>
          <cell r="E107" t="str">
            <v>Pasivos Financieros</v>
          </cell>
          <cell r="F107">
            <v>-16666660</v>
          </cell>
          <cell r="G107">
            <v>19444438</v>
          </cell>
          <cell r="H107">
            <v>2777778</v>
          </cell>
          <cell r="I107">
            <v>0</v>
          </cell>
        </row>
        <row r="108">
          <cell r="C108">
            <v>21051002</v>
          </cell>
          <cell r="D108" t="str">
            <v>JUL202521051002</v>
          </cell>
          <cell r="E108" t="str">
            <v>Pasivos Financieros Bancoomeva 9846000</v>
          </cell>
          <cell r="F108">
            <v>-9722219</v>
          </cell>
          <cell r="G108">
            <v>12499993</v>
          </cell>
          <cell r="H108">
            <v>2777774</v>
          </cell>
          <cell r="I108">
            <v>0</v>
          </cell>
        </row>
        <row r="109">
          <cell r="C109">
            <v>21051003</v>
          </cell>
          <cell r="D109" t="str">
            <v>JUL202521051003</v>
          </cell>
          <cell r="E109" t="str">
            <v>Pasivos Financieros Bancoomeva crédito rotativo 027031</v>
          </cell>
          <cell r="F109">
            <v>-21449880</v>
          </cell>
          <cell r="G109">
            <v>19999990</v>
          </cell>
          <cell r="H109">
            <v>4444440</v>
          </cell>
          <cell r="I109">
            <v>-5894330</v>
          </cell>
        </row>
        <row r="110">
          <cell r="C110">
            <v>21051005</v>
          </cell>
          <cell r="D110" t="str">
            <v>JUL202521051005</v>
          </cell>
          <cell r="E110" t="str">
            <v>Leasing Davivienda</v>
          </cell>
          <cell r="F110">
            <v>-230305250</v>
          </cell>
          <cell r="G110">
            <v>6826171</v>
          </cell>
          <cell r="H110">
            <v>0</v>
          </cell>
          <cell r="I110">
            <v>-223479079</v>
          </cell>
        </row>
        <row r="111">
          <cell r="C111">
            <v>21051006</v>
          </cell>
          <cell r="D111" t="str">
            <v>JUL202521051006</v>
          </cell>
          <cell r="E111" t="str">
            <v>Pasivos fianncieros Banco caja social 31006702865</v>
          </cell>
          <cell r="F111">
            <v>-472222000</v>
          </cell>
          <cell r="G111">
            <v>111112000</v>
          </cell>
          <cell r="H111">
            <v>13889000</v>
          </cell>
          <cell r="I111">
            <v>-374999000</v>
          </cell>
        </row>
        <row r="112">
          <cell r="C112">
            <v>210525</v>
          </cell>
          <cell r="D112" t="str">
            <v>JUL2025210525</v>
          </cell>
          <cell r="E112" t="str">
            <v>Pasivos Financieros Bancos Nacionales Tarjetas de Crédito</v>
          </cell>
          <cell r="F112">
            <v>-10091825.060000001</v>
          </cell>
          <cell r="G112">
            <v>115143252</v>
          </cell>
          <cell r="H112">
            <v>125076200.34</v>
          </cell>
          <cell r="I112">
            <v>-20024773.399999999</v>
          </cell>
        </row>
        <row r="113">
          <cell r="C113">
            <v>21052501</v>
          </cell>
          <cell r="D113" t="str">
            <v>JUL202521052501</v>
          </cell>
          <cell r="E113" t="str">
            <v>Pasivos Financieros Bancoomeva Tarjetas de Crédito</v>
          </cell>
          <cell r="F113">
            <v>-3157456.06</v>
          </cell>
          <cell r="G113">
            <v>16396598</v>
          </cell>
          <cell r="H113">
            <v>21028747.34</v>
          </cell>
          <cell r="I113">
            <v>-7789605.4000000004</v>
          </cell>
        </row>
        <row r="114">
          <cell r="C114">
            <v>21052502</v>
          </cell>
          <cell r="D114" t="str">
            <v>JUL202521052502</v>
          </cell>
          <cell r="E114" t="str">
            <v>Pasivos Financieros Banco Caja Social TC MAJM</v>
          </cell>
          <cell r="F114">
            <v>-5158037</v>
          </cell>
          <cell r="G114">
            <v>83863372</v>
          </cell>
          <cell r="H114">
            <v>82796635</v>
          </cell>
          <cell r="I114">
            <v>-4091300</v>
          </cell>
        </row>
        <row r="115">
          <cell r="C115">
            <v>21052503</v>
          </cell>
          <cell r="D115" t="str">
            <v>JUL202521052503</v>
          </cell>
          <cell r="E115" t="str">
            <v>Pasivos Financieros Banco Caja Social TC MAJN</v>
          </cell>
          <cell r="F115">
            <v>-1776332</v>
          </cell>
          <cell r="G115">
            <v>14883282</v>
          </cell>
          <cell r="H115">
            <v>21250818</v>
          </cell>
          <cell r="I115">
            <v>-8143868</v>
          </cell>
        </row>
        <row r="116">
          <cell r="C116">
            <v>2115</v>
          </cell>
          <cell r="D116" t="str">
            <v>JUL20252115</v>
          </cell>
          <cell r="E116" t="str">
            <v>Pasivos Financieros Corporaciones Financieras</v>
          </cell>
          <cell r="F116">
            <v>-63679150</v>
          </cell>
          <cell r="G116">
            <v>7740204.5099999998</v>
          </cell>
          <cell r="H116">
            <v>983235</v>
          </cell>
          <cell r="I116">
            <v>-56922180.490000002</v>
          </cell>
        </row>
        <row r="117">
          <cell r="C117">
            <v>211505</v>
          </cell>
          <cell r="D117" t="str">
            <v>JUL2025211505</v>
          </cell>
          <cell r="E117" t="str">
            <v>Pasivos Financieros Corporaciones Financieras Pagarés</v>
          </cell>
          <cell r="F117">
            <v>-63679150</v>
          </cell>
          <cell r="G117">
            <v>7740204.5099999998</v>
          </cell>
          <cell r="H117">
            <v>983235</v>
          </cell>
          <cell r="I117">
            <v>-56922180.490000002</v>
          </cell>
        </row>
        <row r="118">
          <cell r="C118">
            <v>21150501</v>
          </cell>
          <cell r="D118" t="str">
            <v>JUL202521150501</v>
          </cell>
          <cell r="E118" t="str">
            <v>Pasivos Financieros Corporaciones Financieras Pagarés</v>
          </cell>
          <cell r="F118">
            <v>-63679150</v>
          </cell>
          <cell r="G118">
            <v>7740204.5099999998</v>
          </cell>
          <cell r="H118">
            <v>983235</v>
          </cell>
          <cell r="I118">
            <v>-56922180.490000002</v>
          </cell>
        </row>
        <row r="119">
          <cell r="C119">
            <v>22</v>
          </cell>
          <cell r="D119" t="str">
            <v>JUL202522</v>
          </cell>
          <cell r="E119" t="str">
            <v>Proveedores</v>
          </cell>
          <cell r="F119">
            <v>-2414256928.54</v>
          </cell>
          <cell r="G119">
            <v>8196184127.3400002</v>
          </cell>
          <cell r="H119">
            <v>8377034827.8500004</v>
          </cell>
          <cell r="I119">
            <v>-2595107629.0500002</v>
          </cell>
        </row>
        <row r="120">
          <cell r="C120">
            <v>2205</v>
          </cell>
          <cell r="D120" t="str">
            <v>JUL20252205</v>
          </cell>
          <cell r="E120" t="str">
            <v>Proveedores Nacionales</v>
          </cell>
          <cell r="F120">
            <v>-2414256928.54</v>
          </cell>
          <cell r="G120">
            <v>8196184127.3400002</v>
          </cell>
          <cell r="H120">
            <v>8377034827.8500004</v>
          </cell>
          <cell r="I120">
            <v>-2595107629.0500002</v>
          </cell>
        </row>
        <row r="121">
          <cell r="C121">
            <v>220505</v>
          </cell>
          <cell r="D121" t="str">
            <v>JUL2025220505</v>
          </cell>
          <cell r="E121" t="str">
            <v>Proveedores Nacionales</v>
          </cell>
          <cell r="F121">
            <v>-2414256928.54</v>
          </cell>
          <cell r="G121">
            <v>8196184127.3400002</v>
          </cell>
          <cell r="H121">
            <v>8377034827.8500004</v>
          </cell>
          <cell r="I121">
            <v>-2595107629.0500002</v>
          </cell>
        </row>
        <row r="122">
          <cell r="C122">
            <v>22050501</v>
          </cell>
          <cell r="D122" t="str">
            <v>JUL202522050501</v>
          </cell>
          <cell r="E122" t="str">
            <v>Proveedores Nacionales</v>
          </cell>
          <cell r="F122">
            <v>-953642235.53999996</v>
          </cell>
          <cell r="G122">
            <v>7736565709.3400002</v>
          </cell>
          <cell r="H122">
            <v>8326432827.8500004</v>
          </cell>
          <cell r="I122">
            <v>-1543509354.05</v>
          </cell>
        </row>
        <row r="123">
          <cell r="C123">
            <v>22050502</v>
          </cell>
          <cell r="D123" t="str">
            <v>JUL202522050502</v>
          </cell>
          <cell r="E123" t="str">
            <v>Proveedores Nacionales a largo plazo</v>
          </cell>
          <cell r="F123">
            <v>-1460614693</v>
          </cell>
          <cell r="G123">
            <v>459618418</v>
          </cell>
          <cell r="H123">
            <v>50602000</v>
          </cell>
          <cell r="I123">
            <v>-1051598275</v>
          </cell>
        </row>
        <row r="124">
          <cell r="C124">
            <v>23</v>
          </cell>
          <cell r="D124" t="str">
            <v>JUL202523</v>
          </cell>
          <cell r="E124" t="str">
            <v>Cuentas por Pagar</v>
          </cell>
          <cell r="F124">
            <v>-259610930.86000001</v>
          </cell>
          <cell r="G124">
            <v>433496453.43000001</v>
          </cell>
          <cell r="H124">
            <v>433595883.70999998</v>
          </cell>
          <cell r="I124">
            <v>-259710361.13999999</v>
          </cell>
        </row>
        <row r="125">
          <cell r="C125">
            <v>2335</v>
          </cell>
          <cell r="D125" t="str">
            <v>JUL20252335</v>
          </cell>
          <cell r="E125" t="str">
            <v>Costos y Gastos por Pagar</v>
          </cell>
          <cell r="F125">
            <v>-5347293.4800000004</v>
          </cell>
          <cell r="G125">
            <v>1825000</v>
          </cell>
          <cell r="H125">
            <v>3600</v>
          </cell>
          <cell r="I125">
            <v>-3525893.48</v>
          </cell>
        </row>
        <row r="126">
          <cell r="C126">
            <v>233505</v>
          </cell>
          <cell r="D126" t="str">
            <v>JUL2025233505</v>
          </cell>
          <cell r="E126" t="str">
            <v>Costos y Gastos por Pagar</v>
          </cell>
          <cell r="F126">
            <v>-5347293.4800000004</v>
          </cell>
          <cell r="G126">
            <v>1825000</v>
          </cell>
          <cell r="H126">
            <v>3600</v>
          </cell>
          <cell r="I126">
            <v>-3525893.48</v>
          </cell>
        </row>
        <row r="127">
          <cell r="C127">
            <v>23350501</v>
          </cell>
          <cell r="D127" t="str">
            <v>JUL202523350501</v>
          </cell>
          <cell r="E127" t="str">
            <v>Cuentas por pagar</v>
          </cell>
          <cell r="F127">
            <v>-5347293.4800000004</v>
          </cell>
          <cell r="G127">
            <v>1825000</v>
          </cell>
          <cell r="H127">
            <v>3600</v>
          </cell>
          <cell r="I127">
            <v>-3525893.48</v>
          </cell>
        </row>
        <row r="128">
          <cell r="C128">
            <v>2345</v>
          </cell>
          <cell r="D128" t="str">
            <v>JUL20252345</v>
          </cell>
          <cell r="E128" t="str">
            <v>Acredores oficiales</v>
          </cell>
          <cell r="F128">
            <v>-83285036.180000007</v>
          </cell>
          <cell r="G128">
            <v>84896695</v>
          </cell>
          <cell r="H128">
            <v>16998765.760000002</v>
          </cell>
          <cell r="I128">
            <v>-15387106.939999999</v>
          </cell>
        </row>
        <row r="129">
          <cell r="C129">
            <v>234505</v>
          </cell>
          <cell r="D129" t="str">
            <v>JUL2025234505</v>
          </cell>
          <cell r="E129" t="str">
            <v>Acreedores oficiales impuestos</v>
          </cell>
          <cell r="F129">
            <v>-83285036.180000007</v>
          </cell>
          <cell r="G129">
            <v>84896695</v>
          </cell>
          <cell r="H129">
            <v>16998765.760000002</v>
          </cell>
          <cell r="I129">
            <v>-15387106.939999999</v>
          </cell>
        </row>
        <row r="130">
          <cell r="C130">
            <v>23450501</v>
          </cell>
          <cell r="D130" t="str">
            <v>JUL202523450501</v>
          </cell>
          <cell r="E130" t="str">
            <v>RF por Renta por pagar</v>
          </cell>
          <cell r="F130">
            <v>-26829234.239999998</v>
          </cell>
          <cell r="G130">
            <v>43828000</v>
          </cell>
          <cell r="H130">
            <v>16998765.760000002</v>
          </cell>
          <cell r="I130">
            <v>0</v>
          </cell>
        </row>
        <row r="131">
          <cell r="C131">
            <v>23450502</v>
          </cell>
          <cell r="D131" t="str">
            <v>JUL202523450502</v>
          </cell>
          <cell r="E131" t="str">
            <v>Ica por pagar</v>
          </cell>
          <cell r="F131">
            <v>-56455801.939999998</v>
          </cell>
          <cell r="G131">
            <v>41068695</v>
          </cell>
          <cell r="H131">
            <v>0</v>
          </cell>
          <cell r="I131">
            <v>-15387106.939999999</v>
          </cell>
        </row>
        <row r="132">
          <cell r="C132">
            <v>2355</v>
          </cell>
          <cell r="D132" t="str">
            <v>JUL20252355</v>
          </cell>
          <cell r="E132" t="str">
            <v>Deudas con Accionistas o Socios</v>
          </cell>
          <cell r="F132">
            <v>-152000000</v>
          </cell>
          <cell r="G132">
            <v>0</v>
          </cell>
          <cell r="H132">
            <v>0</v>
          </cell>
          <cell r="I132">
            <v>-152000000</v>
          </cell>
        </row>
        <row r="133">
          <cell r="C133">
            <v>235505</v>
          </cell>
          <cell r="D133" t="str">
            <v>JUL2025235505</v>
          </cell>
          <cell r="E133" t="str">
            <v>Deudas con Accionistas</v>
          </cell>
          <cell r="F133">
            <v>-152000000</v>
          </cell>
          <cell r="G133">
            <v>0</v>
          </cell>
          <cell r="H133">
            <v>0</v>
          </cell>
          <cell r="I133">
            <v>-152000000</v>
          </cell>
        </row>
        <row r="134">
          <cell r="C134">
            <v>23550501</v>
          </cell>
          <cell r="D134" t="str">
            <v>JUL202523550501</v>
          </cell>
          <cell r="E134" t="str">
            <v>Deudas con Accionistas</v>
          </cell>
          <cell r="F134">
            <v>-152000000</v>
          </cell>
          <cell r="G134">
            <v>0</v>
          </cell>
          <cell r="H134">
            <v>0</v>
          </cell>
          <cell r="I134">
            <v>-152000000</v>
          </cell>
        </row>
        <row r="135">
          <cell r="C135">
            <v>2365</v>
          </cell>
          <cell r="D135" t="str">
            <v>JUL20252365</v>
          </cell>
          <cell r="E135" t="str">
            <v>Retención en la Fuente</v>
          </cell>
          <cell r="F135">
            <v>0</v>
          </cell>
          <cell r="G135">
            <v>155166868.56</v>
          </cell>
          <cell r="H135">
            <v>220964445.66</v>
          </cell>
          <cell r="I135">
            <v>-65797577.100000001</v>
          </cell>
        </row>
        <row r="136">
          <cell r="C136">
            <v>236505</v>
          </cell>
          <cell r="D136" t="str">
            <v>JUL2025236505</v>
          </cell>
          <cell r="E136" t="str">
            <v>Retención en la Fuente Salarios y Pagos Laborales</v>
          </cell>
          <cell r="F136">
            <v>0</v>
          </cell>
          <cell r="G136">
            <v>11770000</v>
          </cell>
          <cell r="H136">
            <v>12843000</v>
          </cell>
          <cell r="I136">
            <v>-1073000</v>
          </cell>
        </row>
        <row r="137">
          <cell r="C137">
            <v>23650501</v>
          </cell>
          <cell r="D137" t="str">
            <v>JUL202523650501</v>
          </cell>
          <cell r="E137" t="str">
            <v>Retención en la Fuente Salarios y Pagos Laborales</v>
          </cell>
          <cell r="F137">
            <v>0</v>
          </cell>
          <cell r="G137">
            <v>575000</v>
          </cell>
          <cell r="H137">
            <v>3348000</v>
          </cell>
          <cell r="I137">
            <v>-2773000</v>
          </cell>
        </row>
        <row r="138">
          <cell r="C138">
            <v>23650510</v>
          </cell>
          <cell r="D138" t="str">
            <v>JUL202523650510</v>
          </cell>
          <cell r="E138" t="str">
            <v>Retención en la Fuente Independientes</v>
          </cell>
          <cell r="F138">
            <v>0</v>
          </cell>
          <cell r="G138">
            <v>1389000</v>
          </cell>
          <cell r="H138">
            <v>9495000</v>
          </cell>
          <cell r="I138">
            <v>-8106000</v>
          </cell>
        </row>
        <row r="139">
          <cell r="C139">
            <v>23650597</v>
          </cell>
          <cell r="D139" t="str">
            <v>JUL202523650597</v>
          </cell>
          <cell r="E139" t="str">
            <v>Pago retención salarios y pagos laborales</v>
          </cell>
          <cell r="F139">
            <v>0</v>
          </cell>
          <cell r="G139">
            <v>9806000</v>
          </cell>
          <cell r="H139">
            <v>0</v>
          </cell>
          <cell r="I139">
            <v>9806000</v>
          </cell>
        </row>
        <row r="140">
          <cell r="C140">
            <v>236515</v>
          </cell>
          <cell r="D140" t="str">
            <v>JUL2025236515</v>
          </cell>
          <cell r="E140" t="str">
            <v>Retención en la Fuente - Honorarios</v>
          </cell>
          <cell r="F140">
            <v>0</v>
          </cell>
          <cell r="G140">
            <v>51947870</v>
          </cell>
          <cell r="H140">
            <v>95002271.870000005</v>
          </cell>
          <cell r="I140">
            <v>-43054401.869999997</v>
          </cell>
        </row>
        <row r="141">
          <cell r="C141">
            <v>23651502</v>
          </cell>
          <cell r="D141" t="str">
            <v>JUL202523651502</v>
          </cell>
          <cell r="E141" t="str">
            <v>Retención en la Fuente Honorarios 11%</v>
          </cell>
          <cell r="F141">
            <v>0</v>
          </cell>
          <cell r="G141">
            <v>23870</v>
          </cell>
          <cell r="H141">
            <v>95002271.870000005</v>
          </cell>
          <cell r="I141">
            <v>-94978401.870000005</v>
          </cell>
        </row>
        <row r="142">
          <cell r="C142">
            <v>23651597</v>
          </cell>
          <cell r="D142" t="str">
            <v>JUL202523651597</v>
          </cell>
          <cell r="E142" t="str">
            <v>Pago retención honorarios</v>
          </cell>
          <cell r="F142">
            <v>0</v>
          </cell>
          <cell r="G142">
            <v>51924000</v>
          </cell>
          <cell r="H142">
            <v>0</v>
          </cell>
          <cell r="I142">
            <v>51924000</v>
          </cell>
        </row>
        <row r="143">
          <cell r="C143">
            <v>236525</v>
          </cell>
          <cell r="D143" t="str">
            <v>JUL2025236525</v>
          </cell>
          <cell r="E143" t="str">
            <v>Retención en la Fuente - Servicios</v>
          </cell>
          <cell r="F143">
            <v>0</v>
          </cell>
          <cell r="G143">
            <v>6896645.4800000004</v>
          </cell>
          <cell r="H143">
            <v>7938092.9400000004</v>
          </cell>
          <cell r="I143">
            <v>-1041447.46</v>
          </cell>
        </row>
        <row r="144">
          <cell r="C144">
            <v>23652503</v>
          </cell>
          <cell r="D144" t="str">
            <v>JUL202523652503</v>
          </cell>
          <cell r="E144" t="str">
            <v>Retención en la Fuente Servicios 3.5%</v>
          </cell>
          <cell r="F144">
            <v>0</v>
          </cell>
          <cell r="G144">
            <v>0</v>
          </cell>
          <cell r="H144">
            <v>450780.9</v>
          </cell>
          <cell r="I144">
            <v>-450780.9</v>
          </cell>
        </row>
        <row r="145">
          <cell r="C145">
            <v>23652504</v>
          </cell>
          <cell r="D145" t="str">
            <v>JUL202523652504</v>
          </cell>
          <cell r="E145" t="str">
            <v>Retención en la Fuente Servicios 4%</v>
          </cell>
          <cell r="F145">
            <v>0</v>
          </cell>
          <cell r="G145">
            <v>294560.56</v>
          </cell>
          <cell r="H145">
            <v>7485227.1200000001</v>
          </cell>
          <cell r="I145">
            <v>-7190666.5599999996</v>
          </cell>
        </row>
        <row r="146">
          <cell r="C146">
            <v>23652506</v>
          </cell>
          <cell r="D146" t="str">
            <v>JUL202523652506</v>
          </cell>
          <cell r="E146" t="str">
            <v>Retención en la Fuente Servicios AIU 1%</v>
          </cell>
          <cell r="F146">
            <v>0</v>
          </cell>
          <cell r="G146">
            <v>2084.92</v>
          </cell>
          <cell r="H146">
            <v>2084.92</v>
          </cell>
          <cell r="I146">
            <v>0</v>
          </cell>
        </row>
        <row r="147">
          <cell r="C147">
            <v>23652599</v>
          </cell>
          <cell r="D147" t="str">
            <v>JUL202523652599</v>
          </cell>
          <cell r="E147" t="str">
            <v>Pago retefuente servicios</v>
          </cell>
          <cell r="F147">
            <v>0</v>
          </cell>
          <cell r="G147">
            <v>6600000</v>
          </cell>
          <cell r="H147">
            <v>0</v>
          </cell>
          <cell r="I147">
            <v>6600000</v>
          </cell>
        </row>
        <row r="148">
          <cell r="C148">
            <v>236530</v>
          </cell>
          <cell r="D148" t="str">
            <v>JUL2025236530</v>
          </cell>
          <cell r="E148" t="str">
            <v>Retención en la Fuente - Arrendamientos</v>
          </cell>
          <cell r="F148">
            <v>0</v>
          </cell>
          <cell r="G148">
            <v>4363859.32</v>
          </cell>
          <cell r="H148">
            <v>5106067.54</v>
          </cell>
          <cell r="I148">
            <v>-742208.22</v>
          </cell>
        </row>
        <row r="149">
          <cell r="C149">
            <v>23653001</v>
          </cell>
          <cell r="D149" t="str">
            <v>JUL202523653001</v>
          </cell>
          <cell r="E149" t="str">
            <v>Retención en la Fuente Arrendamientos Bienes Muebles 4%</v>
          </cell>
          <cell r="F149">
            <v>0</v>
          </cell>
          <cell r="G149">
            <v>0</v>
          </cell>
          <cell r="H149">
            <v>1120000</v>
          </cell>
          <cell r="I149">
            <v>-1120000</v>
          </cell>
        </row>
        <row r="150">
          <cell r="C150">
            <v>23653002</v>
          </cell>
          <cell r="D150" t="str">
            <v>JUL202523653002</v>
          </cell>
          <cell r="E150" t="str">
            <v>Retención en la Fuente Arrendamientos Bienes Inmuebles 3.5%</v>
          </cell>
          <cell r="F150">
            <v>0</v>
          </cell>
          <cell r="G150">
            <v>140859.32</v>
          </cell>
          <cell r="H150">
            <v>3986067.54</v>
          </cell>
          <cell r="I150">
            <v>-3845208.22</v>
          </cell>
        </row>
        <row r="151">
          <cell r="C151">
            <v>23653097</v>
          </cell>
          <cell r="D151" t="str">
            <v>JUL202523653097</v>
          </cell>
          <cell r="E151" t="str">
            <v>Pago retefuente arrendamientos</v>
          </cell>
          <cell r="F151">
            <v>0</v>
          </cell>
          <cell r="G151">
            <v>4223000</v>
          </cell>
          <cell r="H151">
            <v>0</v>
          </cell>
          <cell r="I151">
            <v>4223000</v>
          </cell>
        </row>
        <row r="152">
          <cell r="C152">
            <v>236535</v>
          </cell>
          <cell r="D152" t="str">
            <v>JUL2025236535</v>
          </cell>
          <cell r="E152" t="str">
            <v>Retención en la Fuente - Rendimientos Financieros</v>
          </cell>
          <cell r="F152">
            <v>0</v>
          </cell>
          <cell r="G152">
            <v>616000</v>
          </cell>
          <cell r="H152">
            <v>713218.73</v>
          </cell>
          <cell r="I152">
            <v>-97218.73</v>
          </cell>
        </row>
        <row r="153">
          <cell r="C153">
            <v>23653501</v>
          </cell>
          <cell r="D153" t="str">
            <v>JUL202523653501</v>
          </cell>
          <cell r="E153" t="str">
            <v>Retención en la Fuente Rendimientos Financieros 7%</v>
          </cell>
          <cell r="F153">
            <v>0</v>
          </cell>
          <cell r="G153">
            <v>0</v>
          </cell>
          <cell r="H153">
            <v>713218.73</v>
          </cell>
          <cell r="I153">
            <v>-713218.73</v>
          </cell>
        </row>
        <row r="154">
          <cell r="C154">
            <v>23653597</v>
          </cell>
          <cell r="D154" t="str">
            <v>JUL202523653597</v>
          </cell>
          <cell r="E154" t="str">
            <v>Pago retefuente Rendimientos financieros</v>
          </cell>
          <cell r="F154">
            <v>0</v>
          </cell>
          <cell r="G154">
            <v>616000</v>
          </cell>
          <cell r="H154">
            <v>0</v>
          </cell>
          <cell r="I154">
            <v>616000</v>
          </cell>
        </row>
        <row r="155">
          <cell r="C155">
            <v>236540</v>
          </cell>
          <cell r="D155" t="str">
            <v>JUL2025236540</v>
          </cell>
          <cell r="E155" t="str">
            <v>Retención en la Fuente - Compras</v>
          </cell>
          <cell r="F155">
            <v>0</v>
          </cell>
          <cell r="G155">
            <v>9747493.7599999998</v>
          </cell>
          <cell r="H155">
            <v>14405794.58</v>
          </cell>
          <cell r="I155">
            <v>-4658300.82</v>
          </cell>
        </row>
        <row r="156">
          <cell r="C156">
            <v>23654001</v>
          </cell>
          <cell r="D156" t="str">
            <v>JUL202523654001</v>
          </cell>
          <cell r="E156" t="str">
            <v>Retención en la Fuente Compras 2.5%</v>
          </cell>
          <cell r="F156">
            <v>0</v>
          </cell>
          <cell r="G156">
            <v>741493.76000000001</v>
          </cell>
          <cell r="H156">
            <v>14337544.58</v>
          </cell>
          <cell r="I156">
            <v>-13596050.82</v>
          </cell>
        </row>
        <row r="157">
          <cell r="C157">
            <v>23654002</v>
          </cell>
          <cell r="D157" t="str">
            <v>JUL202523654002</v>
          </cell>
          <cell r="E157" t="str">
            <v>Retención en la Fuente Compras 3.5%</v>
          </cell>
          <cell r="F157">
            <v>0</v>
          </cell>
          <cell r="G157">
            <v>0</v>
          </cell>
          <cell r="H157">
            <v>68250</v>
          </cell>
          <cell r="I157">
            <v>-68250</v>
          </cell>
        </row>
        <row r="158">
          <cell r="C158">
            <v>23654097</v>
          </cell>
          <cell r="D158" t="str">
            <v>JUL202523654097</v>
          </cell>
          <cell r="E158" t="str">
            <v>Pago retefuente compras</v>
          </cell>
          <cell r="F158">
            <v>0</v>
          </cell>
          <cell r="G158">
            <v>9006000</v>
          </cell>
          <cell r="H158">
            <v>0</v>
          </cell>
          <cell r="I158">
            <v>9006000</v>
          </cell>
        </row>
        <row r="159">
          <cell r="C159">
            <v>236575</v>
          </cell>
          <cell r="D159" t="str">
            <v>JUL2025236575</v>
          </cell>
          <cell r="E159" t="str">
            <v>Autorretenciones Renta</v>
          </cell>
          <cell r="F159">
            <v>0</v>
          </cell>
          <cell r="G159">
            <v>69825000</v>
          </cell>
          <cell r="H159">
            <v>84956000</v>
          </cell>
          <cell r="I159">
            <v>-15131000</v>
          </cell>
        </row>
        <row r="160">
          <cell r="C160">
            <v>23657501</v>
          </cell>
          <cell r="D160" t="str">
            <v>JUL202523657501</v>
          </cell>
          <cell r="E160" t="str">
            <v>Autorretención Especial por Renta</v>
          </cell>
          <cell r="F160">
            <v>0</v>
          </cell>
          <cell r="G160">
            <v>69825000</v>
          </cell>
          <cell r="H160">
            <v>84956000</v>
          </cell>
          <cell r="I160">
            <v>-15131000</v>
          </cell>
        </row>
        <row r="161">
          <cell r="C161">
            <v>2367</v>
          </cell>
          <cell r="D161" t="str">
            <v>JUL20252367</v>
          </cell>
          <cell r="E161" t="str">
            <v>Impuesto a las Ventas Retenido</v>
          </cell>
          <cell r="F161">
            <v>0</v>
          </cell>
          <cell r="G161">
            <v>12843636.869999999</v>
          </cell>
          <cell r="H161">
            <v>14013109.289999999</v>
          </cell>
          <cell r="I161">
            <v>-1169472.42</v>
          </cell>
        </row>
        <row r="162">
          <cell r="C162">
            <v>236705</v>
          </cell>
          <cell r="D162" t="str">
            <v>JUL2025236705</v>
          </cell>
          <cell r="E162" t="str">
            <v>IVA Retenido a Proveedores del Régimen Ordinario</v>
          </cell>
          <cell r="F162">
            <v>0</v>
          </cell>
          <cell r="G162">
            <v>0</v>
          </cell>
          <cell r="H162">
            <v>8205815</v>
          </cell>
          <cell r="I162">
            <v>-8205815</v>
          </cell>
        </row>
        <row r="163">
          <cell r="C163">
            <v>23670501</v>
          </cell>
          <cell r="D163" t="str">
            <v>JUL202523670501</v>
          </cell>
          <cell r="E163" t="str">
            <v>Reteiva a Prov. del Ordinario Compras - IVA 19%</v>
          </cell>
          <cell r="F163">
            <v>0</v>
          </cell>
          <cell r="G163">
            <v>0</v>
          </cell>
          <cell r="H163">
            <v>1188450</v>
          </cell>
          <cell r="I163">
            <v>-1188450</v>
          </cell>
        </row>
        <row r="164">
          <cell r="C164">
            <v>23670503</v>
          </cell>
          <cell r="D164" t="str">
            <v>JUL202523670503</v>
          </cell>
          <cell r="E164" t="str">
            <v>Reteiva a Prov. del Ordinario Gastos - IVA 19%</v>
          </cell>
          <cell r="F164">
            <v>0</v>
          </cell>
          <cell r="G164">
            <v>0</v>
          </cell>
          <cell r="H164">
            <v>7017365</v>
          </cell>
          <cell r="I164">
            <v>-7017365</v>
          </cell>
        </row>
        <row r="165">
          <cell r="C165">
            <v>236710</v>
          </cell>
          <cell r="D165" t="str">
            <v>JUL2025236710</v>
          </cell>
          <cell r="E165" t="str">
            <v>IVA Retenido a Proveedores del Simple</v>
          </cell>
          <cell r="F165">
            <v>0</v>
          </cell>
          <cell r="G165">
            <v>5349636.87</v>
          </cell>
          <cell r="H165">
            <v>5807294.29</v>
          </cell>
          <cell r="I165">
            <v>-457657.42</v>
          </cell>
        </row>
        <row r="166">
          <cell r="C166">
            <v>23671001</v>
          </cell>
          <cell r="D166" t="str">
            <v>JUL202523671001</v>
          </cell>
          <cell r="E166" t="str">
            <v>Reteiva a Prov. del Simple Compras - IVA 19%</v>
          </cell>
          <cell r="F166">
            <v>0</v>
          </cell>
          <cell r="G166">
            <v>5349636.87</v>
          </cell>
          <cell r="H166">
            <v>5807294.29</v>
          </cell>
          <cell r="I166">
            <v>-457657.42</v>
          </cell>
        </row>
        <row r="167">
          <cell r="C167">
            <v>236795</v>
          </cell>
          <cell r="D167" t="str">
            <v>JUL2025236795</v>
          </cell>
          <cell r="E167" t="str">
            <v>Pago Retención en la Fuente por IVA</v>
          </cell>
          <cell r="F167">
            <v>0</v>
          </cell>
          <cell r="G167">
            <v>7494000</v>
          </cell>
          <cell r="H167">
            <v>0</v>
          </cell>
          <cell r="I167">
            <v>7494000</v>
          </cell>
        </row>
        <row r="168">
          <cell r="C168">
            <v>23679501</v>
          </cell>
          <cell r="D168" t="str">
            <v>JUL202523679501</v>
          </cell>
          <cell r="E168" t="str">
            <v>Pago Retención en la Fuente por IVA</v>
          </cell>
          <cell r="F168">
            <v>0</v>
          </cell>
          <cell r="G168">
            <v>7494000</v>
          </cell>
          <cell r="H168">
            <v>0</v>
          </cell>
          <cell r="I168">
            <v>7494000</v>
          </cell>
        </row>
        <row r="169">
          <cell r="C169">
            <v>2370</v>
          </cell>
          <cell r="D169" t="str">
            <v>JUL20252370</v>
          </cell>
          <cell r="E169" t="str">
            <v>Retenciones y Aportes de Nómina</v>
          </cell>
          <cell r="F169">
            <v>-7540001.6900000004</v>
          </cell>
          <cell r="G169">
            <v>72997898</v>
          </cell>
          <cell r="H169">
            <v>73758471</v>
          </cell>
          <cell r="I169">
            <v>-8300574.6900000004</v>
          </cell>
        </row>
        <row r="170">
          <cell r="C170">
            <v>237005</v>
          </cell>
          <cell r="D170" t="str">
            <v>JUL2025237005</v>
          </cell>
          <cell r="E170" t="str">
            <v>Aportes a Entidades Promotoras de Salud EPS</v>
          </cell>
          <cell r="F170">
            <v>-3384399.68</v>
          </cell>
          <cell r="G170">
            <v>28910362</v>
          </cell>
          <cell r="H170">
            <v>29483539</v>
          </cell>
          <cell r="I170">
            <v>-3957576.68</v>
          </cell>
        </row>
        <row r="171">
          <cell r="C171">
            <v>23700501</v>
          </cell>
          <cell r="D171" t="str">
            <v>JUL202523700501</v>
          </cell>
          <cell r="E171" t="str">
            <v>Aportes a Salud Sura</v>
          </cell>
          <cell r="F171">
            <v>-3241399.68</v>
          </cell>
          <cell r="G171">
            <v>27055758</v>
          </cell>
          <cell r="H171">
            <v>27538755</v>
          </cell>
          <cell r="I171">
            <v>-3724396.68</v>
          </cell>
        </row>
        <row r="172">
          <cell r="C172">
            <v>23700503</v>
          </cell>
          <cell r="D172" t="str">
            <v>JUL202523700503</v>
          </cell>
          <cell r="E172" t="str">
            <v>Aportes a Salud Total</v>
          </cell>
          <cell r="F172">
            <v>-78900</v>
          </cell>
          <cell r="G172">
            <v>549300</v>
          </cell>
          <cell r="H172">
            <v>507100</v>
          </cell>
          <cell r="I172">
            <v>-36700</v>
          </cell>
        </row>
        <row r="173">
          <cell r="C173">
            <v>23700504</v>
          </cell>
          <cell r="D173" t="str">
            <v>JUL202523700504</v>
          </cell>
          <cell r="E173" t="str">
            <v>Aportes a Nueva EPS</v>
          </cell>
          <cell r="F173">
            <v>-78800</v>
          </cell>
          <cell r="G173">
            <v>870404</v>
          </cell>
          <cell r="H173">
            <v>885904</v>
          </cell>
          <cell r="I173">
            <v>-94300</v>
          </cell>
        </row>
        <row r="174">
          <cell r="C174">
            <v>23700505</v>
          </cell>
          <cell r="D174" t="str">
            <v>JUL202523700505</v>
          </cell>
          <cell r="E174" t="str">
            <v>Aportes a Sanitas</v>
          </cell>
          <cell r="F174">
            <v>14700</v>
          </cell>
          <cell r="G174">
            <v>434900</v>
          </cell>
          <cell r="H174">
            <v>551780</v>
          </cell>
          <cell r="I174">
            <v>-102180</v>
          </cell>
        </row>
        <row r="175">
          <cell r="C175">
            <v>237006</v>
          </cell>
          <cell r="D175" t="str">
            <v>JUL2025237006</v>
          </cell>
          <cell r="E175" t="str">
            <v>Aportes a administradoras de Riesgos Laborales</v>
          </cell>
          <cell r="F175">
            <v>-778800</v>
          </cell>
          <cell r="G175">
            <v>7588500</v>
          </cell>
          <cell r="H175">
            <v>7685800</v>
          </cell>
          <cell r="I175">
            <v>-876100</v>
          </cell>
        </row>
        <row r="176">
          <cell r="C176">
            <v>23700601</v>
          </cell>
          <cell r="D176" t="str">
            <v>JUL202523700601</v>
          </cell>
          <cell r="E176" t="str">
            <v>Aportes a administradoras de Riesgos Laborales</v>
          </cell>
          <cell r="F176">
            <v>-778800</v>
          </cell>
          <cell r="G176">
            <v>7588500</v>
          </cell>
          <cell r="H176">
            <v>7685800</v>
          </cell>
          <cell r="I176">
            <v>-876100</v>
          </cell>
        </row>
        <row r="177">
          <cell r="C177">
            <v>237010</v>
          </cell>
          <cell r="D177" t="str">
            <v>JUL2025237010</v>
          </cell>
          <cell r="E177" t="str">
            <v>Aportes al ICBF, SENA y Cajas de Compensación</v>
          </cell>
          <cell r="F177">
            <v>-3376800</v>
          </cell>
          <cell r="G177">
            <v>29478100</v>
          </cell>
          <cell r="H177">
            <v>30016100</v>
          </cell>
          <cell r="I177">
            <v>-3914800</v>
          </cell>
        </row>
        <row r="178">
          <cell r="C178">
            <v>23701001</v>
          </cell>
          <cell r="D178" t="str">
            <v>JUL202523701001</v>
          </cell>
          <cell r="E178" t="str">
            <v>Aportes al ICBF, SENA y Cajas de Compensación</v>
          </cell>
          <cell r="F178">
            <v>-3376800</v>
          </cell>
          <cell r="G178">
            <v>29478100</v>
          </cell>
          <cell r="H178">
            <v>30016100</v>
          </cell>
          <cell r="I178">
            <v>-3914800</v>
          </cell>
        </row>
        <row r="179">
          <cell r="C179">
            <v>237030</v>
          </cell>
          <cell r="D179" t="str">
            <v>JUL2025237030</v>
          </cell>
          <cell r="E179" t="str">
            <v>Libranzas</v>
          </cell>
          <cell r="F179">
            <v>-2</v>
          </cell>
          <cell r="G179">
            <v>7020936</v>
          </cell>
          <cell r="H179">
            <v>6573032</v>
          </cell>
          <cell r="I179">
            <v>447902</v>
          </cell>
        </row>
        <row r="180">
          <cell r="C180">
            <v>23703001</v>
          </cell>
          <cell r="D180" t="str">
            <v>JUL202523703001</v>
          </cell>
          <cell r="E180" t="str">
            <v>Libranzas</v>
          </cell>
          <cell r="F180">
            <v>-2</v>
          </cell>
          <cell r="G180">
            <v>7020936</v>
          </cell>
          <cell r="H180">
            <v>6573032</v>
          </cell>
          <cell r="I180">
            <v>447902</v>
          </cell>
        </row>
        <row r="181">
          <cell r="C181">
            <v>237045</v>
          </cell>
          <cell r="D181" t="str">
            <v>JUL2025237045</v>
          </cell>
          <cell r="E181" t="str">
            <v>Fondos</v>
          </cell>
          <cell r="F181">
            <v>-0.01</v>
          </cell>
          <cell r="G181">
            <v>0</v>
          </cell>
          <cell r="H181">
            <v>0</v>
          </cell>
          <cell r="I181">
            <v>-0.01</v>
          </cell>
        </row>
        <row r="182">
          <cell r="C182">
            <v>23704501</v>
          </cell>
          <cell r="D182" t="str">
            <v>JUL202523704501</v>
          </cell>
          <cell r="E182" t="str">
            <v>Aportes a Pensión Protección</v>
          </cell>
          <cell r="F182">
            <v>-0.01</v>
          </cell>
          <cell r="G182">
            <v>0</v>
          </cell>
          <cell r="H182">
            <v>0</v>
          </cell>
          <cell r="I182">
            <v>-0.01</v>
          </cell>
        </row>
        <row r="183">
          <cell r="C183">
            <v>2380</v>
          </cell>
          <cell r="D183" t="str">
            <v>JUL20252380</v>
          </cell>
          <cell r="E183" t="str">
            <v>Acreedores - Depositarios</v>
          </cell>
          <cell r="F183">
            <v>-11438599.51</v>
          </cell>
          <cell r="G183">
            <v>105766355</v>
          </cell>
          <cell r="H183">
            <v>107857492</v>
          </cell>
          <cell r="I183">
            <v>-13529736.51</v>
          </cell>
        </row>
        <row r="184">
          <cell r="C184">
            <v>238030</v>
          </cell>
          <cell r="D184" t="str">
            <v>JUL2025238030</v>
          </cell>
          <cell r="E184" t="str">
            <v>Fondos de Cesantías y/o Pensiones</v>
          </cell>
          <cell r="F184">
            <v>-11438599.91</v>
          </cell>
          <cell r="G184">
            <v>105753415</v>
          </cell>
          <cell r="H184">
            <v>107857492</v>
          </cell>
          <cell r="I184">
            <v>-13542676.91</v>
          </cell>
        </row>
        <row r="185">
          <cell r="C185">
            <v>23803001</v>
          </cell>
          <cell r="D185" t="str">
            <v>JUL202523803001</v>
          </cell>
          <cell r="E185" t="str">
            <v>Aportes pension Protección</v>
          </cell>
          <cell r="F185">
            <v>-4023899.91</v>
          </cell>
          <cell r="G185">
            <v>34036500</v>
          </cell>
          <cell r="H185">
            <v>35323501</v>
          </cell>
          <cell r="I185">
            <v>-5310900.91</v>
          </cell>
        </row>
        <row r="186">
          <cell r="C186">
            <v>23803002</v>
          </cell>
          <cell r="D186" t="str">
            <v>JUL202523803002</v>
          </cell>
          <cell r="E186" t="str">
            <v>Aportes pension Porvenir</v>
          </cell>
          <cell r="F186">
            <v>-3710300</v>
          </cell>
          <cell r="G186">
            <v>25713800</v>
          </cell>
          <cell r="H186">
            <v>24168100</v>
          </cell>
          <cell r="I186">
            <v>-2164600</v>
          </cell>
        </row>
        <row r="187">
          <cell r="C187">
            <v>23803003</v>
          </cell>
          <cell r="D187" t="str">
            <v>JUL202523803003</v>
          </cell>
          <cell r="E187" t="str">
            <v>Aportes pension Colpensiones</v>
          </cell>
          <cell r="F187">
            <v>-3240300</v>
          </cell>
          <cell r="G187">
            <v>41535715</v>
          </cell>
          <cell r="H187">
            <v>43317291</v>
          </cell>
          <cell r="I187">
            <v>-5021876</v>
          </cell>
        </row>
        <row r="188">
          <cell r="C188">
            <v>23803004</v>
          </cell>
          <cell r="D188" t="str">
            <v>JUL202523803004</v>
          </cell>
          <cell r="E188" t="str">
            <v>Aportes pension Colfondos</v>
          </cell>
          <cell r="F188">
            <v>-464100</v>
          </cell>
          <cell r="G188">
            <v>4467400</v>
          </cell>
          <cell r="H188">
            <v>5048600</v>
          </cell>
          <cell r="I188">
            <v>-1045300</v>
          </cell>
        </row>
        <row r="189">
          <cell r="C189">
            <v>23809502</v>
          </cell>
          <cell r="D189" t="str">
            <v>JUL202523809502</v>
          </cell>
          <cell r="E189" t="str">
            <v>REEMBOLSO CAJA MENOR</v>
          </cell>
          <cell r="F189">
            <v>0</v>
          </cell>
          <cell r="G189">
            <v>12940</v>
          </cell>
          <cell r="H189">
            <v>0</v>
          </cell>
          <cell r="I189">
            <v>12940</v>
          </cell>
        </row>
        <row r="190">
          <cell r="C190">
            <v>28095</v>
          </cell>
          <cell r="D190" t="str">
            <v>JUL202528095</v>
          </cell>
          <cell r="E190" t="str">
            <v>Otros</v>
          </cell>
          <cell r="F190">
            <v>0.4</v>
          </cell>
          <cell r="G190">
            <v>0</v>
          </cell>
          <cell r="H190">
            <v>0</v>
          </cell>
          <cell r="I190">
            <v>0.4</v>
          </cell>
        </row>
        <row r="191">
          <cell r="C191">
            <v>23809501</v>
          </cell>
          <cell r="D191" t="str">
            <v>JUL202523809501</v>
          </cell>
          <cell r="E191" t="str">
            <v>Préstamo por pagar</v>
          </cell>
          <cell r="F191">
            <v>0.4</v>
          </cell>
          <cell r="G191">
            <v>0</v>
          </cell>
          <cell r="H191">
            <v>0</v>
          </cell>
          <cell r="I191">
            <v>0.4</v>
          </cell>
        </row>
        <row r="192">
          <cell r="C192">
            <v>24</v>
          </cell>
          <cell r="D192" t="str">
            <v>JUL202524</v>
          </cell>
          <cell r="E192" t="str">
            <v>Impuestos Gravámenes y Tasas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</row>
        <row r="193">
          <cell r="C193">
            <v>2408</v>
          </cell>
          <cell r="D193" t="str">
            <v>JUL20252408</v>
          </cell>
          <cell r="E193" t="str">
            <v>Impuesto a las Ventas por Pagar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</row>
        <row r="194">
          <cell r="C194">
            <v>240801</v>
          </cell>
          <cell r="D194" t="str">
            <v>JUL2025240801</v>
          </cell>
          <cell r="E194" t="str">
            <v>IVA Generado en Ventas</v>
          </cell>
          <cell r="F194">
            <v>-9206772.0299999993</v>
          </cell>
          <cell r="G194">
            <v>0</v>
          </cell>
          <cell r="H194">
            <v>0</v>
          </cell>
          <cell r="I194">
            <v>-9206772.0299999993</v>
          </cell>
        </row>
        <row r="195">
          <cell r="C195">
            <v>24080101</v>
          </cell>
          <cell r="D195" t="str">
            <v>JUL202524080101</v>
          </cell>
          <cell r="E195" t="str">
            <v>IVA Generado en Ventas 19%</v>
          </cell>
          <cell r="F195">
            <v>-9331708.8699999992</v>
          </cell>
          <cell r="G195">
            <v>0</v>
          </cell>
          <cell r="H195">
            <v>0</v>
          </cell>
          <cell r="I195">
            <v>-9331708.8699999992</v>
          </cell>
        </row>
        <row r="196">
          <cell r="C196">
            <v>24080103</v>
          </cell>
          <cell r="D196" t="str">
            <v>JUL202524080103</v>
          </cell>
          <cell r="E196" t="str">
            <v>Devolución IVA en Ventas 19%</v>
          </cell>
          <cell r="F196">
            <v>124936.84</v>
          </cell>
          <cell r="G196">
            <v>0</v>
          </cell>
          <cell r="H196">
            <v>0</v>
          </cell>
          <cell r="I196">
            <v>124936.84</v>
          </cell>
        </row>
        <row r="197">
          <cell r="C197">
            <v>240830</v>
          </cell>
          <cell r="D197" t="str">
            <v>JUL2025240830</v>
          </cell>
          <cell r="E197" t="str">
            <v>IVA Descontable Compras</v>
          </cell>
          <cell r="F197">
            <v>179152820.68000001</v>
          </cell>
          <cell r="G197">
            <v>0</v>
          </cell>
          <cell r="H197">
            <v>0</v>
          </cell>
          <cell r="I197">
            <v>179152820.68000001</v>
          </cell>
        </row>
        <row r="198">
          <cell r="C198">
            <v>24083001</v>
          </cell>
          <cell r="D198" t="str">
            <v>JUL202524083001</v>
          </cell>
          <cell r="E198" t="str">
            <v>IVA Descontable Compras 19%</v>
          </cell>
          <cell r="F198">
            <v>89111193.349999994</v>
          </cell>
          <cell r="G198">
            <v>0</v>
          </cell>
          <cell r="H198">
            <v>0</v>
          </cell>
          <cell r="I198">
            <v>89111193.349999994</v>
          </cell>
        </row>
        <row r="199">
          <cell r="C199">
            <v>24083002</v>
          </cell>
          <cell r="D199" t="str">
            <v>JUL202524083002</v>
          </cell>
          <cell r="E199" t="str">
            <v>IVA Descontable Compras 5%</v>
          </cell>
          <cell r="F199">
            <v>1208427</v>
          </cell>
          <cell r="G199">
            <v>0</v>
          </cell>
          <cell r="H199">
            <v>0</v>
          </cell>
          <cell r="I199">
            <v>1208427</v>
          </cell>
        </row>
        <row r="200">
          <cell r="C200">
            <v>24083003</v>
          </cell>
          <cell r="D200" t="str">
            <v>JUL202524083003</v>
          </cell>
          <cell r="E200" t="str">
            <v>IVA Descontable Servicios 19%</v>
          </cell>
          <cell r="F200">
            <v>90284284.109999999</v>
          </cell>
          <cell r="G200">
            <v>0</v>
          </cell>
          <cell r="H200">
            <v>0</v>
          </cell>
          <cell r="I200">
            <v>90284284.109999999</v>
          </cell>
        </row>
        <row r="201">
          <cell r="C201">
            <v>24083004</v>
          </cell>
          <cell r="D201" t="str">
            <v>JUL202524083004</v>
          </cell>
          <cell r="E201" t="str">
            <v>IVA Descontable Gastos 5%</v>
          </cell>
          <cell r="F201">
            <v>35599.800000000003</v>
          </cell>
          <cell r="G201">
            <v>0</v>
          </cell>
          <cell r="H201">
            <v>0</v>
          </cell>
          <cell r="I201">
            <v>35599.800000000003</v>
          </cell>
        </row>
        <row r="202">
          <cell r="C202">
            <v>24083005</v>
          </cell>
          <cell r="D202" t="str">
            <v>JUL202524083005</v>
          </cell>
          <cell r="E202" t="str">
            <v>Devolución IVA Descontable Compras 19%</v>
          </cell>
          <cell r="F202">
            <v>-21345.119999999999</v>
          </cell>
          <cell r="G202">
            <v>0</v>
          </cell>
          <cell r="H202">
            <v>0</v>
          </cell>
          <cell r="I202">
            <v>-21345.119999999999</v>
          </cell>
        </row>
        <row r="203">
          <cell r="C203">
            <v>24083007</v>
          </cell>
          <cell r="D203" t="str">
            <v>JUL202524083007</v>
          </cell>
          <cell r="E203" t="str">
            <v>Devolución IVA Descontable Gastos 19%</v>
          </cell>
          <cell r="F203">
            <v>-1465338.46</v>
          </cell>
          <cell r="G203">
            <v>0</v>
          </cell>
          <cell r="H203">
            <v>0</v>
          </cell>
          <cell r="I203">
            <v>-1465338.46</v>
          </cell>
        </row>
        <row r="204">
          <cell r="C204">
            <v>240895</v>
          </cell>
          <cell r="D204" t="str">
            <v>JUL2025240895</v>
          </cell>
          <cell r="E204" t="str">
            <v>Pago IVA</v>
          </cell>
          <cell r="F204">
            <v>-169946048.65000001</v>
          </cell>
          <cell r="G204">
            <v>0</v>
          </cell>
          <cell r="H204">
            <v>0</v>
          </cell>
          <cell r="I204">
            <v>-169946048.65000001</v>
          </cell>
        </row>
        <row r="205">
          <cell r="C205">
            <v>24089501</v>
          </cell>
          <cell r="D205" t="str">
            <v>JUL202524089501</v>
          </cell>
          <cell r="E205" t="str">
            <v>Pago IVA</v>
          </cell>
          <cell r="F205">
            <v>7819000</v>
          </cell>
          <cell r="G205">
            <v>0</v>
          </cell>
          <cell r="H205">
            <v>0</v>
          </cell>
          <cell r="I205">
            <v>7819000</v>
          </cell>
        </row>
        <row r="206">
          <cell r="C206">
            <v>240896</v>
          </cell>
          <cell r="D206" t="str">
            <v>JUL2025240896</v>
          </cell>
          <cell r="E206" t="str">
            <v>Prorrateo Iva</v>
          </cell>
          <cell r="F206">
            <v>-177765048.65000001</v>
          </cell>
          <cell r="G206">
            <v>0</v>
          </cell>
          <cell r="H206">
            <v>0</v>
          </cell>
          <cell r="I206">
            <v>-177765048.65000001</v>
          </cell>
        </row>
        <row r="207">
          <cell r="C207">
            <v>24089601</v>
          </cell>
          <cell r="D207" t="str">
            <v>JUL202524089601</v>
          </cell>
          <cell r="E207" t="str">
            <v>Prorrateo IVA</v>
          </cell>
          <cell r="F207">
            <v>-177765048.65000001</v>
          </cell>
          <cell r="G207">
            <v>0</v>
          </cell>
          <cell r="H207">
            <v>0</v>
          </cell>
          <cell r="I207">
            <v>-177765048.65000001</v>
          </cell>
        </row>
        <row r="208">
          <cell r="C208">
            <v>25</v>
          </cell>
          <cell r="D208" t="str">
            <v>JUL202525</v>
          </cell>
          <cell r="E208" t="str">
            <v>Pasivos por Beneficios a Empleados</v>
          </cell>
          <cell r="F208">
            <v>-112148465.22</v>
          </cell>
          <cell r="G208">
            <v>1046989183</v>
          </cell>
          <cell r="H208">
            <v>1042335469.01</v>
          </cell>
          <cell r="I208">
            <v>-107494751.23</v>
          </cell>
        </row>
        <row r="209">
          <cell r="C209">
            <v>2505</v>
          </cell>
          <cell r="D209" t="str">
            <v>JUL20252505</v>
          </cell>
          <cell r="E209" t="str">
            <v>Salarios por Pagar</v>
          </cell>
          <cell r="F209">
            <v>0</v>
          </cell>
          <cell r="G209">
            <v>857083113</v>
          </cell>
          <cell r="H209">
            <v>858673930</v>
          </cell>
          <cell r="I209">
            <v>-1590817</v>
          </cell>
        </row>
        <row r="210">
          <cell r="C210">
            <v>250505</v>
          </cell>
          <cell r="D210" t="str">
            <v>JUL2025250505</v>
          </cell>
          <cell r="E210" t="str">
            <v>Salarios por Pagar</v>
          </cell>
          <cell r="F210">
            <v>0</v>
          </cell>
          <cell r="G210">
            <v>857083113</v>
          </cell>
          <cell r="H210">
            <v>858673930</v>
          </cell>
          <cell r="I210">
            <v>-1590817</v>
          </cell>
        </row>
        <row r="211">
          <cell r="C211">
            <v>25050501</v>
          </cell>
          <cell r="D211" t="str">
            <v>JUL202525050501</v>
          </cell>
          <cell r="E211" t="str">
            <v>Salarios por Pagar</v>
          </cell>
          <cell r="F211">
            <v>0</v>
          </cell>
          <cell r="G211">
            <v>857083113</v>
          </cell>
          <cell r="H211">
            <v>858673930</v>
          </cell>
          <cell r="I211">
            <v>-1590817</v>
          </cell>
        </row>
        <row r="212">
          <cell r="C212">
            <v>2510</v>
          </cell>
          <cell r="D212" t="str">
            <v>JUL20252510</v>
          </cell>
          <cell r="E212" t="str">
            <v>Cesantías Consolidadas</v>
          </cell>
          <cell r="F212">
            <v>-73688617</v>
          </cell>
          <cell r="G212">
            <v>88568665</v>
          </cell>
          <cell r="H212">
            <v>66758094</v>
          </cell>
          <cell r="I212">
            <v>-51878046</v>
          </cell>
        </row>
        <row r="213">
          <cell r="C213">
            <v>251010</v>
          </cell>
          <cell r="D213" t="str">
            <v>JUL2025251010</v>
          </cell>
          <cell r="E213" t="str">
            <v>Cesantías Consolidadas Ley 50 de 1990 y Normas Posteriores</v>
          </cell>
          <cell r="F213">
            <v>-211851308</v>
          </cell>
          <cell r="G213">
            <v>8942669</v>
          </cell>
          <cell r="H213">
            <v>66758094</v>
          </cell>
          <cell r="I213">
            <v>-269666733</v>
          </cell>
        </row>
        <row r="214">
          <cell r="C214">
            <v>25101001</v>
          </cell>
          <cell r="D214" t="str">
            <v>JUL202525101001</v>
          </cell>
          <cell r="E214" t="str">
            <v>Cesantías - Beneficios a Empleados</v>
          </cell>
          <cell r="F214">
            <v>-211851308</v>
          </cell>
          <cell r="G214">
            <v>8942669</v>
          </cell>
          <cell r="H214">
            <v>66758094</v>
          </cell>
          <cell r="I214">
            <v>-269666733</v>
          </cell>
        </row>
        <row r="215">
          <cell r="C215">
            <v>251095</v>
          </cell>
          <cell r="D215" t="str">
            <v>JUL2025251095</v>
          </cell>
          <cell r="E215" t="str">
            <v>Pago de Cesantías</v>
          </cell>
          <cell r="F215">
            <v>138162691</v>
          </cell>
          <cell r="G215">
            <v>79625996</v>
          </cell>
          <cell r="H215">
            <v>0</v>
          </cell>
          <cell r="I215">
            <v>217788687</v>
          </cell>
        </row>
        <row r="216">
          <cell r="C216">
            <v>25109501</v>
          </cell>
          <cell r="D216" t="str">
            <v>JUL202525109501</v>
          </cell>
          <cell r="E216" t="str">
            <v>Pago de Cesantías</v>
          </cell>
          <cell r="F216">
            <v>138162691</v>
          </cell>
          <cell r="G216">
            <v>79625996</v>
          </cell>
          <cell r="H216">
            <v>0</v>
          </cell>
          <cell r="I216">
            <v>217788687</v>
          </cell>
        </row>
        <row r="217">
          <cell r="C217">
            <v>2515</v>
          </cell>
          <cell r="D217" t="str">
            <v>JUL20252515</v>
          </cell>
          <cell r="E217" t="str">
            <v>Intereses Sobre Cesantías</v>
          </cell>
          <cell r="F217">
            <v>-8438200</v>
          </cell>
          <cell r="G217">
            <v>9640303</v>
          </cell>
          <cell r="H217">
            <v>4623621</v>
          </cell>
          <cell r="I217">
            <v>-3421518</v>
          </cell>
        </row>
        <row r="218">
          <cell r="C218">
            <v>251510</v>
          </cell>
          <cell r="D218" t="str">
            <v>JUL2025251510</v>
          </cell>
          <cell r="E218" t="str">
            <v>Intereses Sobre Cesantías</v>
          </cell>
          <cell r="F218">
            <v>-21885713</v>
          </cell>
          <cell r="G218">
            <v>967976</v>
          </cell>
          <cell r="H218">
            <v>4623621</v>
          </cell>
          <cell r="I218">
            <v>-25541358</v>
          </cell>
        </row>
        <row r="219">
          <cell r="C219">
            <v>25151001</v>
          </cell>
          <cell r="D219" t="str">
            <v>JUL202525151001</v>
          </cell>
          <cell r="E219" t="str">
            <v>Intereses Sobre Cesantías</v>
          </cell>
          <cell r="F219">
            <v>-21885713</v>
          </cell>
          <cell r="G219">
            <v>967976</v>
          </cell>
          <cell r="H219">
            <v>4623621</v>
          </cell>
          <cell r="I219">
            <v>-25541358</v>
          </cell>
        </row>
        <row r="220">
          <cell r="C220">
            <v>251595</v>
          </cell>
          <cell r="D220" t="str">
            <v>JUL2025251595</v>
          </cell>
          <cell r="E220" t="str">
            <v>Pago de Intereses sobre Cesantías</v>
          </cell>
          <cell r="F220">
            <v>13447513</v>
          </cell>
          <cell r="G220">
            <v>8672327</v>
          </cell>
          <cell r="H220">
            <v>0</v>
          </cell>
          <cell r="I220">
            <v>22119840</v>
          </cell>
        </row>
        <row r="221">
          <cell r="C221">
            <v>25159501</v>
          </cell>
          <cell r="D221" t="str">
            <v>JUL202525159501</v>
          </cell>
          <cell r="E221" t="str">
            <v>Pago de Intereses sobre Cesantías</v>
          </cell>
          <cell r="F221">
            <v>13447513</v>
          </cell>
          <cell r="G221">
            <v>8672327</v>
          </cell>
          <cell r="H221">
            <v>0</v>
          </cell>
          <cell r="I221">
            <v>22119840</v>
          </cell>
        </row>
        <row r="222">
          <cell r="C222">
            <v>2520</v>
          </cell>
          <cell r="D222" t="str">
            <v>JUL20252520</v>
          </cell>
          <cell r="E222" t="str">
            <v>Prima de Servicios</v>
          </cell>
          <cell r="F222">
            <v>0</v>
          </cell>
          <cell r="G222">
            <v>57535533</v>
          </cell>
          <cell r="H222">
            <v>66077235</v>
          </cell>
          <cell r="I222">
            <v>-8541702</v>
          </cell>
        </row>
        <row r="223">
          <cell r="C223">
            <v>252010</v>
          </cell>
          <cell r="D223" t="str">
            <v>JUL2025252010</v>
          </cell>
          <cell r="E223" t="str">
            <v>Prima de Servicios</v>
          </cell>
          <cell r="F223">
            <v>-202943784</v>
          </cell>
          <cell r="G223">
            <v>9168294</v>
          </cell>
          <cell r="H223">
            <v>66077235</v>
          </cell>
          <cell r="I223">
            <v>-259852725</v>
          </cell>
        </row>
        <row r="224">
          <cell r="C224">
            <v>25201001</v>
          </cell>
          <cell r="D224" t="str">
            <v>JUL202525201001</v>
          </cell>
          <cell r="E224" t="str">
            <v>Prima de Servicios</v>
          </cell>
          <cell r="F224">
            <v>-202943784</v>
          </cell>
          <cell r="G224">
            <v>9168294</v>
          </cell>
          <cell r="H224">
            <v>66077235</v>
          </cell>
          <cell r="I224">
            <v>-259852725</v>
          </cell>
        </row>
        <row r="225">
          <cell r="C225">
            <v>252095</v>
          </cell>
          <cell r="D225" t="str">
            <v>JUL2025252095</v>
          </cell>
          <cell r="E225" t="str">
            <v>Pago de Prima de Servicio</v>
          </cell>
          <cell r="F225">
            <v>202943784</v>
          </cell>
          <cell r="G225">
            <v>48367239</v>
          </cell>
          <cell r="H225">
            <v>0</v>
          </cell>
          <cell r="I225">
            <v>251311023</v>
          </cell>
        </row>
        <row r="226">
          <cell r="C226">
            <v>25209501</v>
          </cell>
          <cell r="D226" t="str">
            <v>JUL202525209501</v>
          </cell>
          <cell r="E226" t="str">
            <v>Pago de Prima de Servicio</v>
          </cell>
          <cell r="F226">
            <v>202943784</v>
          </cell>
          <cell r="G226">
            <v>48367239</v>
          </cell>
          <cell r="H226">
            <v>0</v>
          </cell>
          <cell r="I226">
            <v>251311023</v>
          </cell>
        </row>
        <row r="227">
          <cell r="C227">
            <v>2525</v>
          </cell>
          <cell r="D227" t="str">
            <v>JUL20252525</v>
          </cell>
          <cell r="E227" t="str">
            <v>Vacaciones Consolidadas</v>
          </cell>
          <cell r="F227">
            <v>-30021648.219999999</v>
          </cell>
          <cell r="G227">
            <v>34161569</v>
          </cell>
          <cell r="H227">
            <v>46202589.009999998</v>
          </cell>
          <cell r="I227">
            <v>-42062668.229999997</v>
          </cell>
        </row>
        <row r="228">
          <cell r="C228">
            <v>252510</v>
          </cell>
          <cell r="D228" t="str">
            <v>JUL2025252510</v>
          </cell>
          <cell r="E228" t="str">
            <v>Vacaciones Consolidadas</v>
          </cell>
          <cell r="F228">
            <v>-107002505.23999999</v>
          </cell>
          <cell r="G228">
            <v>5419167</v>
          </cell>
          <cell r="H228">
            <v>43717964.009999998</v>
          </cell>
          <cell r="I228">
            <v>-145301302.25</v>
          </cell>
        </row>
        <row r="229">
          <cell r="C229">
            <v>25251001</v>
          </cell>
          <cell r="D229" t="str">
            <v>JUL202525251001</v>
          </cell>
          <cell r="E229" t="str">
            <v>Vacaciones</v>
          </cell>
          <cell r="F229">
            <v>-107002505.23999999</v>
          </cell>
          <cell r="G229">
            <v>5419167</v>
          </cell>
          <cell r="H229">
            <v>43717964.009999998</v>
          </cell>
          <cell r="I229">
            <v>-145301302.25</v>
          </cell>
        </row>
        <row r="230">
          <cell r="C230">
            <v>252595</v>
          </cell>
          <cell r="D230" t="str">
            <v>JUL2025252595</v>
          </cell>
          <cell r="E230" t="str">
            <v>Pago de Vacaciones</v>
          </cell>
          <cell r="F230">
            <v>76980857.019999996</v>
          </cell>
          <cell r="G230">
            <v>28742402</v>
          </cell>
          <cell r="H230">
            <v>2484625</v>
          </cell>
          <cell r="I230">
            <v>103238634.02</v>
          </cell>
        </row>
        <row r="231">
          <cell r="C231">
            <v>25259501</v>
          </cell>
          <cell r="D231" t="str">
            <v>JUL202525259501</v>
          </cell>
          <cell r="E231" t="str">
            <v>Pago de Vacaciones Disfrutadas en Tiempo</v>
          </cell>
          <cell r="F231">
            <v>65520321.020000003</v>
          </cell>
          <cell r="G231">
            <v>25191167</v>
          </cell>
          <cell r="H231">
            <v>2308931</v>
          </cell>
          <cell r="I231">
            <v>88402557.019999996</v>
          </cell>
        </row>
        <row r="232">
          <cell r="C232">
            <v>25259502</v>
          </cell>
          <cell r="D232" t="str">
            <v>JUL202525259502</v>
          </cell>
          <cell r="E232" t="str">
            <v>Pago de Vacaciones Compensadas en Dinero</v>
          </cell>
          <cell r="F232">
            <v>11460536</v>
          </cell>
          <cell r="G232">
            <v>3551235</v>
          </cell>
          <cell r="H232">
            <v>175694</v>
          </cell>
          <cell r="I232">
            <v>14836077</v>
          </cell>
        </row>
        <row r="233">
          <cell r="C233">
            <v>28</v>
          </cell>
          <cell r="D233" t="str">
            <v>JUL202528</v>
          </cell>
          <cell r="E233" t="str">
            <v>Otros Pasivos</v>
          </cell>
          <cell r="F233">
            <v>-563487984.96000004</v>
          </cell>
          <cell r="G233">
            <v>551091793.39999998</v>
          </cell>
          <cell r="H233">
            <v>2701997634</v>
          </cell>
          <cell r="I233">
            <v>-2714393825.5599999</v>
          </cell>
        </row>
        <row r="234">
          <cell r="C234">
            <v>2805</v>
          </cell>
          <cell r="D234" t="str">
            <v>JUL20252805</v>
          </cell>
          <cell r="E234" t="str">
            <v>Otros Pasivos, Anticipos y Avances Recibidos</v>
          </cell>
          <cell r="F234">
            <v>-133487904.95999999</v>
          </cell>
          <cell r="G234">
            <v>551091793.39999998</v>
          </cell>
          <cell r="H234">
            <v>596090677</v>
          </cell>
          <cell r="I234">
            <v>-178486788.56</v>
          </cell>
        </row>
        <row r="235">
          <cell r="C235">
            <v>280505</v>
          </cell>
          <cell r="D235" t="str">
            <v>JUL2025280505</v>
          </cell>
          <cell r="E235" t="str">
            <v>Otros Pasivos, Anticipos y Avances Recibidos de Clientes</v>
          </cell>
          <cell r="F235">
            <v>-133487904.95999999</v>
          </cell>
          <cell r="G235">
            <v>551091793.39999998</v>
          </cell>
          <cell r="H235">
            <v>596090677</v>
          </cell>
          <cell r="I235">
            <v>-178486788.56</v>
          </cell>
        </row>
        <row r="236">
          <cell r="C236">
            <v>28050501</v>
          </cell>
          <cell r="D236" t="str">
            <v>JUL202528050501</v>
          </cell>
          <cell r="E236" t="str">
            <v>Anticipos recibidos</v>
          </cell>
          <cell r="F236">
            <v>-133487904.95999999</v>
          </cell>
          <cell r="G236">
            <v>551091793.39999998</v>
          </cell>
          <cell r="H236">
            <v>596090677</v>
          </cell>
          <cell r="I236">
            <v>-178486788.56</v>
          </cell>
        </row>
        <row r="237">
          <cell r="C237">
            <v>2810</v>
          </cell>
          <cell r="D237" t="str">
            <v>JUL20252810</v>
          </cell>
          <cell r="E237" t="str">
            <v>Depositos recibidos</v>
          </cell>
          <cell r="F237">
            <v>0</v>
          </cell>
          <cell r="G237">
            <v>0</v>
          </cell>
          <cell r="H237">
            <v>2105906957</v>
          </cell>
          <cell r="I237">
            <v>-2105906957</v>
          </cell>
        </row>
        <row r="238">
          <cell r="C238">
            <v>281005</v>
          </cell>
          <cell r="D238" t="str">
            <v>JUL2025281005</v>
          </cell>
          <cell r="E238" t="str">
            <v>Para futura suscripcion de acciones</v>
          </cell>
          <cell r="F238">
            <v>0</v>
          </cell>
          <cell r="G238">
            <v>0</v>
          </cell>
          <cell r="H238">
            <v>2105906957</v>
          </cell>
          <cell r="I238">
            <v>-2105906957</v>
          </cell>
        </row>
        <row r="239">
          <cell r="C239">
            <v>28100501</v>
          </cell>
          <cell r="D239" t="str">
            <v>JUL202528100501</v>
          </cell>
          <cell r="E239" t="str">
            <v>Para futura suscripcion de acciones</v>
          </cell>
          <cell r="F239">
            <v>0</v>
          </cell>
          <cell r="G239">
            <v>0</v>
          </cell>
          <cell r="H239">
            <v>2105906957</v>
          </cell>
          <cell r="I239">
            <v>-2105906957</v>
          </cell>
        </row>
        <row r="240">
          <cell r="C240">
            <v>2840</v>
          </cell>
          <cell r="D240" t="str">
            <v>JUL20252840</v>
          </cell>
          <cell r="E240" t="str">
            <v>Cuentas en participación</v>
          </cell>
          <cell r="F240">
            <v>-430000080</v>
          </cell>
          <cell r="G240">
            <v>0</v>
          </cell>
          <cell r="H240">
            <v>0</v>
          </cell>
          <cell r="I240">
            <v>-430000080</v>
          </cell>
        </row>
        <row r="241">
          <cell r="C241">
            <v>284005</v>
          </cell>
          <cell r="D241" t="str">
            <v>JUL2025284005</v>
          </cell>
          <cell r="E241" t="str">
            <v>Cuentas en participación</v>
          </cell>
          <cell r="F241">
            <v>-430000080</v>
          </cell>
          <cell r="G241">
            <v>0</v>
          </cell>
          <cell r="H241">
            <v>0</v>
          </cell>
          <cell r="I241">
            <v>-430000080</v>
          </cell>
        </row>
        <row r="242">
          <cell r="C242">
            <v>28400501</v>
          </cell>
          <cell r="D242" t="str">
            <v>JUL202528400501</v>
          </cell>
          <cell r="E242" t="str">
            <v>Cuentas de participación</v>
          </cell>
          <cell r="F242">
            <v>-430000080</v>
          </cell>
          <cell r="G242">
            <v>0</v>
          </cell>
          <cell r="H242">
            <v>0</v>
          </cell>
          <cell r="I242">
            <v>-430000080</v>
          </cell>
        </row>
        <row r="243">
          <cell r="C243">
            <v>29</v>
          </cell>
          <cell r="D243" t="str">
            <v>JUL202529</v>
          </cell>
          <cell r="E243" t="str">
            <v>Diferidos</v>
          </cell>
          <cell r="F243">
            <v>-80203562</v>
          </cell>
          <cell r="G243">
            <v>22874853.399999999</v>
          </cell>
          <cell r="H243">
            <v>22874853.399999999</v>
          </cell>
          <cell r="I243">
            <v>-80203562</v>
          </cell>
        </row>
        <row r="244">
          <cell r="C244">
            <v>2905</v>
          </cell>
          <cell r="D244" t="str">
            <v>JUL20252905</v>
          </cell>
          <cell r="E244" t="str">
            <v>Partidas por identificar</v>
          </cell>
          <cell r="F244">
            <v>0</v>
          </cell>
          <cell r="G244">
            <v>22874853.399999999</v>
          </cell>
          <cell r="H244">
            <v>22874853.399999999</v>
          </cell>
          <cell r="I244">
            <v>0</v>
          </cell>
        </row>
        <row r="245">
          <cell r="C245">
            <v>29051505</v>
          </cell>
          <cell r="D245" t="str">
            <v>JUL202529051505</v>
          </cell>
          <cell r="E245" t="str">
            <v>Partidas por indentificar</v>
          </cell>
          <cell r="F245">
            <v>0</v>
          </cell>
          <cell r="G245">
            <v>22874853.399999999</v>
          </cell>
          <cell r="H245">
            <v>22874853.399999999</v>
          </cell>
          <cell r="I245">
            <v>0</v>
          </cell>
        </row>
        <row r="246">
          <cell r="C246">
            <v>2915</v>
          </cell>
          <cell r="D246" t="str">
            <v>JUL20252915</v>
          </cell>
          <cell r="E246" t="str">
            <v>Impuesto diferido</v>
          </cell>
          <cell r="F246">
            <v>-80203562</v>
          </cell>
          <cell r="G246">
            <v>0</v>
          </cell>
          <cell r="H246">
            <v>0</v>
          </cell>
          <cell r="I246">
            <v>-80203562</v>
          </cell>
        </row>
        <row r="247">
          <cell r="C247">
            <v>291505</v>
          </cell>
          <cell r="D247" t="str">
            <v>JUL2025291505</v>
          </cell>
          <cell r="E247" t="str">
            <v>Impuestos diferido pasivo</v>
          </cell>
          <cell r="F247">
            <v>-80203562</v>
          </cell>
          <cell r="G247">
            <v>0</v>
          </cell>
          <cell r="H247">
            <v>0</v>
          </cell>
          <cell r="I247">
            <v>-80203562</v>
          </cell>
        </row>
        <row r="248">
          <cell r="C248">
            <v>3</v>
          </cell>
          <cell r="D248" t="str">
            <v>JUL20253</v>
          </cell>
          <cell r="E248" t="str">
            <v>Patrimonio</v>
          </cell>
          <cell r="F248">
            <v>-1848520158.52</v>
          </cell>
          <cell r="G248">
            <v>217975158</v>
          </cell>
          <cell r="H248">
            <v>217975158</v>
          </cell>
          <cell r="I248">
            <v>-1848520158.52</v>
          </cell>
        </row>
        <row r="249">
          <cell r="C249">
            <v>31</v>
          </cell>
          <cell r="D249" t="str">
            <v>JUL202531</v>
          </cell>
          <cell r="E249" t="str">
            <v>Capital Social</v>
          </cell>
          <cell r="F249">
            <v>-1200500000</v>
          </cell>
          <cell r="G249">
            <v>0</v>
          </cell>
          <cell r="H249">
            <v>0</v>
          </cell>
          <cell r="I249">
            <v>-1200500000</v>
          </cell>
        </row>
        <row r="250">
          <cell r="C250">
            <v>3105</v>
          </cell>
          <cell r="D250" t="str">
            <v>JUL20253105</v>
          </cell>
          <cell r="E250" t="str">
            <v>Capital Suscrito y Pagado</v>
          </cell>
          <cell r="F250">
            <v>-1200500000</v>
          </cell>
          <cell r="G250">
            <v>0</v>
          </cell>
          <cell r="H250">
            <v>0</v>
          </cell>
          <cell r="I250">
            <v>-1200500000</v>
          </cell>
        </row>
        <row r="251">
          <cell r="C251">
            <v>310505</v>
          </cell>
          <cell r="D251" t="str">
            <v>JUL2025310505</v>
          </cell>
          <cell r="E251" t="str">
            <v>Capital Autorizado</v>
          </cell>
          <cell r="F251">
            <v>-1200500000</v>
          </cell>
          <cell r="G251">
            <v>0</v>
          </cell>
          <cell r="H251">
            <v>0</v>
          </cell>
          <cell r="I251">
            <v>-1200500000</v>
          </cell>
        </row>
        <row r="252">
          <cell r="C252">
            <v>31050501</v>
          </cell>
          <cell r="D252" t="str">
            <v>JUL202531050501</v>
          </cell>
          <cell r="E252" t="str">
            <v>Capital Autorizado</v>
          </cell>
          <cell r="F252">
            <v>-1600000000</v>
          </cell>
          <cell r="G252">
            <v>0</v>
          </cell>
          <cell r="H252">
            <v>0</v>
          </cell>
          <cell r="I252">
            <v>-1600000000</v>
          </cell>
        </row>
        <row r="253">
          <cell r="C253">
            <v>31050510</v>
          </cell>
          <cell r="D253" t="str">
            <v>JUL202531050510</v>
          </cell>
          <cell r="E253" t="str">
            <v>Capital por Suscribir (DB)</v>
          </cell>
          <cell r="F253">
            <v>399500000</v>
          </cell>
          <cell r="G253">
            <v>0</v>
          </cell>
          <cell r="H253">
            <v>0</v>
          </cell>
          <cell r="I253">
            <v>399500000</v>
          </cell>
        </row>
        <row r="254">
          <cell r="C254">
            <v>32</v>
          </cell>
          <cell r="D254" t="str">
            <v>JUL202532</v>
          </cell>
          <cell r="E254" t="str">
            <v>Superávit de Capital</v>
          </cell>
          <cell r="F254">
            <v>-388784717.97000003</v>
          </cell>
          <cell r="G254">
            <v>0</v>
          </cell>
          <cell r="H254">
            <v>0</v>
          </cell>
          <cell r="I254">
            <v>-388784717.97000003</v>
          </cell>
        </row>
        <row r="255">
          <cell r="C255">
            <v>3205</v>
          </cell>
          <cell r="D255" t="str">
            <v>JUL20253205</v>
          </cell>
          <cell r="E255" t="str">
            <v>Prima en Colocación de Acciones, Cuotas o Partes de Interés Social</v>
          </cell>
          <cell r="F255">
            <v>-388784717.97000003</v>
          </cell>
          <cell r="G255">
            <v>0</v>
          </cell>
          <cell r="H255">
            <v>0</v>
          </cell>
          <cell r="I255">
            <v>-388784717.97000003</v>
          </cell>
        </row>
        <row r="256">
          <cell r="C256">
            <v>320505</v>
          </cell>
          <cell r="D256" t="str">
            <v>JUL2025320505</v>
          </cell>
          <cell r="E256" t="str">
            <v>Prima en Colocación de Acciones, Cuotas o Partes de Interés Social</v>
          </cell>
          <cell r="F256">
            <v>-388784717.97000003</v>
          </cell>
          <cell r="G256">
            <v>0</v>
          </cell>
          <cell r="H256">
            <v>0</v>
          </cell>
          <cell r="I256">
            <v>-388784717.97000003</v>
          </cell>
        </row>
        <row r="257">
          <cell r="C257">
            <v>32050501</v>
          </cell>
          <cell r="D257" t="str">
            <v>JUL202532050501</v>
          </cell>
          <cell r="E257" t="str">
            <v>Prima en Colocación de Acciones</v>
          </cell>
          <cell r="F257">
            <v>-388784717.97000003</v>
          </cell>
          <cell r="G257">
            <v>0</v>
          </cell>
          <cell r="H257">
            <v>0</v>
          </cell>
          <cell r="I257">
            <v>-388784717.97000003</v>
          </cell>
        </row>
        <row r="258">
          <cell r="C258">
            <v>36</v>
          </cell>
          <cell r="D258" t="str">
            <v>JUL202536</v>
          </cell>
          <cell r="E258" t="str">
            <v>Resultados del Ejercicio</v>
          </cell>
          <cell r="F258">
            <v>-151255326.16</v>
          </cell>
          <cell r="G258">
            <v>217975158</v>
          </cell>
          <cell r="H258">
            <v>83618807</v>
          </cell>
          <cell r="I258">
            <v>-16898975.16</v>
          </cell>
        </row>
        <row r="259">
          <cell r="C259">
            <v>3605</v>
          </cell>
          <cell r="D259" t="str">
            <v>JUL20253605</v>
          </cell>
          <cell r="E259" t="str">
            <v>Utilidad del Ejercicio</v>
          </cell>
          <cell r="F259">
            <v>-151255326.16</v>
          </cell>
          <cell r="G259">
            <v>217975158</v>
          </cell>
          <cell r="H259">
            <v>83618807</v>
          </cell>
          <cell r="I259">
            <v>-16898975.16</v>
          </cell>
        </row>
        <row r="260">
          <cell r="C260">
            <v>360505</v>
          </cell>
          <cell r="D260" t="str">
            <v>JUL2025360505</v>
          </cell>
          <cell r="E260" t="str">
            <v>Utilidad del Ejercicio</v>
          </cell>
          <cell r="F260">
            <v>-151255326.16</v>
          </cell>
          <cell r="G260">
            <v>217975158</v>
          </cell>
          <cell r="H260">
            <v>83618807</v>
          </cell>
          <cell r="I260">
            <v>-16898975.16</v>
          </cell>
        </row>
        <row r="261">
          <cell r="C261">
            <v>36050501</v>
          </cell>
          <cell r="D261" t="str">
            <v>JUL202536050501</v>
          </cell>
          <cell r="E261" t="str">
            <v>Utilidad del Ejercicio</v>
          </cell>
          <cell r="F261">
            <v>-234874133.16</v>
          </cell>
          <cell r="G261">
            <v>217975158</v>
          </cell>
          <cell r="H261">
            <v>0</v>
          </cell>
          <cell r="I261">
            <v>-16898975.16</v>
          </cell>
        </row>
        <row r="262">
          <cell r="C262">
            <v>36050502</v>
          </cell>
          <cell r="D262" t="str">
            <v>JUL202536050502</v>
          </cell>
          <cell r="E262" t="str">
            <v>Utilidad CPP participe oculto</v>
          </cell>
          <cell r="F262">
            <v>83618807</v>
          </cell>
          <cell r="G262">
            <v>0</v>
          </cell>
          <cell r="H262">
            <v>83618807</v>
          </cell>
          <cell r="I262">
            <v>0</v>
          </cell>
        </row>
        <row r="263">
          <cell r="C263">
            <v>37</v>
          </cell>
          <cell r="D263" t="str">
            <v>JUL202537</v>
          </cell>
          <cell r="E263" t="str">
            <v>Resultados de Ejercicios Anteriores</v>
          </cell>
          <cell r="F263">
            <v>-107980114.39</v>
          </cell>
          <cell r="G263">
            <v>0</v>
          </cell>
          <cell r="H263">
            <v>134356351</v>
          </cell>
          <cell r="I263">
            <v>-242336465.38999999</v>
          </cell>
        </row>
        <row r="264">
          <cell r="C264">
            <v>3705</v>
          </cell>
          <cell r="D264" t="str">
            <v>JUL20253705</v>
          </cell>
          <cell r="E264" t="str">
            <v>Utilidades Acumuladas</v>
          </cell>
          <cell r="F264">
            <v>-1245805885.05</v>
          </cell>
          <cell r="G264">
            <v>0</v>
          </cell>
          <cell r="H264">
            <v>134356351</v>
          </cell>
          <cell r="I264">
            <v>-1380162236.05</v>
          </cell>
        </row>
        <row r="265">
          <cell r="C265">
            <v>370505</v>
          </cell>
          <cell r="D265" t="str">
            <v>JUL2025370505</v>
          </cell>
          <cell r="E265" t="str">
            <v>Utilidad Exenta a Disposición de la Asamblea</v>
          </cell>
          <cell r="F265">
            <v>-1245805885.05</v>
          </cell>
          <cell r="G265">
            <v>0</v>
          </cell>
          <cell r="H265">
            <v>134356351</v>
          </cell>
          <cell r="I265">
            <v>-1380162236.05</v>
          </cell>
        </row>
        <row r="266">
          <cell r="C266">
            <v>37050510</v>
          </cell>
          <cell r="D266" t="str">
            <v>JUL202537050510</v>
          </cell>
          <cell r="E266" t="str">
            <v>Utilidades de Ejercicios Anteriores</v>
          </cell>
          <cell r="F266">
            <v>-1245805885.05</v>
          </cell>
          <cell r="G266">
            <v>0</v>
          </cell>
          <cell r="H266">
            <v>134356351</v>
          </cell>
          <cell r="I266">
            <v>-1380162236.05</v>
          </cell>
        </row>
        <row r="267">
          <cell r="C267">
            <v>3710</v>
          </cell>
          <cell r="D267" t="str">
            <v>JUL20253710</v>
          </cell>
          <cell r="E267" t="str">
            <v>Pérdidas Acumuladas</v>
          </cell>
          <cell r="F267">
            <v>971583932.65999997</v>
          </cell>
          <cell r="G267">
            <v>0</v>
          </cell>
          <cell r="H267">
            <v>0</v>
          </cell>
          <cell r="I267">
            <v>971583932.65999997</v>
          </cell>
        </row>
        <row r="268">
          <cell r="C268">
            <v>371005</v>
          </cell>
          <cell r="D268" t="str">
            <v>JUL2025371005</v>
          </cell>
          <cell r="E268" t="str">
            <v>Pérdidas de Ejercicios Anteriores</v>
          </cell>
          <cell r="F268">
            <v>971583932.65999997</v>
          </cell>
          <cell r="G268">
            <v>0</v>
          </cell>
          <cell r="H268">
            <v>0</v>
          </cell>
          <cell r="I268">
            <v>971583932.65999997</v>
          </cell>
        </row>
        <row r="269">
          <cell r="C269">
            <v>37100501</v>
          </cell>
          <cell r="D269" t="str">
            <v>JUL202537100501</v>
          </cell>
          <cell r="E269" t="str">
            <v>Pérdidas de Ejercicios Anteriores</v>
          </cell>
          <cell r="F269">
            <v>971583932.65999997</v>
          </cell>
          <cell r="G269">
            <v>0</v>
          </cell>
          <cell r="H269">
            <v>0</v>
          </cell>
          <cell r="I269">
            <v>971583932.65999997</v>
          </cell>
        </row>
        <row r="270">
          <cell r="C270">
            <v>3715</v>
          </cell>
          <cell r="D270" t="str">
            <v>JUL20253715</v>
          </cell>
          <cell r="E270" t="str">
            <v>Ajuste NIIF</v>
          </cell>
          <cell r="F270">
            <v>166241838</v>
          </cell>
          <cell r="G270">
            <v>0</v>
          </cell>
          <cell r="H270">
            <v>0</v>
          </cell>
          <cell r="I270">
            <v>166241838</v>
          </cell>
        </row>
        <row r="271">
          <cell r="C271">
            <v>371501</v>
          </cell>
          <cell r="D271" t="str">
            <v>JUL2025371501</v>
          </cell>
          <cell r="E271" t="str">
            <v>Ajuste por bajade preoperativo</v>
          </cell>
          <cell r="F271">
            <v>182683339</v>
          </cell>
          <cell r="G271">
            <v>0</v>
          </cell>
          <cell r="H271">
            <v>0</v>
          </cell>
          <cell r="I271">
            <v>182683339</v>
          </cell>
        </row>
        <row r="272">
          <cell r="C272">
            <v>371502</v>
          </cell>
          <cell r="D272" t="str">
            <v>JUL2025371502</v>
          </cell>
          <cell r="E272" t="str">
            <v>Ajuste por impuesto diferido</v>
          </cell>
          <cell r="F272">
            <v>-16441501</v>
          </cell>
          <cell r="G272">
            <v>0</v>
          </cell>
          <cell r="H272">
            <v>0</v>
          </cell>
          <cell r="I272">
            <v>-16441501</v>
          </cell>
        </row>
        <row r="273">
          <cell r="C273">
            <v>4</v>
          </cell>
          <cell r="D273" t="str">
            <v>JUL20254</v>
          </cell>
          <cell r="E273" t="str">
            <v>Ingresos</v>
          </cell>
          <cell r="F273">
            <v>0</v>
          </cell>
          <cell r="G273">
            <v>794268067.5</v>
          </cell>
          <cell r="H273">
            <v>8739363160.9899998</v>
          </cell>
          <cell r="I273">
            <v>-7945095093.4899998</v>
          </cell>
        </row>
        <row r="274">
          <cell r="C274">
            <v>41</v>
          </cell>
          <cell r="D274" t="str">
            <v>JUL202541</v>
          </cell>
          <cell r="E274" t="str">
            <v>Ingresos Ordinarios</v>
          </cell>
          <cell r="F274">
            <v>0</v>
          </cell>
          <cell r="G274">
            <v>789519904.5</v>
          </cell>
          <cell r="H274">
            <v>8637100492.1900005</v>
          </cell>
          <cell r="I274">
            <v>-7847580587.6899996</v>
          </cell>
        </row>
        <row r="275">
          <cell r="C275">
            <v>4165</v>
          </cell>
          <cell r="D275" t="str">
            <v>JUL20254165</v>
          </cell>
          <cell r="E275" t="str">
            <v>Servicios Sociales Y De Salud</v>
          </cell>
          <cell r="F275">
            <v>0</v>
          </cell>
          <cell r="G275">
            <v>786754412.5</v>
          </cell>
          <cell r="H275">
            <v>8635840494.1900005</v>
          </cell>
          <cell r="I275">
            <v>-7849086081.6899996</v>
          </cell>
        </row>
        <row r="276">
          <cell r="C276">
            <v>416510</v>
          </cell>
          <cell r="D276" t="str">
            <v>JUL2025416510</v>
          </cell>
          <cell r="E276" t="str">
            <v>Servicio Medico</v>
          </cell>
          <cell r="F276">
            <v>0</v>
          </cell>
          <cell r="G276">
            <v>786754412.5</v>
          </cell>
          <cell r="H276">
            <v>8635840494.1900005</v>
          </cell>
          <cell r="I276">
            <v>-7849086081.6899996</v>
          </cell>
        </row>
        <row r="277">
          <cell r="C277">
            <v>41651001</v>
          </cell>
          <cell r="D277" t="str">
            <v>JUL202541651001</v>
          </cell>
          <cell r="E277" t="str">
            <v>Consultas</v>
          </cell>
          <cell r="F277">
            <v>0</v>
          </cell>
          <cell r="G277">
            <v>30654455.5</v>
          </cell>
          <cell r="H277">
            <v>695023559.60000002</v>
          </cell>
          <cell r="I277">
            <v>-664369104.10000002</v>
          </cell>
        </row>
        <row r="278">
          <cell r="C278">
            <v>41651002</v>
          </cell>
          <cell r="D278" t="str">
            <v>JUL202541651002</v>
          </cell>
          <cell r="E278" t="str">
            <v>Cirugias</v>
          </cell>
          <cell r="F278">
            <v>0</v>
          </cell>
          <cell r="G278">
            <v>552006673</v>
          </cell>
          <cell r="H278">
            <v>5586249505.5</v>
          </cell>
          <cell r="I278">
            <v>-5034242832.5</v>
          </cell>
        </row>
        <row r="279">
          <cell r="C279">
            <v>41651003</v>
          </cell>
          <cell r="D279" t="str">
            <v>JUL202541651003</v>
          </cell>
          <cell r="E279" t="str">
            <v>Exámenes</v>
          </cell>
          <cell r="F279">
            <v>0</v>
          </cell>
          <cell r="G279">
            <v>61311947</v>
          </cell>
          <cell r="H279">
            <v>483879759.08999997</v>
          </cell>
          <cell r="I279">
            <v>-422567812.08999997</v>
          </cell>
        </row>
        <row r="280">
          <cell r="C280">
            <v>41651004</v>
          </cell>
          <cell r="D280" t="str">
            <v>JUL202541651004</v>
          </cell>
          <cell r="E280" t="str">
            <v>Medicamentos</v>
          </cell>
          <cell r="F280">
            <v>0</v>
          </cell>
          <cell r="G280">
            <v>4801793</v>
          </cell>
          <cell r="H280">
            <v>199721550</v>
          </cell>
          <cell r="I280">
            <v>-194919757</v>
          </cell>
        </row>
        <row r="281">
          <cell r="C281">
            <v>41651005</v>
          </cell>
          <cell r="D281" t="str">
            <v>JUL202541651005</v>
          </cell>
          <cell r="E281" t="str">
            <v>Lente intraocular</v>
          </cell>
          <cell r="F281">
            <v>0</v>
          </cell>
          <cell r="G281">
            <v>137979544</v>
          </cell>
          <cell r="H281">
            <v>1670966120</v>
          </cell>
          <cell r="I281">
            <v>-1532986576</v>
          </cell>
        </row>
        <row r="282">
          <cell r="C282">
            <v>4175</v>
          </cell>
          <cell r="D282" t="str">
            <v>JUL20254175</v>
          </cell>
          <cell r="E282" t="str">
            <v>Devoluciones en Ventas (DB)</v>
          </cell>
          <cell r="F282">
            <v>0</v>
          </cell>
          <cell r="G282">
            <v>2765492</v>
          </cell>
          <cell r="H282">
            <v>1259998</v>
          </cell>
          <cell r="I282">
            <v>1505494</v>
          </cell>
        </row>
        <row r="283">
          <cell r="C283">
            <v>417505</v>
          </cell>
          <cell r="D283" t="str">
            <v>JUL2025417505</v>
          </cell>
          <cell r="E283" t="str">
            <v>Devoluciones en Ventas (DB)</v>
          </cell>
          <cell r="F283">
            <v>0</v>
          </cell>
          <cell r="G283">
            <v>2765492</v>
          </cell>
          <cell r="H283">
            <v>1259998</v>
          </cell>
          <cell r="I283">
            <v>1505494</v>
          </cell>
        </row>
        <row r="284">
          <cell r="C284">
            <v>41750501</v>
          </cell>
          <cell r="D284" t="str">
            <v>JUL202541750501</v>
          </cell>
          <cell r="E284" t="str">
            <v>Devoluciones en Ventas (DB) Servicio médico</v>
          </cell>
          <cell r="F284">
            <v>0</v>
          </cell>
          <cell r="G284">
            <v>2765492</v>
          </cell>
          <cell r="H284">
            <v>1259998</v>
          </cell>
          <cell r="I284">
            <v>1505494</v>
          </cell>
        </row>
        <row r="285">
          <cell r="C285">
            <v>42</v>
          </cell>
          <cell r="D285" t="str">
            <v>JUL202542</v>
          </cell>
          <cell r="E285" t="str">
            <v>Ingresos No Operacionales</v>
          </cell>
          <cell r="F285">
            <v>0</v>
          </cell>
          <cell r="G285">
            <v>4748163</v>
          </cell>
          <cell r="H285">
            <v>102262668.8</v>
          </cell>
          <cell r="I285">
            <v>-97514505.799999997</v>
          </cell>
        </row>
        <row r="286">
          <cell r="C286">
            <v>4210</v>
          </cell>
          <cell r="D286" t="str">
            <v>JUL20254210</v>
          </cell>
          <cell r="E286" t="str">
            <v>Financieros</v>
          </cell>
          <cell r="F286">
            <v>0</v>
          </cell>
          <cell r="G286">
            <v>1971278</v>
          </cell>
          <cell r="H286">
            <v>7580582</v>
          </cell>
          <cell r="I286">
            <v>-5609304</v>
          </cell>
        </row>
        <row r="287">
          <cell r="C287">
            <v>421005</v>
          </cell>
          <cell r="D287" t="str">
            <v>JUL2025421005</v>
          </cell>
          <cell r="E287" t="str">
            <v>Intereses</v>
          </cell>
          <cell r="F287">
            <v>0</v>
          </cell>
          <cell r="G287">
            <v>0</v>
          </cell>
          <cell r="H287">
            <v>383903</v>
          </cell>
          <cell r="I287">
            <v>-383903</v>
          </cell>
        </row>
        <row r="288">
          <cell r="C288">
            <v>42100501</v>
          </cell>
          <cell r="D288" t="str">
            <v>JUL202542100501</v>
          </cell>
          <cell r="E288" t="str">
            <v>Intereses</v>
          </cell>
          <cell r="F288">
            <v>0</v>
          </cell>
          <cell r="G288">
            <v>0</v>
          </cell>
          <cell r="H288">
            <v>383903</v>
          </cell>
          <cell r="I288">
            <v>-383903</v>
          </cell>
        </row>
        <row r="289">
          <cell r="C289">
            <v>421040</v>
          </cell>
          <cell r="D289" t="str">
            <v>JUL2025421040</v>
          </cell>
          <cell r="E289" t="str">
            <v>Descuentos Comerciales</v>
          </cell>
          <cell r="F289">
            <v>0</v>
          </cell>
          <cell r="G289">
            <v>0</v>
          </cell>
          <cell r="H289">
            <v>5225401</v>
          </cell>
          <cell r="I289">
            <v>-5225401</v>
          </cell>
        </row>
        <row r="290">
          <cell r="C290">
            <v>42104001</v>
          </cell>
          <cell r="D290" t="str">
            <v>JUL202542104001</v>
          </cell>
          <cell r="E290" t="str">
            <v>Descuentos Comerciales Condicionados</v>
          </cell>
          <cell r="F290">
            <v>0</v>
          </cell>
          <cell r="G290">
            <v>0</v>
          </cell>
          <cell r="H290">
            <v>5225401</v>
          </cell>
          <cell r="I290">
            <v>-5225401</v>
          </cell>
        </row>
        <row r="291">
          <cell r="C291">
            <v>421095</v>
          </cell>
          <cell r="D291" t="str">
            <v>JUL2025421095</v>
          </cell>
          <cell r="E291" t="str">
            <v>Otros Ingresos No Operacionales</v>
          </cell>
          <cell r="F291">
            <v>0</v>
          </cell>
          <cell r="G291">
            <v>1971278</v>
          </cell>
          <cell r="H291">
            <v>1971278</v>
          </cell>
          <cell r="I291">
            <v>0</v>
          </cell>
        </row>
        <row r="292">
          <cell r="C292">
            <v>42109501</v>
          </cell>
          <cell r="D292" t="str">
            <v>JUL202542109501</v>
          </cell>
          <cell r="E292" t="str">
            <v>Otros Ingresos No Operacionales</v>
          </cell>
          <cell r="F292">
            <v>0</v>
          </cell>
          <cell r="G292">
            <v>1971278</v>
          </cell>
          <cell r="H292">
            <v>1971278</v>
          </cell>
          <cell r="I292">
            <v>0</v>
          </cell>
        </row>
        <row r="293">
          <cell r="C293">
            <v>4250</v>
          </cell>
          <cell r="D293" t="str">
            <v>JUL20254250</v>
          </cell>
          <cell r="E293" t="str">
            <v>Recuperaciones costos y gastos</v>
          </cell>
          <cell r="F293">
            <v>0</v>
          </cell>
          <cell r="G293">
            <v>2776885</v>
          </cell>
          <cell r="H293">
            <v>88959200</v>
          </cell>
          <cell r="I293">
            <v>-86182315</v>
          </cell>
        </row>
        <row r="294">
          <cell r="C294">
            <v>425010</v>
          </cell>
          <cell r="D294" t="str">
            <v>JUL2025425010</v>
          </cell>
          <cell r="E294" t="str">
            <v>Recuperacion costos y gastos</v>
          </cell>
          <cell r="F294">
            <v>0</v>
          </cell>
          <cell r="G294">
            <v>2776885</v>
          </cell>
          <cell r="H294">
            <v>88959200</v>
          </cell>
          <cell r="I294">
            <v>-86182315</v>
          </cell>
        </row>
        <row r="295">
          <cell r="C295">
            <v>42501001</v>
          </cell>
          <cell r="D295" t="str">
            <v>JUL202542501001</v>
          </cell>
          <cell r="E295" t="str">
            <v>Recuperacion costos y gastos</v>
          </cell>
          <cell r="F295">
            <v>0</v>
          </cell>
          <cell r="G295">
            <v>2776885</v>
          </cell>
          <cell r="H295">
            <v>88959200</v>
          </cell>
          <cell r="I295">
            <v>-86182315</v>
          </cell>
        </row>
        <row r="296">
          <cell r="C296">
            <v>4255</v>
          </cell>
          <cell r="D296" t="str">
            <v>JUL20254255</v>
          </cell>
          <cell r="E296" t="str">
            <v>Indemnizaciones</v>
          </cell>
          <cell r="F296">
            <v>0</v>
          </cell>
          <cell r="G296">
            <v>0</v>
          </cell>
          <cell r="H296">
            <v>3161972</v>
          </cell>
          <cell r="I296">
            <v>-3161972</v>
          </cell>
        </row>
        <row r="297">
          <cell r="C297">
            <v>425540</v>
          </cell>
          <cell r="D297" t="str">
            <v>JUL2025425540</v>
          </cell>
          <cell r="E297" t="str">
            <v>Incapacidades</v>
          </cell>
          <cell r="F297">
            <v>0</v>
          </cell>
          <cell r="G297">
            <v>0</v>
          </cell>
          <cell r="H297">
            <v>3161972</v>
          </cell>
          <cell r="I297">
            <v>-3161972</v>
          </cell>
        </row>
        <row r="298">
          <cell r="C298">
            <v>4295</v>
          </cell>
          <cell r="D298" t="str">
            <v>JUL20254295</v>
          </cell>
          <cell r="E298" t="str">
            <v>Diversos</v>
          </cell>
          <cell r="F298">
            <v>0</v>
          </cell>
          <cell r="G298">
            <v>0</v>
          </cell>
          <cell r="H298">
            <v>2560914.7999999998</v>
          </cell>
          <cell r="I298">
            <v>-2560914.7999999998</v>
          </cell>
        </row>
        <row r="299">
          <cell r="C299">
            <v>429505</v>
          </cell>
          <cell r="D299" t="str">
            <v>JUL2025429505</v>
          </cell>
          <cell r="E299" t="str">
            <v>Diversos</v>
          </cell>
          <cell r="F299">
            <v>0</v>
          </cell>
          <cell r="G299">
            <v>0</v>
          </cell>
          <cell r="H299">
            <v>2560914.7999999998</v>
          </cell>
          <cell r="I299">
            <v>-2560914.7999999998</v>
          </cell>
        </row>
        <row r="300">
          <cell r="C300">
            <v>42950501</v>
          </cell>
          <cell r="D300" t="str">
            <v>JUL202542950501</v>
          </cell>
          <cell r="E300" t="str">
            <v>Aprovechamientos</v>
          </cell>
          <cell r="F300">
            <v>0</v>
          </cell>
          <cell r="G300">
            <v>0</v>
          </cell>
          <cell r="H300">
            <v>2560914.7999999998</v>
          </cell>
          <cell r="I300">
            <v>-2560914.7999999998</v>
          </cell>
        </row>
        <row r="301">
          <cell r="C301">
            <v>5</v>
          </cell>
          <cell r="D301" t="str">
            <v>JUL20255</v>
          </cell>
          <cell r="E301" t="str">
            <v>Gastos</v>
          </cell>
          <cell r="F301">
            <v>0</v>
          </cell>
          <cell r="G301">
            <v>2796325017.9299998</v>
          </cell>
          <cell r="H301">
            <v>260237901.69999999</v>
          </cell>
          <cell r="I301">
            <v>2536087116.23</v>
          </cell>
        </row>
        <row r="302">
          <cell r="C302">
            <v>51</v>
          </cell>
          <cell r="D302" t="str">
            <v>JUL202551</v>
          </cell>
          <cell r="E302" t="str">
            <v>Gastos de Administración Ordinarios</v>
          </cell>
          <cell r="F302">
            <v>0</v>
          </cell>
          <cell r="G302">
            <v>2649054570.1700001</v>
          </cell>
          <cell r="H302">
            <v>242399834.84</v>
          </cell>
          <cell r="I302">
            <v>2406654735.3299999</v>
          </cell>
        </row>
        <row r="303">
          <cell r="C303">
            <v>5105</v>
          </cell>
          <cell r="D303" t="str">
            <v>JUL20255105</v>
          </cell>
          <cell r="E303" t="str">
            <v>Gasto de Personal</v>
          </cell>
          <cell r="F303">
            <v>0</v>
          </cell>
          <cell r="G303">
            <v>886403053.92999995</v>
          </cell>
          <cell r="H303">
            <v>127879723.89</v>
          </cell>
          <cell r="I303">
            <v>758523330.03999996</v>
          </cell>
        </row>
        <row r="304">
          <cell r="C304">
            <v>510506</v>
          </cell>
          <cell r="D304" t="str">
            <v>JUL2025510506</v>
          </cell>
          <cell r="E304" t="str">
            <v>Sueldos</v>
          </cell>
          <cell r="F304">
            <v>0</v>
          </cell>
          <cell r="G304">
            <v>549232446</v>
          </cell>
          <cell r="H304">
            <v>72533191</v>
          </cell>
          <cell r="I304">
            <v>476699255</v>
          </cell>
        </row>
        <row r="305">
          <cell r="C305">
            <v>51050601</v>
          </cell>
          <cell r="D305" t="str">
            <v>JUL202551050601</v>
          </cell>
          <cell r="E305" t="str">
            <v>Salarios</v>
          </cell>
          <cell r="F305">
            <v>0</v>
          </cell>
          <cell r="G305">
            <v>541355746</v>
          </cell>
          <cell r="H305">
            <v>72533191</v>
          </cell>
          <cell r="I305">
            <v>468822555</v>
          </cell>
        </row>
        <row r="306">
          <cell r="C306">
            <v>51050602</v>
          </cell>
          <cell r="D306" t="str">
            <v>JUL202551050602</v>
          </cell>
          <cell r="E306" t="str">
            <v>Sueldos para Apoyo a Aprendices</v>
          </cell>
          <cell r="F306">
            <v>0</v>
          </cell>
          <cell r="G306">
            <v>7876700</v>
          </cell>
          <cell r="H306">
            <v>0</v>
          </cell>
          <cell r="I306">
            <v>7876700</v>
          </cell>
        </row>
        <row r="307">
          <cell r="C307">
            <v>510515</v>
          </cell>
          <cell r="D307" t="str">
            <v>JUL2025510515</v>
          </cell>
          <cell r="E307" t="str">
            <v>Horas Extras y Recargos</v>
          </cell>
          <cell r="F307">
            <v>0</v>
          </cell>
          <cell r="G307">
            <v>185545</v>
          </cell>
          <cell r="H307">
            <v>0</v>
          </cell>
          <cell r="I307">
            <v>185545</v>
          </cell>
        </row>
        <row r="308">
          <cell r="C308">
            <v>51051501</v>
          </cell>
          <cell r="D308" t="str">
            <v>JUL202551051501</v>
          </cell>
          <cell r="E308" t="str">
            <v>Horas Extras y Recargos</v>
          </cell>
          <cell r="F308">
            <v>0</v>
          </cell>
          <cell r="G308">
            <v>185545</v>
          </cell>
          <cell r="H308">
            <v>0</v>
          </cell>
          <cell r="I308">
            <v>185545</v>
          </cell>
        </row>
        <row r="309">
          <cell r="C309">
            <v>510524</v>
          </cell>
          <cell r="D309" t="str">
            <v>JUL2025510524</v>
          </cell>
          <cell r="E309" t="str">
            <v>Incapacidades</v>
          </cell>
          <cell r="F309">
            <v>0</v>
          </cell>
          <cell r="G309">
            <v>7360552</v>
          </cell>
          <cell r="H309">
            <v>78900</v>
          </cell>
          <cell r="I309">
            <v>7281652</v>
          </cell>
        </row>
        <row r="310">
          <cell r="C310">
            <v>51052401</v>
          </cell>
          <cell r="D310" t="str">
            <v>JUL202551052401</v>
          </cell>
          <cell r="E310" t="str">
            <v>Incapacidades</v>
          </cell>
          <cell r="F310">
            <v>0</v>
          </cell>
          <cell r="G310">
            <v>7360552</v>
          </cell>
          <cell r="H310">
            <v>78900</v>
          </cell>
          <cell r="I310">
            <v>7281652</v>
          </cell>
        </row>
        <row r="311">
          <cell r="C311">
            <v>510527</v>
          </cell>
          <cell r="D311" t="str">
            <v>JUL2025510527</v>
          </cell>
          <cell r="E311" t="str">
            <v>Auxilio de Transporte</v>
          </cell>
          <cell r="F311">
            <v>0</v>
          </cell>
          <cell r="G311">
            <v>28913335</v>
          </cell>
          <cell r="H311">
            <v>4286666</v>
          </cell>
          <cell r="I311">
            <v>24626669</v>
          </cell>
        </row>
        <row r="312">
          <cell r="C312">
            <v>51052701</v>
          </cell>
          <cell r="D312" t="str">
            <v>JUL202551052701</v>
          </cell>
          <cell r="E312" t="str">
            <v>Auxilio de Transporte</v>
          </cell>
          <cell r="F312">
            <v>0</v>
          </cell>
          <cell r="G312">
            <v>28913335</v>
          </cell>
          <cell r="H312">
            <v>4286666</v>
          </cell>
          <cell r="I312">
            <v>24626669</v>
          </cell>
        </row>
        <row r="313">
          <cell r="C313">
            <v>510530</v>
          </cell>
          <cell r="D313" t="str">
            <v>JUL2025510530</v>
          </cell>
          <cell r="E313" t="str">
            <v>Cesantías</v>
          </cell>
          <cell r="F313">
            <v>0</v>
          </cell>
          <cell r="G313">
            <v>51976543</v>
          </cell>
          <cell r="H313">
            <v>8747348</v>
          </cell>
          <cell r="I313">
            <v>43229195</v>
          </cell>
        </row>
        <row r="314">
          <cell r="C314">
            <v>51053001</v>
          </cell>
          <cell r="D314" t="str">
            <v>JUL202551053001</v>
          </cell>
          <cell r="E314" t="str">
            <v>Cesantías</v>
          </cell>
          <cell r="F314">
            <v>0</v>
          </cell>
          <cell r="G314">
            <v>51976543</v>
          </cell>
          <cell r="H314">
            <v>8747348</v>
          </cell>
          <cell r="I314">
            <v>43229195</v>
          </cell>
        </row>
        <row r="315">
          <cell r="C315">
            <v>510533</v>
          </cell>
          <cell r="D315" t="str">
            <v>JUL2025510533</v>
          </cell>
          <cell r="E315" t="str">
            <v>Intereses Sobre Cesantías</v>
          </cell>
          <cell r="F315">
            <v>0</v>
          </cell>
          <cell r="G315">
            <v>3715966</v>
          </cell>
          <cell r="H315">
            <v>902959</v>
          </cell>
          <cell r="I315">
            <v>2813007</v>
          </cell>
        </row>
        <row r="316">
          <cell r="C316">
            <v>51053301</v>
          </cell>
          <cell r="D316" t="str">
            <v>JUL202551053301</v>
          </cell>
          <cell r="E316" t="str">
            <v>Intereses sobre Cesantías</v>
          </cell>
          <cell r="F316">
            <v>0</v>
          </cell>
          <cell r="G316">
            <v>3715966</v>
          </cell>
          <cell r="H316">
            <v>902959</v>
          </cell>
          <cell r="I316">
            <v>2813007</v>
          </cell>
        </row>
        <row r="317">
          <cell r="C317">
            <v>510536</v>
          </cell>
          <cell r="D317" t="str">
            <v>JUL2025510536</v>
          </cell>
          <cell r="E317" t="str">
            <v>Prima de Servicios</v>
          </cell>
          <cell r="F317">
            <v>0</v>
          </cell>
          <cell r="G317">
            <v>51625265</v>
          </cell>
          <cell r="H317">
            <v>8941583</v>
          </cell>
          <cell r="I317">
            <v>42683682</v>
          </cell>
        </row>
        <row r="318">
          <cell r="C318">
            <v>51053601</v>
          </cell>
          <cell r="D318" t="str">
            <v>JUL202551053601</v>
          </cell>
          <cell r="E318" t="str">
            <v>Prima de Servicios</v>
          </cell>
          <cell r="F318">
            <v>0</v>
          </cell>
          <cell r="G318">
            <v>51625265</v>
          </cell>
          <cell r="H318">
            <v>8941583</v>
          </cell>
          <cell r="I318">
            <v>42683682</v>
          </cell>
        </row>
        <row r="319">
          <cell r="C319">
            <v>510539</v>
          </cell>
          <cell r="D319" t="str">
            <v>JUL2025510539</v>
          </cell>
          <cell r="E319" t="str">
            <v>Vacaciones</v>
          </cell>
          <cell r="F319">
            <v>0</v>
          </cell>
          <cell r="G319">
            <v>32390092</v>
          </cell>
          <cell r="H319">
            <v>5397770</v>
          </cell>
          <cell r="I319">
            <v>26992322</v>
          </cell>
        </row>
        <row r="320">
          <cell r="C320">
            <v>51053901</v>
          </cell>
          <cell r="D320" t="str">
            <v>JUL202551053901</v>
          </cell>
          <cell r="E320" t="str">
            <v>Vacaciones</v>
          </cell>
          <cell r="F320">
            <v>0</v>
          </cell>
          <cell r="G320">
            <v>32390092</v>
          </cell>
          <cell r="H320">
            <v>5397770</v>
          </cell>
          <cell r="I320">
            <v>26992322</v>
          </cell>
        </row>
        <row r="321">
          <cell r="C321">
            <v>510545</v>
          </cell>
          <cell r="D321" t="str">
            <v>JUL2025510545</v>
          </cell>
          <cell r="E321" t="str">
            <v>Auxilios</v>
          </cell>
          <cell r="F321">
            <v>0</v>
          </cell>
          <cell r="G321">
            <v>9094164</v>
          </cell>
          <cell r="H321">
            <v>1918333</v>
          </cell>
          <cell r="I321">
            <v>7175831</v>
          </cell>
        </row>
        <row r="322">
          <cell r="C322">
            <v>51054501</v>
          </cell>
          <cell r="D322" t="str">
            <v>JUL202551054501</v>
          </cell>
          <cell r="E322" t="str">
            <v>Auxilio rodamiento</v>
          </cell>
          <cell r="F322">
            <v>0</v>
          </cell>
          <cell r="G322">
            <v>9094164</v>
          </cell>
          <cell r="H322">
            <v>1918333</v>
          </cell>
          <cell r="I322">
            <v>7175831</v>
          </cell>
        </row>
        <row r="323">
          <cell r="C323">
            <v>510548</v>
          </cell>
          <cell r="D323" t="str">
            <v>JUL2025510548</v>
          </cell>
          <cell r="E323" t="str">
            <v>Bonificaciones</v>
          </cell>
          <cell r="F323">
            <v>0</v>
          </cell>
          <cell r="G323">
            <v>31254501</v>
          </cell>
          <cell r="H323">
            <v>3349667</v>
          </cell>
          <cell r="I323">
            <v>27904834</v>
          </cell>
        </row>
        <row r="324">
          <cell r="C324">
            <v>51054825</v>
          </cell>
          <cell r="D324" t="str">
            <v>JUL202551054825</v>
          </cell>
          <cell r="E324" t="str">
            <v>Bonificaciones no Constitutivas de Salario</v>
          </cell>
          <cell r="F324">
            <v>0</v>
          </cell>
          <cell r="G324">
            <v>31254501</v>
          </cell>
          <cell r="H324">
            <v>3349667</v>
          </cell>
          <cell r="I324">
            <v>27904834</v>
          </cell>
        </row>
        <row r="325">
          <cell r="C325">
            <v>510551</v>
          </cell>
          <cell r="D325" t="str">
            <v>JUL2025510551</v>
          </cell>
          <cell r="E325" t="str">
            <v>Dotación y Suministro a Trabajadores</v>
          </cell>
          <cell r="F325">
            <v>0</v>
          </cell>
          <cell r="G325">
            <v>20552441.93</v>
          </cell>
          <cell r="H325">
            <v>6023243.8899999997</v>
          </cell>
          <cell r="I325">
            <v>14529198.039999999</v>
          </cell>
        </row>
        <row r="326">
          <cell r="C326">
            <v>51055101</v>
          </cell>
          <cell r="D326" t="str">
            <v>JUL202551055101</v>
          </cell>
          <cell r="E326" t="str">
            <v>Dotación y Suministro a Trabajadores</v>
          </cell>
          <cell r="F326">
            <v>0</v>
          </cell>
          <cell r="G326">
            <v>18062195.050000001</v>
          </cell>
          <cell r="H326">
            <v>5061549.49</v>
          </cell>
          <cell r="I326">
            <v>13000645.560000001</v>
          </cell>
        </row>
        <row r="327">
          <cell r="C327">
            <v>51055198</v>
          </cell>
          <cell r="D327" t="str">
            <v>JUL202551055198</v>
          </cell>
          <cell r="E327" t="str">
            <v>Iva Mayor Valor Dotación y Suministro a Trabajadores</v>
          </cell>
          <cell r="F327">
            <v>0</v>
          </cell>
          <cell r="G327">
            <v>2490246.88</v>
          </cell>
          <cell r="H327">
            <v>961694.4</v>
          </cell>
          <cell r="I327">
            <v>1528552.48</v>
          </cell>
        </row>
        <row r="328">
          <cell r="C328">
            <v>510560</v>
          </cell>
          <cell r="D328" t="str">
            <v>JUL2025510560</v>
          </cell>
          <cell r="E328" t="str">
            <v>Indemnizaciones Laborales</v>
          </cell>
          <cell r="F328">
            <v>0</v>
          </cell>
          <cell r="G328">
            <v>5235409</v>
          </cell>
          <cell r="H328">
            <v>0</v>
          </cell>
          <cell r="I328">
            <v>5235409</v>
          </cell>
        </row>
        <row r="329">
          <cell r="C329">
            <v>51056001</v>
          </cell>
          <cell r="D329" t="str">
            <v>JUL202551056001</v>
          </cell>
          <cell r="E329" t="str">
            <v>Indemnizaciones Laborales</v>
          </cell>
          <cell r="F329">
            <v>0</v>
          </cell>
          <cell r="G329">
            <v>5235409</v>
          </cell>
          <cell r="H329">
            <v>0</v>
          </cell>
          <cell r="I329">
            <v>5235409</v>
          </cell>
        </row>
        <row r="330">
          <cell r="C330">
            <v>510563</v>
          </cell>
          <cell r="D330" t="str">
            <v>JUL2025510563</v>
          </cell>
          <cell r="E330" t="str">
            <v>Capacitación al Personal</v>
          </cell>
          <cell r="F330">
            <v>0</v>
          </cell>
          <cell r="G330">
            <v>2135000</v>
          </cell>
          <cell r="H330">
            <v>0</v>
          </cell>
          <cell r="I330">
            <v>2135000</v>
          </cell>
        </row>
        <row r="331">
          <cell r="C331">
            <v>51056301</v>
          </cell>
          <cell r="D331" t="str">
            <v>JUL202551056301</v>
          </cell>
          <cell r="E331" t="str">
            <v>Capacitación al Personal</v>
          </cell>
          <cell r="F331">
            <v>0</v>
          </cell>
          <cell r="G331">
            <v>2135000</v>
          </cell>
          <cell r="H331">
            <v>0</v>
          </cell>
          <cell r="I331">
            <v>2135000</v>
          </cell>
        </row>
        <row r="332">
          <cell r="C332">
            <v>510568</v>
          </cell>
          <cell r="D332" t="str">
            <v>JUL2025510568</v>
          </cell>
          <cell r="E332" t="str">
            <v>Aportes Riesgos Profesionales</v>
          </cell>
          <cell r="F332">
            <v>0</v>
          </cell>
          <cell r="G332">
            <v>6030854</v>
          </cell>
          <cell r="H332">
            <v>1015154</v>
          </cell>
          <cell r="I332">
            <v>5015700</v>
          </cell>
        </row>
        <row r="333">
          <cell r="C333">
            <v>51056801</v>
          </cell>
          <cell r="D333" t="str">
            <v>JUL202551056801</v>
          </cell>
          <cell r="E333" t="str">
            <v>Aportes Riesgos Profesionales</v>
          </cell>
          <cell r="F333">
            <v>0</v>
          </cell>
          <cell r="G333">
            <v>6030854</v>
          </cell>
          <cell r="H333">
            <v>1015154</v>
          </cell>
          <cell r="I333">
            <v>5015700</v>
          </cell>
        </row>
        <row r="334">
          <cell r="C334">
            <v>510569</v>
          </cell>
          <cell r="D334" t="str">
            <v>JUL2025510569</v>
          </cell>
          <cell r="E334" t="str">
            <v>Aportes Salud</v>
          </cell>
          <cell r="F334">
            <v>0</v>
          </cell>
          <cell r="G334">
            <v>1002698</v>
          </cell>
          <cell r="H334">
            <v>1314</v>
          </cell>
          <cell r="I334">
            <v>1001384</v>
          </cell>
        </row>
        <row r="335">
          <cell r="C335">
            <v>51056901</v>
          </cell>
          <cell r="D335" t="str">
            <v>JUL202551056901</v>
          </cell>
          <cell r="E335" t="str">
            <v>Aportes Salud Empleador</v>
          </cell>
          <cell r="F335">
            <v>0</v>
          </cell>
          <cell r="G335">
            <v>1002698</v>
          </cell>
          <cell r="H335">
            <v>1314</v>
          </cell>
          <cell r="I335">
            <v>1001384</v>
          </cell>
        </row>
        <row r="336">
          <cell r="C336">
            <v>510570</v>
          </cell>
          <cell r="D336" t="str">
            <v>JUL2025510570</v>
          </cell>
          <cell r="E336" t="str">
            <v>Aportes Pensión</v>
          </cell>
          <cell r="F336">
            <v>0</v>
          </cell>
          <cell r="G336">
            <v>61538352</v>
          </cell>
          <cell r="H336">
            <v>10641005</v>
          </cell>
          <cell r="I336">
            <v>50897347</v>
          </cell>
        </row>
        <row r="337">
          <cell r="C337">
            <v>51057001</v>
          </cell>
          <cell r="D337" t="str">
            <v>JUL202551057001</v>
          </cell>
          <cell r="E337" t="str">
            <v>Aportes Pensión Empleador</v>
          </cell>
          <cell r="F337">
            <v>0</v>
          </cell>
          <cell r="G337">
            <v>61538352</v>
          </cell>
          <cell r="H337">
            <v>10641005</v>
          </cell>
          <cell r="I337">
            <v>50897347</v>
          </cell>
        </row>
        <row r="338">
          <cell r="C338">
            <v>510572</v>
          </cell>
          <cell r="D338" t="str">
            <v>JUL2025510572</v>
          </cell>
          <cell r="E338" t="str">
            <v>Aportes Caja de Compensación Familiar</v>
          </cell>
          <cell r="F338">
            <v>0</v>
          </cell>
          <cell r="G338">
            <v>23224290</v>
          </cell>
          <cell r="H338">
            <v>3916690</v>
          </cell>
          <cell r="I338">
            <v>19307600</v>
          </cell>
        </row>
        <row r="339">
          <cell r="C339">
            <v>51057201</v>
          </cell>
          <cell r="D339" t="str">
            <v>JUL202551057201</v>
          </cell>
          <cell r="E339" t="str">
            <v>Aportes Caja de Compensación Familiar</v>
          </cell>
          <cell r="F339">
            <v>0</v>
          </cell>
          <cell r="G339">
            <v>23224290</v>
          </cell>
          <cell r="H339">
            <v>3916690</v>
          </cell>
          <cell r="I339">
            <v>19307600</v>
          </cell>
        </row>
        <row r="340">
          <cell r="C340">
            <v>510584</v>
          </cell>
          <cell r="D340" t="str">
            <v>JUL2025510584</v>
          </cell>
          <cell r="E340" t="str">
            <v>Gastos Médicos y Drogas</v>
          </cell>
          <cell r="F340">
            <v>0</v>
          </cell>
          <cell r="G340">
            <v>935600</v>
          </cell>
          <cell r="H340">
            <v>125900</v>
          </cell>
          <cell r="I340">
            <v>809700</v>
          </cell>
        </row>
        <row r="341">
          <cell r="C341">
            <v>51058401</v>
          </cell>
          <cell r="D341" t="str">
            <v>JUL202551058401</v>
          </cell>
          <cell r="E341" t="str">
            <v>Gastos Médicos y Drogas</v>
          </cell>
          <cell r="F341">
            <v>0</v>
          </cell>
          <cell r="G341">
            <v>935600</v>
          </cell>
          <cell r="H341">
            <v>125900</v>
          </cell>
          <cell r="I341">
            <v>809700</v>
          </cell>
        </row>
        <row r="342">
          <cell r="C342">
            <v>5110</v>
          </cell>
          <cell r="D342" t="str">
            <v>JUL20255110</v>
          </cell>
          <cell r="E342" t="str">
            <v>Gastos Honorarios Administración</v>
          </cell>
          <cell r="F342">
            <v>0</v>
          </cell>
          <cell r="G342">
            <v>150420114.47</v>
          </cell>
          <cell r="H342">
            <v>3500000</v>
          </cell>
          <cell r="I342">
            <v>146920114.47</v>
          </cell>
        </row>
        <row r="343">
          <cell r="C343">
            <v>511010</v>
          </cell>
          <cell r="D343" t="str">
            <v>JUL2025511010</v>
          </cell>
          <cell r="E343" t="str">
            <v>Honorarios Revisoría Fiscal Administración</v>
          </cell>
          <cell r="F343">
            <v>0</v>
          </cell>
          <cell r="G343">
            <v>16855000</v>
          </cell>
          <cell r="H343">
            <v>3500000</v>
          </cell>
          <cell r="I343">
            <v>13355000</v>
          </cell>
        </row>
        <row r="344">
          <cell r="C344">
            <v>51101001</v>
          </cell>
          <cell r="D344" t="str">
            <v>JUL202551101001</v>
          </cell>
          <cell r="E344" t="str">
            <v>Honorarios Revisoría Fiscal Administración</v>
          </cell>
          <cell r="F344">
            <v>0</v>
          </cell>
          <cell r="G344">
            <v>16000000</v>
          </cell>
          <cell r="H344">
            <v>3500000</v>
          </cell>
          <cell r="I344">
            <v>12500000</v>
          </cell>
        </row>
        <row r="345">
          <cell r="C345">
            <v>51101098</v>
          </cell>
          <cell r="D345" t="str">
            <v>JUL202551101098</v>
          </cell>
          <cell r="E345" t="str">
            <v>Iva mayor valor Honorarios Revisoria Fiscal Administracion</v>
          </cell>
          <cell r="F345">
            <v>0</v>
          </cell>
          <cell r="G345">
            <v>855000</v>
          </cell>
          <cell r="H345">
            <v>0</v>
          </cell>
          <cell r="I345">
            <v>855000</v>
          </cell>
        </row>
        <row r="346">
          <cell r="C346">
            <v>511025</v>
          </cell>
          <cell r="D346" t="str">
            <v>JUL2025511025</v>
          </cell>
          <cell r="E346" t="str">
            <v>Honorarios Asesoría Jurídica Administración</v>
          </cell>
          <cell r="F346">
            <v>0</v>
          </cell>
          <cell r="G346">
            <v>12703250</v>
          </cell>
          <cell r="H346">
            <v>0</v>
          </cell>
          <cell r="I346">
            <v>12703250</v>
          </cell>
        </row>
        <row r="347">
          <cell r="C347">
            <v>51102501</v>
          </cell>
          <cell r="D347" t="str">
            <v>JUL202551102501</v>
          </cell>
          <cell r="E347" t="str">
            <v>Honorarios Asesoría Jurídica Administración</v>
          </cell>
          <cell r="F347">
            <v>0</v>
          </cell>
          <cell r="G347">
            <v>10675000</v>
          </cell>
          <cell r="H347">
            <v>0</v>
          </cell>
          <cell r="I347">
            <v>10675000</v>
          </cell>
        </row>
        <row r="348">
          <cell r="C348">
            <v>51102598</v>
          </cell>
          <cell r="D348" t="str">
            <v>JUL202551102598</v>
          </cell>
          <cell r="E348" t="str">
            <v>Iva Mayor Valor Honorarios Asesoría Jurídica Administración</v>
          </cell>
          <cell r="F348">
            <v>0</v>
          </cell>
          <cell r="G348">
            <v>2028250</v>
          </cell>
          <cell r="H348">
            <v>0</v>
          </cell>
          <cell r="I348">
            <v>2028250</v>
          </cell>
        </row>
        <row r="349">
          <cell r="C349">
            <v>511035</v>
          </cell>
          <cell r="D349" t="str">
            <v>JUL2025511035</v>
          </cell>
          <cell r="E349" t="str">
            <v>Honorarios Asesoría Técnica Administración</v>
          </cell>
          <cell r="F349">
            <v>0</v>
          </cell>
          <cell r="G349">
            <v>39224463.719999999</v>
          </cell>
          <cell r="H349">
            <v>0</v>
          </cell>
          <cell r="I349">
            <v>39224463.719999999</v>
          </cell>
        </row>
        <row r="350">
          <cell r="C350">
            <v>51103501</v>
          </cell>
          <cell r="D350" t="str">
            <v>JUL202551103501</v>
          </cell>
          <cell r="E350" t="str">
            <v>Honorarios Asesoría Técnica Administración</v>
          </cell>
          <cell r="F350">
            <v>0</v>
          </cell>
          <cell r="G350">
            <v>34807688</v>
          </cell>
          <cell r="H350">
            <v>0</v>
          </cell>
          <cell r="I350">
            <v>34807688</v>
          </cell>
        </row>
        <row r="351">
          <cell r="C351">
            <v>51103598</v>
          </cell>
          <cell r="D351" t="str">
            <v>JUL202551103598</v>
          </cell>
          <cell r="E351" t="str">
            <v>Iva Mayor Valor Honorarios Asesoría Técnica Administración</v>
          </cell>
          <cell r="F351">
            <v>0</v>
          </cell>
          <cell r="G351">
            <v>4416775.72</v>
          </cell>
          <cell r="H351">
            <v>0</v>
          </cell>
          <cell r="I351">
            <v>4416775.72</v>
          </cell>
        </row>
        <row r="352">
          <cell r="C352">
            <v>511095</v>
          </cell>
          <cell r="D352" t="str">
            <v>JUL2025511095</v>
          </cell>
          <cell r="E352" t="str">
            <v>Otros Honorarios Administración</v>
          </cell>
          <cell r="F352">
            <v>0</v>
          </cell>
          <cell r="G352">
            <v>81637400.75</v>
          </cell>
          <cell r="H352">
            <v>0</v>
          </cell>
          <cell r="I352">
            <v>81637400.75</v>
          </cell>
        </row>
        <row r="353">
          <cell r="C353">
            <v>51109503</v>
          </cell>
          <cell r="D353" t="str">
            <v>JUL202551109503</v>
          </cell>
          <cell r="E353" t="str">
            <v>Honorarios arquitectura</v>
          </cell>
          <cell r="F353">
            <v>0</v>
          </cell>
          <cell r="G353">
            <v>69900925</v>
          </cell>
          <cell r="H353">
            <v>0</v>
          </cell>
          <cell r="I353">
            <v>69900925</v>
          </cell>
        </row>
        <row r="354">
          <cell r="C354">
            <v>51109598</v>
          </cell>
          <cell r="D354" t="str">
            <v>JUL202551109598</v>
          </cell>
          <cell r="E354" t="str">
            <v>Iva Mayor Valor Otros Honorarios Administración</v>
          </cell>
          <cell r="F354">
            <v>0</v>
          </cell>
          <cell r="G354">
            <v>11736475.75</v>
          </cell>
          <cell r="H354">
            <v>0</v>
          </cell>
          <cell r="I354">
            <v>11736475.75</v>
          </cell>
        </row>
        <row r="355">
          <cell r="C355">
            <v>5115</v>
          </cell>
          <cell r="D355" t="str">
            <v>JUL20255115</v>
          </cell>
          <cell r="E355" t="str">
            <v>Gastos Impuestos Administración</v>
          </cell>
          <cell r="F355">
            <v>0</v>
          </cell>
          <cell r="G355">
            <v>47117406.43</v>
          </cell>
          <cell r="H355">
            <v>1671896.59</v>
          </cell>
          <cell r="I355">
            <v>45445509.840000004</v>
          </cell>
        </row>
        <row r="356">
          <cell r="C356">
            <v>511515</v>
          </cell>
          <cell r="D356" t="str">
            <v>JUL2025511515</v>
          </cell>
          <cell r="E356" t="str">
            <v>Impuesto Predial o a la Propiedad Raíz Administración</v>
          </cell>
          <cell r="F356">
            <v>0</v>
          </cell>
          <cell r="G356">
            <v>2098337</v>
          </cell>
          <cell r="H356">
            <v>0</v>
          </cell>
          <cell r="I356">
            <v>2098337</v>
          </cell>
        </row>
        <row r="357">
          <cell r="C357">
            <v>51151501</v>
          </cell>
          <cell r="D357" t="str">
            <v>JUL202551151501</v>
          </cell>
          <cell r="E357" t="str">
            <v>Impuesto Predial o a la Propiedad Raíz Administración</v>
          </cell>
          <cell r="F357">
            <v>0</v>
          </cell>
          <cell r="G357">
            <v>2098337</v>
          </cell>
          <cell r="H357">
            <v>0</v>
          </cell>
          <cell r="I357">
            <v>2098337</v>
          </cell>
        </row>
        <row r="358">
          <cell r="C358">
            <v>511595</v>
          </cell>
          <cell r="D358" t="str">
            <v>JUL2025511595</v>
          </cell>
          <cell r="E358" t="str">
            <v>Otros Impuestos Administración</v>
          </cell>
          <cell r="F358">
            <v>0</v>
          </cell>
          <cell r="G358">
            <v>45019069.43</v>
          </cell>
          <cell r="H358">
            <v>1671896.59</v>
          </cell>
          <cell r="I358">
            <v>43347172.840000004</v>
          </cell>
        </row>
        <row r="359">
          <cell r="C359">
            <v>51159501</v>
          </cell>
          <cell r="D359" t="str">
            <v>JUL202551159501</v>
          </cell>
          <cell r="E359" t="str">
            <v>Impuestos telefónico</v>
          </cell>
          <cell r="F359">
            <v>0</v>
          </cell>
          <cell r="G359">
            <v>438313.1</v>
          </cell>
          <cell r="H359">
            <v>0</v>
          </cell>
          <cell r="I359">
            <v>438313.1</v>
          </cell>
        </row>
        <row r="360">
          <cell r="C360">
            <v>51159502</v>
          </cell>
          <cell r="D360" t="str">
            <v>JUL202551159502</v>
          </cell>
          <cell r="E360" t="str">
            <v>Alumbrado público</v>
          </cell>
          <cell r="F360">
            <v>0</v>
          </cell>
          <cell r="G360">
            <v>1506640.44</v>
          </cell>
          <cell r="H360">
            <v>0</v>
          </cell>
          <cell r="I360">
            <v>1506640.44</v>
          </cell>
        </row>
        <row r="361">
          <cell r="C361">
            <v>51159503</v>
          </cell>
          <cell r="D361" t="str">
            <v>JUL202551159503</v>
          </cell>
          <cell r="E361" t="str">
            <v>GMF</v>
          </cell>
          <cell r="F361">
            <v>0</v>
          </cell>
          <cell r="G361">
            <v>40988957</v>
          </cell>
          <cell r="H361">
            <v>1670704</v>
          </cell>
          <cell r="I361">
            <v>39318253</v>
          </cell>
        </row>
        <row r="362">
          <cell r="C362">
            <v>51159504</v>
          </cell>
          <cell r="D362" t="str">
            <v>JUL202551159504</v>
          </cell>
          <cell r="E362" t="str">
            <v>Impuesto al consumo</v>
          </cell>
          <cell r="F362">
            <v>0</v>
          </cell>
          <cell r="G362">
            <v>498254.34</v>
          </cell>
          <cell r="H362">
            <v>1192.5899999999999</v>
          </cell>
          <cell r="I362">
            <v>497061.75</v>
          </cell>
        </row>
        <row r="363">
          <cell r="C363">
            <v>51159505</v>
          </cell>
          <cell r="D363" t="str">
            <v>JUL202551159505</v>
          </cell>
          <cell r="E363" t="str">
            <v>Tasa Aseo</v>
          </cell>
          <cell r="F363">
            <v>0</v>
          </cell>
          <cell r="G363">
            <v>1576525.36</v>
          </cell>
          <cell r="H363">
            <v>0</v>
          </cell>
          <cell r="I363">
            <v>1576525.36</v>
          </cell>
        </row>
        <row r="364">
          <cell r="C364">
            <v>51159506</v>
          </cell>
          <cell r="D364" t="str">
            <v>JUL202551159506</v>
          </cell>
          <cell r="E364" t="str">
            <v>Impuesto bolsa</v>
          </cell>
          <cell r="F364">
            <v>0</v>
          </cell>
          <cell r="G364">
            <v>10379.19</v>
          </cell>
          <cell r="H364">
            <v>0</v>
          </cell>
          <cell r="I364">
            <v>10379.19</v>
          </cell>
        </row>
        <row r="365">
          <cell r="C365">
            <v>5120</v>
          </cell>
          <cell r="D365" t="str">
            <v>JUL20255120</v>
          </cell>
          <cell r="E365" t="str">
            <v>Gastos Arrendamientos Administración</v>
          </cell>
          <cell r="F365">
            <v>0</v>
          </cell>
          <cell r="G365">
            <v>558599646.74000001</v>
          </cell>
          <cell r="H365">
            <v>54839216.880000003</v>
          </cell>
          <cell r="I365">
            <v>503760429.86000001</v>
          </cell>
        </row>
        <row r="366">
          <cell r="C366">
            <v>512010</v>
          </cell>
          <cell r="D366" t="str">
            <v>JUL2025512010</v>
          </cell>
          <cell r="E366" t="str">
            <v>Arrendamiento Construcciones y Edificaciones Administración</v>
          </cell>
          <cell r="F366">
            <v>0</v>
          </cell>
          <cell r="G366">
            <v>558478266.74000001</v>
          </cell>
          <cell r="H366">
            <v>54839216.880000003</v>
          </cell>
          <cell r="I366">
            <v>503639049.86000001</v>
          </cell>
        </row>
        <row r="367">
          <cell r="C367">
            <v>51201001</v>
          </cell>
          <cell r="D367" t="str">
            <v>JUL202551201001</v>
          </cell>
          <cell r="E367" t="str">
            <v>Arrendamiento Construcciones y Edificaciones Administración</v>
          </cell>
          <cell r="F367">
            <v>0</v>
          </cell>
          <cell r="G367">
            <v>478608976.14999998</v>
          </cell>
          <cell r="H367">
            <v>54074552</v>
          </cell>
          <cell r="I367">
            <v>424534424.14999998</v>
          </cell>
        </row>
        <row r="368">
          <cell r="C368">
            <v>51201098</v>
          </cell>
          <cell r="D368" t="str">
            <v>JUL202551201098</v>
          </cell>
          <cell r="E368" t="str">
            <v>Iva Mayor Valor Arrendamiento Construcciones y Edificaciones Administración</v>
          </cell>
          <cell r="F368">
            <v>0</v>
          </cell>
          <cell r="G368">
            <v>79869290.590000004</v>
          </cell>
          <cell r="H368">
            <v>764664.88</v>
          </cell>
          <cell r="I368">
            <v>79104625.709999993</v>
          </cell>
        </row>
        <row r="369">
          <cell r="C369">
            <v>512025</v>
          </cell>
          <cell r="D369" t="str">
            <v>JUL2025512025</v>
          </cell>
          <cell r="E369" t="str">
            <v>Arrendamiento Equipo de Computación y Comunicación Administración</v>
          </cell>
          <cell r="F369">
            <v>0</v>
          </cell>
          <cell r="G369">
            <v>121380</v>
          </cell>
          <cell r="H369">
            <v>0</v>
          </cell>
          <cell r="I369">
            <v>121380</v>
          </cell>
        </row>
        <row r="370">
          <cell r="C370">
            <v>51202501</v>
          </cell>
          <cell r="D370" t="str">
            <v>JUL202551202501</v>
          </cell>
          <cell r="E370" t="str">
            <v>Arrendamiento Equipo de Computación y Comunicación Administración</v>
          </cell>
          <cell r="F370">
            <v>0</v>
          </cell>
          <cell r="G370">
            <v>102000</v>
          </cell>
          <cell r="H370">
            <v>0</v>
          </cell>
          <cell r="I370">
            <v>102000</v>
          </cell>
        </row>
        <row r="371">
          <cell r="C371">
            <v>51202598</v>
          </cell>
          <cell r="D371" t="str">
            <v>JUL202551202598</v>
          </cell>
          <cell r="E371" t="str">
            <v>Iva Mayor Valor Arrendamiento Equipo de Computación y Comunicación Administración</v>
          </cell>
          <cell r="F371">
            <v>0</v>
          </cell>
          <cell r="G371">
            <v>19380</v>
          </cell>
          <cell r="H371">
            <v>0</v>
          </cell>
          <cell r="I371">
            <v>19380</v>
          </cell>
        </row>
        <row r="372">
          <cell r="C372">
            <v>5125</v>
          </cell>
          <cell r="D372" t="str">
            <v>JUL20255125</v>
          </cell>
          <cell r="E372" t="str">
            <v>Gastos Contribuciones y Afiliaciones Administración</v>
          </cell>
          <cell r="F372">
            <v>0</v>
          </cell>
          <cell r="G372">
            <v>92509850.790000007</v>
          </cell>
          <cell r="H372">
            <v>525621.48</v>
          </cell>
          <cell r="I372">
            <v>91984229.310000002</v>
          </cell>
        </row>
        <row r="373">
          <cell r="C373">
            <v>512505</v>
          </cell>
          <cell r="D373" t="str">
            <v>JUL2025512505</v>
          </cell>
          <cell r="E373" t="str">
            <v>Contribuciones Administración</v>
          </cell>
          <cell r="F373">
            <v>0</v>
          </cell>
          <cell r="G373">
            <v>59658750.560000002</v>
          </cell>
          <cell r="H373">
            <v>419655.48</v>
          </cell>
          <cell r="I373">
            <v>59239095.079999998</v>
          </cell>
        </row>
        <row r="374">
          <cell r="C374">
            <v>51250501</v>
          </cell>
          <cell r="D374" t="str">
            <v>JUL202551250501</v>
          </cell>
          <cell r="E374" t="str">
            <v>Contribuciones Administración</v>
          </cell>
          <cell r="F374">
            <v>0</v>
          </cell>
          <cell r="G374">
            <v>59658750.560000002</v>
          </cell>
          <cell r="H374">
            <v>419655.48</v>
          </cell>
          <cell r="I374">
            <v>59239095.079999998</v>
          </cell>
        </row>
        <row r="375">
          <cell r="C375">
            <v>512510</v>
          </cell>
          <cell r="D375" t="str">
            <v>JUL2025512510</v>
          </cell>
          <cell r="E375" t="str">
            <v>Afiliaciones y Sostenimiento Administración</v>
          </cell>
          <cell r="F375">
            <v>0</v>
          </cell>
          <cell r="G375">
            <v>32851100.23</v>
          </cell>
          <cell r="H375">
            <v>105966</v>
          </cell>
          <cell r="I375">
            <v>32745134.23</v>
          </cell>
        </row>
        <row r="376">
          <cell r="C376">
            <v>51251001</v>
          </cell>
          <cell r="D376" t="str">
            <v>JUL202551251001</v>
          </cell>
          <cell r="E376" t="str">
            <v>Afiliaciones y Sostenimiento Administración</v>
          </cell>
          <cell r="F376">
            <v>0</v>
          </cell>
          <cell r="G376">
            <v>32851100.23</v>
          </cell>
          <cell r="H376">
            <v>105966</v>
          </cell>
          <cell r="I376">
            <v>32745134.23</v>
          </cell>
        </row>
        <row r="377">
          <cell r="C377">
            <v>5130</v>
          </cell>
          <cell r="D377" t="str">
            <v>JUL20255130</v>
          </cell>
          <cell r="E377" t="str">
            <v>Gastos Seguros Administración</v>
          </cell>
          <cell r="F377">
            <v>0</v>
          </cell>
          <cell r="G377">
            <v>91009550.219999999</v>
          </cell>
          <cell r="H377">
            <v>0</v>
          </cell>
          <cell r="I377">
            <v>91009550.219999999</v>
          </cell>
        </row>
        <row r="378">
          <cell r="C378">
            <v>513005</v>
          </cell>
          <cell r="D378" t="str">
            <v>JUL2025513005</v>
          </cell>
          <cell r="E378" t="str">
            <v>Seguros Manejo Administración</v>
          </cell>
          <cell r="F378">
            <v>0</v>
          </cell>
          <cell r="G378">
            <v>598192</v>
          </cell>
          <cell r="H378">
            <v>0</v>
          </cell>
          <cell r="I378">
            <v>598192</v>
          </cell>
        </row>
        <row r="379">
          <cell r="C379">
            <v>51300501</v>
          </cell>
          <cell r="D379" t="str">
            <v>JUL202551300501</v>
          </cell>
          <cell r="E379" t="str">
            <v>Seguros Manejo Administración</v>
          </cell>
          <cell r="F379">
            <v>0</v>
          </cell>
          <cell r="G379">
            <v>598192</v>
          </cell>
          <cell r="H379">
            <v>0</v>
          </cell>
          <cell r="I379">
            <v>598192</v>
          </cell>
        </row>
        <row r="380">
          <cell r="C380">
            <v>513010</v>
          </cell>
          <cell r="D380" t="str">
            <v>JUL2025513010</v>
          </cell>
          <cell r="E380" t="str">
            <v>Seguros Cumplimiento Administración</v>
          </cell>
          <cell r="F380">
            <v>0</v>
          </cell>
          <cell r="G380">
            <v>8685974.2200000007</v>
          </cell>
          <cell r="H380">
            <v>0</v>
          </cell>
          <cell r="I380">
            <v>8685974.2200000007</v>
          </cell>
        </row>
        <row r="381">
          <cell r="C381">
            <v>51301001</v>
          </cell>
          <cell r="D381" t="str">
            <v>JUL202551301001</v>
          </cell>
          <cell r="E381" t="str">
            <v>Seguros Cumplimiento Administración</v>
          </cell>
          <cell r="F381">
            <v>0</v>
          </cell>
          <cell r="G381">
            <v>8685974.2200000007</v>
          </cell>
          <cell r="H381">
            <v>0</v>
          </cell>
          <cell r="I381">
            <v>8685974.2200000007</v>
          </cell>
        </row>
        <row r="382">
          <cell r="C382">
            <v>513060</v>
          </cell>
          <cell r="D382" t="str">
            <v>JUL2025513060</v>
          </cell>
          <cell r="E382" t="str">
            <v>Seguros Responsabilidad Civil Administración</v>
          </cell>
          <cell r="F382">
            <v>0</v>
          </cell>
          <cell r="G382">
            <v>11140030</v>
          </cell>
          <cell r="H382">
            <v>0</v>
          </cell>
          <cell r="I382">
            <v>11140030</v>
          </cell>
        </row>
        <row r="383">
          <cell r="C383">
            <v>51306001</v>
          </cell>
          <cell r="D383" t="str">
            <v>JUL202551306001</v>
          </cell>
          <cell r="E383" t="str">
            <v>Seguros Responsabilidad Civil Administración</v>
          </cell>
          <cell r="F383">
            <v>0</v>
          </cell>
          <cell r="G383">
            <v>11140030</v>
          </cell>
          <cell r="H383">
            <v>0</v>
          </cell>
          <cell r="I383">
            <v>11140030</v>
          </cell>
        </row>
        <row r="384">
          <cell r="C384">
            <v>513095</v>
          </cell>
          <cell r="D384" t="str">
            <v>JUL2025513095</v>
          </cell>
          <cell r="E384" t="str">
            <v>Otros Seguros administración</v>
          </cell>
          <cell r="F384">
            <v>0</v>
          </cell>
          <cell r="G384">
            <v>70585354</v>
          </cell>
          <cell r="H384">
            <v>0</v>
          </cell>
          <cell r="I384">
            <v>70585354</v>
          </cell>
        </row>
        <row r="385">
          <cell r="C385">
            <v>51309501</v>
          </cell>
          <cell r="D385" t="str">
            <v>JUL202551309501</v>
          </cell>
          <cell r="E385" t="str">
            <v>Poliza complicaciones</v>
          </cell>
          <cell r="F385">
            <v>0</v>
          </cell>
          <cell r="G385">
            <v>70585354</v>
          </cell>
          <cell r="H385">
            <v>0</v>
          </cell>
          <cell r="I385">
            <v>70585354</v>
          </cell>
        </row>
        <row r="386">
          <cell r="C386">
            <v>5135</v>
          </cell>
          <cell r="D386" t="str">
            <v>JUL20255135</v>
          </cell>
          <cell r="E386" t="str">
            <v>Gastos Servicios Administración</v>
          </cell>
          <cell r="F386">
            <v>0</v>
          </cell>
          <cell r="G386">
            <v>301209568.31</v>
          </cell>
          <cell r="H386">
            <v>46720414.619999997</v>
          </cell>
          <cell r="I386">
            <v>254489153.69</v>
          </cell>
        </row>
        <row r="387">
          <cell r="C387">
            <v>513525</v>
          </cell>
          <cell r="D387" t="str">
            <v>JUL2025513525</v>
          </cell>
          <cell r="E387" t="str">
            <v>Servicios Acueducto y Alcantarillado Administración</v>
          </cell>
          <cell r="F387">
            <v>0</v>
          </cell>
          <cell r="G387">
            <v>4099301.48</v>
          </cell>
          <cell r="H387">
            <v>0</v>
          </cell>
          <cell r="I387">
            <v>4099301.48</v>
          </cell>
        </row>
        <row r="388">
          <cell r="C388">
            <v>51352501</v>
          </cell>
          <cell r="D388" t="str">
            <v>JUL202551352501</v>
          </cell>
          <cell r="E388" t="str">
            <v>Servicios Acueducto y Alcantarillado Administración</v>
          </cell>
          <cell r="F388">
            <v>0</v>
          </cell>
          <cell r="G388">
            <v>4099301.48</v>
          </cell>
          <cell r="H388">
            <v>0</v>
          </cell>
          <cell r="I388">
            <v>4099301.48</v>
          </cell>
        </row>
        <row r="389">
          <cell r="C389">
            <v>513530</v>
          </cell>
          <cell r="D389" t="str">
            <v>JUL2025513530</v>
          </cell>
          <cell r="E389" t="str">
            <v>Servicios Energía Eléctrica Administración</v>
          </cell>
          <cell r="F389">
            <v>0</v>
          </cell>
          <cell r="G389">
            <v>33645902.770000003</v>
          </cell>
          <cell r="H389">
            <v>5533172</v>
          </cell>
          <cell r="I389">
            <v>28112730.77</v>
          </cell>
        </row>
        <row r="390">
          <cell r="C390">
            <v>51353001</v>
          </cell>
          <cell r="D390" t="str">
            <v>JUL202551353001</v>
          </cell>
          <cell r="E390" t="str">
            <v>Servicios Energía Eléctrica Administración</v>
          </cell>
          <cell r="F390">
            <v>0</v>
          </cell>
          <cell r="G390">
            <v>33645902.770000003</v>
          </cell>
          <cell r="H390">
            <v>5533172</v>
          </cell>
          <cell r="I390">
            <v>28112730.77</v>
          </cell>
        </row>
        <row r="391">
          <cell r="C391">
            <v>513535</v>
          </cell>
          <cell r="D391" t="str">
            <v>JUL2025513535</v>
          </cell>
          <cell r="E391" t="str">
            <v>Servicios Telefonía e Internet Administración</v>
          </cell>
          <cell r="F391">
            <v>0</v>
          </cell>
          <cell r="G391">
            <v>9358066.1400000006</v>
          </cell>
          <cell r="H391">
            <v>0</v>
          </cell>
          <cell r="I391">
            <v>9358066.1400000006</v>
          </cell>
        </row>
        <row r="392">
          <cell r="C392">
            <v>51353501</v>
          </cell>
          <cell r="D392" t="str">
            <v>JUL202551353501</v>
          </cell>
          <cell r="E392" t="str">
            <v>Servicios Telefonía Fija Administración</v>
          </cell>
          <cell r="F392">
            <v>0</v>
          </cell>
          <cell r="G392">
            <v>2030428.92</v>
          </cell>
          <cell r="H392">
            <v>0</v>
          </cell>
          <cell r="I392">
            <v>2030428.92</v>
          </cell>
        </row>
        <row r="393">
          <cell r="C393">
            <v>51353502</v>
          </cell>
          <cell r="D393" t="str">
            <v>JUL202551353502</v>
          </cell>
          <cell r="E393" t="str">
            <v>Servicios Telefonía Móvil Administración</v>
          </cell>
          <cell r="F393">
            <v>0</v>
          </cell>
          <cell r="G393">
            <v>538263.18999999994</v>
          </cell>
          <cell r="H393">
            <v>0</v>
          </cell>
          <cell r="I393">
            <v>538263.18999999994</v>
          </cell>
        </row>
        <row r="394">
          <cell r="C394">
            <v>51353503</v>
          </cell>
          <cell r="D394" t="str">
            <v>JUL202551353503</v>
          </cell>
          <cell r="E394" t="str">
            <v>Servicios de Internet Administración</v>
          </cell>
          <cell r="F394">
            <v>0</v>
          </cell>
          <cell r="G394">
            <v>5420324.5099999998</v>
          </cell>
          <cell r="H394">
            <v>0</v>
          </cell>
          <cell r="I394">
            <v>5420324.5099999998</v>
          </cell>
        </row>
        <row r="395">
          <cell r="C395">
            <v>51353598</v>
          </cell>
          <cell r="D395" t="str">
            <v>JUL202551353598</v>
          </cell>
          <cell r="E395" t="str">
            <v>Iva Mayor Valor Servicios Telefonía e Internet Administración</v>
          </cell>
          <cell r="F395">
            <v>0</v>
          </cell>
          <cell r="G395">
            <v>1369049.52</v>
          </cell>
          <cell r="H395">
            <v>0</v>
          </cell>
          <cell r="I395">
            <v>1369049.52</v>
          </cell>
        </row>
        <row r="396">
          <cell r="C396">
            <v>513550</v>
          </cell>
          <cell r="D396" t="str">
            <v>JUL2025513550</v>
          </cell>
          <cell r="E396" t="str">
            <v>Servicios Transporte, Fletes y Acarreo Administración</v>
          </cell>
          <cell r="F396">
            <v>0</v>
          </cell>
          <cell r="G396">
            <v>5721669.1699999999</v>
          </cell>
          <cell r="H396">
            <v>107999</v>
          </cell>
          <cell r="I396">
            <v>5613670.1699999999</v>
          </cell>
        </row>
        <row r="397">
          <cell r="C397">
            <v>51355001</v>
          </cell>
          <cell r="D397" t="str">
            <v>JUL202551355001</v>
          </cell>
          <cell r="E397" t="str">
            <v>Servicios Transporte, Fletes y Acarreo Administración</v>
          </cell>
          <cell r="F397">
            <v>0</v>
          </cell>
          <cell r="G397">
            <v>5570253.4800000004</v>
          </cell>
          <cell r="H397">
            <v>107999</v>
          </cell>
          <cell r="I397">
            <v>5462254.4800000004</v>
          </cell>
        </row>
        <row r="398">
          <cell r="C398">
            <v>51355098</v>
          </cell>
          <cell r="D398" t="str">
            <v>JUL202551355098</v>
          </cell>
          <cell r="E398" t="str">
            <v>Iva Mayor Valor Servicios Transporte, Fletes y Acarreo Administración</v>
          </cell>
          <cell r="F398">
            <v>0</v>
          </cell>
          <cell r="G398">
            <v>151415.69</v>
          </cell>
          <cell r="H398">
            <v>0</v>
          </cell>
          <cell r="I398">
            <v>151415.69</v>
          </cell>
        </row>
        <row r="399">
          <cell r="C399">
            <v>513595</v>
          </cell>
          <cell r="D399" t="str">
            <v>JUL2025513595</v>
          </cell>
          <cell r="E399" t="str">
            <v>Otros Servicios Administración</v>
          </cell>
          <cell r="F399">
            <v>0</v>
          </cell>
          <cell r="G399">
            <v>248384628.75</v>
          </cell>
          <cell r="H399">
            <v>41079243.619999997</v>
          </cell>
          <cell r="I399">
            <v>207305385.13</v>
          </cell>
        </row>
        <row r="400">
          <cell r="C400">
            <v>51359502</v>
          </cell>
          <cell r="D400" t="str">
            <v>JUL202551359502</v>
          </cell>
          <cell r="E400" t="str">
            <v>Mensajeria</v>
          </cell>
          <cell r="F400">
            <v>0</v>
          </cell>
          <cell r="G400">
            <v>648700</v>
          </cell>
          <cell r="H400">
            <v>0</v>
          </cell>
          <cell r="I400">
            <v>648700</v>
          </cell>
        </row>
        <row r="401">
          <cell r="C401">
            <v>51359503</v>
          </cell>
          <cell r="D401" t="str">
            <v>JUL202551359503</v>
          </cell>
          <cell r="E401" t="str">
            <v>Licencias</v>
          </cell>
          <cell r="F401">
            <v>0</v>
          </cell>
          <cell r="G401">
            <v>30887238.059999999</v>
          </cell>
          <cell r="H401">
            <v>1233894.81</v>
          </cell>
          <cell r="I401">
            <v>29653343.25</v>
          </cell>
        </row>
        <row r="402">
          <cell r="C402">
            <v>51359504</v>
          </cell>
          <cell r="D402" t="str">
            <v>JUL202551359504</v>
          </cell>
          <cell r="E402" t="str">
            <v>Publicidad</v>
          </cell>
          <cell r="F402">
            <v>0</v>
          </cell>
          <cell r="G402">
            <v>201249131.74000001</v>
          </cell>
          <cell r="H402">
            <v>39845348.810000002</v>
          </cell>
          <cell r="I402">
            <v>161403782.93000001</v>
          </cell>
        </row>
        <row r="403">
          <cell r="C403">
            <v>51359510</v>
          </cell>
          <cell r="D403" t="str">
            <v>JUL202551359510</v>
          </cell>
          <cell r="E403" t="str">
            <v>Servicio intermediación plataforma digital</v>
          </cell>
          <cell r="F403">
            <v>0</v>
          </cell>
          <cell r="G403">
            <v>362000</v>
          </cell>
          <cell r="H403">
            <v>0</v>
          </cell>
          <cell r="I403">
            <v>362000</v>
          </cell>
        </row>
        <row r="404">
          <cell r="C404">
            <v>51359598</v>
          </cell>
          <cell r="D404" t="str">
            <v>JUL202551359598</v>
          </cell>
          <cell r="E404" t="str">
            <v>Iva Mayor Valor Otros Servicios Administración</v>
          </cell>
          <cell r="F404">
            <v>0</v>
          </cell>
          <cell r="G404">
            <v>15237558.949999999</v>
          </cell>
          <cell r="H404">
            <v>0</v>
          </cell>
          <cell r="I404">
            <v>15237558.949999999</v>
          </cell>
        </row>
        <row r="405">
          <cell r="C405">
            <v>5140</v>
          </cell>
          <cell r="D405" t="str">
            <v>JUL20255140</v>
          </cell>
          <cell r="E405" t="str">
            <v>Gastos Legales Administración</v>
          </cell>
          <cell r="F405">
            <v>0</v>
          </cell>
          <cell r="G405">
            <v>5839200.2800000003</v>
          </cell>
          <cell r="H405">
            <v>0</v>
          </cell>
          <cell r="I405">
            <v>5839200.2800000003</v>
          </cell>
        </row>
        <row r="406">
          <cell r="C406">
            <v>514010</v>
          </cell>
          <cell r="D406" t="str">
            <v>JUL2025514010</v>
          </cell>
          <cell r="E406" t="str">
            <v>Gastos Legales Registro Mercantil Administración</v>
          </cell>
          <cell r="F406">
            <v>0</v>
          </cell>
          <cell r="G406">
            <v>5310100</v>
          </cell>
          <cell r="H406">
            <v>0</v>
          </cell>
          <cell r="I406">
            <v>5310100</v>
          </cell>
        </row>
        <row r="407">
          <cell r="C407">
            <v>51401001</v>
          </cell>
          <cell r="D407" t="str">
            <v>JUL202551401001</v>
          </cell>
          <cell r="E407" t="str">
            <v>Gastos Legales Registro Mercantil Administración</v>
          </cell>
          <cell r="F407">
            <v>0</v>
          </cell>
          <cell r="G407">
            <v>5310100</v>
          </cell>
          <cell r="H407">
            <v>0</v>
          </cell>
          <cell r="I407">
            <v>5310100</v>
          </cell>
        </row>
        <row r="408">
          <cell r="C408">
            <v>514015</v>
          </cell>
          <cell r="D408" t="str">
            <v>JUL2025514015</v>
          </cell>
          <cell r="E408" t="str">
            <v>Gastos Legales Trámites y Licencias Administración</v>
          </cell>
          <cell r="F408">
            <v>0</v>
          </cell>
          <cell r="G408">
            <v>482700.28</v>
          </cell>
          <cell r="H408">
            <v>0</v>
          </cell>
          <cell r="I408">
            <v>482700.28</v>
          </cell>
        </row>
        <row r="409">
          <cell r="C409">
            <v>51401501</v>
          </cell>
          <cell r="D409" t="str">
            <v>JUL202551401501</v>
          </cell>
          <cell r="E409" t="str">
            <v>Gastos Legales Trámites y Licencias Administración</v>
          </cell>
          <cell r="F409">
            <v>0</v>
          </cell>
          <cell r="G409">
            <v>456212</v>
          </cell>
          <cell r="H409">
            <v>0</v>
          </cell>
          <cell r="I409">
            <v>456212</v>
          </cell>
        </row>
        <row r="410">
          <cell r="C410">
            <v>51401598</v>
          </cell>
          <cell r="D410" t="str">
            <v>JUL202551401598</v>
          </cell>
          <cell r="E410" t="str">
            <v>Iva Mayor Valor Gastos Legales Trámites y Licencias Administración</v>
          </cell>
          <cell r="F410">
            <v>0</v>
          </cell>
          <cell r="G410">
            <v>26488.28</v>
          </cell>
          <cell r="H410">
            <v>0</v>
          </cell>
          <cell r="I410">
            <v>26488.28</v>
          </cell>
        </row>
        <row r="411">
          <cell r="C411">
            <v>5140950102</v>
          </cell>
          <cell r="D411" t="str">
            <v>JUL20255140950102</v>
          </cell>
          <cell r="E411" t="str">
            <v>Certificado de existencia</v>
          </cell>
          <cell r="F411">
            <v>0</v>
          </cell>
          <cell r="G411">
            <v>46400</v>
          </cell>
          <cell r="H411">
            <v>0</v>
          </cell>
          <cell r="I411">
            <v>46400</v>
          </cell>
        </row>
        <row r="412">
          <cell r="C412">
            <v>5145</v>
          </cell>
          <cell r="D412" t="str">
            <v>JUL20255145</v>
          </cell>
          <cell r="E412" t="str">
            <v>Gastos Mantenimiento Administración</v>
          </cell>
          <cell r="F412">
            <v>0</v>
          </cell>
          <cell r="G412">
            <v>175745655.5</v>
          </cell>
          <cell r="H412">
            <v>4949488</v>
          </cell>
          <cell r="I412">
            <v>170796167.5</v>
          </cell>
        </row>
        <row r="413">
          <cell r="C413">
            <v>514510</v>
          </cell>
          <cell r="D413" t="str">
            <v>JUL2025514510</v>
          </cell>
          <cell r="E413" t="str">
            <v>Mantenimiento Construcciones y Edificaciones Administración</v>
          </cell>
          <cell r="F413">
            <v>0</v>
          </cell>
          <cell r="G413">
            <v>17885308.140000001</v>
          </cell>
          <cell r="H413">
            <v>0</v>
          </cell>
          <cell r="I413">
            <v>17885308.140000001</v>
          </cell>
        </row>
        <row r="414">
          <cell r="C414">
            <v>51451001</v>
          </cell>
          <cell r="D414" t="str">
            <v>JUL202551451001</v>
          </cell>
          <cell r="E414" t="str">
            <v>Mantenimiento Construcciones y Edificaciones Administración Servicios</v>
          </cell>
          <cell r="F414">
            <v>0</v>
          </cell>
          <cell r="G414">
            <v>635253.38</v>
          </cell>
          <cell r="H414">
            <v>0</v>
          </cell>
          <cell r="I414">
            <v>635253.38</v>
          </cell>
        </row>
        <row r="415">
          <cell r="C415">
            <v>51451002</v>
          </cell>
          <cell r="D415" t="str">
            <v>JUL202551451002</v>
          </cell>
          <cell r="E415" t="str">
            <v>Mantenimiento Construcciones y Edificaciones Administración compras</v>
          </cell>
          <cell r="F415">
            <v>0</v>
          </cell>
          <cell r="G415">
            <v>14861114.869999999</v>
          </cell>
          <cell r="H415">
            <v>0</v>
          </cell>
          <cell r="I415">
            <v>14861114.869999999</v>
          </cell>
        </row>
        <row r="416">
          <cell r="C416">
            <v>51451098</v>
          </cell>
          <cell r="D416" t="str">
            <v>JUL202551451098</v>
          </cell>
          <cell r="E416" t="str">
            <v>Iva Mayor Valor Mantenimiento Construcciones y Edificaciones servicios</v>
          </cell>
          <cell r="F416">
            <v>0</v>
          </cell>
          <cell r="G416">
            <v>2388939.89</v>
          </cell>
          <cell r="H416">
            <v>0</v>
          </cell>
          <cell r="I416">
            <v>2388939.89</v>
          </cell>
        </row>
        <row r="417">
          <cell r="C417">
            <v>514515</v>
          </cell>
          <cell r="D417" t="str">
            <v>JUL2025514515</v>
          </cell>
          <cell r="E417" t="str">
            <v>Mantenimiento Maquinaria y Equipo Administración</v>
          </cell>
          <cell r="F417">
            <v>0</v>
          </cell>
          <cell r="G417">
            <v>148338556.88</v>
          </cell>
          <cell r="H417">
            <v>4949488</v>
          </cell>
          <cell r="I417">
            <v>143389068.88</v>
          </cell>
        </row>
        <row r="418">
          <cell r="C418">
            <v>51451501</v>
          </cell>
          <cell r="D418" t="str">
            <v>JUL202551451501</v>
          </cell>
          <cell r="E418" t="str">
            <v>Mantenimiento Maquinaria y Equipo Servicios</v>
          </cell>
          <cell r="F418">
            <v>0</v>
          </cell>
          <cell r="G418">
            <v>118970560</v>
          </cell>
          <cell r="H418">
            <v>4949488</v>
          </cell>
          <cell r="I418">
            <v>114021072</v>
          </cell>
        </row>
        <row r="419">
          <cell r="C419">
            <v>51451502</v>
          </cell>
          <cell r="D419" t="str">
            <v>JUL202551451502</v>
          </cell>
          <cell r="E419" t="str">
            <v>Mantenimiento Maquinaria y Equipo Compras</v>
          </cell>
          <cell r="F419">
            <v>0</v>
          </cell>
          <cell r="G419">
            <v>6135433.4800000004</v>
          </cell>
          <cell r="H419">
            <v>0</v>
          </cell>
          <cell r="I419">
            <v>6135433.4800000004</v>
          </cell>
        </row>
        <row r="420">
          <cell r="C420">
            <v>51451598</v>
          </cell>
          <cell r="D420" t="str">
            <v>JUL202551451598</v>
          </cell>
          <cell r="E420" t="str">
            <v>Iva Mayor Valor Mantenimiento Maquinaria y Equipo servicios</v>
          </cell>
          <cell r="F420">
            <v>0</v>
          </cell>
          <cell r="G420">
            <v>23207483.399999999</v>
          </cell>
          <cell r="H420">
            <v>0</v>
          </cell>
          <cell r="I420">
            <v>23207483.399999999</v>
          </cell>
        </row>
        <row r="421">
          <cell r="C421">
            <v>51451599</v>
          </cell>
          <cell r="D421" t="str">
            <v>JUL202551451599</v>
          </cell>
          <cell r="E421" t="str">
            <v>Iva Mayor Valor Mantenimiento Maquinaria y Equipo compras</v>
          </cell>
          <cell r="F421">
            <v>0</v>
          </cell>
          <cell r="G421">
            <v>25080</v>
          </cell>
          <cell r="H421">
            <v>0</v>
          </cell>
          <cell r="I421">
            <v>25080</v>
          </cell>
        </row>
        <row r="422">
          <cell r="C422">
            <v>514520</v>
          </cell>
          <cell r="D422" t="str">
            <v>JUL2025514520</v>
          </cell>
          <cell r="E422" t="str">
            <v>Mantenimiento Equipo de Oficina Administración</v>
          </cell>
          <cell r="F422">
            <v>0</v>
          </cell>
          <cell r="G422">
            <v>1014233.04</v>
          </cell>
          <cell r="H422">
            <v>0</v>
          </cell>
          <cell r="I422">
            <v>1014233.04</v>
          </cell>
        </row>
        <row r="423">
          <cell r="C423">
            <v>51452001</v>
          </cell>
          <cell r="D423" t="str">
            <v>JUL202551452001</v>
          </cell>
          <cell r="E423" t="str">
            <v>Mantenimiento Equipo de Oficina Administración</v>
          </cell>
          <cell r="F423">
            <v>0</v>
          </cell>
          <cell r="G423">
            <v>985616</v>
          </cell>
          <cell r="H423">
            <v>0</v>
          </cell>
          <cell r="I423">
            <v>985616</v>
          </cell>
        </row>
        <row r="424">
          <cell r="C424">
            <v>51452098</v>
          </cell>
          <cell r="D424" t="str">
            <v>JUL202551452098</v>
          </cell>
          <cell r="E424" t="str">
            <v>Iva Mayor Valor Mantenimiento Equipo de Oficina Administración</v>
          </cell>
          <cell r="F424">
            <v>0</v>
          </cell>
          <cell r="G424">
            <v>28617.040000000001</v>
          </cell>
          <cell r="H424">
            <v>0</v>
          </cell>
          <cell r="I424">
            <v>28617.040000000001</v>
          </cell>
        </row>
        <row r="425">
          <cell r="C425">
            <v>514525</v>
          </cell>
          <cell r="D425" t="str">
            <v>JUL2025514525</v>
          </cell>
          <cell r="E425" t="str">
            <v>Mantenimiento Equipo de Computación y Comunicación Administración</v>
          </cell>
          <cell r="F425">
            <v>0</v>
          </cell>
          <cell r="G425">
            <v>8507557.4399999995</v>
          </cell>
          <cell r="H425">
            <v>0</v>
          </cell>
          <cell r="I425">
            <v>8507557.4399999995</v>
          </cell>
        </row>
        <row r="426">
          <cell r="C426">
            <v>51452501</v>
          </cell>
          <cell r="D426" t="str">
            <v>JUL202551452501</v>
          </cell>
          <cell r="E426" t="str">
            <v>Mantenimiento Equipo de Computación y Comunicación Servicios</v>
          </cell>
          <cell r="F426">
            <v>0</v>
          </cell>
          <cell r="G426">
            <v>6790793.2300000004</v>
          </cell>
          <cell r="H426">
            <v>0</v>
          </cell>
          <cell r="I426">
            <v>6790793.2300000004</v>
          </cell>
        </row>
        <row r="427">
          <cell r="C427">
            <v>51452502</v>
          </cell>
          <cell r="D427" t="str">
            <v>JUL202551452502</v>
          </cell>
          <cell r="E427" t="str">
            <v>Mantenimiento Equipo de Computación y Comunicación Compras</v>
          </cell>
          <cell r="F427">
            <v>0</v>
          </cell>
          <cell r="G427">
            <v>701000</v>
          </cell>
          <cell r="H427">
            <v>0</v>
          </cell>
          <cell r="I427">
            <v>701000</v>
          </cell>
        </row>
        <row r="428">
          <cell r="C428">
            <v>51452598</v>
          </cell>
          <cell r="D428" t="str">
            <v>JUL202551452598</v>
          </cell>
          <cell r="E428" t="str">
            <v>Iva Mayor Valor Mantenimiento Equipo de Computación y Com servicios</v>
          </cell>
          <cell r="F428">
            <v>0</v>
          </cell>
          <cell r="G428">
            <v>1015764.21</v>
          </cell>
          <cell r="H428">
            <v>0</v>
          </cell>
          <cell r="I428">
            <v>1015764.21</v>
          </cell>
        </row>
        <row r="429">
          <cell r="C429">
            <v>5155</v>
          </cell>
          <cell r="D429" t="str">
            <v>JUL20255155</v>
          </cell>
          <cell r="E429" t="str">
            <v>Gastos de Viaje Administración</v>
          </cell>
          <cell r="F429">
            <v>0</v>
          </cell>
          <cell r="G429">
            <v>810813</v>
          </cell>
          <cell r="H429">
            <v>0</v>
          </cell>
          <cell r="I429">
            <v>810813</v>
          </cell>
        </row>
        <row r="430">
          <cell r="C430">
            <v>515515</v>
          </cell>
          <cell r="D430" t="str">
            <v>JUL2025515515</v>
          </cell>
          <cell r="E430" t="str">
            <v>Gastos de Viaje Pasajes Aéreos Administración</v>
          </cell>
          <cell r="F430">
            <v>0</v>
          </cell>
          <cell r="G430">
            <v>810813</v>
          </cell>
          <cell r="H430">
            <v>0</v>
          </cell>
          <cell r="I430">
            <v>810813</v>
          </cell>
        </row>
        <row r="431">
          <cell r="C431">
            <v>51551501</v>
          </cell>
          <cell r="D431" t="str">
            <v>JUL202551551501</v>
          </cell>
          <cell r="E431" t="str">
            <v>Gastos de Viaje Pasajes Aéreos Administración</v>
          </cell>
          <cell r="F431">
            <v>0</v>
          </cell>
          <cell r="G431">
            <v>810813</v>
          </cell>
          <cell r="H431">
            <v>0</v>
          </cell>
          <cell r="I431">
            <v>810813</v>
          </cell>
        </row>
        <row r="432">
          <cell r="C432">
            <v>5160</v>
          </cell>
          <cell r="D432" t="str">
            <v>JUL20255160</v>
          </cell>
          <cell r="E432" t="str">
            <v>Gastos Depreciaciones Administración</v>
          </cell>
          <cell r="F432">
            <v>0</v>
          </cell>
          <cell r="G432">
            <v>249105084</v>
          </cell>
          <cell r="H432">
            <v>0</v>
          </cell>
          <cell r="I432">
            <v>249105084</v>
          </cell>
        </row>
        <row r="433">
          <cell r="C433">
            <v>516005</v>
          </cell>
          <cell r="D433" t="str">
            <v>JUL2025516005</v>
          </cell>
          <cell r="E433" t="str">
            <v>Depreciación Construcciones y Edificaciones Administración</v>
          </cell>
          <cell r="F433">
            <v>0</v>
          </cell>
          <cell r="G433">
            <v>60941034</v>
          </cell>
          <cell r="H433">
            <v>0</v>
          </cell>
          <cell r="I433">
            <v>60941034</v>
          </cell>
        </row>
        <row r="434">
          <cell r="C434">
            <v>51600501</v>
          </cell>
          <cell r="D434" t="str">
            <v>JUL202551600501</v>
          </cell>
          <cell r="E434" t="str">
            <v>Depreciación Construcciones y Edificaciones Administración</v>
          </cell>
          <cell r="F434">
            <v>0</v>
          </cell>
          <cell r="G434">
            <v>60941034</v>
          </cell>
          <cell r="H434">
            <v>0</v>
          </cell>
          <cell r="I434">
            <v>60941034</v>
          </cell>
        </row>
        <row r="435">
          <cell r="C435">
            <v>516015</v>
          </cell>
          <cell r="D435" t="str">
            <v>JUL2025516015</v>
          </cell>
          <cell r="E435" t="str">
            <v>Depreciación Equipo de Oficina Administración</v>
          </cell>
          <cell r="F435">
            <v>0</v>
          </cell>
          <cell r="G435">
            <v>6241816</v>
          </cell>
          <cell r="H435">
            <v>0</v>
          </cell>
          <cell r="I435">
            <v>6241816</v>
          </cell>
        </row>
        <row r="436">
          <cell r="C436">
            <v>51601501</v>
          </cell>
          <cell r="D436" t="str">
            <v>JUL202551601501</v>
          </cell>
          <cell r="E436" t="str">
            <v>Depreciación Equipo de Oficina Administración</v>
          </cell>
          <cell r="F436">
            <v>0</v>
          </cell>
          <cell r="G436">
            <v>6241816</v>
          </cell>
          <cell r="H436">
            <v>0</v>
          </cell>
          <cell r="I436">
            <v>6241816</v>
          </cell>
        </row>
        <row r="437">
          <cell r="C437">
            <v>516020</v>
          </cell>
          <cell r="D437" t="str">
            <v>JUL2025516020</v>
          </cell>
          <cell r="E437" t="str">
            <v>Depreciación Equipo de Cómputo y Comunicación Administración</v>
          </cell>
          <cell r="F437">
            <v>0</v>
          </cell>
          <cell r="G437">
            <v>7965808</v>
          </cell>
          <cell r="H437">
            <v>0</v>
          </cell>
          <cell r="I437">
            <v>7965808</v>
          </cell>
        </row>
        <row r="438">
          <cell r="C438">
            <v>51602001</v>
          </cell>
          <cell r="D438" t="str">
            <v>JUL202551602001</v>
          </cell>
          <cell r="E438" t="str">
            <v>Depreciación Equipo de Cómputo y Comunicación Administración</v>
          </cell>
          <cell r="F438">
            <v>0</v>
          </cell>
          <cell r="G438">
            <v>7965808</v>
          </cell>
          <cell r="H438">
            <v>0</v>
          </cell>
          <cell r="I438">
            <v>7965808</v>
          </cell>
        </row>
        <row r="439">
          <cell r="C439">
            <v>516030</v>
          </cell>
          <cell r="D439" t="str">
            <v>JUL2025516030</v>
          </cell>
          <cell r="E439" t="str">
            <v>Depreciación Equipos Médicos</v>
          </cell>
          <cell r="F439">
            <v>0</v>
          </cell>
          <cell r="G439">
            <v>173956426</v>
          </cell>
          <cell r="H439">
            <v>0</v>
          </cell>
          <cell r="I439">
            <v>173956426</v>
          </cell>
        </row>
        <row r="440">
          <cell r="C440">
            <v>51603001</v>
          </cell>
          <cell r="D440" t="str">
            <v>JUL202551603001</v>
          </cell>
          <cell r="E440" t="str">
            <v>Depreciación Equipos Médicos</v>
          </cell>
          <cell r="F440">
            <v>0</v>
          </cell>
          <cell r="G440">
            <v>173956426</v>
          </cell>
          <cell r="H440">
            <v>0</v>
          </cell>
          <cell r="I440">
            <v>173956426</v>
          </cell>
        </row>
        <row r="441">
          <cell r="C441">
            <v>5165</v>
          </cell>
          <cell r="D441" t="str">
            <v>JUL20255165</v>
          </cell>
          <cell r="E441" t="str">
            <v>Amortizaciones</v>
          </cell>
          <cell r="F441">
            <v>0</v>
          </cell>
          <cell r="G441">
            <v>35191527.780000001</v>
          </cell>
          <cell r="H441">
            <v>0</v>
          </cell>
          <cell r="I441">
            <v>35191527.780000001</v>
          </cell>
        </row>
        <row r="442">
          <cell r="C442">
            <v>516515</v>
          </cell>
          <cell r="D442" t="str">
            <v>JUL2025516515</v>
          </cell>
          <cell r="E442" t="str">
            <v>Cargos diferidos</v>
          </cell>
          <cell r="F442">
            <v>0</v>
          </cell>
          <cell r="G442">
            <v>35191527.780000001</v>
          </cell>
          <cell r="H442">
            <v>0</v>
          </cell>
          <cell r="I442">
            <v>35191527.780000001</v>
          </cell>
        </row>
        <row r="443">
          <cell r="C443">
            <v>51651501</v>
          </cell>
          <cell r="D443" t="str">
            <v>JUL202551651501</v>
          </cell>
          <cell r="E443" t="str">
            <v>Intereses</v>
          </cell>
          <cell r="F443">
            <v>0</v>
          </cell>
          <cell r="G443">
            <v>31108535</v>
          </cell>
          <cell r="H443">
            <v>0</v>
          </cell>
          <cell r="I443">
            <v>31108535</v>
          </cell>
        </row>
        <row r="444">
          <cell r="C444">
            <v>51651502</v>
          </cell>
          <cell r="D444" t="str">
            <v>JUL202551651502</v>
          </cell>
          <cell r="E444" t="str">
            <v>Licencias</v>
          </cell>
          <cell r="F444">
            <v>0</v>
          </cell>
          <cell r="G444">
            <v>1283252</v>
          </cell>
          <cell r="H444">
            <v>0</v>
          </cell>
          <cell r="I444">
            <v>1283252</v>
          </cell>
        </row>
        <row r="445">
          <cell r="C445">
            <v>51651503</v>
          </cell>
          <cell r="D445" t="str">
            <v>JUL202551651503</v>
          </cell>
          <cell r="E445" t="str">
            <v>Seguros</v>
          </cell>
          <cell r="F445">
            <v>0</v>
          </cell>
          <cell r="G445">
            <v>2799740.78</v>
          </cell>
          <cell r="H445">
            <v>0</v>
          </cell>
          <cell r="I445">
            <v>2799740.78</v>
          </cell>
        </row>
        <row r="446">
          <cell r="C446">
            <v>5195</v>
          </cell>
          <cell r="D446" t="str">
            <v>JUL20255195</v>
          </cell>
          <cell r="E446" t="str">
            <v>Gastos Diversos Administración</v>
          </cell>
          <cell r="F446">
            <v>0</v>
          </cell>
          <cell r="G446">
            <v>55093098.719999999</v>
          </cell>
          <cell r="H446">
            <v>2313473.38</v>
          </cell>
          <cell r="I446">
            <v>52779625.340000004</v>
          </cell>
        </row>
        <row r="447">
          <cell r="C447">
            <v>519505</v>
          </cell>
          <cell r="D447" t="str">
            <v>JUL2025519505</v>
          </cell>
          <cell r="E447" t="str">
            <v>Gastos Diversos Comisiones Administración</v>
          </cell>
          <cell r="F447">
            <v>0</v>
          </cell>
          <cell r="G447">
            <v>763150</v>
          </cell>
          <cell r="H447">
            <v>0</v>
          </cell>
          <cell r="I447">
            <v>763150</v>
          </cell>
        </row>
        <row r="448">
          <cell r="C448">
            <v>51950501</v>
          </cell>
          <cell r="D448" t="str">
            <v>JUL202551950501</v>
          </cell>
          <cell r="E448" t="str">
            <v>Gastos Diversos Comisiones Administración</v>
          </cell>
          <cell r="F448">
            <v>0</v>
          </cell>
          <cell r="G448">
            <v>714225</v>
          </cell>
          <cell r="H448">
            <v>0</v>
          </cell>
          <cell r="I448">
            <v>714225</v>
          </cell>
        </row>
        <row r="449">
          <cell r="C449">
            <v>51950598</v>
          </cell>
          <cell r="D449" t="str">
            <v>JUL202551950598</v>
          </cell>
          <cell r="E449" t="str">
            <v>Iva Mayor Valor Gastos Diversos Comisiones Administración</v>
          </cell>
          <cell r="F449">
            <v>0</v>
          </cell>
          <cell r="G449">
            <v>48925</v>
          </cell>
          <cell r="H449">
            <v>0</v>
          </cell>
          <cell r="I449">
            <v>48925</v>
          </cell>
        </row>
        <row r="450">
          <cell r="C450">
            <v>519520</v>
          </cell>
          <cell r="D450" t="str">
            <v>JUL2025519520</v>
          </cell>
          <cell r="E450" t="str">
            <v>Gastos Diversos de Representación y Relaciones Públicas Administración</v>
          </cell>
          <cell r="F450">
            <v>0</v>
          </cell>
          <cell r="G450">
            <v>6986242.9900000002</v>
          </cell>
          <cell r="H450">
            <v>14735</v>
          </cell>
          <cell r="I450">
            <v>6971507.9900000002</v>
          </cell>
        </row>
        <row r="451">
          <cell r="C451">
            <v>51952001</v>
          </cell>
          <cell r="D451" t="str">
            <v>JUL202551952001</v>
          </cell>
          <cell r="E451" t="str">
            <v>Gastos Diversos de Representación y Relaciones Públicas Administración</v>
          </cell>
          <cell r="F451">
            <v>0</v>
          </cell>
          <cell r="G451">
            <v>6865220.8600000003</v>
          </cell>
          <cell r="H451">
            <v>14735</v>
          </cell>
          <cell r="I451">
            <v>6850485.8600000003</v>
          </cell>
        </row>
        <row r="452">
          <cell r="C452">
            <v>51952098</v>
          </cell>
          <cell r="D452" t="str">
            <v>JUL202551952098</v>
          </cell>
          <cell r="E452" t="str">
            <v>Iva Mayor Valor Gastos Diversos de Representación y Relaciones Públicas Administración</v>
          </cell>
          <cell r="F452">
            <v>0</v>
          </cell>
          <cell r="G452">
            <v>121022.13</v>
          </cell>
          <cell r="H452">
            <v>0</v>
          </cell>
          <cell r="I452">
            <v>121022.13</v>
          </cell>
        </row>
        <row r="453">
          <cell r="C453">
            <v>519525</v>
          </cell>
          <cell r="D453" t="str">
            <v>JUL2025519525</v>
          </cell>
          <cell r="E453" t="str">
            <v>Gastos Diversos Elementos de Aseo y Cafetería Administración</v>
          </cell>
          <cell r="F453">
            <v>0</v>
          </cell>
          <cell r="G453">
            <v>33277773.309999999</v>
          </cell>
          <cell r="H453">
            <v>2081840.65</v>
          </cell>
          <cell r="I453">
            <v>31195932.66</v>
          </cell>
        </row>
        <row r="454">
          <cell r="C454">
            <v>51952501</v>
          </cell>
          <cell r="D454" t="str">
            <v>JUL202551952501</v>
          </cell>
          <cell r="E454" t="str">
            <v>Gastos Diversos Elementos de Aseo y Cafetería gravado</v>
          </cell>
          <cell r="F454">
            <v>0</v>
          </cell>
          <cell r="G454">
            <v>26264309.699999999</v>
          </cell>
          <cell r="H454">
            <v>1779031.12</v>
          </cell>
          <cell r="I454">
            <v>24485278.579999998</v>
          </cell>
        </row>
        <row r="455">
          <cell r="C455">
            <v>51952502</v>
          </cell>
          <cell r="D455" t="str">
            <v>JUL202551952502</v>
          </cell>
          <cell r="E455" t="str">
            <v>Gatsos diversos elementos de aseo y cafeteria no gravado</v>
          </cell>
          <cell r="F455">
            <v>0</v>
          </cell>
          <cell r="G455">
            <v>2768163.23</v>
          </cell>
          <cell r="H455">
            <v>16657</v>
          </cell>
          <cell r="I455">
            <v>2751506.23</v>
          </cell>
        </row>
        <row r="456">
          <cell r="C456">
            <v>51952598</v>
          </cell>
          <cell r="D456" t="str">
            <v>JUL202551952598</v>
          </cell>
          <cell r="E456" t="str">
            <v>Iva Mayor Valor Gastos Diversos Elementos de Aseo y Cafetería gravado</v>
          </cell>
          <cell r="F456">
            <v>0</v>
          </cell>
          <cell r="G456">
            <v>4245300.38</v>
          </cell>
          <cell r="H456">
            <v>286152.53000000003</v>
          </cell>
          <cell r="I456">
            <v>3959147.85</v>
          </cell>
        </row>
        <row r="457">
          <cell r="C457">
            <v>519530</v>
          </cell>
          <cell r="D457" t="str">
            <v>JUL2025519530</v>
          </cell>
          <cell r="E457" t="str">
            <v>Gastos Diversos Útiles, Papelería y Fotocopias Administración</v>
          </cell>
          <cell r="F457">
            <v>0</v>
          </cell>
          <cell r="G457">
            <v>3520328.37</v>
          </cell>
          <cell r="H457">
            <v>216897.73</v>
          </cell>
          <cell r="I457">
            <v>3303430.64</v>
          </cell>
        </row>
        <row r="458">
          <cell r="C458">
            <v>51953001</v>
          </cell>
          <cell r="D458" t="str">
            <v>JUL202551953001</v>
          </cell>
          <cell r="E458" t="str">
            <v>Gastos Diversos Útiles, Papelería y Fotocopias Administración</v>
          </cell>
          <cell r="F458">
            <v>0</v>
          </cell>
          <cell r="G458">
            <v>3298455</v>
          </cell>
          <cell r="H458">
            <v>188397.73</v>
          </cell>
          <cell r="I458">
            <v>3110057.27</v>
          </cell>
        </row>
        <row r="459">
          <cell r="C459">
            <v>51953098</v>
          </cell>
          <cell r="D459" t="str">
            <v>JUL202551953098</v>
          </cell>
          <cell r="E459" t="str">
            <v>Iva Mayo Valor Gastos Diversos Útiles, Papelería y Fotocopias Administración</v>
          </cell>
          <cell r="F459">
            <v>0</v>
          </cell>
          <cell r="G459">
            <v>221873.37</v>
          </cell>
          <cell r="H459">
            <v>28500</v>
          </cell>
          <cell r="I459">
            <v>193373.37</v>
          </cell>
        </row>
        <row r="460">
          <cell r="C460">
            <v>519545</v>
          </cell>
          <cell r="D460" t="str">
            <v>JUL2025519545</v>
          </cell>
          <cell r="E460" t="str">
            <v>Gastos Diversos Taxis y Buses Administración</v>
          </cell>
          <cell r="F460">
            <v>0</v>
          </cell>
          <cell r="G460">
            <v>1614950</v>
          </cell>
          <cell r="H460">
            <v>0</v>
          </cell>
          <cell r="I460">
            <v>1614950</v>
          </cell>
        </row>
        <row r="461">
          <cell r="C461">
            <v>51954501</v>
          </cell>
          <cell r="D461" t="str">
            <v>JUL202551954501</v>
          </cell>
          <cell r="E461" t="str">
            <v>Gastos Diversos Taxis y Buses Administración</v>
          </cell>
          <cell r="F461">
            <v>0</v>
          </cell>
          <cell r="G461">
            <v>1614950</v>
          </cell>
          <cell r="H461">
            <v>0</v>
          </cell>
          <cell r="I461">
            <v>1614950</v>
          </cell>
        </row>
        <row r="462">
          <cell r="C462">
            <v>519560</v>
          </cell>
          <cell r="D462" t="str">
            <v>JUL2025519560</v>
          </cell>
          <cell r="E462" t="str">
            <v>Gastos Diversos Casino y Restaurante Administración</v>
          </cell>
          <cell r="F462">
            <v>0</v>
          </cell>
          <cell r="G462">
            <v>2784171.74</v>
          </cell>
          <cell r="H462">
            <v>0</v>
          </cell>
          <cell r="I462">
            <v>2784171.74</v>
          </cell>
        </row>
        <row r="463">
          <cell r="C463">
            <v>51956001</v>
          </cell>
          <cell r="D463" t="str">
            <v>JUL202551956001</v>
          </cell>
          <cell r="E463" t="str">
            <v>Gastos Diversos Casino y Restaurante Administración</v>
          </cell>
          <cell r="F463">
            <v>0</v>
          </cell>
          <cell r="G463">
            <v>2784171.74</v>
          </cell>
          <cell r="H463">
            <v>0</v>
          </cell>
          <cell r="I463">
            <v>2784171.74</v>
          </cell>
        </row>
        <row r="464">
          <cell r="C464">
            <v>519565</v>
          </cell>
          <cell r="D464" t="str">
            <v>JUL2025519565</v>
          </cell>
          <cell r="E464" t="str">
            <v>Gastos Diversos Parqueaderos Administración</v>
          </cell>
          <cell r="F464">
            <v>0</v>
          </cell>
          <cell r="G464">
            <v>222000</v>
          </cell>
          <cell r="H464">
            <v>0</v>
          </cell>
          <cell r="I464">
            <v>222000</v>
          </cell>
        </row>
        <row r="465">
          <cell r="C465">
            <v>51956501</v>
          </cell>
          <cell r="D465" t="str">
            <v>JUL202551956501</v>
          </cell>
          <cell r="E465" t="str">
            <v>Gastos Diversos Parqueaderos Administración</v>
          </cell>
          <cell r="F465">
            <v>0</v>
          </cell>
          <cell r="G465">
            <v>222000</v>
          </cell>
          <cell r="H465">
            <v>0</v>
          </cell>
          <cell r="I465">
            <v>222000</v>
          </cell>
        </row>
        <row r="466">
          <cell r="C466">
            <v>519595</v>
          </cell>
          <cell r="D466" t="str">
            <v>JUL2025519595</v>
          </cell>
          <cell r="E466" t="str">
            <v>Otros Gastos Diversos</v>
          </cell>
          <cell r="F466">
            <v>0</v>
          </cell>
          <cell r="G466">
            <v>5924482.3099999996</v>
          </cell>
          <cell r="H466">
            <v>0</v>
          </cell>
          <cell r="I466">
            <v>5924482.3099999996</v>
          </cell>
        </row>
        <row r="467">
          <cell r="C467">
            <v>51959504</v>
          </cell>
          <cell r="D467" t="str">
            <v>JUL202551959504</v>
          </cell>
          <cell r="E467" t="str">
            <v>Activos menores</v>
          </cell>
          <cell r="F467">
            <v>0</v>
          </cell>
          <cell r="G467">
            <v>5046986.51</v>
          </cell>
          <cell r="H467">
            <v>0</v>
          </cell>
          <cell r="I467">
            <v>5046986.51</v>
          </cell>
        </row>
        <row r="468">
          <cell r="C468">
            <v>51959598</v>
          </cell>
          <cell r="D468" t="str">
            <v>JUL202551959598</v>
          </cell>
          <cell r="E468" t="str">
            <v>Iva Mayor Valor Otros Gastos</v>
          </cell>
          <cell r="F468">
            <v>0</v>
          </cell>
          <cell r="G468">
            <v>877495.8</v>
          </cell>
          <cell r="H468">
            <v>0</v>
          </cell>
          <cell r="I468">
            <v>877495.8</v>
          </cell>
        </row>
        <row r="469">
          <cell r="C469">
            <v>53</v>
          </cell>
          <cell r="D469" t="str">
            <v>JUL202553</v>
          </cell>
          <cell r="E469" t="str">
            <v>Gastos No Operacionales</v>
          </cell>
          <cell r="F469">
            <v>0</v>
          </cell>
          <cell r="G469">
            <v>147270447.75999999</v>
          </cell>
          <cell r="H469">
            <v>17838066.859999999</v>
          </cell>
          <cell r="I469">
            <v>129432380.90000001</v>
          </cell>
        </row>
        <row r="470">
          <cell r="C470">
            <v>5305</v>
          </cell>
          <cell r="D470" t="str">
            <v>JUL20255305</v>
          </cell>
          <cell r="E470" t="str">
            <v>Gastos No Operacionales Financieros</v>
          </cell>
          <cell r="F470">
            <v>0</v>
          </cell>
          <cell r="G470">
            <v>145747909.09</v>
          </cell>
          <cell r="H470">
            <v>16366528.289999999</v>
          </cell>
          <cell r="I470">
            <v>129381380.8</v>
          </cell>
        </row>
        <row r="471">
          <cell r="C471">
            <v>530505</v>
          </cell>
          <cell r="D471" t="str">
            <v>JUL2025530505</v>
          </cell>
          <cell r="E471" t="str">
            <v>Gastos Bancarios</v>
          </cell>
          <cell r="F471">
            <v>0</v>
          </cell>
          <cell r="G471">
            <v>788096.6</v>
          </cell>
          <cell r="H471">
            <v>0</v>
          </cell>
          <cell r="I471">
            <v>788096.6</v>
          </cell>
        </row>
        <row r="472">
          <cell r="C472">
            <v>53050501</v>
          </cell>
          <cell r="D472" t="str">
            <v>JUL202553050501</v>
          </cell>
          <cell r="E472" t="str">
            <v>Gastos Bancarios</v>
          </cell>
          <cell r="F472">
            <v>0</v>
          </cell>
          <cell r="G472">
            <v>719476.2</v>
          </cell>
          <cell r="H472">
            <v>0</v>
          </cell>
          <cell r="I472">
            <v>719476.2</v>
          </cell>
        </row>
        <row r="473">
          <cell r="C473">
            <v>53050598</v>
          </cell>
          <cell r="D473" t="str">
            <v>JUL202553050598</v>
          </cell>
          <cell r="E473" t="str">
            <v>Iva mayor valor gastos bancarios</v>
          </cell>
          <cell r="F473">
            <v>0</v>
          </cell>
          <cell r="G473">
            <v>68620.399999999994</v>
          </cell>
          <cell r="H473">
            <v>0</v>
          </cell>
          <cell r="I473">
            <v>68620.399999999994</v>
          </cell>
        </row>
        <row r="474">
          <cell r="C474">
            <v>530515</v>
          </cell>
          <cell r="D474" t="str">
            <v>JUL2025530515</v>
          </cell>
          <cell r="E474" t="str">
            <v>Gastos por Comisiones</v>
          </cell>
          <cell r="F474">
            <v>0</v>
          </cell>
          <cell r="G474">
            <v>67315143.760000005</v>
          </cell>
          <cell r="H474">
            <v>7453776.4000000004</v>
          </cell>
          <cell r="I474">
            <v>59861367.359999999</v>
          </cell>
        </row>
        <row r="475">
          <cell r="C475">
            <v>53051501</v>
          </cell>
          <cell r="D475" t="str">
            <v>JUL202553051501</v>
          </cell>
          <cell r="E475" t="str">
            <v>Gastos por Comisiones</v>
          </cell>
          <cell r="F475">
            <v>0</v>
          </cell>
          <cell r="G475">
            <v>66652697.359999999</v>
          </cell>
          <cell r="H475">
            <v>7453776.4000000004</v>
          </cell>
          <cell r="I475">
            <v>59198920.960000001</v>
          </cell>
        </row>
        <row r="476">
          <cell r="C476">
            <v>53051598</v>
          </cell>
          <cell r="D476" t="str">
            <v>JUL202553051598</v>
          </cell>
          <cell r="E476" t="str">
            <v>Iva mayor valor comisiones</v>
          </cell>
          <cell r="F476">
            <v>0</v>
          </cell>
          <cell r="G476">
            <v>662446.4</v>
          </cell>
          <cell r="H476">
            <v>0</v>
          </cell>
          <cell r="I476">
            <v>662446.4</v>
          </cell>
        </row>
        <row r="477">
          <cell r="C477">
            <v>530520</v>
          </cell>
          <cell r="D477" t="str">
            <v>JUL2025530520</v>
          </cell>
          <cell r="E477" t="str">
            <v>Gastos por Intereses</v>
          </cell>
          <cell r="F477">
            <v>0</v>
          </cell>
          <cell r="G477">
            <v>76604111.189999998</v>
          </cell>
          <cell r="H477">
            <v>8894962.8900000006</v>
          </cell>
          <cell r="I477">
            <v>67709148.299999997</v>
          </cell>
        </row>
        <row r="478">
          <cell r="C478">
            <v>53052001</v>
          </cell>
          <cell r="D478" t="str">
            <v>JUL202553052001</v>
          </cell>
          <cell r="E478" t="str">
            <v>Gastos por Intereses</v>
          </cell>
          <cell r="F478">
            <v>0</v>
          </cell>
          <cell r="G478">
            <v>76321360.599999994</v>
          </cell>
          <cell r="H478">
            <v>8894159</v>
          </cell>
          <cell r="I478">
            <v>67427201.599999994</v>
          </cell>
        </row>
        <row r="479">
          <cell r="C479">
            <v>53052098</v>
          </cell>
          <cell r="D479" t="str">
            <v>JUL202553052098</v>
          </cell>
          <cell r="E479" t="str">
            <v>Iva mayor valor Gasto por intereses</v>
          </cell>
          <cell r="F479">
            <v>0</v>
          </cell>
          <cell r="G479">
            <v>282750.59000000003</v>
          </cell>
          <cell r="H479">
            <v>803.89</v>
          </cell>
          <cell r="I479">
            <v>281946.7</v>
          </cell>
        </row>
        <row r="480">
          <cell r="C480">
            <v>530595</v>
          </cell>
          <cell r="D480" t="str">
            <v>JUL2025530595</v>
          </cell>
          <cell r="E480" t="str">
            <v>Otros Gastos Financieros</v>
          </cell>
          <cell r="F480">
            <v>0</v>
          </cell>
          <cell r="G480">
            <v>1040557.54</v>
          </cell>
          <cell r="H480">
            <v>17789</v>
          </cell>
          <cell r="I480">
            <v>1022768.54</v>
          </cell>
        </row>
        <row r="481">
          <cell r="C481">
            <v>53059501</v>
          </cell>
          <cell r="D481" t="str">
            <v>JUL202553059501</v>
          </cell>
          <cell r="E481" t="str">
            <v>Intereses de mora</v>
          </cell>
          <cell r="F481">
            <v>0</v>
          </cell>
          <cell r="G481">
            <v>974059.11</v>
          </cell>
          <cell r="H481">
            <v>15278</v>
          </cell>
          <cell r="I481">
            <v>958781.11</v>
          </cell>
        </row>
        <row r="482">
          <cell r="C482">
            <v>53059502</v>
          </cell>
          <cell r="D482" t="str">
            <v>JUL202553059502</v>
          </cell>
          <cell r="E482" t="str">
            <v>Intereses sobregiro</v>
          </cell>
          <cell r="F482">
            <v>0</v>
          </cell>
          <cell r="G482">
            <v>5022</v>
          </cell>
          <cell r="H482">
            <v>2511</v>
          </cell>
          <cell r="I482">
            <v>2511</v>
          </cell>
        </row>
        <row r="483">
          <cell r="C483">
            <v>53059598</v>
          </cell>
          <cell r="D483" t="str">
            <v>JUL202553059598</v>
          </cell>
          <cell r="E483" t="str">
            <v>Iva Mayor Valor Otros Gastos Financieros</v>
          </cell>
          <cell r="F483">
            <v>0</v>
          </cell>
          <cell r="G483">
            <v>61476.43</v>
          </cell>
          <cell r="H483">
            <v>0</v>
          </cell>
          <cell r="I483">
            <v>61476.43</v>
          </cell>
        </row>
        <row r="484">
          <cell r="C484">
            <v>5315</v>
          </cell>
          <cell r="D484" t="str">
            <v>JUL20255315</v>
          </cell>
          <cell r="E484" t="str">
            <v>Gastos Extraordinarios</v>
          </cell>
          <cell r="F484">
            <v>0</v>
          </cell>
          <cell r="G484">
            <v>216723.43</v>
          </cell>
          <cell r="H484">
            <v>0</v>
          </cell>
          <cell r="I484">
            <v>216723.43</v>
          </cell>
        </row>
        <row r="485">
          <cell r="C485">
            <v>531515</v>
          </cell>
          <cell r="D485" t="str">
            <v>JUL2025531515</v>
          </cell>
          <cell r="E485" t="str">
            <v>Costos y Gastos de Ejercicios Anteriores</v>
          </cell>
          <cell r="F485">
            <v>0</v>
          </cell>
          <cell r="G485">
            <v>216723.43</v>
          </cell>
          <cell r="H485">
            <v>0</v>
          </cell>
          <cell r="I485">
            <v>216723.43</v>
          </cell>
        </row>
        <row r="486">
          <cell r="C486">
            <v>53151501</v>
          </cell>
          <cell r="D486" t="str">
            <v>JUL202553151501</v>
          </cell>
          <cell r="E486" t="str">
            <v>Costos y Gastos de Ejercicios Anteriores</v>
          </cell>
          <cell r="F486">
            <v>0</v>
          </cell>
          <cell r="G486">
            <v>216723.43</v>
          </cell>
          <cell r="H486">
            <v>0</v>
          </cell>
          <cell r="I486">
            <v>216723.43</v>
          </cell>
        </row>
        <row r="487">
          <cell r="C487">
            <v>5395</v>
          </cell>
          <cell r="D487" t="str">
            <v>JUL20255395</v>
          </cell>
          <cell r="E487" t="str">
            <v>Gastos Diversos</v>
          </cell>
          <cell r="F487">
            <v>0</v>
          </cell>
          <cell r="G487">
            <v>1305815.24</v>
          </cell>
          <cell r="H487">
            <v>1471538.57</v>
          </cell>
          <cell r="I487">
            <v>-165723.32999999999</v>
          </cell>
        </row>
        <row r="488">
          <cell r="C488">
            <v>539520</v>
          </cell>
          <cell r="D488" t="str">
            <v>JUL2025539520</v>
          </cell>
          <cell r="E488" t="str">
            <v>Multas, Sanciones y Litigios</v>
          </cell>
          <cell r="F488">
            <v>0</v>
          </cell>
          <cell r="G488">
            <v>1184000</v>
          </cell>
          <cell r="H488">
            <v>0</v>
          </cell>
          <cell r="I488">
            <v>1184000</v>
          </cell>
        </row>
        <row r="489">
          <cell r="C489">
            <v>53952001</v>
          </cell>
          <cell r="D489" t="str">
            <v>JUL202553952001</v>
          </cell>
          <cell r="E489" t="str">
            <v>Multas, Sanciones y Litigios</v>
          </cell>
          <cell r="F489">
            <v>0</v>
          </cell>
          <cell r="G489">
            <v>1184000</v>
          </cell>
          <cell r="H489">
            <v>0</v>
          </cell>
          <cell r="I489">
            <v>1184000</v>
          </cell>
        </row>
        <row r="490">
          <cell r="C490">
            <v>539595</v>
          </cell>
          <cell r="D490" t="str">
            <v>JUL2025539595</v>
          </cell>
          <cell r="E490" t="str">
            <v>Otros Gastos No Operacionales Diversos</v>
          </cell>
          <cell r="F490">
            <v>0</v>
          </cell>
          <cell r="G490">
            <v>121815.24</v>
          </cell>
          <cell r="H490">
            <v>1471538.57</v>
          </cell>
          <cell r="I490">
            <v>-1349723.33</v>
          </cell>
        </row>
        <row r="491">
          <cell r="C491">
            <v>53959501</v>
          </cell>
          <cell r="D491" t="str">
            <v>JUL202553959501</v>
          </cell>
          <cell r="E491" t="str">
            <v>Gastos no deducibles</v>
          </cell>
          <cell r="F491">
            <v>0</v>
          </cell>
          <cell r="G491">
            <v>24200</v>
          </cell>
          <cell r="H491">
            <v>0</v>
          </cell>
          <cell r="I491">
            <v>24200</v>
          </cell>
        </row>
        <row r="492">
          <cell r="C492">
            <v>53959502</v>
          </cell>
          <cell r="D492" t="str">
            <v>JUL202553959502</v>
          </cell>
          <cell r="E492" t="str">
            <v>Ajuste al peso</v>
          </cell>
          <cell r="F492">
            <v>0</v>
          </cell>
          <cell r="G492">
            <v>104.24</v>
          </cell>
          <cell r="H492">
            <v>77.569999999999993</v>
          </cell>
          <cell r="I492">
            <v>26.67</v>
          </cell>
        </row>
        <row r="493">
          <cell r="C493">
            <v>53959503</v>
          </cell>
          <cell r="D493" t="str">
            <v>JUL202553959503</v>
          </cell>
          <cell r="E493" t="str">
            <v>Costos y gastos ejercios anteriores</v>
          </cell>
          <cell r="F493">
            <v>0</v>
          </cell>
          <cell r="G493">
            <v>97511</v>
          </cell>
          <cell r="H493">
            <v>1471461</v>
          </cell>
          <cell r="I493">
            <v>-1373950</v>
          </cell>
        </row>
        <row r="494">
          <cell r="C494">
            <v>6</v>
          </cell>
          <cell r="D494" t="str">
            <v>JUL20256</v>
          </cell>
          <cell r="E494" t="str">
            <v>Costo de Ventas y Prestación de Servicios</v>
          </cell>
          <cell r="F494">
            <v>0</v>
          </cell>
          <cell r="G494">
            <v>4662925324.4099998</v>
          </cell>
          <cell r="H494">
            <v>283362380.01999998</v>
          </cell>
          <cell r="I494">
            <v>4379562944.3900003</v>
          </cell>
        </row>
        <row r="495">
          <cell r="C495">
            <v>62</v>
          </cell>
          <cell r="D495" t="str">
            <v>JUL202562</v>
          </cell>
          <cell r="E495" t="str">
            <v>Compras de Inventario o Mercancías</v>
          </cell>
          <cell r="F495">
            <v>0</v>
          </cell>
          <cell r="G495">
            <v>4662925324.4099998</v>
          </cell>
          <cell r="H495">
            <v>283362380.01999998</v>
          </cell>
          <cell r="I495">
            <v>4379562944.3900003</v>
          </cell>
        </row>
        <row r="496">
          <cell r="C496">
            <v>6210</v>
          </cell>
          <cell r="D496" t="str">
            <v>JUL20256210</v>
          </cell>
          <cell r="E496" t="str">
            <v>Honorarios quirofano</v>
          </cell>
          <cell r="F496">
            <v>0</v>
          </cell>
          <cell r="G496">
            <v>2586312381</v>
          </cell>
          <cell r="H496">
            <v>120623503</v>
          </cell>
          <cell r="I496">
            <v>2465688878</v>
          </cell>
        </row>
        <row r="497">
          <cell r="C497">
            <v>621010</v>
          </cell>
          <cell r="D497" t="str">
            <v>JUL2025621010</v>
          </cell>
          <cell r="E497" t="str">
            <v>Honorarios quirofano</v>
          </cell>
          <cell r="F497">
            <v>0</v>
          </cell>
          <cell r="G497">
            <v>2586312381</v>
          </cell>
          <cell r="H497">
            <v>120623503</v>
          </cell>
          <cell r="I497">
            <v>2465688878</v>
          </cell>
        </row>
        <row r="498">
          <cell r="C498">
            <v>62101001</v>
          </cell>
          <cell r="D498" t="str">
            <v>JUL202562101001</v>
          </cell>
          <cell r="E498" t="str">
            <v>Honorarios Oftalmologia</v>
          </cell>
          <cell r="F498">
            <v>0</v>
          </cell>
          <cell r="G498">
            <v>2324271609</v>
          </cell>
          <cell r="H498">
            <v>89073503</v>
          </cell>
          <cell r="I498">
            <v>2235198106</v>
          </cell>
        </row>
        <row r="499">
          <cell r="C499">
            <v>62101002</v>
          </cell>
          <cell r="D499" t="str">
            <v>JUL202562101002</v>
          </cell>
          <cell r="E499" t="str">
            <v>Honorarios Instrumentador</v>
          </cell>
          <cell r="F499">
            <v>0</v>
          </cell>
          <cell r="G499">
            <v>46240772</v>
          </cell>
          <cell r="H499">
            <v>0</v>
          </cell>
          <cell r="I499">
            <v>46240772</v>
          </cell>
        </row>
        <row r="500">
          <cell r="C500">
            <v>62101003</v>
          </cell>
          <cell r="D500" t="str">
            <v>JUL202562101003</v>
          </cell>
          <cell r="E500" t="str">
            <v>Honorarios Anestesiologia</v>
          </cell>
          <cell r="F500">
            <v>0</v>
          </cell>
          <cell r="G500">
            <v>215800000</v>
          </cell>
          <cell r="H500">
            <v>31550000</v>
          </cell>
          <cell r="I500">
            <v>184250000</v>
          </cell>
        </row>
        <row r="501">
          <cell r="C501">
            <v>6220</v>
          </cell>
          <cell r="D501" t="str">
            <v>JUL20256220</v>
          </cell>
          <cell r="E501" t="str">
            <v>Arrendamientos</v>
          </cell>
          <cell r="F501">
            <v>0</v>
          </cell>
          <cell r="G501">
            <v>33320000</v>
          </cell>
          <cell r="H501">
            <v>0</v>
          </cell>
          <cell r="I501">
            <v>33320000</v>
          </cell>
        </row>
        <row r="502">
          <cell r="C502">
            <v>62201001</v>
          </cell>
          <cell r="D502" t="str">
            <v>JUL202562201001</v>
          </cell>
          <cell r="E502" t="str">
            <v>Arrendamiento equipos</v>
          </cell>
          <cell r="F502">
            <v>0</v>
          </cell>
          <cell r="G502">
            <v>28760000</v>
          </cell>
          <cell r="H502">
            <v>0</v>
          </cell>
          <cell r="I502">
            <v>28760000</v>
          </cell>
        </row>
        <row r="503">
          <cell r="C503">
            <v>62201098</v>
          </cell>
          <cell r="D503" t="str">
            <v>JUL202562201098</v>
          </cell>
          <cell r="E503" t="str">
            <v>Iva Mayor Valor Arrendamiento equipos</v>
          </cell>
          <cell r="F503">
            <v>0</v>
          </cell>
          <cell r="G503">
            <v>4560000</v>
          </cell>
          <cell r="H503">
            <v>0</v>
          </cell>
          <cell r="I503">
            <v>4560000</v>
          </cell>
        </row>
        <row r="504">
          <cell r="C504">
            <v>6235</v>
          </cell>
          <cell r="D504" t="str">
            <v>JUL20256235</v>
          </cell>
          <cell r="E504" t="str">
            <v>Gastos de servicio asistencial</v>
          </cell>
          <cell r="F504">
            <v>0</v>
          </cell>
          <cell r="G504">
            <v>121823266.92</v>
          </cell>
          <cell r="H504">
            <v>6194101.3300000001</v>
          </cell>
          <cell r="I504">
            <v>115629165.59</v>
          </cell>
        </row>
        <row r="505">
          <cell r="C505">
            <v>623595</v>
          </cell>
          <cell r="D505" t="str">
            <v>JUL2025623595</v>
          </cell>
          <cell r="E505" t="str">
            <v>Otros servicios quirófano</v>
          </cell>
          <cell r="F505">
            <v>0</v>
          </cell>
          <cell r="G505">
            <v>121823266.92</v>
          </cell>
          <cell r="H505">
            <v>6194101.3300000001</v>
          </cell>
          <cell r="I505">
            <v>115629165.59</v>
          </cell>
        </row>
        <row r="506">
          <cell r="C506">
            <v>62359501</v>
          </cell>
          <cell r="D506" t="str">
            <v>JUL202562359501</v>
          </cell>
          <cell r="E506" t="str">
            <v>Muestras laboratorio</v>
          </cell>
          <cell r="F506">
            <v>0</v>
          </cell>
          <cell r="G506">
            <v>403520</v>
          </cell>
          <cell r="H506">
            <v>123758.81</v>
          </cell>
          <cell r="I506">
            <v>279761.19</v>
          </cell>
        </row>
        <row r="507">
          <cell r="C507">
            <v>62359502</v>
          </cell>
          <cell r="D507" t="str">
            <v>JUL202562359502</v>
          </cell>
          <cell r="E507" t="str">
            <v>Servicio de lavanderia</v>
          </cell>
          <cell r="F507">
            <v>0</v>
          </cell>
          <cell r="G507">
            <v>41216383</v>
          </cell>
          <cell r="H507">
            <v>5438171.1799999997</v>
          </cell>
          <cell r="I507">
            <v>35778211.82</v>
          </cell>
        </row>
        <row r="508">
          <cell r="C508">
            <v>62359503</v>
          </cell>
          <cell r="D508" t="str">
            <v>JUL202562359503</v>
          </cell>
          <cell r="E508" t="str">
            <v>Servicio de esterilizacion</v>
          </cell>
          <cell r="F508">
            <v>0</v>
          </cell>
          <cell r="G508">
            <v>64255342.780000001</v>
          </cell>
          <cell r="H508">
            <v>0</v>
          </cell>
          <cell r="I508">
            <v>64255342.780000001</v>
          </cell>
        </row>
        <row r="509">
          <cell r="C509">
            <v>62359598</v>
          </cell>
          <cell r="D509" t="str">
            <v>JUL202562359598</v>
          </cell>
          <cell r="E509" t="str">
            <v>Iva mayor valor Otros servicios quirofano</v>
          </cell>
          <cell r="F509">
            <v>0</v>
          </cell>
          <cell r="G509">
            <v>15948021.140000001</v>
          </cell>
          <cell r="H509">
            <v>632171.34</v>
          </cell>
          <cell r="I509">
            <v>15315849.800000001</v>
          </cell>
        </row>
        <row r="510">
          <cell r="C510">
            <v>6245</v>
          </cell>
          <cell r="D510" t="str">
            <v>JUL20256245</v>
          </cell>
          <cell r="E510" t="str">
            <v>Prestacion de servicios</v>
          </cell>
          <cell r="F510">
            <v>0</v>
          </cell>
          <cell r="G510">
            <v>1921469676.49</v>
          </cell>
          <cell r="H510">
            <v>156544775.69</v>
          </cell>
          <cell r="I510">
            <v>1764924900.8</v>
          </cell>
        </row>
        <row r="511">
          <cell r="C511">
            <v>62451001</v>
          </cell>
          <cell r="D511" t="str">
            <v>JUL202562451001</v>
          </cell>
          <cell r="E511" t="str">
            <v>Compra insumos oftalmologicos</v>
          </cell>
          <cell r="F511">
            <v>0</v>
          </cell>
          <cell r="G511">
            <v>193813005.84</v>
          </cell>
          <cell r="H511">
            <v>13788245.66</v>
          </cell>
          <cell r="I511">
            <v>180024760.18000001</v>
          </cell>
        </row>
        <row r="512">
          <cell r="C512">
            <v>62451002</v>
          </cell>
          <cell r="D512" t="str">
            <v>JUL202562451002</v>
          </cell>
          <cell r="E512" t="str">
            <v>Compra insumos no gravados</v>
          </cell>
          <cell r="F512">
            <v>0</v>
          </cell>
          <cell r="G512">
            <v>532161577.67000002</v>
          </cell>
          <cell r="H512">
            <v>23308012.550000001</v>
          </cell>
          <cell r="I512">
            <v>508853565.12</v>
          </cell>
        </row>
        <row r="513">
          <cell r="C513">
            <v>62451004</v>
          </cell>
          <cell r="D513" t="str">
            <v>JUL202562451004</v>
          </cell>
          <cell r="E513" t="str">
            <v>Disp.medicos- cigias no gravadas</v>
          </cell>
          <cell r="F513">
            <v>0</v>
          </cell>
          <cell r="G513">
            <v>177426588</v>
          </cell>
          <cell r="H513">
            <v>13216994</v>
          </cell>
          <cell r="I513">
            <v>164209594</v>
          </cell>
        </row>
        <row r="514">
          <cell r="C514">
            <v>62451006</v>
          </cell>
          <cell r="D514" t="str">
            <v>JUL202562451006</v>
          </cell>
          <cell r="E514" t="str">
            <v>Lentes de contacto</v>
          </cell>
          <cell r="F514">
            <v>0</v>
          </cell>
          <cell r="G514">
            <v>13176406</v>
          </cell>
          <cell r="H514">
            <v>0</v>
          </cell>
          <cell r="I514">
            <v>13176406</v>
          </cell>
        </row>
        <row r="515">
          <cell r="C515">
            <v>62451009</v>
          </cell>
          <cell r="D515" t="str">
            <v>JUL202562451009</v>
          </cell>
          <cell r="E515" t="str">
            <v>Lente intraocular</v>
          </cell>
          <cell r="F515">
            <v>0</v>
          </cell>
          <cell r="G515">
            <v>974361406.38</v>
          </cell>
          <cell r="H515">
            <v>105477607</v>
          </cell>
          <cell r="I515">
            <v>868883799.38</v>
          </cell>
        </row>
        <row r="516">
          <cell r="C516">
            <v>62451098</v>
          </cell>
          <cell r="D516" t="str">
            <v>JUL202562451098</v>
          </cell>
          <cell r="E516" t="str">
            <v>Iva Mayor Valor Compra Insumos Oftalmologicos</v>
          </cell>
          <cell r="F516">
            <v>0</v>
          </cell>
          <cell r="G516">
            <v>30530692.600000001</v>
          </cell>
          <cell r="H516">
            <v>753916.48</v>
          </cell>
          <cell r="I516">
            <v>29776776.120000001</v>
          </cell>
        </row>
        <row r="517">
          <cell r="C517">
            <v>7</v>
          </cell>
          <cell r="D517" t="str">
            <v>JUL20257</v>
          </cell>
          <cell r="E517" t="str">
            <v>Costos de Producción</v>
          </cell>
          <cell r="F517">
            <v>0</v>
          </cell>
          <cell r="G517">
            <v>375822939.00999999</v>
          </cell>
          <cell r="H517">
            <v>141323166</v>
          </cell>
          <cell r="I517">
            <v>234499773.00999999</v>
          </cell>
        </row>
        <row r="518">
          <cell r="C518">
            <v>72</v>
          </cell>
          <cell r="D518" t="str">
            <v>JUL202572</v>
          </cell>
          <cell r="E518" t="str">
            <v>Mano de Obra Directa</v>
          </cell>
          <cell r="F518">
            <v>0</v>
          </cell>
          <cell r="G518">
            <v>375822939.00999999</v>
          </cell>
          <cell r="H518">
            <v>141323166</v>
          </cell>
          <cell r="I518">
            <v>234499773.00999999</v>
          </cell>
        </row>
        <row r="519">
          <cell r="C519">
            <v>7205</v>
          </cell>
          <cell r="D519" t="str">
            <v>JUL20257205</v>
          </cell>
          <cell r="E519" t="str">
            <v>Gasto de Personal</v>
          </cell>
          <cell r="F519">
            <v>0</v>
          </cell>
          <cell r="G519">
            <v>375822939.00999999</v>
          </cell>
          <cell r="H519">
            <v>141323166</v>
          </cell>
          <cell r="I519">
            <v>234499773.00999999</v>
          </cell>
        </row>
        <row r="520">
          <cell r="C520">
            <v>720506</v>
          </cell>
          <cell r="D520" t="str">
            <v>JUL2025720506</v>
          </cell>
          <cell r="E520" t="str">
            <v>Sueldos</v>
          </cell>
          <cell r="F520">
            <v>0</v>
          </cell>
          <cell r="G520">
            <v>246151409</v>
          </cell>
          <cell r="H520">
            <v>90872698</v>
          </cell>
          <cell r="I520">
            <v>155278711</v>
          </cell>
        </row>
        <row r="521">
          <cell r="C521">
            <v>72050601</v>
          </cell>
          <cell r="D521" t="str">
            <v>JUL202572050601</v>
          </cell>
          <cell r="E521" t="str">
            <v>Salarios</v>
          </cell>
          <cell r="F521">
            <v>0</v>
          </cell>
          <cell r="G521">
            <v>245866709</v>
          </cell>
          <cell r="H521">
            <v>90730348</v>
          </cell>
          <cell r="I521">
            <v>155136361</v>
          </cell>
        </row>
        <row r="522">
          <cell r="C522">
            <v>72050602</v>
          </cell>
          <cell r="D522" t="str">
            <v>JUL202572050602</v>
          </cell>
          <cell r="E522" t="str">
            <v>Sueldos para Apoyo a Aprendices</v>
          </cell>
          <cell r="F522">
            <v>0</v>
          </cell>
          <cell r="G522">
            <v>284700</v>
          </cell>
          <cell r="H522">
            <v>142350</v>
          </cell>
          <cell r="I522">
            <v>142350</v>
          </cell>
        </row>
        <row r="523">
          <cell r="C523">
            <v>720515</v>
          </cell>
          <cell r="D523" t="str">
            <v>JUL2025720515</v>
          </cell>
          <cell r="E523" t="str">
            <v>Horas Extras y Recargos</v>
          </cell>
          <cell r="F523">
            <v>0</v>
          </cell>
          <cell r="G523">
            <v>374014</v>
          </cell>
          <cell r="H523">
            <v>0</v>
          </cell>
          <cell r="I523">
            <v>374014</v>
          </cell>
        </row>
        <row r="524">
          <cell r="C524">
            <v>72051501</v>
          </cell>
          <cell r="D524" t="str">
            <v>JUL202572051501</v>
          </cell>
          <cell r="E524" t="str">
            <v>Horas Extras y Recargos</v>
          </cell>
          <cell r="F524">
            <v>0</v>
          </cell>
          <cell r="G524">
            <v>374014</v>
          </cell>
          <cell r="H524">
            <v>0</v>
          </cell>
          <cell r="I524">
            <v>374014</v>
          </cell>
        </row>
        <row r="525">
          <cell r="C525">
            <v>720524</v>
          </cell>
          <cell r="D525" t="str">
            <v>JUL2025720524</v>
          </cell>
          <cell r="E525" t="str">
            <v>Incapacidades</v>
          </cell>
          <cell r="F525">
            <v>0</v>
          </cell>
          <cell r="G525">
            <v>986676</v>
          </cell>
          <cell r="H525">
            <v>0</v>
          </cell>
          <cell r="I525">
            <v>986676</v>
          </cell>
        </row>
        <row r="526">
          <cell r="C526">
            <v>72052401</v>
          </cell>
          <cell r="D526" t="str">
            <v>JUL202572052401</v>
          </cell>
          <cell r="E526" t="str">
            <v>Incapacidades</v>
          </cell>
          <cell r="F526">
            <v>0</v>
          </cell>
          <cell r="G526">
            <v>986676</v>
          </cell>
          <cell r="H526">
            <v>0</v>
          </cell>
          <cell r="I526">
            <v>986676</v>
          </cell>
        </row>
        <row r="527">
          <cell r="C527">
            <v>720527</v>
          </cell>
          <cell r="D527" t="str">
            <v>JUL2025720527</v>
          </cell>
          <cell r="E527" t="str">
            <v>Auxilio de Transporte</v>
          </cell>
          <cell r="F527">
            <v>0</v>
          </cell>
          <cell r="G527">
            <v>6599999</v>
          </cell>
          <cell r="H527">
            <v>1873333</v>
          </cell>
          <cell r="I527">
            <v>4726666</v>
          </cell>
        </row>
        <row r="528">
          <cell r="C528">
            <v>72052701</v>
          </cell>
          <cell r="D528" t="str">
            <v>JUL202572052701</v>
          </cell>
          <cell r="E528" t="str">
            <v>Auxilio de Transporte</v>
          </cell>
          <cell r="F528">
            <v>0</v>
          </cell>
          <cell r="G528">
            <v>6599999</v>
          </cell>
          <cell r="H528">
            <v>1873333</v>
          </cell>
          <cell r="I528">
            <v>4726666</v>
          </cell>
        </row>
        <row r="529">
          <cell r="C529">
            <v>720530</v>
          </cell>
          <cell r="D529" t="str">
            <v>JUL2025720530</v>
          </cell>
          <cell r="E529" t="str">
            <v>Cesantías</v>
          </cell>
          <cell r="F529">
            <v>0</v>
          </cell>
          <cell r="G529">
            <v>24358605</v>
          </cell>
          <cell r="H529">
            <v>9772375</v>
          </cell>
          <cell r="I529">
            <v>14586230</v>
          </cell>
        </row>
        <row r="530">
          <cell r="C530">
            <v>72053001</v>
          </cell>
          <cell r="D530" t="str">
            <v>JUL202572053001</v>
          </cell>
          <cell r="E530" t="str">
            <v>Cesantías</v>
          </cell>
          <cell r="F530">
            <v>0</v>
          </cell>
          <cell r="G530">
            <v>24358605</v>
          </cell>
          <cell r="H530">
            <v>9772375</v>
          </cell>
          <cell r="I530">
            <v>14586230</v>
          </cell>
        </row>
        <row r="531">
          <cell r="C531">
            <v>720533</v>
          </cell>
          <cell r="D531" t="str">
            <v>JUL2025720533</v>
          </cell>
          <cell r="E531" t="str">
            <v>Intereses Sobre Cesantías</v>
          </cell>
          <cell r="F531">
            <v>0</v>
          </cell>
          <cell r="G531">
            <v>1580680</v>
          </cell>
          <cell r="H531">
            <v>738042</v>
          </cell>
          <cell r="I531">
            <v>842638</v>
          </cell>
        </row>
        <row r="532">
          <cell r="C532">
            <v>72053301</v>
          </cell>
          <cell r="D532" t="str">
            <v>JUL202572053301</v>
          </cell>
          <cell r="E532" t="str">
            <v>Intereses sobre Cesantías</v>
          </cell>
          <cell r="F532">
            <v>0</v>
          </cell>
          <cell r="G532">
            <v>1580680</v>
          </cell>
          <cell r="H532">
            <v>738042</v>
          </cell>
          <cell r="I532">
            <v>842638</v>
          </cell>
        </row>
        <row r="533">
          <cell r="C533">
            <v>720536</v>
          </cell>
          <cell r="D533" t="str">
            <v>JUL2025720536</v>
          </cell>
          <cell r="E533" t="str">
            <v>Prima de Servicios</v>
          </cell>
          <cell r="F533">
            <v>0</v>
          </cell>
          <cell r="G533">
            <v>23981384</v>
          </cell>
          <cell r="H533">
            <v>9756125</v>
          </cell>
          <cell r="I533">
            <v>14225259</v>
          </cell>
        </row>
        <row r="534">
          <cell r="C534">
            <v>72053601</v>
          </cell>
          <cell r="D534" t="str">
            <v>JUL202572053601</v>
          </cell>
          <cell r="E534" t="str">
            <v>Prima de Servicios</v>
          </cell>
          <cell r="F534">
            <v>0</v>
          </cell>
          <cell r="G534">
            <v>23981384</v>
          </cell>
          <cell r="H534">
            <v>9756125</v>
          </cell>
          <cell r="I534">
            <v>14225259</v>
          </cell>
        </row>
        <row r="535">
          <cell r="C535">
            <v>720539</v>
          </cell>
          <cell r="D535" t="str">
            <v>JUL2025720539</v>
          </cell>
          <cell r="E535" t="str">
            <v>Vacaciones</v>
          </cell>
          <cell r="F535">
            <v>0</v>
          </cell>
          <cell r="G535">
            <v>18751281.010000002</v>
          </cell>
          <cell r="H535">
            <v>7444806</v>
          </cell>
          <cell r="I535">
            <v>11306475.01</v>
          </cell>
        </row>
        <row r="536">
          <cell r="C536">
            <v>72053901</v>
          </cell>
          <cell r="D536" t="str">
            <v>JUL202572053901</v>
          </cell>
          <cell r="E536" t="str">
            <v>Vacaciones</v>
          </cell>
          <cell r="F536">
            <v>0</v>
          </cell>
          <cell r="G536">
            <v>18751281.010000002</v>
          </cell>
          <cell r="H536">
            <v>7444806</v>
          </cell>
          <cell r="I536">
            <v>11306475.01</v>
          </cell>
        </row>
        <row r="537">
          <cell r="C537">
            <v>720545</v>
          </cell>
          <cell r="D537" t="str">
            <v>JUL2025720545</v>
          </cell>
          <cell r="E537" t="str">
            <v>Auxilios</v>
          </cell>
          <cell r="F537">
            <v>0</v>
          </cell>
          <cell r="G537">
            <v>3471333</v>
          </cell>
          <cell r="H537">
            <v>1854000</v>
          </cell>
          <cell r="I537">
            <v>1617333</v>
          </cell>
        </row>
        <row r="538">
          <cell r="C538">
            <v>72054501</v>
          </cell>
          <cell r="D538" t="str">
            <v>JUL202572054501</v>
          </cell>
          <cell r="E538" t="str">
            <v>Auxilio rodamiento</v>
          </cell>
          <cell r="F538">
            <v>0</v>
          </cell>
          <cell r="G538">
            <v>3471333</v>
          </cell>
          <cell r="H538">
            <v>1854000</v>
          </cell>
          <cell r="I538">
            <v>1617333</v>
          </cell>
        </row>
        <row r="539">
          <cell r="C539">
            <v>720548</v>
          </cell>
          <cell r="D539" t="str">
            <v>JUL2025720548</v>
          </cell>
          <cell r="E539" t="str">
            <v>Bonificaciones</v>
          </cell>
          <cell r="F539">
            <v>0</v>
          </cell>
          <cell r="G539">
            <v>3096667</v>
          </cell>
          <cell r="H539">
            <v>664000</v>
          </cell>
          <cell r="I539">
            <v>2432667</v>
          </cell>
        </row>
        <row r="540">
          <cell r="C540">
            <v>72054825</v>
          </cell>
          <cell r="D540" t="str">
            <v>JUL202572054825</v>
          </cell>
          <cell r="E540" t="str">
            <v>Bonificaciones no Constitutivas de Salario</v>
          </cell>
          <cell r="F540">
            <v>0</v>
          </cell>
          <cell r="G540">
            <v>3096667</v>
          </cell>
          <cell r="H540">
            <v>664000</v>
          </cell>
          <cell r="I540">
            <v>2432667</v>
          </cell>
        </row>
        <row r="541">
          <cell r="C541">
            <v>720568</v>
          </cell>
          <cell r="D541" t="str">
            <v>JUL2025720568</v>
          </cell>
          <cell r="E541" t="str">
            <v>Aportes Riesgos Profesionales</v>
          </cell>
          <cell r="F541">
            <v>0</v>
          </cell>
          <cell r="G541">
            <v>2725712</v>
          </cell>
          <cell r="H541">
            <v>1107712</v>
          </cell>
          <cell r="I541">
            <v>1618000</v>
          </cell>
        </row>
        <row r="542">
          <cell r="C542">
            <v>72056801</v>
          </cell>
          <cell r="D542" t="str">
            <v>JUL202572056801</v>
          </cell>
          <cell r="E542" t="str">
            <v>Aportes Riesgos Profesionales</v>
          </cell>
          <cell r="F542">
            <v>0</v>
          </cell>
          <cell r="G542">
            <v>2725712</v>
          </cell>
          <cell r="H542">
            <v>1107712</v>
          </cell>
          <cell r="I542">
            <v>1618000</v>
          </cell>
        </row>
        <row r="543">
          <cell r="C543">
            <v>720569</v>
          </cell>
          <cell r="D543" t="str">
            <v>JUL2025720569</v>
          </cell>
          <cell r="E543" t="str">
            <v>Aportes Salud</v>
          </cell>
          <cell r="F543">
            <v>0</v>
          </cell>
          <cell r="G543">
            <v>37388</v>
          </cell>
          <cell r="H543">
            <v>18136</v>
          </cell>
          <cell r="I543">
            <v>19252</v>
          </cell>
        </row>
        <row r="544">
          <cell r="C544">
            <v>72056901</v>
          </cell>
          <cell r="D544" t="str">
            <v>JUL202572056901</v>
          </cell>
          <cell r="E544" t="str">
            <v>Aportes Salud Empleador</v>
          </cell>
          <cell r="F544">
            <v>0</v>
          </cell>
          <cell r="G544">
            <v>37388</v>
          </cell>
          <cell r="H544">
            <v>18136</v>
          </cell>
          <cell r="I544">
            <v>19252</v>
          </cell>
        </row>
        <row r="545">
          <cell r="C545">
            <v>720570</v>
          </cell>
          <cell r="D545" t="str">
            <v>JUL2025720570</v>
          </cell>
          <cell r="E545" t="str">
            <v>Aportes Pensión</v>
          </cell>
          <cell r="F545">
            <v>0</v>
          </cell>
          <cell r="G545">
            <v>32809612</v>
          </cell>
          <cell r="H545">
            <v>12916260</v>
          </cell>
          <cell r="I545">
            <v>19893352</v>
          </cell>
        </row>
        <row r="546">
          <cell r="C546">
            <v>72057001</v>
          </cell>
          <cell r="D546" t="str">
            <v>JUL202572057001</v>
          </cell>
          <cell r="E546" t="str">
            <v>Aportes Pensión Empleador</v>
          </cell>
          <cell r="F546">
            <v>0</v>
          </cell>
          <cell r="G546">
            <v>32809612</v>
          </cell>
          <cell r="H546">
            <v>12916260</v>
          </cell>
          <cell r="I546">
            <v>19893352</v>
          </cell>
        </row>
        <row r="547">
          <cell r="C547">
            <v>720572</v>
          </cell>
          <cell r="D547" t="str">
            <v>JUL2025720572</v>
          </cell>
          <cell r="E547" t="str">
            <v>Aportes Caja de Compensación Familiar</v>
          </cell>
          <cell r="F547">
            <v>0</v>
          </cell>
          <cell r="G547">
            <v>10898179</v>
          </cell>
          <cell r="H547">
            <v>4305679</v>
          </cell>
          <cell r="I547">
            <v>6592500</v>
          </cell>
        </row>
        <row r="548">
          <cell r="C548">
            <v>72057201</v>
          </cell>
          <cell r="D548" t="str">
            <v>JUL202572057201</v>
          </cell>
          <cell r="E548" t="str">
            <v>Aportes Caja de Compensación Familiar</v>
          </cell>
          <cell r="F548">
            <v>0</v>
          </cell>
          <cell r="G548">
            <v>10898179</v>
          </cell>
          <cell r="H548">
            <v>4305679</v>
          </cell>
          <cell r="I548">
            <v>6592500</v>
          </cell>
        </row>
      </sheetData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-96"/>
      <sheetName val="RESULTADOS"/>
      <sheetName val="Hoja1"/>
    </sheetNames>
    <sheetDataSet>
      <sheetData sheetId="0"/>
      <sheetData sheetId="1">
        <row r="6">
          <cell r="Q6" t="str">
            <v>Acumulado a Diciembre 31</v>
          </cell>
        </row>
        <row r="7">
          <cell r="O7" t="str">
            <v xml:space="preserve">ESTADO DE GANANCIAS Y PERDIDAS </v>
          </cell>
        </row>
        <row r="8">
          <cell r="Q8" t="str">
            <v xml:space="preserve">  1997</v>
          </cell>
          <cell r="R8" t="str">
            <v xml:space="preserve">  1997</v>
          </cell>
        </row>
        <row r="9">
          <cell r="O9" t="str">
            <v>INGRESOS DE OPERACION</v>
          </cell>
        </row>
        <row r="10">
          <cell r="O10" t="str">
            <v xml:space="preserve">  Operacion Internacional -Pasajes</v>
          </cell>
          <cell r="P10" t="str">
            <v xml:space="preserve">  Operacion Internacional -Pasajes</v>
          </cell>
          <cell r="Q10">
            <v>531329.8452039999</v>
          </cell>
          <cell r="R10">
            <v>404521.53204400005</v>
          </cell>
        </row>
        <row r="11">
          <cell r="O11" t="str">
            <v xml:space="preserve">                          -Carga</v>
          </cell>
          <cell r="P11" t="str">
            <v xml:space="preserve">                          -Carga</v>
          </cell>
          <cell r="Q11">
            <v>35331.397698000001</v>
          </cell>
          <cell r="R11">
            <v>31595.174789999997</v>
          </cell>
        </row>
        <row r="12">
          <cell r="O12" t="str">
            <v xml:space="preserve">                          -Correo</v>
          </cell>
          <cell r="P12" t="str">
            <v xml:space="preserve">                          -Correo</v>
          </cell>
          <cell r="Q12">
            <v>13691.488818</v>
          </cell>
          <cell r="R12">
            <v>9825.358107</v>
          </cell>
        </row>
        <row r="13">
          <cell r="O13" t="str">
            <v xml:space="preserve">  Operacion nacional      -Pasajes</v>
          </cell>
          <cell r="P13" t="str">
            <v xml:space="preserve">  Operacion nacional      -Pasajes</v>
          </cell>
          <cell r="Q13">
            <v>335676.62069800001</v>
          </cell>
          <cell r="R13">
            <v>319740.67712799995</v>
          </cell>
        </row>
        <row r="14">
          <cell r="O14" t="str">
            <v xml:space="preserve">                          -Carga</v>
          </cell>
          <cell r="P14" t="str">
            <v xml:space="preserve">                          -Carga</v>
          </cell>
          <cell r="Q14">
            <v>4284.8846910000011</v>
          </cell>
          <cell r="R14">
            <v>4567.9838489999993</v>
          </cell>
        </row>
        <row r="15">
          <cell r="O15" t="str">
            <v xml:space="preserve">                          -Correo</v>
          </cell>
          <cell r="P15" t="str">
            <v xml:space="preserve">                          -Correo</v>
          </cell>
          <cell r="Q15">
            <v>27342.349432000003</v>
          </cell>
          <cell r="R15">
            <v>40441.067771000002</v>
          </cell>
        </row>
        <row r="16">
          <cell r="O16" t="str">
            <v xml:space="preserve">  Ingresos industriales</v>
          </cell>
          <cell r="P16" t="str">
            <v xml:space="preserve">  Ingresos industriales</v>
          </cell>
          <cell r="Q16">
            <v>27692.465111999998</v>
          </cell>
          <cell r="R16">
            <v>27833.449365</v>
          </cell>
        </row>
        <row r="18">
          <cell r="P18" t="str">
            <v xml:space="preserve">  Total Ingresos de operacion</v>
          </cell>
          <cell r="Q18">
            <v>975349.05165299983</v>
          </cell>
          <cell r="R18">
            <v>838525.24305399996</v>
          </cell>
        </row>
        <row r="19">
          <cell r="P19" t="str">
            <v>GASTOS DE OPERACION</v>
          </cell>
        </row>
        <row r="21">
          <cell r="P21" t="str">
            <v xml:space="preserve">  Salarios</v>
          </cell>
          <cell r="Q21">
            <v>48712.014013999993</v>
          </cell>
          <cell r="R21">
            <v>43165.803412349997</v>
          </cell>
        </row>
        <row r="22">
          <cell r="P22" t="str">
            <v xml:space="preserve">  Prestaciones sociales</v>
          </cell>
          <cell r="Q22">
            <v>43926.442260999997</v>
          </cell>
          <cell r="R22">
            <v>32785.576060090003</v>
          </cell>
        </row>
        <row r="23">
          <cell r="P23" t="str">
            <v xml:space="preserve">  Otros gastos del personal</v>
          </cell>
          <cell r="Q23">
            <v>44287.557776000009</v>
          </cell>
          <cell r="R23">
            <v>41562.589788250007</v>
          </cell>
        </row>
        <row r="24">
          <cell r="P24" t="str">
            <v xml:space="preserve">  Pensiones de jubilacion: Pagos</v>
          </cell>
          <cell r="Q24">
            <v>23052.290683000003</v>
          </cell>
          <cell r="R24">
            <v>22851.800026320001</v>
          </cell>
        </row>
        <row r="26">
          <cell r="P26" t="str">
            <v xml:space="preserve">  Subtotal personal</v>
          </cell>
          <cell r="Q26">
            <v>159978.304734</v>
          </cell>
          <cell r="R26">
            <v>140365.76928701001</v>
          </cell>
        </row>
        <row r="27">
          <cell r="P27" t="str">
            <v xml:space="preserve">  Combustibles</v>
          </cell>
          <cell r="Q27">
            <v>101331.21370399999</v>
          </cell>
          <cell r="R27">
            <v>76294.728908849997</v>
          </cell>
        </row>
        <row r="28">
          <cell r="P28" t="str">
            <v xml:space="preserve">  Seguros</v>
          </cell>
          <cell r="Q28">
            <v>13470.919097</v>
          </cell>
          <cell r="R28">
            <v>18850.648043319998</v>
          </cell>
        </row>
        <row r="29">
          <cell r="P29" t="str">
            <v xml:space="preserve">  Arrendamientos de Equipos   </v>
          </cell>
          <cell r="Q29">
            <v>176493.53516127999</v>
          </cell>
          <cell r="R29">
            <v>147442.17485884999</v>
          </cell>
        </row>
        <row r="30">
          <cell r="P30" t="str">
            <v xml:space="preserve">  Comisiones sobre ventas: Nacionales</v>
          </cell>
          <cell r="Q30">
            <v>41870.516184510001</v>
          </cell>
          <cell r="R30">
            <v>39221.056710069999</v>
          </cell>
        </row>
        <row r="31">
          <cell r="P31" t="str">
            <v xml:space="preserve">                           Internacionales</v>
          </cell>
          <cell r="Q31">
            <v>85981.386768490003</v>
          </cell>
          <cell r="R31">
            <v>57185.358389659996</v>
          </cell>
        </row>
        <row r="32">
          <cell r="P32" t="str">
            <v xml:space="preserve">  Mantenimiento General</v>
          </cell>
          <cell r="Q32">
            <v>85739.024304999999</v>
          </cell>
          <cell r="R32">
            <v>67992.068873779892</v>
          </cell>
        </row>
        <row r="33">
          <cell r="P33" t="str">
            <v xml:space="preserve">  Aterrizajes, Facil. aeroport. y comunic.</v>
          </cell>
          <cell r="Q33">
            <v>136161.444044</v>
          </cell>
          <cell r="R33">
            <v>104314.38661845001</v>
          </cell>
        </row>
        <row r="34">
          <cell r="P34" t="str">
            <v xml:space="preserve">  Gastos de ventas</v>
          </cell>
          <cell r="Q34">
            <v>67153.785040320014</v>
          </cell>
          <cell r="R34">
            <v>61258.756472350004</v>
          </cell>
        </row>
        <row r="35">
          <cell r="P35" t="str">
            <v xml:space="preserve">  Servicios a pasajeros</v>
          </cell>
          <cell r="Q35">
            <v>41455.626583999998</v>
          </cell>
          <cell r="R35">
            <v>34639.785137040002</v>
          </cell>
        </row>
        <row r="36">
          <cell r="P36" t="str">
            <v xml:space="preserve">  Impuestos, partic. gob/estampillas y otros</v>
          </cell>
          <cell r="Q36">
            <v>12371.332339780001</v>
          </cell>
          <cell r="R36">
            <v>17361.649106860001</v>
          </cell>
        </row>
        <row r="37">
          <cell r="P37" t="str">
            <v xml:space="preserve">  Gastos administrativos</v>
          </cell>
          <cell r="Q37">
            <v>56328.352494259998</v>
          </cell>
          <cell r="R37">
            <v>56893.19471968001</v>
          </cell>
        </row>
        <row r="38">
          <cell r="P38" t="str">
            <v xml:space="preserve">  Diferencia en cambio Operacional</v>
          </cell>
          <cell r="Q38">
            <v>-18619.340177999999</v>
          </cell>
          <cell r="R38">
            <v>-28285.611587000003</v>
          </cell>
        </row>
        <row r="40">
          <cell r="P40" t="str">
            <v xml:space="preserve">  Total gastos de operacion sin prov. y deprec.</v>
          </cell>
          <cell r="Q40">
            <v>959716.10027863993</v>
          </cell>
          <cell r="R40">
            <v>793533.9655389199</v>
          </cell>
        </row>
        <row r="42">
          <cell r="P42" t="str">
            <v xml:space="preserve">  Resultado Operacional sin prov. y deprec.</v>
          </cell>
          <cell r="Q42">
            <v>15632.951374359895</v>
          </cell>
          <cell r="R42">
            <v>44991.277515080059</v>
          </cell>
        </row>
        <row r="43">
          <cell r="P43" t="str">
            <v>PROVISIONES Y DEPRECIACIONES</v>
          </cell>
        </row>
        <row r="44">
          <cell r="P44" t="str">
            <v xml:space="preserve">  Provision cartera e inventarios</v>
          </cell>
          <cell r="Q44">
            <v>31574.673816000002</v>
          </cell>
          <cell r="R44">
            <v>3085.758765999999</v>
          </cell>
        </row>
        <row r="45">
          <cell r="P45" t="str">
            <v xml:space="preserve">  Depreciaciones y amortizaciones</v>
          </cell>
          <cell r="Q45">
            <v>15138.903664000005</v>
          </cell>
          <cell r="R45">
            <v>26459.068197000001</v>
          </cell>
        </row>
        <row r="47">
          <cell r="P47" t="str">
            <v xml:space="preserve">  Total Provisiones y Depreciaciones.</v>
          </cell>
          <cell r="Q47">
            <v>46713.577480000007</v>
          </cell>
          <cell r="R47">
            <v>29544.826963</v>
          </cell>
        </row>
        <row r="49">
          <cell r="P49" t="str">
            <v xml:space="preserve">  Total Gastos Operacionales</v>
          </cell>
          <cell r="Q49">
            <v>1006429.6777586399</v>
          </cell>
          <cell r="R49">
            <v>823078.7925019199</v>
          </cell>
        </row>
        <row r="51">
          <cell r="P51" t="str">
            <v xml:space="preserve">  Utilidad (perdida) Operacional</v>
          </cell>
          <cell r="Q51">
            <v>-31080.626105640084</v>
          </cell>
          <cell r="R51">
            <v>15446.450552080059</v>
          </cell>
        </row>
        <row r="52">
          <cell r="P52" t="str">
            <v>OTROS INGRESOS</v>
          </cell>
        </row>
        <row r="53">
          <cell r="P53" t="str">
            <v xml:space="preserve">  Intereses y dividendos de filiales</v>
          </cell>
          <cell r="Q53">
            <v>34.511129000000011</v>
          </cell>
          <cell r="R53">
            <v>1438.9179020000001</v>
          </cell>
        </row>
        <row r="54">
          <cell r="P54" t="str">
            <v xml:space="preserve">  Utilidad en vta equipos y Aprovechamientos</v>
          </cell>
          <cell r="Q54">
            <v>51137.851127999995</v>
          </cell>
          <cell r="R54">
            <v>86765.77868800002</v>
          </cell>
        </row>
        <row r="55">
          <cell r="P55" t="str">
            <v xml:space="preserve">  Correción Monetaria</v>
          </cell>
          <cell r="Q55">
            <v>3720.4704769999998</v>
          </cell>
          <cell r="R55">
            <v>21868.346652</v>
          </cell>
        </row>
        <row r="56">
          <cell r="P56" t="str">
            <v xml:space="preserve">  Rendimiento en operaciones financieras</v>
          </cell>
          <cell r="Q56">
            <v>12076.914606</v>
          </cell>
          <cell r="R56">
            <v>15008.468337</v>
          </cell>
        </row>
        <row r="58">
          <cell r="P58" t="str">
            <v xml:space="preserve">  Total Otros Ingresos</v>
          </cell>
          <cell r="Q58">
            <v>66969.747340000002</v>
          </cell>
          <cell r="R58">
            <v>125081.51157900001</v>
          </cell>
        </row>
        <row r="59">
          <cell r="P59" t="str">
            <v>OTROS EGRESOS</v>
          </cell>
        </row>
        <row r="60">
          <cell r="P60" t="str">
            <v xml:space="preserve">  Intereses y Comisiones Bancarias</v>
          </cell>
          <cell r="Q60">
            <v>66790.133116480007</v>
          </cell>
          <cell r="R60">
            <v>56339.242590900001</v>
          </cell>
        </row>
        <row r="61">
          <cell r="P61" t="str">
            <v xml:space="preserve">  Diferencia en cambio financiera</v>
          </cell>
          <cell r="Q61">
            <v>32532.019606940001</v>
          </cell>
          <cell r="R61">
            <v>25638.777989800004</v>
          </cell>
        </row>
        <row r="62">
          <cell r="P62" t="str">
            <v xml:space="preserve">  Indemniz. y Perdida en retiro de activos y otros</v>
          </cell>
          <cell r="Q62">
            <v>6039.7975977200003</v>
          </cell>
          <cell r="R62">
            <v>19943.258074880003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F1D35-DBE1-4B0F-868C-6D63B353228F}">
  <sheetPr codeName="Hoja3">
    <tabColor theme="8" tint="-0.499984740745262"/>
    <pageSetUpPr fitToPage="1"/>
  </sheetPr>
  <dimension ref="A1:L78"/>
  <sheetViews>
    <sheetView showGridLines="0" tabSelected="1" topLeftCell="C1" zoomScaleNormal="100" workbookViewId="0">
      <selection activeCell="C2" sqref="C2"/>
    </sheetView>
  </sheetViews>
  <sheetFormatPr baseColWidth="10" defaultColWidth="11.44140625" defaultRowHeight="13.8" x14ac:dyDescent="0.25"/>
  <cols>
    <col min="1" max="1" width="11.6640625" style="114" hidden="1" customWidth="1"/>
    <col min="2" max="2" width="3.88671875" style="114" hidden="1" customWidth="1"/>
    <col min="3" max="3" width="59.5546875" style="126" customWidth="1"/>
    <col min="4" max="4" width="7.6640625" style="14" hidden="1" customWidth="1"/>
    <col min="5" max="5" width="22.6640625" style="104" customWidth="1"/>
    <col min="6" max="6" width="22" style="104" customWidth="1"/>
    <col min="7" max="7" width="18.44140625" style="104" customWidth="1"/>
    <col min="8" max="8" width="16" style="104" customWidth="1"/>
    <col min="9" max="9" width="14.5546875" style="7" hidden="1" customWidth="1"/>
    <col min="10" max="10" width="13.109375" style="8" hidden="1" customWidth="1"/>
    <col min="11" max="12" width="8.33203125" style="8" hidden="1" customWidth="1"/>
    <col min="13" max="13" width="0" style="8" hidden="1" customWidth="1"/>
    <col min="14" max="16384" width="11.44140625" style="8"/>
  </cols>
  <sheetData>
    <row r="1" spans="1:12" ht="15" customHeight="1" x14ac:dyDescent="0.4">
      <c r="A1" s="1"/>
      <c r="B1" s="1"/>
      <c r="C1" s="2"/>
      <c r="D1" s="3"/>
      <c r="E1" s="4"/>
      <c r="F1" s="4"/>
      <c r="G1" s="5"/>
      <c r="H1" s="6"/>
    </row>
    <row r="2" spans="1:12" ht="24.6" x14ac:dyDescent="0.4">
      <c r="A2" s="1"/>
      <c r="B2" s="1"/>
      <c r="C2" s="9"/>
      <c r="D2" s="10"/>
      <c r="E2" s="11"/>
      <c r="F2" s="11"/>
      <c r="G2" s="12"/>
      <c r="H2" s="7"/>
      <c r="K2" s="8" t="s">
        <v>0</v>
      </c>
    </row>
    <row r="3" spans="1:12" ht="21" customHeight="1" x14ac:dyDescent="0.4">
      <c r="A3" s="1"/>
      <c r="B3" s="1"/>
      <c r="C3" s="13" t="s">
        <v>1</v>
      </c>
      <c r="E3" s="15"/>
      <c r="F3" s="15"/>
      <c r="G3" s="15"/>
      <c r="H3" s="15"/>
      <c r="I3" s="16"/>
      <c r="J3" s="17" t="s">
        <v>2</v>
      </c>
      <c r="K3" s="8" t="s">
        <v>0</v>
      </c>
      <c r="L3" s="18"/>
    </row>
    <row r="4" spans="1:12" ht="21" customHeight="1" thickBot="1" x14ac:dyDescent="0.45">
      <c r="A4" s="1"/>
      <c r="B4" s="1"/>
      <c r="C4" s="19" t="s">
        <v>3</v>
      </c>
      <c r="D4" s="20"/>
      <c r="E4" s="21"/>
      <c r="F4" s="21"/>
      <c r="G4" s="21"/>
      <c r="H4" s="22"/>
      <c r="I4" s="23"/>
      <c r="J4" s="24" t="s">
        <v>4</v>
      </c>
      <c r="K4" s="25">
        <v>2024</v>
      </c>
    </row>
    <row r="5" spans="1:12" ht="21" customHeight="1" x14ac:dyDescent="0.4">
      <c r="A5" s="1"/>
      <c r="B5" s="1"/>
      <c r="C5" s="26" t="s">
        <v>5</v>
      </c>
      <c r="D5" s="15"/>
      <c r="E5" s="15"/>
      <c r="F5" s="15"/>
      <c r="G5" s="15"/>
      <c r="H5" s="15"/>
      <c r="I5" s="11"/>
      <c r="J5" s="24" t="s">
        <v>6</v>
      </c>
      <c r="K5" s="25">
        <v>2024</v>
      </c>
    </row>
    <row r="6" spans="1:12" ht="21" customHeight="1" x14ac:dyDescent="0.4">
      <c r="A6" s="1"/>
      <c r="B6" s="1"/>
      <c r="C6" s="27"/>
      <c r="D6" s="15"/>
      <c r="E6" s="15"/>
      <c r="F6" s="15"/>
      <c r="G6" s="15"/>
      <c r="H6" s="15"/>
      <c r="I6" s="11"/>
      <c r="J6" s="28"/>
    </row>
    <row r="7" spans="1:12" ht="16.5" customHeight="1" x14ac:dyDescent="0.4">
      <c r="A7" s="1"/>
      <c r="B7" s="1"/>
      <c r="C7" s="22" t="str">
        <f>+'[1]1.CERTIFICACIÓN'!A6</f>
        <v>OFTALMOLOGOS EL TESORO S.A.S</v>
      </c>
      <c r="E7" s="15"/>
      <c r="F7" s="15"/>
      <c r="G7" s="15"/>
      <c r="H7" s="15"/>
    </row>
    <row r="8" spans="1:12" s="35" customFormat="1" ht="12" customHeight="1" x14ac:dyDescent="0.45">
      <c r="A8" s="29"/>
      <c r="B8" s="29"/>
      <c r="C8" s="30"/>
      <c r="D8" s="31"/>
      <c r="E8" s="31"/>
      <c r="F8" s="31"/>
      <c r="G8" s="32"/>
      <c r="H8" s="33"/>
      <c r="I8" s="34"/>
    </row>
    <row r="9" spans="1:12" s="43" customFormat="1" ht="15" hidden="1" customHeight="1" x14ac:dyDescent="0.35">
      <c r="A9" s="36"/>
      <c r="B9" s="36"/>
      <c r="C9" s="37"/>
      <c r="D9" s="38"/>
      <c r="E9" s="39">
        <v>2026</v>
      </c>
      <c r="F9" s="39">
        <v>2025</v>
      </c>
      <c r="G9" s="40"/>
      <c r="H9" s="41"/>
      <c r="I9" s="42"/>
    </row>
    <row r="10" spans="1:12" s="43" customFormat="1" ht="26.25" customHeight="1" x14ac:dyDescent="0.35">
      <c r="A10" s="36"/>
      <c r="B10" s="36"/>
      <c r="C10" s="44"/>
      <c r="D10" s="45" t="s">
        <v>7</v>
      </c>
      <c r="E10" s="46" t="s">
        <v>8</v>
      </c>
      <c r="F10" s="47" t="s">
        <v>9</v>
      </c>
      <c r="G10" s="45" t="s">
        <v>10</v>
      </c>
      <c r="H10" s="45" t="s">
        <v>11</v>
      </c>
      <c r="I10" s="48"/>
    </row>
    <row r="11" spans="1:12" s="43" customFormat="1" ht="15.75" customHeight="1" x14ac:dyDescent="0.35">
      <c r="A11" s="36"/>
      <c r="B11" s="36"/>
      <c r="C11" s="49"/>
      <c r="D11" s="50"/>
      <c r="G11" s="45"/>
      <c r="H11" s="45"/>
      <c r="I11" s="51"/>
    </row>
    <row r="12" spans="1:12" s="43" customFormat="1" ht="16.8" thickBot="1" x14ac:dyDescent="0.4">
      <c r="A12" s="52"/>
      <c r="B12" s="52"/>
      <c r="C12" s="53" t="s">
        <v>12</v>
      </c>
      <c r="D12" s="54"/>
      <c r="E12" s="55"/>
      <c r="F12" s="55"/>
      <c r="G12" s="56"/>
      <c r="H12" s="56"/>
      <c r="I12" s="57"/>
    </row>
    <row r="13" spans="1:12" s="43" customFormat="1" ht="16.2" x14ac:dyDescent="0.35">
      <c r="A13" s="52"/>
      <c r="B13" s="52"/>
      <c r="C13" s="58" t="s">
        <v>13</v>
      </c>
      <c r="D13" s="59"/>
      <c r="E13" s="60"/>
      <c r="F13" s="61"/>
      <c r="G13" s="62"/>
      <c r="H13" s="62"/>
      <c r="I13" s="57"/>
    </row>
    <row r="14" spans="1:12" s="35" customFormat="1" ht="16.2" x14ac:dyDescent="0.35">
      <c r="A14" s="63">
        <v>11</v>
      </c>
      <c r="B14" s="63"/>
      <c r="C14" s="64" t="s">
        <v>14</v>
      </c>
      <c r="D14" s="65">
        <v>5</v>
      </c>
      <c r="E14" s="66">
        <f>+IFERROR((VLOOKUP((CONCATENATE($K$3,$E$9,$A14)),'[1]AÑO 2026'!$D:$I,6,0)),0)</f>
        <v>-4214553.12</v>
      </c>
      <c r="F14" s="67">
        <f>+IFERROR((VLOOKUP((CONCATENATE($K$3,$F$9,$A14)),'[1]AÑO 2025'!$D:$I,6,0)),0)</f>
        <v>955966831.86000001</v>
      </c>
      <c r="G14" s="62">
        <f>+E14-F14</f>
        <v>-960181384.98000002</v>
      </c>
      <c r="H14" s="68">
        <f>IFERROR(G14/F14,0)</f>
        <v>-1.0044086813261082</v>
      </c>
      <c r="I14" s="69"/>
    </row>
    <row r="15" spans="1:12" s="35" customFormat="1" ht="16.2" hidden="1" x14ac:dyDescent="0.35">
      <c r="A15" s="63">
        <v>12</v>
      </c>
      <c r="B15" s="63"/>
      <c r="C15" s="64" t="s">
        <v>15</v>
      </c>
      <c r="D15" s="65"/>
      <c r="E15" s="66">
        <f>+IFERROR((VLOOKUP((CONCATENATE($K$3,$E$9,$A15)),'[1]AÑO 2026'!$D:$I,6,0)),0)</f>
        <v>0</v>
      </c>
      <c r="F15" s="67">
        <f>+IFERROR((VLOOKUP((CONCATENATE($K$3,$F$9,$A15)),'[1]AÑO 2025'!$D:$I,6,0)),0)</f>
        <v>0</v>
      </c>
      <c r="G15" s="62">
        <f>+E15-F15</f>
        <v>0</v>
      </c>
      <c r="H15" s="68">
        <f>IFERROR(G15/F15,0)</f>
        <v>0</v>
      </c>
      <c r="I15" s="69"/>
    </row>
    <row r="16" spans="1:12" s="35" customFormat="1" ht="16.2" x14ac:dyDescent="0.35">
      <c r="A16" s="63">
        <v>13</v>
      </c>
      <c r="B16" s="63"/>
      <c r="C16" s="64" t="s">
        <v>16</v>
      </c>
      <c r="D16" s="65">
        <v>6</v>
      </c>
      <c r="E16" s="66">
        <f>+IFERROR((VLOOKUP((CONCATENATE($K$3,$E$9,$A16)),'[1]AÑO 2026'!$D:$I,6,0)),0)</f>
        <v>2773691689.0900002</v>
      </c>
      <c r="F16" s="67">
        <f>+IFERROR((VLOOKUP((CONCATENATE($K$3,$F$9,$A16)),'[1]AÑO 2025'!$D:$I,6,0)),0)</f>
        <v>1345038563.8699999</v>
      </c>
      <c r="G16" s="62">
        <f>+E16-F16</f>
        <v>1428653125.2200003</v>
      </c>
      <c r="H16" s="68">
        <f t="shared" ref="H16:H52" si="0">IFERROR(G16/F16,0)</f>
        <v>1.0621651777101626</v>
      </c>
      <c r="I16" s="69"/>
    </row>
    <row r="17" spans="1:12" s="35" customFormat="1" ht="16.2" x14ac:dyDescent="0.35">
      <c r="A17" s="63">
        <v>14</v>
      </c>
      <c r="B17" s="63"/>
      <c r="C17" s="64" t="s">
        <v>17</v>
      </c>
      <c r="D17" s="65"/>
      <c r="E17" s="66">
        <f>+IFERROR((VLOOKUP((CONCATENATE($K$3,$E$9,$A17)),'[1]AÑO 2026'!$D:$I,6,0)),0)</f>
        <v>568990212</v>
      </c>
      <c r="F17" s="67">
        <f>+IFERROR((VLOOKUP((CONCATENATE($K$3,#REF!,$A17)),'[1]AÑO 2025'!$D:$I,6,0)),0)</f>
        <v>0</v>
      </c>
      <c r="G17" s="62">
        <f>+E17-F17</f>
        <v>568990212</v>
      </c>
      <c r="H17" s="68">
        <f t="shared" si="0"/>
        <v>0</v>
      </c>
      <c r="I17" s="69"/>
    </row>
    <row r="18" spans="1:12" s="35" customFormat="1" ht="16.2" x14ac:dyDescent="0.35">
      <c r="A18" s="63"/>
      <c r="B18" s="63"/>
      <c r="C18" s="70" t="s">
        <v>18</v>
      </c>
      <c r="D18" s="71"/>
      <c r="E18" s="72">
        <f>+SUM(E14:E17)</f>
        <v>3338467347.9700003</v>
      </c>
      <c r="F18" s="72">
        <f>+SUM(F14:F17)</f>
        <v>2301005395.73</v>
      </c>
      <c r="G18" s="73">
        <f>SUM(G14:G17)</f>
        <v>1037461952.2400002</v>
      </c>
      <c r="H18" s="74">
        <f t="shared" si="0"/>
        <v>0.45087332440211975</v>
      </c>
      <c r="I18" s="75"/>
    </row>
    <row r="19" spans="1:12" s="35" customFormat="1" ht="16.2" x14ac:dyDescent="0.35">
      <c r="A19" s="63"/>
      <c r="B19" s="63"/>
      <c r="C19" s="58" t="s">
        <v>19</v>
      </c>
      <c r="D19" s="59"/>
      <c r="E19" s="66"/>
      <c r="F19" s="61"/>
      <c r="G19" s="62"/>
      <c r="H19" s="68">
        <f t="shared" si="0"/>
        <v>0</v>
      </c>
      <c r="I19" s="57"/>
    </row>
    <row r="20" spans="1:12" s="35" customFormat="1" ht="16.2" x14ac:dyDescent="0.35">
      <c r="A20" s="63">
        <v>15</v>
      </c>
      <c r="B20" s="63"/>
      <c r="C20" s="64" t="s">
        <v>20</v>
      </c>
      <c r="D20" s="65">
        <v>7</v>
      </c>
      <c r="E20" s="66">
        <f>+IFERROR((VLOOKUP((CONCATENATE($K$3,$E$9,$A20)),'[1]AÑO 2026'!$D:$I,6,0)),0)</f>
        <v>10046735536.65</v>
      </c>
      <c r="F20" s="67">
        <f>+IFERROR((VLOOKUP((CONCATENATE($K$3,$F$9,$A20)),'[1]AÑO 2025'!$D:$I,6,0)),0)</f>
        <v>6661724521.5200005</v>
      </c>
      <c r="G20" s="62">
        <f t="shared" ref="G20:G26" si="1">+E20-F20</f>
        <v>3385011015.1299992</v>
      </c>
      <c r="H20" s="68">
        <f t="shared" si="0"/>
        <v>0.50812833887007447</v>
      </c>
      <c r="I20" s="69"/>
    </row>
    <row r="21" spans="1:12" s="35" customFormat="1" ht="16.2" hidden="1" x14ac:dyDescent="0.35">
      <c r="A21" s="63">
        <v>16</v>
      </c>
      <c r="B21" s="63"/>
      <c r="C21" s="64" t="s">
        <v>21</v>
      </c>
      <c r="D21" s="65"/>
      <c r="E21" s="66">
        <f>+IFERROR((VLOOKUP((CONCATENATE($K$3,$E$9,$A21)),'[1]AÑO 2026'!$D:$I,6,0)),0)</f>
        <v>0</v>
      </c>
      <c r="F21" s="67">
        <f>+IFERROR((VLOOKUP((CONCATENATE($K$3,$F$9,$A21)),'[1]AÑO 2025'!$D:$I,6,0)),0)</f>
        <v>0</v>
      </c>
      <c r="G21" s="62">
        <f t="shared" si="1"/>
        <v>0</v>
      </c>
      <c r="H21" s="68">
        <f t="shared" si="0"/>
        <v>0</v>
      </c>
      <c r="I21" s="69"/>
    </row>
    <row r="22" spans="1:12" s="35" customFormat="1" ht="16.2" x14ac:dyDescent="0.35">
      <c r="A22" s="63">
        <v>17</v>
      </c>
      <c r="B22" s="63"/>
      <c r="C22" s="64" t="s">
        <v>22</v>
      </c>
      <c r="D22" s="65">
        <v>8</v>
      </c>
      <c r="E22" s="66">
        <f>+IFERROR((VLOOKUP((CONCATENATE($K$3,$E$9,$A22)),'[1]AÑO 2026'!$D:$I,6,0)),0)</f>
        <v>271864464.22000003</v>
      </c>
      <c r="F22" s="67">
        <f>+IFERROR((VLOOKUP((CONCATENATE($K$3,$F$9,$A22)),'[1]AÑO 2025'!$D:$I,6,0)),0)</f>
        <v>118964993</v>
      </c>
      <c r="G22" s="62">
        <f t="shared" si="1"/>
        <v>152899471.22000003</v>
      </c>
      <c r="H22" s="68">
        <f t="shared" si="0"/>
        <v>1.2852475956519414</v>
      </c>
      <c r="I22" s="69"/>
    </row>
    <row r="23" spans="1:12" s="35" customFormat="1" ht="16.2" hidden="1" x14ac:dyDescent="0.35">
      <c r="A23" s="63">
        <v>18</v>
      </c>
      <c r="B23" s="63"/>
      <c r="C23" s="64" t="s">
        <v>23</v>
      </c>
      <c r="D23" s="65"/>
      <c r="E23" s="66">
        <f>+IFERROR((VLOOKUP((CONCATENATE($K$3,$E$9,$A23)),'[1]AÑO 2026'!$D:$I,6,0)),0)</f>
        <v>0</v>
      </c>
      <c r="F23" s="67">
        <f>+IFERROR((VLOOKUP((CONCATENATE($K$3,$F$9,$A23)),'[1]AÑO 2025'!$D:$I,6,0)),0)</f>
        <v>0</v>
      </c>
      <c r="G23" s="62">
        <f t="shared" si="1"/>
        <v>0</v>
      </c>
      <c r="H23" s="68">
        <f t="shared" si="0"/>
        <v>0</v>
      </c>
      <c r="I23" s="69"/>
    </row>
    <row r="24" spans="1:12" s="35" customFormat="1" ht="16.2" hidden="1" x14ac:dyDescent="0.35">
      <c r="A24" s="63">
        <v>19</v>
      </c>
      <c r="B24" s="63"/>
      <c r="C24" s="64" t="s">
        <v>24</v>
      </c>
      <c r="D24" s="65"/>
      <c r="E24" s="66">
        <f>+IFERROR((VLOOKUP((CONCATENATE($K$3,$E$9,$A24)),'[1]AÑO 2026'!$D:$I,6,0)),0)</f>
        <v>0</v>
      </c>
      <c r="F24" s="67">
        <f>+IFERROR((VLOOKUP((CONCATENATE($K$3,$F$9,$A24)),'[1]AÑO 2025'!$D:$I,6,0)),0)</f>
        <v>0</v>
      </c>
      <c r="G24" s="62">
        <f t="shared" si="1"/>
        <v>0</v>
      </c>
      <c r="H24" s="68">
        <f t="shared" si="0"/>
        <v>0</v>
      </c>
      <c r="I24" s="69"/>
    </row>
    <row r="25" spans="1:12" s="35" customFormat="1" ht="16.2" x14ac:dyDescent="0.35">
      <c r="A25" s="63"/>
      <c r="B25" s="63"/>
      <c r="C25" s="70" t="s">
        <v>25</v>
      </c>
      <c r="D25" s="71"/>
      <c r="E25" s="72">
        <f>+SUM(E20:E24)</f>
        <v>10318600000.869999</v>
      </c>
      <c r="F25" s="72">
        <f>+SUM(F20:F24)</f>
        <v>6780689514.5200005</v>
      </c>
      <c r="G25" s="73">
        <f>SUM(G20:G24)</f>
        <v>3537910486.3499994</v>
      </c>
      <c r="H25" s="74">
        <f t="shared" si="0"/>
        <v>0.52176264357393232</v>
      </c>
      <c r="I25" s="75"/>
    </row>
    <row r="26" spans="1:12" s="83" customFormat="1" ht="16.2" x14ac:dyDescent="0.35">
      <c r="A26" s="76"/>
      <c r="B26" s="76"/>
      <c r="C26" s="77" t="s">
        <v>26</v>
      </c>
      <c r="D26" s="78"/>
      <c r="E26" s="79">
        <f>+E18+E25</f>
        <v>13657067348.84</v>
      </c>
      <c r="F26" s="79">
        <f>+F18+F25</f>
        <v>9081694910.25</v>
      </c>
      <c r="G26" s="80">
        <f t="shared" si="1"/>
        <v>4575372438.5900002</v>
      </c>
      <c r="H26" s="81">
        <f t="shared" si="0"/>
        <v>0.50380160133171104</v>
      </c>
      <c r="I26" s="82"/>
    </row>
    <row r="27" spans="1:12" s="35" customFormat="1" ht="16.8" thickBot="1" x14ac:dyDescent="0.4">
      <c r="A27" s="63"/>
      <c r="B27" s="63"/>
      <c r="C27" s="53" t="s">
        <v>27</v>
      </c>
      <c r="D27" s="54"/>
      <c r="E27" s="84"/>
      <c r="F27" s="55"/>
      <c r="G27" s="56"/>
      <c r="H27" s="85"/>
      <c r="I27" s="57"/>
    </row>
    <row r="28" spans="1:12" s="35" customFormat="1" ht="16.2" x14ac:dyDescent="0.35">
      <c r="A28" s="63"/>
      <c r="B28" s="63"/>
      <c r="C28" s="58" t="s">
        <v>28</v>
      </c>
      <c r="D28" s="59"/>
      <c r="E28" s="60"/>
      <c r="F28" s="61"/>
      <c r="G28" s="62"/>
      <c r="H28" s="68">
        <f t="shared" si="0"/>
        <v>0</v>
      </c>
      <c r="I28" s="57"/>
    </row>
    <row r="29" spans="1:12" s="35" customFormat="1" ht="16.2" x14ac:dyDescent="0.35">
      <c r="A29" s="63">
        <v>2105</v>
      </c>
      <c r="B29" s="63"/>
      <c r="C29" s="64" t="s">
        <v>29</v>
      </c>
      <c r="D29" s="65">
        <v>9</v>
      </c>
      <c r="E29" s="66">
        <f>+IFERROR((VLOOKUP((CONCATENATE($K$3,$E$9,$A29)),'[1]AÑO 2026'!$D:$I,6,0)),0)</f>
        <v>-568874976.72000003</v>
      </c>
      <c r="F29" s="67">
        <f>+IFERROR((VLOOKUP((CONCATENATE($K$3,$F$9,$A29)),'[1]AÑO 2025'!$D:$I,6,0)),0)</f>
        <v>-624397182.39999998</v>
      </c>
      <c r="G29" s="62">
        <f t="shared" ref="G29:G36" si="2">+E29-F29</f>
        <v>55522205.679999948</v>
      </c>
      <c r="H29" s="68">
        <f t="shared" si="0"/>
        <v>-8.8921294402048462E-2</v>
      </c>
      <c r="I29" s="69"/>
      <c r="J29" s="86" t="s">
        <v>30</v>
      </c>
      <c r="K29" s="87"/>
      <c r="L29" s="87"/>
    </row>
    <row r="30" spans="1:12" s="35" customFormat="1" ht="16.2" x14ac:dyDescent="0.35">
      <c r="A30" s="63">
        <v>22050501</v>
      </c>
      <c r="B30" s="63"/>
      <c r="C30" s="64" t="s">
        <v>31</v>
      </c>
      <c r="D30" s="65">
        <v>10</v>
      </c>
      <c r="E30" s="66">
        <f>+IFERROR((VLOOKUP((CONCATENATE($K$3,$E$9,$A30)),'[1]AÑO 2026'!$D:$I,6,0)),0)</f>
        <v>-3063504791.0799999</v>
      </c>
      <c r="F30" s="67">
        <f>+IFERROR((VLOOKUP((CONCATENATE($K$3,$F$9,$A30)),'[1]AÑO 2025'!$D:$I,6,0)),0)</f>
        <v>-1543509354.05</v>
      </c>
      <c r="G30" s="62">
        <f>+E30-F30</f>
        <v>-1519995437.03</v>
      </c>
      <c r="H30" s="68">
        <f>IFERROR(G30/F30,0)</f>
        <v>0.98476593811478885</v>
      </c>
      <c r="I30" s="69"/>
    </row>
    <row r="31" spans="1:12" s="35" customFormat="1" ht="16.2" x14ac:dyDescent="0.35">
      <c r="A31" s="63">
        <v>23</v>
      </c>
      <c r="B31" s="63"/>
      <c r="C31" s="64" t="s">
        <v>32</v>
      </c>
      <c r="D31" s="65">
        <v>11</v>
      </c>
      <c r="E31" s="66">
        <f>+IFERROR((VLOOKUP((CONCATENATE($K$3,$E$9,$A31)),'[1]AÑO 2026'!$D:$I,6,0)),0)</f>
        <v>-390870472.38</v>
      </c>
      <c r="F31" s="67">
        <f>+IFERROR((VLOOKUP((CONCATENATE($K$3,$F$9,$A31)),'[1]AÑO 2025'!$D:$I,6,0)),0)</f>
        <v>-259710361.13999999</v>
      </c>
      <c r="G31" s="62">
        <f t="shared" si="2"/>
        <v>-131160111.24000001</v>
      </c>
      <c r="H31" s="68">
        <f t="shared" si="0"/>
        <v>0.50502456145481456</v>
      </c>
      <c r="I31" s="69"/>
    </row>
    <row r="32" spans="1:12" s="35" customFormat="1" ht="16.2" x14ac:dyDescent="0.35">
      <c r="A32" s="63">
        <v>24</v>
      </c>
      <c r="B32" s="63"/>
      <c r="C32" s="64" t="s">
        <v>33</v>
      </c>
      <c r="D32" s="65"/>
      <c r="E32" s="66">
        <f>+IFERROR((VLOOKUP((CONCATENATE($K$3,$E$9,$A32)),'[1]AÑO 2026'!$D:$I,6,0)),0)</f>
        <v>-394074690</v>
      </c>
      <c r="F32" s="67">
        <f>+IFERROR((VLOOKUP((CONCATENATE($K$3,$F$9,$A32)),'[1]AÑO 2025'!$D:$I,6,0)),0)</f>
        <v>0</v>
      </c>
      <c r="G32" s="62">
        <f t="shared" si="2"/>
        <v>-394074690</v>
      </c>
      <c r="H32" s="68">
        <f t="shared" si="0"/>
        <v>0</v>
      </c>
      <c r="I32" s="69"/>
    </row>
    <row r="33" spans="1:9" s="35" customFormat="1" ht="16.2" x14ac:dyDescent="0.35">
      <c r="A33" s="63">
        <v>25</v>
      </c>
      <c r="B33" s="63"/>
      <c r="C33" s="64" t="s">
        <v>34</v>
      </c>
      <c r="D33" s="65">
        <v>12</v>
      </c>
      <c r="E33" s="66">
        <f>+IFERROR((VLOOKUP((CONCATENATE($K$3,$E$9,$A33)),'[1]AÑO 2026'!$D:$I,6,0)),0)</f>
        <v>-271878718.24000001</v>
      </c>
      <c r="F33" s="67">
        <f>+IFERROR((VLOOKUP((CONCATENATE($K$3,$F$9,$A33)),'[1]AÑO 2025'!$D:$I,6,0)),0)</f>
        <v>-107494751.23</v>
      </c>
      <c r="G33" s="62">
        <f t="shared" si="2"/>
        <v>-164383967.00999999</v>
      </c>
      <c r="H33" s="68">
        <f t="shared" si="0"/>
        <v>1.5292278472116054</v>
      </c>
      <c r="I33" s="69"/>
    </row>
    <row r="34" spans="1:9" s="35" customFormat="1" ht="16.2" hidden="1" x14ac:dyDescent="0.35">
      <c r="A34" s="63">
        <v>26</v>
      </c>
      <c r="B34" s="63"/>
      <c r="C34" s="64" t="s">
        <v>35</v>
      </c>
      <c r="D34" s="65"/>
      <c r="E34" s="66">
        <f>+IFERROR((VLOOKUP((CONCATENATE($K$3,$E$9,$A34)),'[1]AÑO 2026'!$D:$I,6,0)),0)</f>
        <v>0</v>
      </c>
      <c r="F34" s="67">
        <f>+IFERROR((VLOOKUP((CONCATENATE($K$3,$F$9,$A34)),'[1]AÑO 2025'!$D:$I,6,0)),0)</f>
        <v>0</v>
      </c>
      <c r="G34" s="62">
        <f t="shared" si="2"/>
        <v>0</v>
      </c>
      <c r="H34" s="68">
        <f t="shared" si="0"/>
        <v>0</v>
      </c>
      <c r="I34" s="69"/>
    </row>
    <row r="35" spans="1:9" s="35" customFormat="1" ht="16.2" x14ac:dyDescent="0.35">
      <c r="A35" s="63">
        <v>28</v>
      </c>
      <c r="B35" s="63"/>
      <c r="C35" s="64" t="s">
        <v>36</v>
      </c>
      <c r="D35" s="65">
        <v>13</v>
      </c>
      <c r="E35" s="66">
        <f>+IFERROR((VLOOKUP((CONCATENATE($K$3,$E$9,$A35)),'[1]AÑO 2026'!$D:$I,6,0)),0)</f>
        <v>-687793814.65999997</v>
      </c>
      <c r="F35" s="67">
        <f>+IFERROR((VLOOKUP((CONCATENATE($K$3,$F$9,$A35)),'[1]AÑO 2025'!$D:$I,6,0)),0)</f>
        <v>-2714393825.5599999</v>
      </c>
      <c r="G35" s="62">
        <f>+E35-F35</f>
        <v>2026600010.9000001</v>
      </c>
      <c r="H35" s="68">
        <f>IFERROR(G35/F35,0)</f>
        <v>-0.74661237135768144</v>
      </c>
      <c r="I35" s="69"/>
    </row>
    <row r="36" spans="1:9" s="35" customFormat="1" ht="16.2" x14ac:dyDescent="0.35">
      <c r="A36" s="63"/>
      <c r="B36" s="63"/>
      <c r="C36" s="70" t="s">
        <v>37</v>
      </c>
      <c r="D36" s="71"/>
      <c r="E36" s="72">
        <f>+SUM(E29:E35)</f>
        <v>-5376997463.0799999</v>
      </c>
      <c r="F36" s="72">
        <f>+SUM(F29:F35)</f>
        <v>-5249505474.3799992</v>
      </c>
      <c r="G36" s="73">
        <f t="shared" si="2"/>
        <v>-127491988.70000076</v>
      </c>
      <c r="H36" s="74">
        <f t="shared" si="0"/>
        <v>2.4286475997066827E-2</v>
      </c>
      <c r="I36" s="75"/>
    </row>
    <row r="37" spans="1:9" s="35" customFormat="1" ht="16.2" x14ac:dyDescent="0.35">
      <c r="A37" s="63"/>
      <c r="B37" s="63"/>
      <c r="C37" s="58" t="s">
        <v>38</v>
      </c>
      <c r="D37" s="59"/>
      <c r="E37" s="60"/>
      <c r="F37" s="61"/>
      <c r="G37" s="62"/>
      <c r="H37" s="68">
        <f t="shared" si="0"/>
        <v>0</v>
      </c>
      <c r="I37" s="57"/>
    </row>
    <row r="38" spans="1:9" s="35" customFormat="1" ht="16.2" x14ac:dyDescent="0.35">
      <c r="A38" s="63">
        <v>2115</v>
      </c>
      <c r="B38" s="63"/>
      <c r="C38" s="64" t="s">
        <v>29</v>
      </c>
      <c r="D38" s="65">
        <v>9</v>
      </c>
      <c r="E38" s="66">
        <f>+IFERROR((VLOOKUP((CONCATENATE($K$3,$E$9,$A38)),'[1]AÑO 2026'!$D:$I,6,0)),0)</f>
        <v>-162517850.59</v>
      </c>
      <c r="F38" s="67">
        <f>+IFERROR((VLOOKUP((CONCATENATE($K$3,$F$9,$A38)),'[1]AÑO 2025'!$D:$I,6,0)),0)</f>
        <v>-56922180.490000002</v>
      </c>
      <c r="G38" s="62">
        <f>+E38-F38</f>
        <v>-105595670.09999999</v>
      </c>
      <c r="H38" s="68">
        <f>IFERROR(G38/F38,0)</f>
        <v>1.8550882835303695</v>
      </c>
      <c r="I38" s="57"/>
    </row>
    <row r="39" spans="1:9" s="35" customFormat="1" ht="16.2" x14ac:dyDescent="0.35">
      <c r="A39" s="63">
        <v>22050502</v>
      </c>
      <c r="B39" s="63"/>
      <c r="C39" s="64" t="s">
        <v>31</v>
      </c>
      <c r="D39" s="65">
        <v>10</v>
      </c>
      <c r="E39" s="66">
        <f>+IFERROR((VLOOKUP((CONCATENATE($K$3,$E$9,$A39)),'[1]AÑO 2026'!$D:$I,6,0)),0)</f>
        <v>-1710110688</v>
      </c>
      <c r="F39" s="67">
        <f>+IFERROR((VLOOKUP((CONCATENATE($K$3,$F$9,$A39)),'[1]AÑO 2025'!$D:$I,6,0)),0)</f>
        <v>-1051598275</v>
      </c>
      <c r="G39" s="62">
        <f>+E39-F39</f>
        <v>-658512413</v>
      </c>
      <c r="H39" s="68">
        <f>IFERROR(G39/F39,0)</f>
        <v>0.62620149600378527</v>
      </c>
      <c r="I39" s="57"/>
    </row>
    <row r="40" spans="1:9" s="35" customFormat="1" ht="16.2" hidden="1" x14ac:dyDescent="0.35">
      <c r="A40" s="63">
        <v>23</v>
      </c>
      <c r="B40" s="63"/>
      <c r="C40" s="64" t="s">
        <v>32</v>
      </c>
      <c r="D40" s="65"/>
      <c r="E40" s="66"/>
      <c r="F40" s="67"/>
      <c r="G40" s="62"/>
      <c r="H40" s="68"/>
      <c r="I40" s="57"/>
    </row>
    <row r="41" spans="1:9" s="35" customFormat="1" ht="16.2" x14ac:dyDescent="0.35">
      <c r="A41" s="63">
        <v>29</v>
      </c>
      <c r="B41" s="63"/>
      <c r="C41" s="64" t="s">
        <v>39</v>
      </c>
      <c r="D41" s="65">
        <v>14</v>
      </c>
      <c r="E41" s="66">
        <f>+IFERROR((VLOOKUP((CONCATENATE($K$3,$E$9,$A41)),'[1]AÑO 2026'!$D:$I,6,0)),0)</f>
        <v>-80203562</v>
      </c>
      <c r="F41" s="67">
        <f>+IFERROR((VLOOKUP((CONCATENATE($K$3,$F$9,$A41)),'[1]AÑO 2025'!$D:$I,6,0)),0)</f>
        <v>-80203562</v>
      </c>
      <c r="G41" s="62">
        <f>+E41-F41</f>
        <v>0</v>
      </c>
      <c r="H41" s="68">
        <f t="shared" si="0"/>
        <v>0</v>
      </c>
      <c r="I41" s="69"/>
    </row>
    <row r="42" spans="1:9" s="35" customFormat="1" ht="16.2" x14ac:dyDescent="0.35">
      <c r="A42" s="63"/>
      <c r="B42" s="63"/>
      <c r="C42" s="70" t="s">
        <v>40</v>
      </c>
      <c r="D42" s="71"/>
      <c r="E42" s="72">
        <f>SUM(E38:E41)</f>
        <v>-1952832100.5899999</v>
      </c>
      <c r="F42" s="72">
        <f>SUM(F38:F41)</f>
        <v>-1188724017.49</v>
      </c>
      <c r="G42" s="73">
        <f>+E42-F42</f>
        <v>-764108083.0999999</v>
      </c>
      <c r="H42" s="74">
        <f t="shared" si="0"/>
        <v>0.64279687451206724</v>
      </c>
      <c r="I42" s="75"/>
    </row>
    <row r="43" spans="1:9" s="83" customFormat="1" ht="16.2" x14ac:dyDescent="0.35">
      <c r="A43" s="76"/>
      <c r="B43" s="76"/>
      <c r="C43" s="77" t="s">
        <v>41</v>
      </c>
      <c r="D43" s="78"/>
      <c r="E43" s="79">
        <f>+E36+E42</f>
        <v>-7329829563.6700001</v>
      </c>
      <c r="F43" s="79">
        <f>+F36+F42</f>
        <v>-6438229491.8699989</v>
      </c>
      <c r="G43" s="80">
        <f>+E43-F43</f>
        <v>-891600071.80000114</v>
      </c>
      <c r="H43" s="81">
        <f t="shared" si="0"/>
        <v>0.13848528899534984</v>
      </c>
      <c r="I43" s="82"/>
    </row>
    <row r="44" spans="1:9" s="35" customFormat="1" ht="16.8" thickBot="1" x14ac:dyDescent="0.4">
      <c r="A44" s="63"/>
      <c r="B44" s="63"/>
      <c r="C44" s="53" t="s">
        <v>42</v>
      </c>
      <c r="D44" s="54"/>
      <c r="E44" s="84"/>
      <c r="F44" s="55"/>
      <c r="G44" s="56"/>
      <c r="H44" s="85"/>
      <c r="I44" s="57"/>
    </row>
    <row r="45" spans="1:9" s="35" customFormat="1" ht="16.2" x14ac:dyDescent="0.35">
      <c r="A45" s="63">
        <v>31</v>
      </c>
      <c r="B45" s="63"/>
      <c r="C45" s="64" t="s">
        <v>43</v>
      </c>
      <c r="D45" s="88">
        <v>15</v>
      </c>
      <c r="E45" s="66">
        <f>+IFERROR((VLOOKUP((CONCATENATE($K$3,$E$9,$A45)),'[1]AÑO 2026'!$D:$I,6,0)),0)</f>
        <v>-5115500000</v>
      </c>
      <c r="F45" s="67">
        <f>+IFERROR((VLOOKUP((CONCATENATE($K$3,$F$9,$A45)),'[1]AÑO 2025'!$D:$I,6,0)),0)</f>
        <v>-1200500000</v>
      </c>
      <c r="G45" s="62">
        <f t="shared" ref="G45:G50" si="3">+E45-F45</f>
        <v>-3915000000</v>
      </c>
      <c r="H45" s="68">
        <f t="shared" si="0"/>
        <v>3.2611411911703456</v>
      </c>
      <c r="I45" s="69"/>
    </row>
    <row r="46" spans="1:9" s="35" customFormat="1" ht="16.2" x14ac:dyDescent="0.35">
      <c r="A46" s="63">
        <v>32</v>
      </c>
      <c r="B46" s="63"/>
      <c r="C46" s="64" t="s">
        <v>44</v>
      </c>
      <c r="D46" s="88">
        <v>15</v>
      </c>
      <c r="E46" s="66">
        <f>+IFERROR((VLOOKUP((CONCATENATE($K$3,$E$9,$A46)),'[1]AÑO 2026'!$D:$I,6,0)),0)</f>
        <v>-388784717.97000003</v>
      </c>
      <c r="F46" s="67">
        <f>+IFERROR((VLOOKUP((CONCATENATE($K$3,$F$9,$A46)),'[1]AÑO 2025'!$D:$I,6,0)),0)</f>
        <v>-388784717.97000003</v>
      </c>
      <c r="G46" s="62">
        <f t="shared" si="3"/>
        <v>0</v>
      </c>
      <c r="H46" s="68">
        <f t="shared" si="0"/>
        <v>0</v>
      </c>
      <c r="I46" s="69"/>
    </row>
    <row r="47" spans="1:9" s="35" customFormat="1" ht="16.2" hidden="1" x14ac:dyDescent="0.35">
      <c r="A47" s="63">
        <v>36</v>
      </c>
      <c r="B47" s="63"/>
      <c r="C47" s="64" t="s">
        <v>45</v>
      </c>
      <c r="D47" s="88">
        <v>15</v>
      </c>
      <c r="E47" s="89">
        <f>+IFERROR((VLOOKUP((CONCATENATE($K$3,$E$9,$A47)),'[1]AÑO 2026'!$D:$I,6,0)),0)</f>
        <v>0</v>
      </c>
      <c r="F47" s="67">
        <f>+IFERROR((VLOOKUP((CONCATENATE($K$3,$F$9,$A47)),'[1]AÑO 2025'!$D:$I,6,0)),0)</f>
        <v>-16898975.16</v>
      </c>
      <c r="G47" s="90">
        <f t="shared" si="3"/>
        <v>16898975.16</v>
      </c>
      <c r="H47" s="91">
        <f t="shared" si="0"/>
        <v>-1</v>
      </c>
      <c r="I47" s="92"/>
    </row>
    <row r="48" spans="1:9" s="35" customFormat="1" ht="16.2" x14ac:dyDescent="0.35">
      <c r="A48" s="63">
        <v>37</v>
      </c>
      <c r="B48" s="63"/>
      <c r="C48" s="64" t="s">
        <v>46</v>
      </c>
      <c r="D48" s="88">
        <v>15</v>
      </c>
      <c r="E48" s="66">
        <f>+IFERROR((VLOOKUP((CONCATENATE($K$3,$E$9,$A48)),'[1]AÑO 2026'!$D:$I,6,0)),0)</f>
        <v>-733068995.80999994</v>
      </c>
      <c r="F48" s="67">
        <f>+IFERROR((VLOOKUP((CONCATENATE($K$3,$F$9,$A48)),'[1]AÑO 2025'!$D:$I,6,0)),0)</f>
        <v>-242336465.38999999</v>
      </c>
      <c r="G48" s="62">
        <f t="shared" si="3"/>
        <v>-490732530.41999996</v>
      </c>
      <c r="H48" s="68">
        <f t="shared" si="0"/>
        <v>2.025004902296681</v>
      </c>
      <c r="I48" s="69"/>
    </row>
    <row r="49" spans="1:11" s="35" customFormat="1" ht="16.2" hidden="1" x14ac:dyDescent="0.35">
      <c r="A49" s="63">
        <v>38</v>
      </c>
      <c r="B49" s="63"/>
      <c r="C49" s="64" t="s">
        <v>47</v>
      </c>
      <c r="D49" s="88">
        <v>15</v>
      </c>
      <c r="E49" s="89">
        <f>+IFERROR((VLOOKUP((CONCATENATE($K$3,$E$9,$A49)),'[1]AÑO 2026'!$D:$I,6,0)),0)</f>
        <v>0</v>
      </c>
      <c r="F49" s="67">
        <f>+IFERROR((VLOOKUP((CONCATENATE($K$3,$F$9,$A49)),'[1]AÑO 2025'!$D:$I,6,0)),0)</f>
        <v>0</v>
      </c>
      <c r="G49" s="90">
        <f t="shared" si="3"/>
        <v>0</v>
      </c>
      <c r="H49" s="91">
        <f t="shared" si="0"/>
        <v>0</v>
      </c>
      <c r="I49" s="92"/>
    </row>
    <row r="50" spans="1:11" s="35" customFormat="1" ht="16.2" x14ac:dyDescent="0.35">
      <c r="A50" s="63"/>
      <c r="B50" s="63"/>
      <c r="C50" s="64" t="s">
        <v>48</v>
      </c>
      <c r="D50" s="88">
        <v>15</v>
      </c>
      <c r="E50" s="66">
        <f>-'3.ERI'!E70</f>
        <v>-89884071.389999866</v>
      </c>
      <c r="F50" s="67">
        <f>-'3.ERI'!F70</f>
        <v>-794945259.85999858</v>
      </c>
      <c r="G50" s="62">
        <f t="shared" si="3"/>
        <v>705061188.46999872</v>
      </c>
      <c r="H50" s="68">
        <f t="shared" si="0"/>
        <v>-0.88693048952096432</v>
      </c>
      <c r="I50" s="69"/>
      <c r="J50" s="93"/>
      <c r="K50" s="93"/>
    </row>
    <row r="51" spans="1:11" s="83" customFormat="1" ht="16.2" x14ac:dyDescent="0.35">
      <c r="A51" s="76"/>
      <c r="B51" s="76"/>
      <c r="C51" s="77" t="s">
        <v>49</v>
      </c>
      <c r="D51" s="78"/>
      <c r="E51" s="79">
        <f>SUM(E45:E50)</f>
        <v>-6327237785.1700001</v>
      </c>
      <c r="F51" s="79">
        <f>SUM(F45:F50)</f>
        <v>-2643465418.3799987</v>
      </c>
      <c r="G51" s="80">
        <f>SUM(G45:G50)</f>
        <v>-3683772366.7900014</v>
      </c>
      <c r="H51" s="81">
        <f t="shared" si="0"/>
        <v>1.3935390798671905</v>
      </c>
      <c r="I51" s="82"/>
    </row>
    <row r="52" spans="1:11" s="83" customFormat="1" ht="21" customHeight="1" x14ac:dyDescent="0.35">
      <c r="A52" s="76"/>
      <c r="B52" s="76"/>
      <c r="C52" s="70" t="s">
        <v>50</v>
      </c>
      <c r="D52" s="71"/>
      <c r="E52" s="72">
        <f>+E43+E51</f>
        <v>-13657067348.84</v>
      </c>
      <c r="F52" s="72">
        <f>+F43+F51</f>
        <v>-9081694910.2499981</v>
      </c>
      <c r="G52" s="73">
        <f>+G43+G51</f>
        <v>-4575372438.5900021</v>
      </c>
      <c r="H52" s="74">
        <f t="shared" si="0"/>
        <v>0.50380160133171137</v>
      </c>
      <c r="I52" s="75"/>
    </row>
    <row r="53" spans="1:11" ht="15.6" hidden="1" x14ac:dyDescent="0.3">
      <c r="A53" s="94"/>
      <c r="B53" s="94"/>
      <c r="C53" s="95" t="s">
        <v>51</v>
      </c>
      <c r="D53" s="96"/>
      <c r="E53" s="97"/>
      <c r="F53" s="98"/>
      <c r="G53" s="98"/>
      <c r="H53" s="99"/>
    </row>
    <row r="54" spans="1:11" ht="15" hidden="1" x14ac:dyDescent="0.25">
      <c r="A54" s="94"/>
      <c r="B54" s="94"/>
      <c r="C54" s="100"/>
      <c r="D54" s="96"/>
      <c r="E54" s="97"/>
      <c r="F54" s="98"/>
      <c r="G54" s="98"/>
      <c r="H54" s="99"/>
    </row>
    <row r="55" spans="1:11" ht="15" hidden="1" x14ac:dyDescent="0.25">
      <c r="A55" s="94"/>
      <c r="B55" s="94"/>
      <c r="C55" s="100"/>
      <c r="D55" s="96"/>
      <c r="E55" s="101"/>
      <c r="F55" s="102"/>
      <c r="G55" s="103"/>
      <c r="H55" s="99"/>
    </row>
    <row r="56" spans="1:11" ht="15" hidden="1" x14ac:dyDescent="0.25">
      <c r="A56" s="94"/>
      <c r="B56" s="94"/>
      <c r="C56" s="100"/>
      <c r="D56" s="96"/>
      <c r="F56" s="102"/>
      <c r="G56" s="103"/>
      <c r="H56" s="99"/>
    </row>
    <row r="57" spans="1:11" s="109" customFormat="1" ht="15" hidden="1" x14ac:dyDescent="0.25">
      <c r="A57" s="94"/>
      <c r="B57" s="94"/>
      <c r="C57" s="105"/>
      <c r="D57" s="106"/>
      <c r="E57" s="107"/>
      <c r="F57" s="107"/>
      <c r="G57" s="103"/>
      <c r="H57" s="108"/>
      <c r="I57" s="7"/>
    </row>
    <row r="58" spans="1:11" s="109" customFormat="1" ht="15" hidden="1" x14ac:dyDescent="0.25">
      <c r="A58" s="94"/>
      <c r="B58" s="94"/>
      <c r="C58" s="105"/>
      <c r="D58" s="106"/>
      <c r="E58" s="107"/>
      <c r="F58" s="107"/>
      <c r="G58" s="103"/>
      <c r="H58" s="108"/>
      <c r="I58" s="7"/>
    </row>
    <row r="59" spans="1:11" s="111" customFormat="1" ht="15.6" hidden="1" x14ac:dyDescent="0.3">
      <c r="A59" s="110"/>
      <c r="B59" s="110"/>
      <c r="C59" s="100" t="str">
        <f>+'[1]1.CERTIFICACIÓN'!A45</f>
        <v>MIGUEL ANTONIO JARAMILLO M</v>
      </c>
      <c r="D59" s="100" t="s">
        <v>52</v>
      </c>
      <c r="G59" s="100" t="str">
        <f>+'[1]1.CERTIFICACIÓN'!C45</f>
        <v>YURANY DEOSSA MURILLO</v>
      </c>
      <c r="H59" s="112"/>
      <c r="I59" s="113"/>
    </row>
    <row r="60" spans="1:11" ht="15.6" hidden="1" x14ac:dyDescent="0.3">
      <c r="C60" s="115" t="str">
        <f>+'[1]1.CERTIFICACIÓN'!A46</f>
        <v>Representante Legal</v>
      </c>
      <c r="D60" s="115" t="s">
        <v>53</v>
      </c>
      <c r="G60" s="115" t="str">
        <f>+'[1]1.CERTIFICACIÓN'!C46</f>
        <v>Contador Público</v>
      </c>
      <c r="H60" s="99"/>
    </row>
    <row r="61" spans="1:11" ht="15" hidden="1" x14ac:dyDescent="0.25">
      <c r="C61" s="100" t="str">
        <f>+'[1]1.CERTIFICACIÓN'!A47</f>
        <v>CC 80.550.424</v>
      </c>
      <c r="D61" s="116" t="s">
        <v>54</v>
      </c>
      <c r="G61" s="100" t="str">
        <f>+'[1]1.CERTIFICACIÓN'!C47</f>
        <v>TP 265026-T</v>
      </c>
      <c r="H61" s="99"/>
    </row>
    <row r="62" spans="1:11" s="119" customFormat="1" ht="15.6" hidden="1" x14ac:dyDescent="0.3">
      <c r="A62" s="117"/>
      <c r="B62" s="117"/>
      <c r="C62" s="118" t="s">
        <v>55</v>
      </c>
      <c r="D62" s="100" t="s">
        <v>56</v>
      </c>
      <c r="G62" s="118" t="s">
        <v>55</v>
      </c>
      <c r="H62" s="120"/>
      <c r="I62" s="121"/>
    </row>
    <row r="63" spans="1:11" s="119" customFormat="1" ht="15.6" hidden="1" x14ac:dyDescent="0.3">
      <c r="A63" s="117"/>
      <c r="B63" s="117"/>
      <c r="C63" s="95"/>
      <c r="D63" s="118" t="s">
        <v>57</v>
      </c>
      <c r="F63" s="95"/>
      <c r="G63" s="122"/>
      <c r="H63" s="120"/>
      <c r="I63" s="121"/>
    </row>
    <row r="64" spans="1:11" s="119" customFormat="1" ht="15.6" hidden="1" x14ac:dyDescent="0.3">
      <c r="A64" s="117"/>
      <c r="B64" s="117"/>
      <c r="C64" s="95"/>
      <c r="D64" s="123"/>
      <c r="E64" s="122"/>
      <c r="F64" s="95"/>
      <c r="G64" s="122"/>
      <c r="H64" s="120"/>
      <c r="I64" s="121"/>
    </row>
    <row r="65" spans="1:9" s="119" customFormat="1" ht="15.6" hidden="1" x14ac:dyDescent="0.3">
      <c r="A65" s="117"/>
      <c r="B65" s="117"/>
      <c r="C65" s="95"/>
      <c r="D65" s="123"/>
      <c r="E65" s="122"/>
      <c r="F65" s="95"/>
      <c r="G65" s="122"/>
      <c r="H65" s="120"/>
      <c r="I65" s="121"/>
    </row>
    <row r="66" spans="1:9" hidden="1" x14ac:dyDescent="0.25"/>
    <row r="67" spans="1:9" hidden="1" x14ac:dyDescent="0.25"/>
    <row r="68" spans="1:9" hidden="1" x14ac:dyDescent="0.25"/>
    <row r="69" spans="1:9" s="119" customFormat="1" ht="15" hidden="1" customHeight="1" x14ac:dyDescent="0.3">
      <c r="A69" s="117"/>
      <c r="B69" s="117"/>
      <c r="C69" s="124"/>
      <c r="D69" s="124"/>
      <c r="E69" s="124"/>
      <c r="F69" s="124"/>
      <c r="G69" s="124"/>
      <c r="H69" s="124"/>
      <c r="I69" s="125"/>
    </row>
    <row r="70" spans="1:9" s="119" customFormat="1" ht="15" hidden="1" customHeight="1" x14ac:dyDescent="0.3">
      <c r="A70" s="117"/>
      <c r="B70" s="117"/>
      <c r="C70" s="124"/>
      <c r="D70" s="124"/>
      <c r="E70" s="124"/>
      <c r="F70" s="124"/>
      <c r="G70" s="124"/>
      <c r="H70" s="124"/>
      <c r="I70" s="125"/>
    </row>
    <row r="71" spans="1:9" s="119" customFormat="1" ht="15" hidden="1" customHeight="1" x14ac:dyDescent="0.3">
      <c r="A71" s="117"/>
      <c r="B71" s="117"/>
      <c r="C71" s="124"/>
      <c r="D71" s="124"/>
      <c r="E71" s="124"/>
      <c r="F71" s="124"/>
      <c r="G71" s="124"/>
      <c r="H71" s="124"/>
      <c r="I71" s="125"/>
    </row>
    <row r="72" spans="1:9" s="119" customFormat="1" ht="15" hidden="1" customHeight="1" x14ac:dyDescent="0.3">
      <c r="A72" s="117"/>
      <c r="B72" s="117"/>
      <c r="C72" s="124"/>
      <c r="D72" s="124"/>
      <c r="E72" s="124"/>
      <c r="F72" s="124"/>
      <c r="G72" s="124"/>
      <c r="H72" s="124"/>
      <c r="I72" s="125"/>
    </row>
    <row r="73" spans="1:9" ht="15.75" hidden="1" customHeight="1" x14ac:dyDescent="0.25">
      <c r="C73" s="124"/>
      <c r="D73" s="124"/>
      <c r="E73" s="124"/>
      <c r="F73" s="124"/>
      <c r="G73" s="124"/>
      <c r="H73" s="124"/>
      <c r="I73" s="125"/>
    </row>
    <row r="74" spans="1:9" hidden="1" x14ac:dyDescent="0.25">
      <c r="D74" s="127"/>
    </row>
    <row r="75" spans="1:9" s="28" customFormat="1" hidden="1" x14ac:dyDescent="0.25">
      <c r="A75" s="114"/>
      <c r="B75" s="114"/>
      <c r="C75" s="128" t="s">
        <v>58</v>
      </c>
      <c r="D75" s="129"/>
      <c r="E75" s="130">
        <f>+E26+E52</f>
        <v>0</v>
      </c>
      <c r="F75" s="130">
        <f>+F26+F52</f>
        <v>0</v>
      </c>
      <c r="G75" s="130"/>
      <c r="H75" s="131"/>
      <c r="I75" s="132"/>
    </row>
    <row r="76" spans="1:9" s="28" customFormat="1" hidden="1" x14ac:dyDescent="0.25">
      <c r="A76" s="114"/>
      <c r="B76" s="114"/>
      <c r="C76" s="133" t="s">
        <v>59</v>
      </c>
      <c r="D76" s="127"/>
      <c r="E76" s="134">
        <f>+E26-E52</f>
        <v>27314134697.68</v>
      </c>
      <c r="F76" s="134">
        <f>+F26-F52</f>
        <v>18163389820.5</v>
      </c>
      <c r="G76" s="135"/>
      <c r="H76" s="131"/>
      <c r="I76" s="132"/>
    </row>
    <row r="77" spans="1:9" hidden="1" x14ac:dyDescent="0.25"/>
    <row r="78" spans="1:9" hidden="1" x14ac:dyDescent="0.25"/>
  </sheetData>
  <sheetProtection selectLockedCells="1"/>
  <mergeCells count="1">
    <mergeCell ref="C69:H73"/>
  </mergeCells>
  <dataValidations count="1">
    <dataValidation type="list" allowBlank="1" showInputMessage="1" showErrorMessage="1" sqref="C9:C10" xr:uid="{444073CA-A588-4050-B6C4-FB3C74953FBD}">
      <formula1>#REF!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59" fitToHeight="0" orientation="portrait" r:id="rId1"/>
  <headerFooter>
    <oddFooter>Página &amp;P</oddFooter>
  </headerFooter>
  <ignoredErrors>
    <ignoredError sqref="E14:H52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DF3D6-F210-4C8E-AAF0-00377D9D83FF}">
  <sheetPr codeName="Hoja4">
    <tabColor rgb="FF002060"/>
    <pageSetUpPr fitToPage="1"/>
  </sheetPr>
  <dimension ref="A1:O103"/>
  <sheetViews>
    <sheetView showGridLines="0" topLeftCell="C1" zoomScale="115" zoomScaleNormal="115" workbookViewId="0">
      <selection activeCell="C3" sqref="C3"/>
    </sheetView>
  </sheetViews>
  <sheetFormatPr baseColWidth="10" defaultColWidth="11.44140625" defaultRowHeight="15.6" x14ac:dyDescent="0.3"/>
  <cols>
    <col min="1" max="1" width="10.33203125" style="114" hidden="1" customWidth="1"/>
    <col min="2" max="2" width="6.5546875" style="114" hidden="1" customWidth="1"/>
    <col min="3" max="3" width="51.109375" style="184" customWidth="1"/>
    <col min="4" max="4" width="7.6640625" style="185" hidden="1" customWidth="1"/>
    <col min="5" max="5" width="21.6640625" style="99" customWidth="1"/>
    <col min="6" max="6" width="20.109375" style="99" customWidth="1"/>
    <col min="7" max="7" width="22.6640625" style="99" bestFit="1" customWidth="1"/>
    <col min="8" max="8" width="18.6640625" style="99" customWidth="1"/>
    <col min="9" max="9" width="24.6640625" style="180" hidden="1" customWidth="1"/>
    <col min="10" max="12" width="16.44140625" style="8" hidden="1" customWidth="1"/>
    <col min="13" max="13" width="11.44140625" style="8"/>
    <col min="14" max="14" width="13.33203125" style="8" bestFit="1" customWidth="1"/>
    <col min="15" max="16384" width="11.44140625" style="8"/>
  </cols>
  <sheetData>
    <row r="1" spans="1:15" ht="12.75" customHeight="1" x14ac:dyDescent="0.4">
      <c r="A1" s="1"/>
      <c r="B1" s="1"/>
      <c r="C1" s="136"/>
      <c r="D1" s="137"/>
      <c r="E1" s="136"/>
      <c r="F1" s="136"/>
      <c r="G1" s="138"/>
      <c r="H1" s="139"/>
      <c r="I1" s="103"/>
      <c r="J1" s="140"/>
      <c r="K1" s="140"/>
      <c r="L1" s="140"/>
      <c r="M1" s="140"/>
      <c r="N1" s="140"/>
      <c r="O1" s="140"/>
    </row>
    <row r="2" spans="1:15" ht="12.75" customHeight="1" x14ac:dyDescent="0.4">
      <c r="A2" s="1"/>
      <c r="B2" s="1"/>
      <c r="C2" s="141"/>
      <c r="D2" s="142"/>
      <c r="E2" s="141"/>
      <c r="F2" s="141"/>
      <c r="G2" s="44"/>
      <c r="H2" s="102"/>
      <c r="I2" s="103"/>
      <c r="J2" s="140"/>
      <c r="K2" s="140" t="s">
        <v>0</v>
      </c>
      <c r="L2" s="140"/>
      <c r="M2" s="140"/>
      <c r="N2" s="140"/>
      <c r="O2" s="140"/>
    </row>
    <row r="3" spans="1:15" ht="21" customHeight="1" x14ac:dyDescent="0.4">
      <c r="A3" s="1"/>
      <c r="B3" s="1"/>
      <c r="C3" s="13" t="str">
        <f>+'2.ESF'!C3</f>
        <v>ESTADOS FINANCIEROS INDIVIDUALES</v>
      </c>
      <c r="D3" s="44"/>
      <c r="E3" s="15"/>
      <c r="F3" s="15"/>
      <c r="G3" s="15"/>
      <c r="H3" s="15"/>
      <c r="I3" s="18"/>
      <c r="J3" s="143" t="s">
        <v>2</v>
      </c>
      <c r="K3" s="143" t="s">
        <v>60</v>
      </c>
      <c r="L3" s="140"/>
      <c r="M3" s="140"/>
      <c r="N3" s="140"/>
      <c r="O3" s="140"/>
    </row>
    <row r="4" spans="1:15" ht="21" customHeight="1" thickBot="1" x14ac:dyDescent="0.45">
      <c r="A4" s="1"/>
      <c r="B4" s="1"/>
      <c r="C4" s="144" t="s">
        <v>61</v>
      </c>
      <c r="D4" s="145"/>
      <c r="E4" s="146"/>
      <c r="F4" s="146"/>
      <c r="G4" s="146"/>
      <c r="H4" s="22"/>
      <c r="I4" s="147"/>
      <c r="J4" s="140"/>
      <c r="K4" s="140">
        <v>2024</v>
      </c>
      <c r="L4" s="140"/>
      <c r="M4" s="140"/>
      <c r="N4" s="140"/>
      <c r="O4" s="140"/>
    </row>
    <row r="5" spans="1:15" ht="21" customHeight="1" x14ac:dyDescent="0.4">
      <c r="A5" s="1"/>
      <c r="B5" s="1"/>
      <c r="C5" s="26" t="s">
        <v>5</v>
      </c>
      <c r="D5" s="44"/>
      <c r="E5" s="22"/>
      <c r="F5" s="22"/>
      <c r="G5" s="22"/>
      <c r="H5" s="22"/>
      <c r="I5" s="147"/>
      <c r="J5" s="140"/>
      <c r="K5" s="140"/>
      <c r="L5" s="140"/>
      <c r="M5" s="140"/>
      <c r="N5" s="140"/>
      <c r="O5" s="140"/>
    </row>
    <row r="6" spans="1:15" ht="21" customHeight="1" x14ac:dyDescent="0.4">
      <c r="A6" s="1"/>
      <c r="B6" s="1"/>
      <c r="C6" s="148"/>
      <c r="D6" s="44"/>
      <c r="E6" s="15"/>
      <c r="F6" s="15"/>
      <c r="G6" s="15"/>
      <c r="H6" s="15"/>
      <c r="I6" s="18"/>
      <c r="J6" s="140"/>
      <c r="K6" s="140"/>
      <c r="L6" s="140"/>
      <c r="M6" s="140"/>
      <c r="N6" s="140"/>
      <c r="O6" s="140"/>
    </row>
    <row r="7" spans="1:15" ht="21" customHeight="1" x14ac:dyDescent="0.4">
      <c r="A7" s="1"/>
      <c r="B7" s="1"/>
      <c r="C7" s="22" t="str">
        <f>+'2.ESF'!C7</f>
        <v>OFTALMOLOGOS EL TESORO S.A.S</v>
      </c>
      <c r="D7" s="44"/>
      <c r="E7" s="15"/>
      <c r="F7" s="15"/>
      <c r="G7" s="15"/>
      <c r="H7" s="15"/>
      <c r="I7" s="18"/>
      <c r="J7" s="140"/>
      <c r="K7" s="140"/>
      <c r="L7" s="140"/>
      <c r="M7" s="140"/>
      <c r="N7" s="140"/>
      <c r="O7" s="140"/>
    </row>
    <row r="8" spans="1:15" ht="21" customHeight="1" x14ac:dyDescent="0.4">
      <c r="A8" s="1"/>
      <c r="B8" s="1"/>
      <c r="C8" s="141"/>
      <c r="D8" s="142"/>
      <c r="E8" s="142"/>
      <c r="F8" s="142"/>
      <c r="G8" s="141"/>
      <c r="H8" s="98"/>
      <c r="I8" s="98"/>
      <c r="J8" s="140"/>
      <c r="K8" s="140"/>
      <c r="L8" s="140"/>
      <c r="M8" s="140"/>
      <c r="N8" s="140"/>
      <c r="O8" s="140"/>
    </row>
    <row r="9" spans="1:15" s="35" customFormat="1" ht="9.75" hidden="1" customHeight="1" x14ac:dyDescent="0.35">
      <c r="A9" s="149"/>
      <c r="B9" s="149"/>
      <c r="C9" s="44"/>
      <c r="D9" s="50"/>
      <c r="E9" s="142">
        <v>2026</v>
      </c>
      <c r="F9" s="142">
        <v>2025</v>
      </c>
      <c r="G9" s="150"/>
      <c r="H9" s="98"/>
      <c r="I9" s="98"/>
    </row>
    <row r="10" spans="1:15" s="35" customFormat="1" ht="17.25" customHeight="1" x14ac:dyDescent="0.35">
      <c r="A10" s="149"/>
      <c r="B10" s="149"/>
      <c r="C10" s="44"/>
      <c r="D10" s="45" t="s">
        <v>7</v>
      </c>
      <c r="E10" s="46" t="s">
        <v>8</v>
      </c>
      <c r="F10" s="47" t="s">
        <v>9</v>
      </c>
      <c r="G10" s="45" t="s">
        <v>10</v>
      </c>
      <c r="H10" s="45" t="s">
        <v>11</v>
      </c>
      <c r="I10" s="45"/>
    </row>
    <row r="11" spans="1:15" s="35" customFormat="1" ht="10.5" customHeight="1" x14ac:dyDescent="0.35">
      <c r="A11" s="149"/>
      <c r="B11" s="149"/>
      <c r="C11" s="49"/>
      <c r="D11" s="50"/>
      <c r="G11" s="50"/>
      <c r="H11" s="50"/>
      <c r="I11" s="50"/>
    </row>
    <row r="12" spans="1:15" s="35" customFormat="1" ht="16.8" thickBot="1" x14ac:dyDescent="0.4">
      <c r="A12" s="151"/>
      <c r="B12" s="151"/>
      <c r="C12" s="53" t="s">
        <v>62</v>
      </c>
      <c r="D12" s="54"/>
      <c r="E12" s="56"/>
      <c r="F12" s="56"/>
      <c r="G12" s="56"/>
      <c r="H12" s="85"/>
      <c r="I12" s="152"/>
    </row>
    <row r="13" spans="1:15" s="35" customFormat="1" ht="16.2" x14ac:dyDescent="0.35">
      <c r="A13" s="63">
        <v>41</v>
      </c>
      <c r="B13" s="63"/>
      <c r="C13" s="153" t="str">
        <f>PROPER(+IFERROR(VLOOKUP(A13,'[1]AÑO 2025'!C:I,3,FALSE),0))</f>
        <v>Ingresos Ordinarios</v>
      </c>
      <c r="D13" s="65">
        <v>16</v>
      </c>
      <c r="E13" s="154">
        <f>+IFERROR((VLOOKUP((CONCATENATE($K$2,$E$9,$A13)),'[1]AÑO 2026'!$D:$I,6,0)),0)*-1</f>
        <v>10629413901</v>
      </c>
      <c r="F13" s="155">
        <f>+IFERROR((VLOOKUP((CONCATENATE($K$2,$F$9,$A13)),'[1]AÑO 2025'!$D:$I,6,0)),0)*-1</f>
        <v>7847580587.6899996</v>
      </c>
      <c r="G13" s="62">
        <f>+E13-F13</f>
        <v>2781833313.3100004</v>
      </c>
      <c r="H13" s="68">
        <f>IFERROR(G13/F13,0)</f>
        <v>0.35448292403313264</v>
      </c>
      <c r="I13" s="152"/>
      <c r="N13" s="156"/>
    </row>
    <row r="14" spans="1:15" s="35" customFormat="1" ht="16.2" x14ac:dyDescent="0.35">
      <c r="A14" s="63">
        <v>6</v>
      </c>
      <c r="B14" s="63"/>
      <c r="C14" s="153" t="str">
        <f>PROPER(+IFERROR(VLOOKUP(A14,'[1]AÑO 2025'!C:I,3,FALSE),0))</f>
        <v>Costo De Ventas Y Prestación De Servicios</v>
      </c>
      <c r="D14" s="65"/>
      <c r="E14" s="154">
        <f>+IFERROR((VLOOKUP((CONCATENATE($K$2,$E$9,$A14)),'[1]AÑO 2026'!$D:$I,6,0)),0)*-1</f>
        <v>-6004484869.8400002</v>
      </c>
      <c r="F14" s="155">
        <f>+IFERROR((VLOOKUP((CONCATENATE($K$2,$F$9,$A14)),'[1]AÑO 2025'!$D:$I,6,0)),0)*-1</f>
        <v>-4379562944.3900003</v>
      </c>
      <c r="G14" s="62">
        <f>+E14-F14</f>
        <v>-1624921925.4499998</v>
      </c>
      <c r="H14" s="68">
        <f t="shared" ref="H14:H70" si="0">IFERROR(G14/F14,0)</f>
        <v>0.37102376334867909</v>
      </c>
      <c r="I14" s="152"/>
    </row>
    <row r="15" spans="1:15" s="35" customFormat="1" ht="16.2" x14ac:dyDescent="0.35">
      <c r="A15" s="63">
        <v>7</v>
      </c>
      <c r="B15" s="63"/>
      <c r="C15" s="153" t="str">
        <f>PROPER(+IFERROR(VLOOKUP(A15,'[1]AÑO 2025'!C:I,3,FALSE),0))</f>
        <v>Costos De Producción</v>
      </c>
      <c r="D15" s="65"/>
      <c r="E15" s="154">
        <f>+IFERROR((VLOOKUP((CONCATENATE($K$2,$E$9,$A15)),'[1]AÑO 2026'!$D:$I,6,0)),0)*-1</f>
        <v>-660802687</v>
      </c>
      <c r="F15" s="155">
        <f>+IFERROR((VLOOKUP((CONCATENATE($K$2,$F$9,$A15)),'[1]AÑO 2025'!$D:$I,6,0)),0)*-1</f>
        <v>-234499773.00999999</v>
      </c>
      <c r="G15" s="62">
        <f>+E15-F15</f>
        <v>-426302913.99000001</v>
      </c>
      <c r="H15" s="68">
        <f t="shared" si="0"/>
        <v>1.8179246338623141</v>
      </c>
      <c r="I15" s="152"/>
    </row>
    <row r="16" spans="1:15" s="35" customFormat="1" ht="16.2" x14ac:dyDescent="0.35">
      <c r="A16" s="63"/>
      <c r="B16" s="63"/>
      <c r="C16" s="70" t="s">
        <v>63</v>
      </c>
      <c r="D16" s="157"/>
      <c r="E16" s="158">
        <f>+SUM(E13:E15)</f>
        <v>3964126344.1599998</v>
      </c>
      <c r="F16" s="158">
        <f>+SUM(F13:F15)</f>
        <v>3233517870.289999</v>
      </c>
      <c r="G16" s="158">
        <f>+E16-F16</f>
        <v>730608473.87000084</v>
      </c>
      <c r="H16" s="159">
        <f t="shared" si="0"/>
        <v>0.22594848804855253</v>
      </c>
      <c r="I16" s="160"/>
    </row>
    <row r="17" spans="1:9" s="165" customFormat="1" ht="16.2" x14ac:dyDescent="0.35">
      <c r="A17" s="63"/>
      <c r="B17" s="63"/>
      <c r="C17" s="161"/>
      <c r="D17" s="162"/>
      <c r="E17" s="163">
        <f>+E16/E13</f>
        <v>0.37293931547693898</v>
      </c>
      <c r="F17" s="163">
        <f>+F16/F13</f>
        <v>0.41204009747440029</v>
      </c>
      <c r="G17" s="163">
        <f>+E17-F17</f>
        <v>-3.9100781997461309E-2</v>
      </c>
      <c r="H17" s="163">
        <f>+F17-G17</f>
        <v>0.4511408794718616</v>
      </c>
      <c r="I17" s="164"/>
    </row>
    <row r="18" spans="1:9" s="35" customFormat="1" ht="16.8" thickBot="1" x14ac:dyDescent="0.4">
      <c r="A18" s="63"/>
      <c r="B18" s="63"/>
      <c r="C18" s="53" t="s">
        <v>64</v>
      </c>
      <c r="D18" s="166"/>
      <c r="E18" s="167"/>
      <c r="F18" s="167"/>
      <c r="G18" s="56"/>
      <c r="H18" s="85"/>
      <c r="I18" s="152"/>
    </row>
    <row r="19" spans="1:9" s="35" customFormat="1" ht="16.2" x14ac:dyDescent="0.35">
      <c r="A19" s="63">
        <v>5105</v>
      </c>
      <c r="B19" s="63"/>
      <c r="C19" s="153" t="str">
        <f>PROPER(+IFERROR(VLOOKUP(A19,'[1]AÑO 2025'!C:I,3,FALSE),0))</f>
        <v>Gasto De Personal</v>
      </c>
      <c r="D19" s="65">
        <v>17</v>
      </c>
      <c r="E19" s="154">
        <f>+IFERROR((VLOOKUP((CONCATENATE($K$2,$E$9,$A19)),'[1]AÑO 2026'!$D:$I,6,0)),0)*-1</f>
        <v>-1044416184.98</v>
      </c>
      <c r="F19" s="155">
        <f>+IFERROR((VLOOKUP((CONCATENATE($K$2,$F$9,$A19)),'[1]AÑO 2025'!$D:$I,6,0)),0)*-1</f>
        <v>-758523330.03999996</v>
      </c>
      <c r="G19" s="62">
        <f t="shared" ref="G19:G34" si="1">+E19-F19</f>
        <v>-285892854.94000006</v>
      </c>
      <c r="H19" s="68">
        <f t="shared" si="0"/>
        <v>0.37690713471518905</v>
      </c>
      <c r="I19" s="152"/>
    </row>
    <row r="20" spans="1:9" s="35" customFormat="1" ht="16.2" x14ac:dyDescent="0.35">
      <c r="A20" s="63">
        <v>5110</v>
      </c>
      <c r="B20" s="63"/>
      <c r="C20" s="153" t="str">
        <f>PROPER(+IFERROR(VLOOKUP(A20,'[1]AÑO 2025'!C:I,3,FALSE),0))</f>
        <v>Gastos Honorarios Administración</v>
      </c>
      <c r="D20" s="65">
        <v>17</v>
      </c>
      <c r="E20" s="154">
        <f>+IFERROR((VLOOKUP((CONCATENATE($K$2,$E$9,$A20)),'[1]AÑO 2026'!$D:$I,6,0)),0)*-1</f>
        <v>-199910188.02000001</v>
      </c>
      <c r="F20" s="155">
        <f>+IFERROR((VLOOKUP((CONCATENATE($K$2,$F$9,$A20)),'[1]AÑO 2025'!$D:$I,6,0)),0)*-1</f>
        <v>-146920114.47</v>
      </c>
      <c r="G20" s="62">
        <f t="shared" si="1"/>
        <v>-52990073.550000012</v>
      </c>
      <c r="H20" s="68">
        <f t="shared" si="0"/>
        <v>0.36067269441734739</v>
      </c>
      <c r="I20" s="152"/>
    </row>
    <row r="21" spans="1:9" s="35" customFormat="1" ht="16.2" x14ac:dyDescent="0.35">
      <c r="A21" s="63">
        <v>5115</v>
      </c>
      <c r="B21" s="63"/>
      <c r="C21" s="153" t="str">
        <f>PROPER(+IFERROR(VLOOKUP(A21,'[1]AÑO 2025'!C:I,3,FALSE),0))</f>
        <v>Gastos Impuestos Administración</v>
      </c>
      <c r="D21" s="65">
        <v>17</v>
      </c>
      <c r="E21" s="154">
        <f>+IFERROR((VLOOKUP((CONCATENATE($K$2,$E$9,$A21)),'[1]AÑO 2026'!$D:$I,6,0)),0)*-1</f>
        <v>-49539473.219999999</v>
      </c>
      <c r="F21" s="155">
        <f>+IFERROR((VLOOKUP((CONCATENATE($K$2,$F$9,$A21)),'[1]AÑO 2025'!$D:$I,6,0)),0)*-1</f>
        <v>-45445509.840000004</v>
      </c>
      <c r="G21" s="62">
        <f t="shared" si="1"/>
        <v>-4093963.3799999952</v>
      </c>
      <c r="H21" s="68">
        <f t="shared" si="0"/>
        <v>9.0085101793633979E-2</v>
      </c>
      <c r="I21" s="152"/>
    </row>
    <row r="22" spans="1:9" s="35" customFormat="1" ht="16.2" x14ac:dyDescent="0.35">
      <c r="A22" s="63">
        <v>5120</v>
      </c>
      <c r="B22" s="63"/>
      <c r="C22" s="153" t="str">
        <f>PROPER(+IFERROR(VLOOKUP(A22,'[1]AÑO 2025'!C:I,3,FALSE),0))</f>
        <v>Gastos Arrendamientos Administración</v>
      </c>
      <c r="D22" s="65">
        <v>17</v>
      </c>
      <c r="E22" s="154">
        <f>+IFERROR((VLOOKUP((CONCATENATE($K$2,$E$9,$A22)),'[1]AÑO 2026'!$D:$I,6,0)),0)*-1</f>
        <v>-741616095.38</v>
      </c>
      <c r="F22" s="155">
        <f>+IFERROR((VLOOKUP((CONCATENATE($K$2,$F$9,$A22)),'[1]AÑO 2025'!$D:$I,6,0)),0)*-1</f>
        <v>-503760429.86000001</v>
      </c>
      <c r="G22" s="62">
        <f t="shared" si="1"/>
        <v>-237855665.51999998</v>
      </c>
      <c r="H22" s="68">
        <f t="shared" si="0"/>
        <v>0.47216027981019154</v>
      </c>
      <c r="I22" s="152"/>
    </row>
    <row r="23" spans="1:9" s="35" customFormat="1" ht="16.2" x14ac:dyDescent="0.35">
      <c r="A23" s="63">
        <v>5125</v>
      </c>
      <c r="B23" s="63"/>
      <c r="C23" s="153" t="str">
        <f>PROPER(+IFERROR(VLOOKUP(A23,'[1]AÑO 2025'!C:I,3,FALSE),0))</f>
        <v>Gastos Contribuciones Y Afiliaciones Administración</v>
      </c>
      <c r="D23" s="65">
        <v>17</v>
      </c>
      <c r="E23" s="154">
        <f>+IFERROR((VLOOKUP((CONCATENATE($K$2,$E$9,$A23)),'[1]AÑO 2026'!$D:$I,6,0)),0)*-1</f>
        <v>-120019228.75</v>
      </c>
      <c r="F23" s="155">
        <f>+IFERROR((VLOOKUP((CONCATENATE($K$2,$F$9,$A23)),'[1]AÑO 2025'!$D:$I,6,0)),0)*-1</f>
        <v>-91984229.310000002</v>
      </c>
      <c r="G23" s="62">
        <f t="shared" si="1"/>
        <v>-28034999.439999998</v>
      </c>
      <c r="H23" s="68">
        <f t="shared" si="0"/>
        <v>0.30478050042163252</v>
      </c>
      <c r="I23" s="152"/>
    </row>
    <row r="24" spans="1:9" s="35" customFormat="1" ht="16.2" x14ac:dyDescent="0.35">
      <c r="A24" s="63">
        <v>5130</v>
      </c>
      <c r="B24" s="63"/>
      <c r="C24" s="153" t="str">
        <f>PROPER(+IFERROR(VLOOKUP(A24,'[1]AÑO 2025'!C:I,3,FALSE),0))</f>
        <v>Gastos Seguros Administración</v>
      </c>
      <c r="D24" s="65">
        <v>17</v>
      </c>
      <c r="E24" s="154">
        <f>+IFERROR((VLOOKUP((CONCATENATE($K$2,$E$9,$A24)),'[1]AÑO 2026'!$D:$I,6,0)),0)*-1</f>
        <v>-139503662.88999999</v>
      </c>
      <c r="F24" s="155">
        <f>+IFERROR((VLOOKUP((CONCATENATE($K$2,$F$9,$A24)),'[1]AÑO 2025'!$D:$I,6,0)),0)*-1</f>
        <v>-91009550.219999999</v>
      </c>
      <c r="G24" s="62">
        <f t="shared" si="1"/>
        <v>-48494112.669999987</v>
      </c>
      <c r="H24" s="68">
        <f t="shared" si="0"/>
        <v>0.53284641614834682</v>
      </c>
      <c r="I24" s="152"/>
    </row>
    <row r="25" spans="1:9" s="35" customFormat="1" ht="16.2" x14ac:dyDescent="0.35">
      <c r="A25" s="63">
        <v>5135</v>
      </c>
      <c r="B25" s="63"/>
      <c r="C25" s="153" t="str">
        <f>PROPER(+IFERROR(VLOOKUP(A25,'[1]AÑO 2025'!C:I,3,FALSE),0))</f>
        <v>Gastos Servicios Administración</v>
      </c>
      <c r="D25" s="65">
        <v>17</v>
      </c>
      <c r="E25" s="154">
        <f>+IFERROR((VLOOKUP((CONCATENATE($K$2,$E$9,$A25)),'[1]AÑO 2026'!$D:$I,6,0)),0)*-1</f>
        <v>-357139656.73000002</v>
      </c>
      <c r="F25" s="155">
        <f>+IFERROR((VLOOKUP((CONCATENATE($K$2,$F$9,$A25)),'[1]AÑO 2025'!$D:$I,6,0)),0)*-1</f>
        <v>-254489153.69</v>
      </c>
      <c r="G25" s="62">
        <f t="shared" si="1"/>
        <v>-102650503.04000002</v>
      </c>
      <c r="H25" s="68">
        <f t="shared" si="0"/>
        <v>0.40335904910525705</v>
      </c>
      <c r="I25" s="152"/>
    </row>
    <row r="26" spans="1:9" s="35" customFormat="1" ht="16.2" x14ac:dyDescent="0.35">
      <c r="A26" s="63">
        <v>5140</v>
      </c>
      <c r="B26" s="63"/>
      <c r="C26" s="153" t="str">
        <f>PROPER(+IFERROR(VLOOKUP(A26,'[1]AÑO 2025'!C:I,3,FALSE),0))</f>
        <v>Gastos Legales Administración</v>
      </c>
      <c r="D26" s="65">
        <v>17</v>
      </c>
      <c r="E26" s="154">
        <f>+IFERROR((VLOOKUP((CONCATENATE($K$2,$E$9,$A26)),'[1]AÑO 2026'!$D:$I,6,0)),0)*-1</f>
        <v>-9086208.1899999995</v>
      </c>
      <c r="F26" s="155">
        <f>+IFERROR((VLOOKUP((CONCATENATE($K$2,$F$9,$A26)),'[1]AÑO 2025'!$D:$I,6,0)),0)*-1</f>
        <v>-5839200.2800000003</v>
      </c>
      <c r="G26" s="62">
        <f t="shared" si="1"/>
        <v>-3247007.9099999992</v>
      </c>
      <c r="H26" s="68">
        <f t="shared" si="0"/>
        <v>0.55607065253805599</v>
      </c>
      <c r="I26" s="152"/>
    </row>
    <row r="27" spans="1:9" s="35" customFormat="1" ht="16.2" x14ac:dyDescent="0.35">
      <c r="A27" s="63">
        <v>5145</v>
      </c>
      <c r="B27" s="63"/>
      <c r="C27" s="153" t="str">
        <f>PROPER(+IFERROR(VLOOKUP(A27,'[1]AÑO 2025'!C:I,3,FALSE),0))</f>
        <v>Gastos Mantenimiento Administración</v>
      </c>
      <c r="D27" s="65">
        <v>17</v>
      </c>
      <c r="E27" s="154">
        <f>+IFERROR((VLOOKUP((CONCATENATE($K$2,$E$9,$A27)),'[1]AÑO 2026'!$D:$I,6,0)),0)*-1</f>
        <v>-306027561.10000002</v>
      </c>
      <c r="F27" s="155">
        <f>+IFERROR((VLOOKUP((CONCATENATE($K$2,$F$9,$A27)),'[1]AÑO 2025'!$D:$I,6,0)),0)*-1</f>
        <v>-170796167.5</v>
      </c>
      <c r="G27" s="62">
        <f t="shared" si="1"/>
        <v>-135231393.60000002</v>
      </c>
      <c r="H27" s="68">
        <f t="shared" si="0"/>
        <v>0.79177065609507913</v>
      </c>
      <c r="I27" s="152"/>
    </row>
    <row r="28" spans="1:9" s="35" customFormat="1" ht="16.2" hidden="1" x14ac:dyDescent="0.35">
      <c r="A28" s="63">
        <v>5150</v>
      </c>
      <c r="B28" s="63"/>
      <c r="C28" s="153" t="str">
        <f>PROPER(+IFERROR(VLOOKUP(A28,'[1]AÑO 2025'!C:I,3,FALSE),0))</f>
        <v>0</v>
      </c>
      <c r="D28" s="65">
        <v>17</v>
      </c>
      <c r="E28" s="154">
        <f>+IFERROR((VLOOKUP((CONCATENATE($K$2,$E$9,$A28)),'[1]AÑO 2026'!$D:$I,6,0)),0)*-1</f>
        <v>0</v>
      </c>
      <c r="F28" s="155">
        <f>+IFERROR((VLOOKUP((CONCATENATE($K$2,$F$9,$A28)),'[1]AÑO 2025'!$D:$I,6,0)),0)*-1</f>
        <v>0</v>
      </c>
      <c r="G28" s="62">
        <f t="shared" si="1"/>
        <v>0</v>
      </c>
      <c r="H28" s="68">
        <f t="shared" si="0"/>
        <v>0</v>
      </c>
      <c r="I28" s="152"/>
    </row>
    <row r="29" spans="1:9" s="35" customFormat="1" ht="16.2" x14ac:dyDescent="0.35">
      <c r="A29" s="63">
        <v>5155</v>
      </c>
      <c r="B29" s="63"/>
      <c r="C29" s="153" t="str">
        <f>PROPER(+IFERROR(VLOOKUP(A29,'[1]AÑO 2026'!C:I,3,FALSE),0))</f>
        <v>Gastos De Viaje Administración</v>
      </c>
      <c r="D29" s="65">
        <v>17</v>
      </c>
      <c r="E29" s="154">
        <f>+IFERROR((VLOOKUP((CONCATENATE($K$2,$E$9,$A29)),'[1]AÑO 2026'!$D:$I,6,0)),0)*-1</f>
        <v>-828817.01</v>
      </c>
      <c r="F29" s="155">
        <f>+IFERROR((VLOOKUP((CONCATENATE($K$2,$F$9,$A29)),'[1]AÑO 2025'!$D:$I,6,0)),0)*-1</f>
        <v>-810813</v>
      </c>
      <c r="G29" s="62">
        <f t="shared" si="1"/>
        <v>-18004.010000000009</v>
      </c>
      <c r="H29" s="68">
        <f t="shared" si="0"/>
        <v>2.2204885713475252E-2</v>
      </c>
      <c r="I29" s="152"/>
    </row>
    <row r="30" spans="1:9" s="35" customFormat="1" ht="16.2" x14ac:dyDescent="0.35">
      <c r="A30" s="63">
        <v>5160</v>
      </c>
      <c r="B30" s="63"/>
      <c r="C30" s="153" t="str">
        <f>PROPER(+IFERROR(VLOOKUP(A30,'[1]AÑO 2025'!C:I,3,FALSE),0))</f>
        <v>Gastos Depreciaciones Administración</v>
      </c>
      <c r="D30" s="65">
        <v>17</v>
      </c>
      <c r="E30" s="154">
        <f>+IFERROR((VLOOKUP((CONCATENATE($K$2,$E$9,$A30)),'[1]AÑO 2026'!$D:$I,6,0)),0)*-1</f>
        <v>-441338797</v>
      </c>
      <c r="F30" s="155">
        <f>+IFERROR((VLOOKUP((CONCATENATE($K$2,$F$9,$A30)),'[1]AÑO 2025'!$D:$I,6,0)),0)*-1</f>
        <v>-249105084</v>
      </c>
      <c r="G30" s="62">
        <f t="shared" si="1"/>
        <v>-192233713</v>
      </c>
      <c r="H30" s="68">
        <f t="shared" si="0"/>
        <v>0.77169726893249602</v>
      </c>
      <c r="I30" s="152"/>
    </row>
    <row r="31" spans="1:9" s="35" customFormat="1" ht="16.2" x14ac:dyDescent="0.35">
      <c r="A31" s="63">
        <v>5165</v>
      </c>
      <c r="B31" s="63"/>
      <c r="C31" s="153" t="str">
        <f>PROPER(+IFERROR(VLOOKUP(A31,'[1]AÑO 2025'!C:I,3,FALSE),0))</f>
        <v>Amortizaciones</v>
      </c>
      <c r="D31" s="65">
        <v>17</v>
      </c>
      <c r="E31" s="154">
        <f>+IFERROR((VLOOKUP((CONCATENATE($K$2,$E$9,$A31)),'[1]AÑO 2026'!$D:$I,6,0)),0)*-1</f>
        <v>-66099803</v>
      </c>
      <c r="F31" s="155">
        <f>+IFERROR((VLOOKUP((CONCATENATE($K$2,$F$9,$A31)),'[1]AÑO 2025'!$D:$I,6,0)),0)*-1</f>
        <v>-35191527.780000001</v>
      </c>
      <c r="G31" s="62">
        <f t="shared" si="1"/>
        <v>-30908275.219999999</v>
      </c>
      <c r="H31" s="68">
        <f t="shared" si="0"/>
        <v>0.87828739386431942</v>
      </c>
      <c r="I31" s="152"/>
    </row>
    <row r="32" spans="1:9" s="35" customFormat="1" ht="16.5" customHeight="1" x14ac:dyDescent="0.35">
      <c r="A32" s="63">
        <v>5195</v>
      </c>
      <c r="B32" s="63"/>
      <c r="C32" s="153" t="str">
        <f>PROPER(+IFERROR(VLOOKUP(A32,'[1]AÑO 2025'!C:I,3,FALSE),0))</f>
        <v>Gastos Diversos Administración</v>
      </c>
      <c r="D32" s="65">
        <v>17</v>
      </c>
      <c r="E32" s="154">
        <f>+IFERROR((VLOOKUP((CONCATENATE($K$2,$E$9,$A32)),'[1]AÑO 2026'!$D:$I,6,0)),0)*-1-100000</f>
        <v>-204138891.52000001</v>
      </c>
      <c r="F32" s="155">
        <f>+IFERROR((VLOOKUP((CONCATENATE($K$2,$F$9,$A32)),'[1]AÑO 2025'!$D:$I,6,0)),0)*-1</f>
        <v>-52779625.340000004</v>
      </c>
      <c r="G32" s="62">
        <f t="shared" si="1"/>
        <v>-151359266.18000001</v>
      </c>
      <c r="H32" s="68">
        <f t="shared" si="0"/>
        <v>2.8677593901995668</v>
      </c>
      <c r="I32" s="152"/>
    </row>
    <row r="33" spans="1:9" s="35" customFormat="1" ht="16.2" hidden="1" x14ac:dyDescent="0.35">
      <c r="A33" s="63">
        <v>5199</v>
      </c>
      <c r="B33" s="63"/>
      <c r="C33" s="153" t="s">
        <v>65</v>
      </c>
      <c r="D33" s="65">
        <v>17</v>
      </c>
      <c r="E33" s="154">
        <f>+IFERROR((VLOOKUP((CONCATENATE($K$3,$E$9,$A33)),'[1]AÑO 2026'!$D:$I,6,0)),0)*-1</f>
        <v>0</v>
      </c>
      <c r="F33" s="155">
        <f>+IFERROR((VLOOKUP((CONCATENATE($K$3,$F$9,$A33)),'[1]AÑO 2025'!$D:$I,6,0)),0)</f>
        <v>0</v>
      </c>
      <c r="G33" s="62">
        <f t="shared" si="1"/>
        <v>0</v>
      </c>
      <c r="H33" s="68">
        <f t="shared" si="0"/>
        <v>0</v>
      </c>
      <c r="I33" s="152"/>
    </row>
    <row r="34" spans="1:9" s="35" customFormat="1" ht="16.2" x14ac:dyDescent="0.35">
      <c r="A34" s="63"/>
      <c r="B34" s="63"/>
      <c r="C34" s="70" t="s">
        <v>66</v>
      </c>
      <c r="D34" s="157"/>
      <c r="E34" s="158">
        <f>+SUM(E19:E33)</f>
        <v>-3679664567.79</v>
      </c>
      <c r="F34" s="158">
        <f>+SUM(F19:F32)-F33</f>
        <v>-2406654735.3300004</v>
      </c>
      <c r="G34" s="158">
        <f t="shared" si="1"/>
        <v>-1273009832.4599996</v>
      </c>
      <c r="H34" s="159">
        <f t="shared" si="0"/>
        <v>0.52895407628358648</v>
      </c>
      <c r="I34" s="160"/>
    </row>
    <row r="35" spans="1:9" s="35" customFormat="1" ht="16.8" hidden="1" thickBot="1" x14ac:dyDescent="0.4">
      <c r="A35" s="63"/>
      <c r="B35" s="63"/>
      <c r="C35" s="53" t="s">
        <v>67</v>
      </c>
      <c r="D35" s="166"/>
      <c r="E35" s="167"/>
      <c r="F35" s="167"/>
      <c r="G35" s="56"/>
      <c r="H35" s="85"/>
      <c r="I35" s="152"/>
    </row>
    <row r="36" spans="1:9" s="35" customFormat="1" ht="16.2" hidden="1" x14ac:dyDescent="0.35">
      <c r="A36" s="63">
        <v>5205</v>
      </c>
      <c r="B36" s="63"/>
      <c r="C36" s="153" t="str">
        <f>PROPER(+IFERROR(VLOOKUP(A36,'[1]AÑO 2025'!C:I,3,FALSE),0))</f>
        <v>0</v>
      </c>
      <c r="D36" s="65"/>
      <c r="E36" s="154">
        <f>+IFERROR((VLOOKUP((CONCATENATE($K$3,$E$9,$A36)),'[1]AÑO 2026'!$D:$I,6,0)),0)*-1</f>
        <v>0</v>
      </c>
      <c r="F36" s="155">
        <f>+IFERROR((VLOOKUP((CONCATENATE($K$3,$F$9,$A36)),'[1]AÑO 2025'!$D:$I,6,0)),0)*-1</f>
        <v>0</v>
      </c>
      <c r="G36" s="62">
        <f t="shared" ref="G36:G51" si="2">+E36-F36</f>
        <v>0</v>
      </c>
      <c r="H36" s="68">
        <f t="shared" si="0"/>
        <v>0</v>
      </c>
      <c r="I36" s="152"/>
    </row>
    <row r="37" spans="1:9" s="35" customFormat="1" ht="16.2" hidden="1" x14ac:dyDescent="0.35">
      <c r="A37" s="63">
        <v>5210</v>
      </c>
      <c r="B37" s="63"/>
      <c r="C37" s="153" t="str">
        <f>PROPER(+IFERROR(VLOOKUP(A37,'[1]AÑO 2025'!C:I,3,FALSE),0))</f>
        <v>0</v>
      </c>
      <c r="D37" s="65"/>
      <c r="E37" s="154">
        <f>+IFERROR((VLOOKUP((CONCATENATE($K$3,$E$9,$A37)),'[1]AÑO 2026'!$D:$I,6,0)),0)*-1</f>
        <v>0</v>
      </c>
      <c r="F37" s="155">
        <f>+IFERROR((VLOOKUP((CONCATENATE($K$3,$F$9,$A37)),'[1]AÑO 2025'!$D:$I,6,0)),0)*-1</f>
        <v>0</v>
      </c>
      <c r="G37" s="62">
        <f>+E37-F37</f>
        <v>0</v>
      </c>
      <c r="H37" s="68">
        <f>IFERROR(G37/F37,0)</f>
        <v>0</v>
      </c>
      <c r="I37" s="152"/>
    </row>
    <row r="38" spans="1:9" s="35" customFormat="1" ht="16.2" hidden="1" x14ac:dyDescent="0.35">
      <c r="A38" s="63">
        <v>5215</v>
      </c>
      <c r="B38" s="63"/>
      <c r="C38" s="153" t="str">
        <f>PROPER(+IFERROR(VLOOKUP(A38,'[1]AÑO 2025'!C:I,3,FALSE),0))</f>
        <v>0</v>
      </c>
      <c r="D38" s="65"/>
      <c r="E38" s="154">
        <f>+IFERROR((VLOOKUP((CONCATENATE($K$3,$E$9,$A38)),'[1]AÑO 2026'!$D:$I,6,0)),0)*-1</f>
        <v>0</v>
      </c>
      <c r="F38" s="155">
        <f>+IFERROR((VLOOKUP((CONCATENATE($K$3,$F$9,$A38)),'[1]AÑO 2025'!$D:$I,6,0)),0)*-1</f>
        <v>0</v>
      </c>
      <c r="G38" s="62">
        <f t="shared" si="2"/>
        <v>0</v>
      </c>
      <c r="H38" s="68">
        <f t="shared" si="0"/>
        <v>0</v>
      </c>
      <c r="I38" s="152"/>
    </row>
    <row r="39" spans="1:9" s="35" customFormat="1" ht="16.2" hidden="1" x14ac:dyDescent="0.35">
      <c r="A39" s="63">
        <v>5220</v>
      </c>
      <c r="B39" s="63"/>
      <c r="C39" s="153" t="str">
        <f>PROPER(+IFERROR(VLOOKUP(A39,'[1]AÑO 2025'!C:I,3,FALSE),0))</f>
        <v>0</v>
      </c>
      <c r="D39" s="65"/>
      <c r="E39" s="154">
        <f>+IFERROR((VLOOKUP((CONCATENATE($K$3,$E$9,$A39)),'[1]AÑO 2026'!$D:$I,6,0)),0)*-1</f>
        <v>0</v>
      </c>
      <c r="F39" s="155">
        <f>+IFERROR((VLOOKUP((CONCATENATE($K$3,$F$9,$A39)),'[1]AÑO 2025'!$D:$I,6,0)),0)*-1</f>
        <v>0</v>
      </c>
      <c r="G39" s="62">
        <f t="shared" si="2"/>
        <v>0</v>
      </c>
      <c r="H39" s="68">
        <f t="shared" si="0"/>
        <v>0</v>
      </c>
      <c r="I39" s="152"/>
    </row>
    <row r="40" spans="1:9" s="35" customFormat="1" ht="16.2" hidden="1" x14ac:dyDescent="0.35">
      <c r="A40" s="63">
        <v>5225</v>
      </c>
      <c r="B40" s="63"/>
      <c r="C40" s="153" t="str">
        <f>PROPER(+IFERROR(VLOOKUP(A40,'[1]AÑO 2025'!C:I,3,FALSE),0))</f>
        <v>0</v>
      </c>
      <c r="D40" s="65"/>
      <c r="E40" s="154">
        <f>+IFERROR((VLOOKUP((CONCATENATE($K$3,$E$9,$A40)),'[1]AÑO 2026'!$D:$I,6,0)),0)*-1</f>
        <v>0</v>
      </c>
      <c r="F40" s="155">
        <f>+IFERROR((VLOOKUP((CONCATENATE($K$3,$F$9,$A40)),'[1]AÑO 2025'!$D:$I,6,0)),0)*-1</f>
        <v>0</v>
      </c>
      <c r="G40" s="62">
        <f t="shared" si="2"/>
        <v>0</v>
      </c>
      <c r="H40" s="68">
        <f t="shared" si="0"/>
        <v>0</v>
      </c>
      <c r="I40" s="152"/>
    </row>
    <row r="41" spans="1:9" s="35" customFormat="1" ht="16.2" hidden="1" x14ac:dyDescent="0.35">
      <c r="A41" s="63">
        <v>5230</v>
      </c>
      <c r="B41" s="63"/>
      <c r="C41" s="153" t="str">
        <f>PROPER(+IFERROR(VLOOKUP(A41,'[1]AÑO 2025'!C:I,3,FALSE),0))</f>
        <v>0</v>
      </c>
      <c r="D41" s="65"/>
      <c r="E41" s="154">
        <f>+IFERROR((VLOOKUP((CONCATENATE($K$3,$E$9,$A41)),'[1]AÑO 2026'!$D:$I,6,0)),0)*-1</f>
        <v>0</v>
      </c>
      <c r="F41" s="155">
        <f>+IFERROR((VLOOKUP((CONCATENATE($K$3,$F$9,$A41)),'[1]AÑO 2025'!$D:$I,6,0)),0)*-1</f>
        <v>0</v>
      </c>
      <c r="G41" s="62">
        <f t="shared" si="2"/>
        <v>0</v>
      </c>
      <c r="H41" s="68">
        <f t="shared" si="0"/>
        <v>0</v>
      </c>
      <c r="I41" s="152"/>
    </row>
    <row r="42" spans="1:9" s="35" customFormat="1" ht="16.2" hidden="1" x14ac:dyDescent="0.35">
      <c r="A42" s="63">
        <v>5235</v>
      </c>
      <c r="B42" s="63"/>
      <c r="C42" s="153" t="str">
        <f>PROPER(+IFERROR(VLOOKUP(A42,'[1]AÑO 2025'!C:I,3,FALSE),0))</f>
        <v>0</v>
      </c>
      <c r="D42" s="65"/>
      <c r="E42" s="154">
        <f>+IFERROR((VLOOKUP((CONCATENATE($K$3,$E$9,$A42)),'[1]AÑO 2026'!$D:$I,6,0)),0)*-1</f>
        <v>0</v>
      </c>
      <c r="F42" s="155">
        <f>+IFERROR((VLOOKUP((CONCATENATE($K$3,$F$9,$A42)),'[1]AÑO 2025'!$D:$I,6,0)),0)*-1</f>
        <v>0</v>
      </c>
      <c r="G42" s="62">
        <f t="shared" si="2"/>
        <v>0</v>
      </c>
      <c r="H42" s="68">
        <f t="shared" si="0"/>
        <v>0</v>
      </c>
      <c r="I42" s="152"/>
    </row>
    <row r="43" spans="1:9" s="35" customFormat="1" ht="16.2" hidden="1" x14ac:dyDescent="0.35">
      <c r="A43" s="63">
        <v>5240</v>
      </c>
      <c r="B43" s="63"/>
      <c r="C43" s="153" t="str">
        <f>PROPER(+IFERROR(VLOOKUP(A43,'[1]AÑO 2025'!C:I,3,FALSE),0))</f>
        <v>0</v>
      </c>
      <c r="D43" s="65"/>
      <c r="E43" s="154">
        <f>+IFERROR((VLOOKUP((CONCATENATE($K$3,$E$9,$A43)),'[1]AÑO 2026'!$D:$I,6,0)),0)*-1</f>
        <v>0</v>
      </c>
      <c r="F43" s="155">
        <f>+IFERROR((VLOOKUP((CONCATENATE($K$3,$F$9,$A43)),'[1]AÑO 2025'!$D:$I,6,0)),0)*-1</f>
        <v>0</v>
      </c>
      <c r="G43" s="62">
        <f t="shared" si="2"/>
        <v>0</v>
      </c>
      <c r="H43" s="68">
        <f t="shared" si="0"/>
        <v>0</v>
      </c>
      <c r="I43" s="152"/>
    </row>
    <row r="44" spans="1:9" s="35" customFormat="1" ht="16.2" hidden="1" x14ac:dyDescent="0.35">
      <c r="A44" s="63">
        <v>5245</v>
      </c>
      <c r="B44" s="63"/>
      <c r="C44" s="153" t="str">
        <f>PROPER(+IFERROR(VLOOKUP(A44,'[1]AÑO 2025'!C:I,3,FALSE),0))</f>
        <v>0</v>
      </c>
      <c r="D44" s="65"/>
      <c r="E44" s="154">
        <f>+IFERROR((VLOOKUP((CONCATENATE($K$3,$E$9,$A44)),'[1]AÑO 2026'!$D:$I,6,0)),0)*-1</f>
        <v>0</v>
      </c>
      <c r="F44" s="155">
        <f>+IFERROR((VLOOKUP((CONCATENATE($K$3,$F$9,$A44)),'[1]AÑO 2025'!$D:$I,6,0)),0)*-1</f>
        <v>0</v>
      </c>
      <c r="G44" s="62">
        <f t="shared" si="2"/>
        <v>0</v>
      </c>
      <c r="H44" s="68">
        <f t="shared" si="0"/>
        <v>0</v>
      </c>
      <c r="I44" s="152"/>
    </row>
    <row r="45" spans="1:9" s="35" customFormat="1" ht="16.2" hidden="1" x14ac:dyDescent="0.35">
      <c r="A45" s="63">
        <v>5250</v>
      </c>
      <c r="B45" s="63"/>
      <c r="C45" s="153" t="str">
        <f>PROPER(+IFERROR(VLOOKUP(A45,'[1]AÑO 2025'!C:I,3,FALSE),0))</f>
        <v>0</v>
      </c>
      <c r="D45" s="65"/>
      <c r="E45" s="154">
        <f>+IFERROR((VLOOKUP((CONCATENATE($K$3,$E$9,$A45)),'[1]AÑO 2026'!$D:$I,6,0)),0)*-1</f>
        <v>0</v>
      </c>
      <c r="F45" s="155">
        <f>+IFERROR((VLOOKUP((CONCATENATE($K$3,$F$9,$A45)),'[1]AÑO 2025'!$D:$I,6,0)),0)*-1</f>
        <v>0</v>
      </c>
      <c r="G45" s="62">
        <f t="shared" si="2"/>
        <v>0</v>
      </c>
      <c r="H45" s="68">
        <f t="shared" si="0"/>
        <v>0</v>
      </c>
      <c r="I45" s="152"/>
    </row>
    <row r="46" spans="1:9" s="35" customFormat="1" ht="16.2" hidden="1" x14ac:dyDescent="0.35">
      <c r="A46" s="63">
        <v>5255</v>
      </c>
      <c r="B46" s="63"/>
      <c r="C46" s="153" t="str">
        <f>PROPER(+IFERROR(VLOOKUP(A46,'[1]AÑO 2026'!C:I,3,FALSE),0))</f>
        <v>0</v>
      </c>
      <c r="D46" s="65"/>
      <c r="E46" s="154">
        <f>+IFERROR((VLOOKUP((CONCATENATE($K$3,$E$9,$A46)),'[1]AÑO 2026'!$D:$I,6,0)),0)*-1</f>
        <v>0</v>
      </c>
      <c r="F46" s="155">
        <f>+IFERROR((VLOOKUP((CONCATENATE($K$3,$F$9,$A46)),'[1]AÑO 2025'!$D:$I,6,0)),0)*-1</f>
        <v>0</v>
      </c>
      <c r="G46" s="62">
        <f t="shared" si="2"/>
        <v>0</v>
      </c>
      <c r="H46" s="68">
        <f t="shared" si="0"/>
        <v>0</v>
      </c>
      <c r="I46" s="152"/>
    </row>
    <row r="47" spans="1:9" s="35" customFormat="1" ht="16.2" hidden="1" x14ac:dyDescent="0.35">
      <c r="A47" s="63">
        <v>5260</v>
      </c>
      <c r="B47" s="63"/>
      <c r="C47" s="153" t="str">
        <f>PROPER(+IFERROR(VLOOKUP(A47,'[1]AÑO 2026'!C:I,3,FALSE),0))</f>
        <v>0</v>
      </c>
      <c r="D47" s="65"/>
      <c r="E47" s="154">
        <f>+IFERROR((VLOOKUP((CONCATENATE($K$3,$E$9,$A47)),'[1]AÑO 2026'!$D:$I,6,0)),0)*-1</f>
        <v>0</v>
      </c>
      <c r="F47" s="155">
        <f>+IFERROR((VLOOKUP((CONCATENATE($K$3,$F$9,$A47)),'[1]AÑO 2025'!$D:$I,6,0)),0)*-1</f>
        <v>0</v>
      </c>
      <c r="G47" s="62">
        <f t="shared" si="2"/>
        <v>0</v>
      </c>
      <c r="H47" s="68">
        <f t="shared" si="0"/>
        <v>0</v>
      </c>
      <c r="I47" s="152"/>
    </row>
    <row r="48" spans="1:9" s="35" customFormat="1" ht="16.2" hidden="1" x14ac:dyDescent="0.35">
      <c r="A48" s="63">
        <v>5265</v>
      </c>
      <c r="B48" s="63"/>
      <c r="C48" s="153" t="str">
        <f>PROPER(+IFERROR(VLOOKUP(A48,'[1]AÑO 2026'!C:I,3,FALSE),0))</f>
        <v>0</v>
      </c>
      <c r="D48" s="65"/>
      <c r="E48" s="154">
        <f>+IFERROR((VLOOKUP((CONCATENATE($K$3,$E$9,$A48)),'[1]AÑO 2026'!$D:$I,6,0)),0)*-1</f>
        <v>0</v>
      </c>
      <c r="F48" s="155">
        <f>+IFERROR((VLOOKUP((CONCATENATE($K$3,$F$9,$A48)),'[1]AÑO 2025'!$D:$I,6,0)),0)*-1</f>
        <v>0</v>
      </c>
      <c r="G48" s="62">
        <f t="shared" si="2"/>
        <v>0</v>
      </c>
      <c r="H48" s="68">
        <f t="shared" si="0"/>
        <v>0</v>
      </c>
      <c r="I48" s="152"/>
    </row>
    <row r="49" spans="1:9" s="35" customFormat="1" ht="16.2" hidden="1" x14ac:dyDescent="0.35">
      <c r="A49" s="63">
        <v>5295</v>
      </c>
      <c r="B49" s="63"/>
      <c r="C49" s="153" t="str">
        <f>PROPER(+IFERROR(VLOOKUP(A49,'[1]AÑO 2025'!C:I,3,FALSE),0))</f>
        <v>0</v>
      </c>
      <c r="D49" s="65"/>
      <c r="E49" s="154">
        <f>+IFERROR((VLOOKUP((CONCATENATE($K$3,$E$9,$A49)),'[1]AÑO 2026'!$D:$I,6,0)),0)*-1</f>
        <v>0</v>
      </c>
      <c r="F49" s="155">
        <f>+IFERROR((VLOOKUP((CONCATENATE($K$3,$F$9,$A49)),'[1]AÑO 2025'!$D:$I,6,0)),0)*-1</f>
        <v>0</v>
      </c>
      <c r="G49" s="62">
        <f t="shared" si="2"/>
        <v>0</v>
      </c>
      <c r="H49" s="68">
        <f t="shared" si="0"/>
        <v>0</v>
      </c>
      <c r="I49" s="152"/>
    </row>
    <row r="50" spans="1:9" s="35" customFormat="1" ht="16.2" hidden="1" x14ac:dyDescent="0.35">
      <c r="A50" s="63">
        <v>5299</v>
      </c>
      <c r="B50" s="63"/>
      <c r="C50" s="153" t="str">
        <f>PROPER(+IFERROR(VLOOKUP(A50,'[1]AÑO 2025'!C:I,3,FALSE),0))</f>
        <v>0</v>
      </c>
      <c r="D50" s="65"/>
      <c r="E50" s="154">
        <f>+IFERROR((VLOOKUP((CONCATENATE($K$3,$E$9,$A50)),'[1]AÑO 2026'!$D:$I,6,0)),0)*-1</f>
        <v>0</v>
      </c>
      <c r="F50" s="155">
        <f>+IFERROR((VLOOKUP((CONCATENATE($K$3,$F$9,$A50)),'[1]AÑO 2025'!$D:$I,6,0)),0)*-1</f>
        <v>0</v>
      </c>
      <c r="G50" s="62">
        <f t="shared" si="2"/>
        <v>0</v>
      </c>
      <c r="H50" s="68">
        <f t="shared" si="0"/>
        <v>0</v>
      </c>
      <c r="I50" s="152"/>
    </row>
    <row r="51" spans="1:9" s="35" customFormat="1" ht="16.2" hidden="1" x14ac:dyDescent="0.35">
      <c r="A51" s="63"/>
      <c r="B51" s="63"/>
      <c r="C51" s="70" t="s">
        <v>68</v>
      </c>
      <c r="D51" s="157"/>
      <c r="E51" s="158">
        <f>+SUM(E36:E50)</f>
        <v>0</v>
      </c>
      <c r="F51" s="158">
        <f>+SUM(F36:F50)</f>
        <v>0</v>
      </c>
      <c r="G51" s="158">
        <f t="shared" si="2"/>
        <v>0</v>
      </c>
      <c r="H51" s="159">
        <f t="shared" si="0"/>
        <v>0</v>
      </c>
      <c r="I51" s="168"/>
    </row>
    <row r="52" spans="1:9" s="35" customFormat="1" ht="16.2" x14ac:dyDescent="0.35">
      <c r="A52" s="63"/>
      <c r="B52" s="63"/>
      <c r="C52" s="77" t="s">
        <v>69</v>
      </c>
      <c r="D52" s="78"/>
      <c r="E52" s="80">
        <f>+E16+E34+E51</f>
        <v>284461776.36999989</v>
      </c>
      <c r="F52" s="80">
        <f>+F16+F34+F51</f>
        <v>826863134.95999861</v>
      </c>
      <c r="G52" s="80">
        <f>+G16+G34+G51</f>
        <v>-542401358.58999872</v>
      </c>
      <c r="H52" s="81">
        <f t="shared" si="0"/>
        <v>-0.65597477461156695</v>
      </c>
      <c r="I52" s="160"/>
    </row>
    <row r="53" spans="1:9" s="165" customFormat="1" ht="16.2" x14ac:dyDescent="0.35">
      <c r="A53" s="63"/>
      <c r="B53" s="63"/>
      <c r="C53" s="169"/>
      <c r="D53" s="170"/>
      <c r="E53" s="171">
        <f>+E52/E13</f>
        <v>2.6761755541689664E-2</v>
      </c>
      <c r="F53" s="171">
        <f>+F52/F13</f>
        <v>0.1053653576055079</v>
      </c>
      <c r="G53" s="171">
        <f>+E53-F53</f>
        <v>-7.8603602063818237E-2</v>
      </c>
      <c r="H53" s="171">
        <f t="shared" si="0"/>
        <v>-0.74600992062413207</v>
      </c>
      <c r="I53" s="164"/>
    </row>
    <row r="54" spans="1:9" s="165" customFormat="1" ht="16.2" hidden="1" x14ac:dyDescent="0.35">
      <c r="A54" s="63"/>
      <c r="B54" s="63"/>
      <c r="C54" s="169"/>
      <c r="D54" s="170"/>
      <c r="E54" s="172"/>
      <c r="F54" s="172"/>
      <c r="G54" s="172"/>
      <c r="H54" s="171"/>
      <c r="I54" s="164"/>
    </row>
    <row r="55" spans="1:9" s="35" customFormat="1" ht="16.8" thickBot="1" x14ac:dyDescent="0.4">
      <c r="A55" s="63"/>
      <c r="B55" s="63"/>
      <c r="C55" s="53" t="s">
        <v>70</v>
      </c>
      <c r="D55" s="166"/>
      <c r="E55" s="167"/>
      <c r="F55" s="167"/>
      <c r="G55" s="56"/>
      <c r="H55" s="85"/>
      <c r="I55" s="160"/>
    </row>
    <row r="56" spans="1:9" s="35" customFormat="1" ht="16.2" hidden="1" x14ac:dyDescent="0.35">
      <c r="A56" s="63">
        <v>4205</v>
      </c>
      <c r="B56" s="63"/>
      <c r="C56" s="153" t="str">
        <f>PROPER(+IFERROR(VLOOKUP(A56,'[1]AÑO 2026'!C:I,3,FALSE),0))</f>
        <v>0</v>
      </c>
      <c r="D56" s="65"/>
      <c r="E56" s="154">
        <f>+IFERROR((VLOOKUP((CONCATENATE($K$3,$E$9,$A56)),'[1]AÑO 2026'!$D:$I,6,0)),0)*-1</f>
        <v>0</v>
      </c>
      <c r="F56" s="155">
        <f>+IFERROR((VLOOKUP((CONCATENATE($K$3,$F$9,$A56)),'[1]AÑO 2025'!$D:$I,6,0)),0)*-1</f>
        <v>0</v>
      </c>
      <c r="G56" s="62">
        <f t="shared" ref="G56:G62" si="3">+E56-F56</f>
        <v>0</v>
      </c>
      <c r="H56" s="68">
        <f t="shared" si="0"/>
        <v>0</v>
      </c>
      <c r="I56" s="152"/>
    </row>
    <row r="57" spans="1:9" s="35" customFormat="1" ht="16.2" x14ac:dyDescent="0.35">
      <c r="A57" s="63">
        <v>4210</v>
      </c>
      <c r="B57" s="63"/>
      <c r="C57" s="153" t="str">
        <f>PROPER(+IFERROR(VLOOKUP(A57,'[1]AÑO 2025'!C:I,3,FALSE),0))</f>
        <v>Financieros</v>
      </c>
      <c r="D57" s="65">
        <v>16</v>
      </c>
      <c r="E57" s="154">
        <f>+IFERROR((VLOOKUP((CONCATENATE($K$2,$E$9,$A57)),'[1]AÑO 2026'!$D:$I,6,0)),0)*-1</f>
        <v>13179908</v>
      </c>
      <c r="F57" s="155">
        <f>+IFERROR((VLOOKUP((CONCATENATE($K$2,$F$9,$A57)),'[1]AÑO 2025'!$D:$I,6,0)),0)*-1</f>
        <v>5609304</v>
      </c>
      <c r="G57" s="62">
        <f t="shared" si="3"/>
        <v>7570604</v>
      </c>
      <c r="H57" s="68">
        <f>IFERROR(G57/F57,0)</f>
        <v>1.3496512223263351</v>
      </c>
      <c r="I57" s="152"/>
    </row>
    <row r="58" spans="1:9" s="35" customFormat="1" ht="16.2" x14ac:dyDescent="0.35">
      <c r="A58" s="63">
        <v>4255</v>
      </c>
      <c r="B58" s="63"/>
      <c r="C58" s="153" t="str">
        <f>PROPER(+IFERROR(VLOOKUP(A58,'[1]AÑO 2026'!C:I,3,FALSE),0))</f>
        <v>Indemnizaciones</v>
      </c>
      <c r="D58" s="65">
        <v>16</v>
      </c>
      <c r="E58" s="154">
        <f>+IFERROR((VLOOKUP((CONCATENATE($K$2,$E$9,$A58)),'[1]AÑO 2026'!$D:$I,6,0)),0)*-1</f>
        <v>1692542</v>
      </c>
      <c r="F58" s="155">
        <f>+IFERROR((VLOOKUP((CONCATENATE($K$2,$F$9,$A58)),'[1]AÑO 2025'!$D:$I,6,0)),0)*-1</f>
        <v>3161972</v>
      </c>
      <c r="G58" s="62">
        <f t="shared" si="3"/>
        <v>-1469430</v>
      </c>
      <c r="H58" s="68">
        <f t="shared" si="0"/>
        <v>-0.46471948518203199</v>
      </c>
      <c r="I58" s="152"/>
    </row>
    <row r="59" spans="1:9" s="35" customFormat="1" ht="16.2" hidden="1" x14ac:dyDescent="0.35">
      <c r="A59" s="63">
        <v>4240</v>
      </c>
      <c r="B59" s="63"/>
      <c r="C59" s="153" t="str">
        <f>PROPER(+IFERROR(VLOOKUP(A59,'[1]AÑO 2026'!C:I,3,FALSE),0))</f>
        <v>0</v>
      </c>
      <c r="D59" s="65">
        <v>16</v>
      </c>
      <c r="E59" s="154">
        <f>+IFERROR((VLOOKUP((CONCATENATE($K$2,$E$9,$A59)),'[1]AÑO 2026'!$D:$I,6,0)),0)*-1</f>
        <v>0</v>
      </c>
      <c r="F59" s="155">
        <f>+IFERROR((VLOOKUP((CONCATENATE($K$2,$F$9,$A59)),'[1]AÑO 2025'!$D:$I,6,0)),0)*-1</f>
        <v>0</v>
      </c>
      <c r="G59" s="62">
        <f t="shared" si="3"/>
        <v>0</v>
      </c>
      <c r="H59" s="68">
        <f t="shared" si="0"/>
        <v>0</v>
      </c>
      <c r="I59" s="152"/>
    </row>
    <row r="60" spans="1:9" s="35" customFormat="1" ht="16.2" x14ac:dyDescent="0.35">
      <c r="A60" s="63">
        <v>4250</v>
      </c>
      <c r="B60" s="63"/>
      <c r="C60" s="153" t="str">
        <f>PROPER(+IFERROR(VLOOKUP(A60,'[1]AÑO 2026'!C:I,3,FALSE),0))</f>
        <v>Recuperaciones Costos Y Gastos</v>
      </c>
      <c r="D60" s="65">
        <v>16</v>
      </c>
      <c r="E60" s="154">
        <f>+IFERROR((VLOOKUP((CONCATENATE($K$2,$E$9,$A60)),'[1]AÑO 2026'!$D:$I,6,0)),0)*-1</f>
        <v>129731166</v>
      </c>
      <c r="F60" s="155">
        <f>+IFERROR((VLOOKUP((CONCATENATE($K$2,$F$9,$A60)),'[1]AÑO 2025'!$D:$I,6,0)),0)*-1</f>
        <v>86182315</v>
      </c>
      <c r="G60" s="62">
        <f t="shared" si="3"/>
        <v>43548851</v>
      </c>
      <c r="H60" s="68">
        <f t="shared" si="0"/>
        <v>0.50531075894166921</v>
      </c>
      <c r="I60" s="152"/>
    </row>
    <row r="61" spans="1:9" s="35" customFormat="1" ht="16.2" x14ac:dyDescent="0.35">
      <c r="A61" s="63">
        <v>4295</v>
      </c>
      <c r="B61" s="63"/>
      <c r="C61" s="153" t="s">
        <v>71</v>
      </c>
      <c r="D61" s="65">
        <v>16</v>
      </c>
      <c r="E61" s="154">
        <f>+IFERROR((VLOOKUP((CONCATENATE($K$2,$E$9,$A61)),'[1]AÑO 2026'!$D:$I,6,0)),0)*-1</f>
        <v>334909.15999999997</v>
      </c>
      <c r="F61" s="155">
        <f>+IFERROR((VLOOKUP((CONCATENATE($K$2,$F$9,$A61)),'[1]AÑO 2025'!$D:$I,6,0)),0)*-1</f>
        <v>2560914.7999999998</v>
      </c>
      <c r="G61" s="62">
        <f t="shared" si="3"/>
        <v>-2226005.6399999997</v>
      </c>
      <c r="H61" s="68">
        <f t="shared" si="0"/>
        <v>-0.86922284177513431</v>
      </c>
      <c r="I61" s="152"/>
    </row>
    <row r="62" spans="1:9" s="35" customFormat="1" ht="16.2" x14ac:dyDescent="0.35">
      <c r="A62" s="63"/>
      <c r="B62" s="63"/>
      <c r="C62" s="70" t="s">
        <v>72</v>
      </c>
      <c r="D62" s="157"/>
      <c r="E62" s="158">
        <f>SUM(E56:E61)</f>
        <v>144938525.16</v>
      </c>
      <c r="F62" s="158">
        <f>SUM(F56:F61)</f>
        <v>97514505.799999997</v>
      </c>
      <c r="G62" s="158">
        <f t="shared" si="3"/>
        <v>47424019.359999999</v>
      </c>
      <c r="H62" s="159">
        <f t="shared" si="0"/>
        <v>0.48632784395447348</v>
      </c>
      <c r="I62" s="160"/>
    </row>
    <row r="63" spans="1:9" s="35" customFormat="1" ht="16.8" thickBot="1" x14ac:dyDescent="0.4">
      <c r="A63" s="63"/>
      <c r="B63" s="63"/>
      <c r="C63" s="53" t="s">
        <v>73</v>
      </c>
      <c r="D63" s="166"/>
      <c r="E63" s="167"/>
      <c r="F63" s="167"/>
      <c r="G63" s="56"/>
      <c r="H63" s="85"/>
      <c r="I63" s="152"/>
    </row>
    <row r="64" spans="1:9" s="35" customFormat="1" ht="16.2" x14ac:dyDescent="0.35">
      <c r="A64" s="63">
        <v>5305</v>
      </c>
      <c r="B64" s="63"/>
      <c r="C64" s="153" t="str">
        <f>PROPER(+IFERROR(VLOOKUP(A64,'[1]AÑO 2025'!C:I,3,FALSE),0))</f>
        <v>Gastos No Operacionales Financieros</v>
      </c>
      <c r="D64" s="65">
        <v>18</v>
      </c>
      <c r="E64" s="154">
        <f>+IFERROR((VLOOKUP((CONCATENATE($K$2,$E$9,$A64)),'[1]AÑO 2026'!$D:$I,6,0)),0)*-1</f>
        <v>-171924069.44</v>
      </c>
      <c r="F64" s="155">
        <f>+IFERROR((VLOOKUP((CONCATENATE($K$2,$F$9,$A64)),'[1]AÑO 2025'!$D:$I,6,0)),0)*-1</f>
        <v>-129381380.8</v>
      </c>
      <c r="G64" s="62">
        <f>+E64-F64</f>
        <v>-42542688.640000001</v>
      </c>
      <c r="H64" s="68">
        <f t="shared" si="0"/>
        <v>0.32881615868486697</v>
      </c>
      <c r="I64" s="152"/>
    </row>
    <row r="65" spans="1:9" s="35" customFormat="1" ht="16.2" hidden="1" x14ac:dyDescent="0.35">
      <c r="A65" s="63">
        <v>5315</v>
      </c>
      <c r="B65" s="63"/>
      <c r="C65" s="153" t="str">
        <f>PROPER(+IFERROR(VLOOKUP(A65,'[1]AÑO 2025'!C:I,3,FALSE),0))</f>
        <v>Gastos Extraordinarios</v>
      </c>
      <c r="D65" s="65">
        <v>18</v>
      </c>
      <c r="E65" s="154">
        <f>+IFERROR((VLOOKUP((CONCATENATE($K$2,$E$9,$A65)),'[1]AÑO 2026'!$D:$I,6,0)),0)*-1</f>
        <v>-2010</v>
      </c>
      <c r="F65" s="155">
        <f>+IFERROR((VLOOKUP((CONCATENATE($K$2,$F$9,$A65)),'[1]AÑO 2025'!$D:$I,6,0)),0)*-1</f>
        <v>-216723.43</v>
      </c>
      <c r="G65" s="62">
        <f>+E65-F65</f>
        <v>214713.43</v>
      </c>
      <c r="H65" s="68">
        <f t="shared" si="0"/>
        <v>-0.99072550669763759</v>
      </c>
      <c r="I65" s="152"/>
    </row>
    <row r="66" spans="1:9" s="35" customFormat="1" ht="16.2" x14ac:dyDescent="0.35">
      <c r="A66" s="63">
        <v>5395</v>
      </c>
      <c r="B66" s="63"/>
      <c r="C66" s="153" t="str">
        <f>PROPER(+IFERROR(VLOOKUP(A66,'[1]AÑO 2025'!C:I,3,FALSE),0))</f>
        <v>Gastos Diversos</v>
      </c>
      <c r="D66" s="65">
        <v>18</v>
      </c>
      <c r="E66" s="154">
        <f>+IFERROR((VLOOKUP((CONCATENATE($K$2,$E$9,$A66)),'[1]AÑO 2026'!$D:$I,6,0)),0)*-1</f>
        <v>-84263701.700000003</v>
      </c>
      <c r="F66" s="155">
        <f>+IFERROR((VLOOKUP((CONCATENATE($K$2,$F$9,$A66)),'[1]AÑO 2025'!$D:$I,6,0)),0)*-1</f>
        <v>165723.32999999999</v>
      </c>
      <c r="G66" s="62">
        <f>+E66-F66</f>
        <v>-84429425.030000001</v>
      </c>
      <c r="H66" s="68">
        <f t="shared" si="0"/>
        <v>-509.46010456101749</v>
      </c>
      <c r="I66" s="152"/>
    </row>
    <row r="67" spans="1:9" s="35" customFormat="1" ht="16.2" x14ac:dyDescent="0.35">
      <c r="A67" s="63"/>
      <c r="B67" s="63"/>
      <c r="C67" s="70" t="s">
        <v>74</v>
      </c>
      <c r="D67" s="157"/>
      <c r="E67" s="158">
        <f>SUM(E64:E66)</f>
        <v>-256189781.13999999</v>
      </c>
      <c r="F67" s="158">
        <f>SUM(F64:F66)</f>
        <v>-129432380.90000001</v>
      </c>
      <c r="G67" s="158">
        <f>+E67-F67</f>
        <v>-126757400.23999998</v>
      </c>
      <c r="H67" s="159">
        <f t="shared" si="0"/>
        <v>0.97933298729885276</v>
      </c>
      <c r="I67" s="160"/>
    </row>
    <row r="68" spans="1:9" s="35" customFormat="1" ht="16.2" x14ac:dyDescent="0.35">
      <c r="A68" s="63"/>
      <c r="B68" s="63"/>
      <c r="C68" s="77" t="s">
        <v>75</v>
      </c>
      <c r="D68" s="78"/>
      <c r="E68" s="80">
        <f>+E52+E62+E67</f>
        <v>173210520.38999987</v>
      </c>
      <c r="F68" s="80">
        <f>+F52+F62+F67</f>
        <v>794945259.85999858</v>
      </c>
      <c r="G68" s="80">
        <f>+G52+G62+G67</f>
        <v>-621734739.46999872</v>
      </c>
      <c r="H68" s="81">
        <f t="shared" si="0"/>
        <v>-0.78211012866407337</v>
      </c>
      <c r="I68" s="160"/>
    </row>
    <row r="69" spans="1:9" s="35" customFormat="1" ht="16.2" x14ac:dyDescent="0.35">
      <c r="A69" s="63">
        <v>54</v>
      </c>
      <c r="B69" s="63"/>
      <c r="C69" s="153" t="s">
        <v>76</v>
      </c>
      <c r="D69" s="65">
        <v>19</v>
      </c>
      <c r="E69" s="154">
        <f>+IFERROR((VLOOKUP((CONCATENATE($K$2,$E$9,$A69)),'[1]AÑO 2026'!$D:$I,6,0)),0)*-1</f>
        <v>-83326449</v>
      </c>
      <c r="F69" s="155">
        <f>+IFERROR((VLOOKUP((CONCATENATE($K$2,$F$9,$A69)),'[1]AÑO 2025'!$D:$I,6,0)),0)*-1</f>
        <v>0</v>
      </c>
      <c r="G69" s="62">
        <f>+E69-F69</f>
        <v>-83326449</v>
      </c>
      <c r="H69" s="68">
        <f t="shared" si="0"/>
        <v>0</v>
      </c>
      <c r="I69" s="152"/>
    </row>
    <row r="70" spans="1:9" s="35" customFormat="1" ht="22.5" customHeight="1" x14ac:dyDescent="0.35">
      <c r="A70" s="149"/>
      <c r="B70" s="149"/>
      <c r="C70" s="70" t="s">
        <v>77</v>
      </c>
      <c r="D70" s="157"/>
      <c r="E70" s="158">
        <f>SUM(E68:E69)</f>
        <v>89884071.389999866</v>
      </c>
      <c r="F70" s="158">
        <f>SUM(F68:F69)</f>
        <v>794945259.85999858</v>
      </c>
      <c r="G70" s="158">
        <f>SUM(G68:G69)</f>
        <v>-705061188.46999872</v>
      </c>
      <c r="H70" s="159">
        <f t="shared" si="0"/>
        <v>-0.88693048952096432</v>
      </c>
      <c r="I70" s="173"/>
    </row>
    <row r="71" spans="1:9" hidden="1" x14ac:dyDescent="0.3">
      <c r="A71" s="94"/>
      <c r="B71" s="94"/>
      <c r="C71" s="174" t="str">
        <f>+'2.ESF'!C53</f>
        <v>Las notas son parte integral de los estados financieros individuales</v>
      </c>
      <c r="D71" s="44"/>
      <c r="E71" s="98"/>
      <c r="F71" s="98"/>
      <c r="G71" s="98"/>
      <c r="H71" s="98"/>
      <c r="I71" s="98"/>
    </row>
    <row r="72" spans="1:9" hidden="1" x14ac:dyDescent="0.3">
      <c r="A72" s="94"/>
      <c r="B72" s="94"/>
      <c r="C72" s="175"/>
      <c r="D72" s="44"/>
      <c r="E72" s="98"/>
      <c r="F72" s="98"/>
      <c r="G72" s="98"/>
      <c r="H72" s="98"/>
      <c r="I72" s="98"/>
    </row>
    <row r="73" spans="1:9" hidden="1" x14ac:dyDescent="0.3">
      <c r="A73" s="94"/>
      <c r="B73" s="94"/>
      <c r="C73" s="175"/>
      <c r="D73" s="44"/>
      <c r="E73" s="98"/>
      <c r="F73" s="98"/>
      <c r="G73" s="98"/>
      <c r="H73" s="98"/>
      <c r="I73" s="98"/>
    </row>
    <row r="74" spans="1:9" hidden="1" x14ac:dyDescent="0.3">
      <c r="A74" s="94"/>
      <c r="B74" s="94"/>
      <c r="C74" s="175"/>
      <c r="D74" s="44"/>
      <c r="E74" s="98"/>
      <c r="F74" s="98"/>
      <c r="G74" s="98"/>
      <c r="H74" s="98"/>
      <c r="I74" s="98"/>
    </row>
    <row r="75" spans="1:9" s="109" customFormat="1" hidden="1" x14ac:dyDescent="0.3">
      <c r="A75" s="94"/>
      <c r="B75" s="94"/>
      <c r="C75" s="175"/>
      <c r="D75" s="44"/>
      <c r="E75" s="98"/>
      <c r="F75" s="98"/>
      <c r="G75" s="98"/>
      <c r="H75" s="98"/>
      <c r="I75" s="98"/>
    </row>
    <row r="76" spans="1:9" s="109" customFormat="1" hidden="1" x14ac:dyDescent="0.3">
      <c r="A76" s="94"/>
      <c r="B76" s="94"/>
      <c r="C76" s="175"/>
      <c r="D76" s="44"/>
      <c r="E76" s="98"/>
      <c r="F76" s="98"/>
      <c r="G76" s="98"/>
      <c r="H76" s="98"/>
      <c r="I76" s="98"/>
    </row>
    <row r="77" spans="1:9" s="111" customFormat="1" hidden="1" x14ac:dyDescent="0.3">
      <c r="A77" s="110"/>
      <c r="B77" s="110"/>
      <c r="C77" s="100" t="str">
        <f>+'2.ESF'!C59</f>
        <v>MIGUEL ANTONIO JARAMILLO M</v>
      </c>
      <c r="D77" s="100" t="s">
        <v>52</v>
      </c>
      <c r="G77" s="175" t="str">
        <f>+'2.ESF'!G59</f>
        <v>YURANY DEOSSA MURILLO</v>
      </c>
      <c r="H77" s="98"/>
      <c r="I77" s="98"/>
    </row>
    <row r="78" spans="1:9" hidden="1" x14ac:dyDescent="0.3">
      <c r="C78" s="115" t="str">
        <f>+'2.ESF'!C60</f>
        <v>Representante Legal</v>
      </c>
      <c r="D78" s="115" t="s">
        <v>53</v>
      </c>
      <c r="G78" s="176" t="str">
        <f>+'2.ESF'!G60</f>
        <v>Contador Público</v>
      </c>
      <c r="H78" s="98"/>
      <c r="I78" s="98"/>
    </row>
    <row r="79" spans="1:9" ht="15" hidden="1" x14ac:dyDescent="0.25">
      <c r="C79" s="100" t="str">
        <f>+'2.ESF'!C61</f>
        <v>CC 80.550.424</v>
      </c>
      <c r="D79" s="177" t="s">
        <v>54</v>
      </c>
      <c r="G79" s="175" t="str">
        <f>+'2.ESF'!G61</f>
        <v>TP 265026-T</v>
      </c>
      <c r="H79" s="98"/>
      <c r="I79" s="98"/>
    </row>
    <row r="80" spans="1:9" hidden="1" x14ac:dyDescent="0.3">
      <c r="C80" s="178" t="str">
        <f>+'2.ESF'!C62</f>
        <v>(Ver Certificación Adjunta)</v>
      </c>
      <c r="D80" s="100" t="s">
        <v>56</v>
      </c>
      <c r="G80" s="179" t="str">
        <f>+'2.ESF'!G62</f>
        <v>(Ver Certificación Adjunta)</v>
      </c>
      <c r="H80" s="98"/>
      <c r="I80" s="98"/>
    </row>
    <row r="81" spans="3:9" hidden="1" x14ac:dyDescent="0.3">
      <c r="C81" s="100"/>
      <c r="D81" s="95" t="s">
        <v>57</v>
      </c>
      <c r="F81" s="98"/>
      <c r="G81" s="98"/>
      <c r="H81" s="98"/>
      <c r="I81" s="98"/>
    </row>
    <row r="82" spans="3:9" ht="15" hidden="1" x14ac:dyDescent="0.25">
      <c r="C82" s="124"/>
      <c r="D82" s="124"/>
      <c r="E82" s="124"/>
      <c r="F82" s="124"/>
      <c r="G82" s="124"/>
      <c r="H82" s="124"/>
    </row>
    <row r="83" spans="3:9" ht="15" hidden="1" x14ac:dyDescent="0.25">
      <c r="C83" s="124"/>
      <c r="D83" s="124"/>
      <c r="E83" s="124"/>
      <c r="F83" s="124"/>
      <c r="G83" s="124"/>
      <c r="H83" s="124"/>
    </row>
    <row r="84" spans="3:9" ht="15" hidden="1" x14ac:dyDescent="0.25">
      <c r="C84" s="181"/>
      <c r="D84" s="182"/>
      <c r="E84" s="183"/>
      <c r="F84" s="183"/>
      <c r="G84" s="183"/>
      <c r="H84" s="183"/>
    </row>
    <row r="85" spans="3:9" ht="15" hidden="1" x14ac:dyDescent="0.25">
      <c r="C85" s="181"/>
      <c r="D85" s="182"/>
      <c r="E85" s="183"/>
      <c r="F85" s="183"/>
      <c r="G85" s="183"/>
      <c r="H85" s="183"/>
    </row>
    <row r="86" spans="3:9" ht="15" hidden="1" x14ac:dyDescent="0.25">
      <c r="C86" s="124"/>
      <c r="D86" s="124"/>
      <c r="E86" s="124"/>
      <c r="F86" s="124"/>
      <c r="G86" s="124"/>
      <c r="H86" s="124"/>
    </row>
    <row r="87" spans="3:9" hidden="1" x14ac:dyDescent="0.3"/>
    <row r="88" spans="3:9" hidden="1" x14ac:dyDescent="0.3"/>
    <row r="89" spans="3:9" hidden="1" x14ac:dyDescent="0.3"/>
    <row r="90" spans="3:9" hidden="1" x14ac:dyDescent="0.3"/>
    <row r="91" spans="3:9" hidden="1" x14ac:dyDescent="0.3"/>
    <row r="92" spans="3:9" hidden="1" x14ac:dyDescent="0.3"/>
    <row r="93" spans="3:9" hidden="1" x14ac:dyDescent="0.3"/>
    <row r="94" spans="3:9" hidden="1" x14ac:dyDescent="0.3"/>
    <row r="95" spans="3:9" hidden="1" x14ac:dyDescent="0.3"/>
    <row r="96" spans="3:9" hidden="1" x14ac:dyDescent="0.3"/>
    <row r="97" hidden="1" x14ac:dyDescent="0.3"/>
    <row r="98" hidden="1" x14ac:dyDescent="0.3"/>
    <row r="99" hidden="1" x14ac:dyDescent="0.3"/>
    <row r="100" hidden="1" x14ac:dyDescent="0.3"/>
    <row r="101" hidden="1" x14ac:dyDescent="0.3"/>
    <row r="102" hidden="1" x14ac:dyDescent="0.3"/>
    <row r="103" hidden="1" x14ac:dyDescent="0.3"/>
  </sheetData>
  <sheetProtection selectLockedCells="1"/>
  <mergeCells count="1">
    <mergeCell ref="C82:H86"/>
  </mergeCells>
  <dataValidations count="1">
    <dataValidation type="list" allowBlank="1" showInputMessage="1" showErrorMessage="1" sqref="K3 C9:C10" xr:uid="{653E5EA9-F97C-438F-AEEC-0BF4BA884B15}">
      <formula1>#REF!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63" orientation="portrait" r:id="rId1"/>
  <headerFooter>
    <oddFooter>Página &amp;P</oddFooter>
  </headerFooter>
  <ignoredErrors>
    <ignoredError sqref="E13:H70 C13:C66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A9D1C-5DA7-4D3A-A7FD-3D87C8261E77}">
  <dimension ref="A1:G14710"/>
  <sheetViews>
    <sheetView workbookViewId="0"/>
  </sheetViews>
  <sheetFormatPr baseColWidth="10" defaultColWidth="37.6640625" defaultRowHeight="14.4" x14ac:dyDescent="0.3"/>
  <cols>
    <col min="1" max="1" width="14.21875" bestFit="1" customWidth="1"/>
    <col min="2" max="2" width="37" customWidth="1"/>
    <col min="3" max="3" width="17" bestFit="1" customWidth="1"/>
    <col min="4" max="5" width="15.88671875" bestFit="1" customWidth="1"/>
    <col min="6" max="6" width="16.5546875" bestFit="1" customWidth="1"/>
    <col min="7" max="7" width="17.5546875" bestFit="1" customWidth="1"/>
  </cols>
  <sheetData>
    <row r="1" spans="1:7" ht="19.5" customHeight="1" x14ac:dyDescent="0.3">
      <c r="B1" s="186" t="s">
        <v>78</v>
      </c>
      <c r="C1" s="187"/>
      <c r="D1" s="187"/>
      <c r="E1" s="187"/>
      <c r="F1" s="187"/>
      <c r="G1" s="187"/>
    </row>
    <row r="2" spans="1:7" ht="19.5" customHeight="1" x14ac:dyDescent="0.3">
      <c r="B2" s="188" t="s">
        <v>79</v>
      </c>
      <c r="C2" s="187"/>
      <c r="D2" s="187"/>
      <c r="E2" s="187"/>
      <c r="F2" s="187"/>
      <c r="G2" s="187"/>
    </row>
    <row r="3" spans="1:7" ht="19.5" customHeight="1" x14ac:dyDescent="0.3">
      <c r="B3" s="188" t="s">
        <v>80</v>
      </c>
      <c r="C3" s="187"/>
      <c r="D3" s="187"/>
      <c r="E3" s="187"/>
      <c r="F3" s="187"/>
      <c r="G3" s="187"/>
    </row>
    <row r="4" spans="1:7" ht="19.5" customHeight="1" x14ac:dyDescent="0.3">
      <c r="B4" s="188" t="s">
        <v>81</v>
      </c>
      <c r="C4" s="187"/>
      <c r="D4" s="187"/>
      <c r="E4" s="187"/>
      <c r="F4" s="187"/>
      <c r="G4" s="187"/>
    </row>
    <row r="6" spans="1:7" x14ac:dyDescent="0.3">
      <c r="A6" s="189" t="s">
        <v>82</v>
      </c>
      <c r="B6" s="189" t="s">
        <v>83</v>
      </c>
      <c r="C6" s="190" t="s">
        <v>84</v>
      </c>
      <c r="D6" s="190" t="s">
        <v>85</v>
      </c>
      <c r="E6" s="190" t="s">
        <v>86</v>
      </c>
      <c r="F6" s="190" t="s">
        <v>87</v>
      </c>
      <c r="G6" s="190" t="s">
        <v>88</v>
      </c>
    </row>
    <row r="7" spans="1:7" x14ac:dyDescent="0.3">
      <c r="A7" s="197">
        <v>1</v>
      </c>
      <c r="B7" s="191" t="s">
        <v>89</v>
      </c>
      <c r="C7" s="195">
        <v>13698791127.610001</v>
      </c>
      <c r="D7" s="195">
        <v>4873569650.25</v>
      </c>
      <c r="E7" s="195">
        <v>4915293429.0200005</v>
      </c>
      <c r="F7" s="195">
        <v>-41723778.770000003</v>
      </c>
      <c r="G7" s="195">
        <v>13657067348.84</v>
      </c>
    </row>
    <row r="8" spans="1:7" x14ac:dyDescent="0.3">
      <c r="A8" s="197">
        <v>11</v>
      </c>
      <c r="B8" s="191" t="s">
        <v>90</v>
      </c>
      <c r="C8" s="195">
        <v>-172760779.28999999</v>
      </c>
      <c r="D8" s="195">
        <v>1853546561.47</v>
      </c>
      <c r="E8" s="195">
        <v>1685000335.3</v>
      </c>
      <c r="F8" s="195">
        <v>168546226.16999999</v>
      </c>
      <c r="G8" s="195">
        <v>-4214553.12</v>
      </c>
    </row>
    <row r="9" spans="1:7" x14ac:dyDescent="0.3">
      <c r="A9" s="197">
        <v>1105</v>
      </c>
      <c r="B9" s="191" t="s">
        <v>91</v>
      </c>
      <c r="C9" s="195">
        <v>35922643.789999999</v>
      </c>
      <c r="D9" s="195">
        <v>309142862</v>
      </c>
      <c r="E9" s="195">
        <v>306011580.36000001</v>
      </c>
      <c r="F9" s="195">
        <v>3131281.64</v>
      </c>
      <c r="G9" s="195">
        <v>39053925.43</v>
      </c>
    </row>
    <row r="10" spans="1:7" x14ac:dyDescent="0.3">
      <c r="A10" s="197">
        <v>110505</v>
      </c>
      <c r="B10" s="191" t="s">
        <v>92</v>
      </c>
      <c r="C10" s="195">
        <v>60554</v>
      </c>
      <c r="D10" s="195">
        <v>2500000</v>
      </c>
      <c r="E10" s="195">
        <v>2161714</v>
      </c>
      <c r="F10" s="195">
        <v>338286</v>
      </c>
      <c r="G10" s="195">
        <v>398840</v>
      </c>
    </row>
    <row r="11" spans="1:7" x14ac:dyDescent="0.3">
      <c r="A11" s="198">
        <v>11050501</v>
      </c>
      <c r="B11" s="192" t="s">
        <v>93</v>
      </c>
      <c r="C11" s="196">
        <v>60554</v>
      </c>
      <c r="D11" s="196">
        <v>2500000</v>
      </c>
      <c r="E11" s="196">
        <v>2161714</v>
      </c>
      <c r="F11" s="196">
        <v>338286</v>
      </c>
      <c r="G11" s="196">
        <v>398840</v>
      </c>
    </row>
    <row r="12" spans="1:7" x14ac:dyDescent="0.3">
      <c r="A12" s="197">
        <v>110510</v>
      </c>
      <c r="B12" s="191" t="s">
        <v>94</v>
      </c>
      <c r="C12" s="195">
        <v>35862089.789999999</v>
      </c>
      <c r="D12" s="195">
        <v>306642862</v>
      </c>
      <c r="E12" s="195">
        <v>303849866.36000001</v>
      </c>
      <c r="F12" s="195">
        <v>2792995.64</v>
      </c>
      <c r="G12" s="195">
        <v>38655085.43</v>
      </c>
    </row>
    <row r="13" spans="1:7" x14ac:dyDescent="0.3">
      <c r="A13" s="198">
        <v>11051001</v>
      </c>
      <c r="B13" s="192" t="s">
        <v>92</v>
      </c>
      <c r="C13" s="196">
        <v>38897751.990000002</v>
      </c>
      <c r="D13" s="196">
        <v>245167650</v>
      </c>
      <c r="E13" s="196">
        <v>242374654.36000001</v>
      </c>
      <c r="F13" s="196">
        <v>2792995.64</v>
      </c>
      <c r="G13" s="196">
        <v>41690747.630000003</v>
      </c>
    </row>
    <row r="14" spans="1:7" x14ac:dyDescent="0.3">
      <c r="A14" s="198">
        <v>11051003</v>
      </c>
      <c r="B14" s="192" t="s">
        <v>95</v>
      </c>
      <c r="C14" s="196">
        <v>3537.8</v>
      </c>
      <c r="D14" s="196">
        <v>0</v>
      </c>
      <c r="E14" s="196">
        <v>0</v>
      </c>
      <c r="F14" s="196">
        <v>0</v>
      </c>
      <c r="G14" s="196">
        <v>3537.8</v>
      </c>
    </row>
    <row r="15" spans="1:7" x14ac:dyDescent="0.3">
      <c r="A15" s="198">
        <v>11051004</v>
      </c>
      <c r="B15" s="192" t="s">
        <v>96</v>
      </c>
      <c r="C15" s="196">
        <v>-3039200</v>
      </c>
      <c r="D15" s="196">
        <v>61475212</v>
      </c>
      <c r="E15" s="196">
        <v>61475212</v>
      </c>
      <c r="F15" s="196">
        <v>0</v>
      </c>
      <c r="G15" s="196">
        <v>-3039200</v>
      </c>
    </row>
    <row r="16" spans="1:7" x14ac:dyDescent="0.3">
      <c r="A16" s="198">
        <v>901216768</v>
      </c>
      <c r="B16" s="192" t="s">
        <v>97</v>
      </c>
      <c r="C16" s="196">
        <v>-386750</v>
      </c>
      <c r="D16" s="196">
        <v>0</v>
      </c>
      <c r="E16" s="196">
        <v>0</v>
      </c>
      <c r="F16" s="196">
        <v>0</v>
      </c>
      <c r="G16" s="196">
        <v>-386750</v>
      </c>
    </row>
    <row r="17" spans="1:7" x14ac:dyDescent="0.3">
      <c r="A17" s="198">
        <v>22034122</v>
      </c>
      <c r="B17" s="192" t="s">
        <v>98</v>
      </c>
      <c r="C17" s="196">
        <v>5200000</v>
      </c>
      <c r="D17" s="196">
        <v>0</v>
      </c>
      <c r="E17" s="196">
        <v>0</v>
      </c>
      <c r="F17" s="196">
        <v>0</v>
      </c>
      <c r="G17" s="196">
        <v>5200000</v>
      </c>
    </row>
    <row r="18" spans="1:7" x14ac:dyDescent="0.3">
      <c r="A18" s="198">
        <v>1020458695</v>
      </c>
      <c r="B18" s="192" t="s">
        <v>99</v>
      </c>
      <c r="C18" s="196">
        <v>116025</v>
      </c>
      <c r="D18" s="196">
        <v>0</v>
      </c>
      <c r="E18" s="196">
        <v>0</v>
      </c>
      <c r="F18" s="196">
        <v>0</v>
      </c>
      <c r="G18" s="196">
        <v>116025</v>
      </c>
    </row>
    <row r="19" spans="1:7" x14ac:dyDescent="0.3">
      <c r="A19" s="198">
        <v>8392348</v>
      </c>
      <c r="B19" s="192" t="s">
        <v>100</v>
      </c>
      <c r="C19" s="196">
        <v>-700400</v>
      </c>
      <c r="D19" s="196">
        <v>0</v>
      </c>
      <c r="E19" s="196">
        <v>0</v>
      </c>
      <c r="F19" s="196">
        <v>0</v>
      </c>
      <c r="G19" s="196">
        <v>-700400</v>
      </c>
    </row>
    <row r="20" spans="1:7" x14ac:dyDescent="0.3">
      <c r="A20" s="192" t="s">
        <v>101</v>
      </c>
      <c r="B20" s="192" t="s">
        <v>102</v>
      </c>
      <c r="C20" s="196">
        <v>150000</v>
      </c>
      <c r="D20" s="196">
        <v>0</v>
      </c>
      <c r="E20" s="196">
        <v>0</v>
      </c>
      <c r="F20" s="196">
        <v>0</v>
      </c>
      <c r="G20" s="196">
        <v>150000</v>
      </c>
    </row>
    <row r="21" spans="1:7" x14ac:dyDescent="0.3">
      <c r="A21" s="198">
        <v>1037637940</v>
      </c>
      <c r="B21" s="192" t="s">
        <v>103</v>
      </c>
      <c r="C21" s="196">
        <v>78540</v>
      </c>
      <c r="D21" s="196">
        <v>0</v>
      </c>
      <c r="E21" s="196">
        <v>0</v>
      </c>
      <c r="F21" s="196">
        <v>0</v>
      </c>
      <c r="G21" s="196">
        <v>78540</v>
      </c>
    </row>
    <row r="22" spans="1:7" x14ac:dyDescent="0.3">
      <c r="A22" s="192" t="s">
        <v>104</v>
      </c>
      <c r="B22" s="192" t="s">
        <v>105</v>
      </c>
      <c r="C22" s="196">
        <v>-409000</v>
      </c>
      <c r="D22" s="196">
        <v>0</v>
      </c>
      <c r="E22" s="196">
        <v>0</v>
      </c>
      <c r="F22" s="196">
        <v>0</v>
      </c>
      <c r="G22" s="196">
        <v>-409000</v>
      </c>
    </row>
    <row r="23" spans="1:7" x14ac:dyDescent="0.3">
      <c r="A23" s="192" t="s">
        <v>106</v>
      </c>
      <c r="B23" s="192" t="s">
        <v>105</v>
      </c>
      <c r="C23" s="196">
        <v>409000</v>
      </c>
      <c r="D23" s="196">
        <v>0</v>
      </c>
      <c r="E23" s="196">
        <v>0</v>
      </c>
      <c r="F23" s="196">
        <v>0</v>
      </c>
      <c r="G23" s="196">
        <v>409000</v>
      </c>
    </row>
    <row r="24" spans="1:7" x14ac:dyDescent="0.3">
      <c r="A24" s="198">
        <v>901630573</v>
      </c>
      <c r="B24" s="192" t="s">
        <v>107</v>
      </c>
      <c r="C24" s="196">
        <v>-1964800</v>
      </c>
      <c r="D24" s="196">
        <v>0</v>
      </c>
      <c r="E24" s="196">
        <v>9197082</v>
      </c>
      <c r="F24" s="196">
        <v>-9197082</v>
      </c>
      <c r="G24" s="196">
        <v>-11161882</v>
      </c>
    </row>
    <row r="25" spans="1:7" x14ac:dyDescent="0.3">
      <c r="A25" s="198">
        <v>70554597</v>
      </c>
      <c r="B25" s="192" t="s">
        <v>108</v>
      </c>
      <c r="C25" s="196">
        <v>-6378000</v>
      </c>
      <c r="D25" s="196">
        <v>0</v>
      </c>
      <c r="E25" s="196">
        <v>0</v>
      </c>
      <c r="F25" s="196">
        <v>0</v>
      </c>
      <c r="G25" s="196">
        <v>-6378000</v>
      </c>
    </row>
    <row r="26" spans="1:7" x14ac:dyDescent="0.3">
      <c r="A26" s="198">
        <v>2000012254</v>
      </c>
      <c r="B26" s="192" t="s">
        <v>109</v>
      </c>
      <c r="C26" s="196">
        <v>801000</v>
      </c>
      <c r="D26" s="196">
        <v>0</v>
      </c>
      <c r="E26" s="196">
        <v>0</v>
      </c>
      <c r="F26" s="196">
        <v>0</v>
      </c>
      <c r="G26" s="196">
        <v>801000</v>
      </c>
    </row>
    <row r="27" spans="1:7" x14ac:dyDescent="0.3">
      <c r="A27" s="198">
        <v>44003672</v>
      </c>
      <c r="B27" s="192" t="s">
        <v>110</v>
      </c>
      <c r="C27" s="196">
        <v>-101000</v>
      </c>
      <c r="D27" s="196">
        <v>0</v>
      </c>
      <c r="E27" s="196">
        <v>0</v>
      </c>
      <c r="F27" s="196">
        <v>0</v>
      </c>
      <c r="G27" s="196">
        <v>-101000</v>
      </c>
    </row>
    <row r="28" spans="1:7" x14ac:dyDescent="0.3">
      <c r="A28" s="198">
        <v>32444912</v>
      </c>
      <c r="B28" s="192" t="s">
        <v>111</v>
      </c>
      <c r="C28" s="196">
        <v>53500</v>
      </c>
      <c r="D28" s="196">
        <v>0</v>
      </c>
      <c r="E28" s="196">
        <v>0</v>
      </c>
      <c r="F28" s="196">
        <v>0</v>
      </c>
      <c r="G28" s="196">
        <v>53500</v>
      </c>
    </row>
    <row r="29" spans="1:7" x14ac:dyDescent="0.3">
      <c r="A29" s="198">
        <v>1000088363</v>
      </c>
      <c r="B29" s="192" t="s">
        <v>112</v>
      </c>
      <c r="C29" s="196">
        <v>154700</v>
      </c>
      <c r="D29" s="196">
        <v>0</v>
      </c>
      <c r="E29" s="196">
        <v>0</v>
      </c>
      <c r="F29" s="196">
        <v>0</v>
      </c>
      <c r="G29" s="196">
        <v>154700</v>
      </c>
    </row>
    <row r="30" spans="1:7" x14ac:dyDescent="0.3">
      <c r="A30" s="198">
        <v>32227466</v>
      </c>
      <c r="B30" s="192" t="s">
        <v>113</v>
      </c>
      <c r="C30" s="196">
        <v>1940000</v>
      </c>
      <c r="D30" s="196">
        <v>0</v>
      </c>
      <c r="E30" s="196">
        <v>0</v>
      </c>
      <c r="F30" s="196">
        <v>0</v>
      </c>
      <c r="G30" s="196">
        <v>1940000</v>
      </c>
    </row>
    <row r="31" spans="1:7" x14ac:dyDescent="0.3">
      <c r="A31" s="198">
        <v>42866008</v>
      </c>
      <c r="B31" s="192" t="s">
        <v>114</v>
      </c>
      <c r="C31" s="196">
        <v>3489000</v>
      </c>
      <c r="D31" s="196">
        <v>0</v>
      </c>
      <c r="E31" s="196">
        <v>0</v>
      </c>
      <c r="F31" s="196">
        <v>0</v>
      </c>
      <c r="G31" s="196">
        <v>3489000</v>
      </c>
    </row>
    <row r="32" spans="1:7" x14ac:dyDescent="0.3">
      <c r="A32" s="198">
        <v>1037617376</v>
      </c>
      <c r="B32" s="192" t="s">
        <v>115</v>
      </c>
      <c r="C32" s="196">
        <v>-1068400</v>
      </c>
      <c r="D32" s="196">
        <v>0</v>
      </c>
      <c r="E32" s="196">
        <v>0</v>
      </c>
      <c r="F32" s="196">
        <v>0</v>
      </c>
      <c r="G32" s="196">
        <v>-1068400</v>
      </c>
    </row>
    <row r="33" spans="1:7" x14ac:dyDescent="0.3">
      <c r="A33" s="198">
        <v>1035870331</v>
      </c>
      <c r="B33" s="192" t="s">
        <v>116</v>
      </c>
      <c r="C33" s="196">
        <v>83300</v>
      </c>
      <c r="D33" s="196">
        <v>0</v>
      </c>
      <c r="E33" s="196">
        <v>0</v>
      </c>
      <c r="F33" s="196">
        <v>0</v>
      </c>
      <c r="G33" s="196">
        <v>83300</v>
      </c>
    </row>
    <row r="34" spans="1:7" x14ac:dyDescent="0.3">
      <c r="A34" s="198">
        <v>16585666</v>
      </c>
      <c r="B34" s="192" t="s">
        <v>117</v>
      </c>
      <c r="C34" s="196">
        <v>-8064000</v>
      </c>
      <c r="D34" s="196">
        <v>0</v>
      </c>
      <c r="E34" s="196">
        <v>0</v>
      </c>
      <c r="F34" s="196">
        <v>0</v>
      </c>
      <c r="G34" s="196">
        <v>-8064000</v>
      </c>
    </row>
    <row r="35" spans="1:7" x14ac:dyDescent="0.3">
      <c r="A35" s="198">
        <v>901503425</v>
      </c>
      <c r="B35" s="192" t="s">
        <v>118</v>
      </c>
      <c r="C35" s="196">
        <v>101000</v>
      </c>
      <c r="D35" s="196">
        <v>0</v>
      </c>
      <c r="E35" s="196">
        <v>0</v>
      </c>
      <c r="F35" s="196">
        <v>0</v>
      </c>
      <c r="G35" s="196">
        <v>101000</v>
      </c>
    </row>
    <row r="36" spans="1:7" x14ac:dyDescent="0.3">
      <c r="A36" s="198">
        <v>26707595</v>
      </c>
      <c r="B36" s="192" t="s">
        <v>119</v>
      </c>
      <c r="C36" s="196">
        <v>300000</v>
      </c>
      <c r="D36" s="196">
        <v>0</v>
      </c>
      <c r="E36" s="196">
        <v>0</v>
      </c>
      <c r="F36" s="196">
        <v>0</v>
      </c>
      <c r="G36" s="196">
        <v>300000</v>
      </c>
    </row>
    <row r="37" spans="1:7" x14ac:dyDescent="0.3">
      <c r="A37" s="198">
        <v>166508208</v>
      </c>
      <c r="B37" s="192" t="s">
        <v>119</v>
      </c>
      <c r="C37" s="196">
        <v>-300000</v>
      </c>
      <c r="D37" s="196">
        <v>0</v>
      </c>
      <c r="E37" s="196">
        <v>0</v>
      </c>
      <c r="F37" s="196">
        <v>0</v>
      </c>
      <c r="G37" s="196">
        <v>-300000</v>
      </c>
    </row>
    <row r="38" spans="1:7" x14ac:dyDescent="0.3">
      <c r="A38" s="198">
        <v>1100686144</v>
      </c>
      <c r="B38" s="192" t="s">
        <v>120</v>
      </c>
      <c r="C38" s="196">
        <v>300000</v>
      </c>
      <c r="D38" s="196">
        <v>0</v>
      </c>
      <c r="E38" s="196">
        <v>0</v>
      </c>
      <c r="F38" s="196">
        <v>0</v>
      </c>
      <c r="G38" s="196">
        <v>300000</v>
      </c>
    </row>
    <row r="39" spans="1:7" x14ac:dyDescent="0.3">
      <c r="A39" s="198">
        <v>901411666</v>
      </c>
      <c r="B39" s="192" t="s">
        <v>121</v>
      </c>
      <c r="C39" s="196">
        <v>-4813900</v>
      </c>
      <c r="D39" s="196">
        <v>0</v>
      </c>
      <c r="E39" s="196">
        <v>0</v>
      </c>
      <c r="F39" s="196">
        <v>0</v>
      </c>
      <c r="G39" s="196">
        <v>-4813900</v>
      </c>
    </row>
    <row r="40" spans="1:7" x14ac:dyDescent="0.3">
      <c r="A40" s="198">
        <v>900342615</v>
      </c>
      <c r="B40" s="192" t="s">
        <v>122</v>
      </c>
      <c r="C40" s="196">
        <v>8064000</v>
      </c>
      <c r="D40" s="196">
        <v>0</v>
      </c>
      <c r="E40" s="196">
        <v>0</v>
      </c>
      <c r="F40" s="196">
        <v>0</v>
      </c>
      <c r="G40" s="196">
        <v>8064000</v>
      </c>
    </row>
    <row r="41" spans="1:7" x14ac:dyDescent="0.3">
      <c r="A41" s="198">
        <v>39310209</v>
      </c>
      <c r="B41" s="192" t="s">
        <v>123</v>
      </c>
      <c r="C41" s="196">
        <v>39200</v>
      </c>
      <c r="D41" s="196">
        <v>0</v>
      </c>
      <c r="E41" s="196">
        <v>0</v>
      </c>
      <c r="F41" s="196">
        <v>0</v>
      </c>
      <c r="G41" s="196">
        <v>39200</v>
      </c>
    </row>
    <row r="42" spans="1:7" x14ac:dyDescent="0.3">
      <c r="A42" s="198">
        <v>71527531</v>
      </c>
      <c r="B42" s="192" t="s">
        <v>124</v>
      </c>
      <c r="C42" s="196">
        <v>-5183500</v>
      </c>
      <c r="D42" s="196">
        <v>59632212</v>
      </c>
      <c r="E42" s="196">
        <v>50435130</v>
      </c>
      <c r="F42" s="196">
        <v>9197082</v>
      </c>
      <c r="G42" s="196">
        <v>4013582</v>
      </c>
    </row>
    <row r="43" spans="1:7" x14ac:dyDescent="0.3">
      <c r="A43" s="198">
        <v>1128264965</v>
      </c>
      <c r="B43" s="192" t="s">
        <v>125</v>
      </c>
      <c r="C43" s="196">
        <v>1123900</v>
      </c>
      <c r="D43" s="196">
        <v>0</v>
      </c>
      <c r="E43" s="196">
        <v>0</v>
      </c>
      <c r="F43" s="196">
        <v>0</v>
      </c>
      <c r="G43" s="196">
        <v>1123900</v>
      </c>
    </row>
    <row r="44" spans="1:7" x14ac:dyDescent="0.3">
      <c r="A44" s="198">
        <v>98555608</v>
      </c>
      <c r="B44" s="192" t="s">
        <v>126</v>
      </c>
      <c r="C44" s="196">
        <v>-5200000</v>
      </c>
      <c r="D44" s="196">
        <v>0</v>
      </c>
      <c r="E44" s="196">
        <v>0</v>
      </c>
      <c r="F44" s="196">
        <v>0</v>
      </c>
      <c r="G44" s="196">
        <v>-5200000</v>
      </c>
    </row>
    <row r="45" spans="1:7" x14ac:dyDescent="0.3">
      <c r="A45" s="198">
        <v>1020427714</v>
      </c>
      <c r="B45" s="192" t="s">
        <v>127</v>
      </c>
      <c r="C45" s="196">
        <v>72140</v>
      </c>
      <c r="D45" s="196">
        <v>0</v>
      </c>
      <c r="E45" s="196">
        <v>0</v>
      </c>
      <c r="F45" s="196">
        <v>0</v>
      </c>
      <c r="G45" s="196">
        <v>72140</v>
      </c>
    </row>
    <row r="46" spans="1:7" x14ac:dyDescent="0.3">
      <c r="A46" s="198">
        <v>1017142884</v>
      </c>
      <c r="B46" s="192" t="s">
        <v>128</v>
      </c>
      <c r="C46" s="196">
        <v>1068400</v>
      </c>
      <c r="D46" s="196">
        <v>0</v>
      </c>
      <c r="E46" s="196">
        <v>0</v>
      </c>
      <c r="F46" s="196">
        <v>0</v>
      </c>
      <c r="G46" s="196">
        <v>1068400</v>
      </c>
    </row>
    <row r="47" spans="1:7" x14ac:dyDescent="0.3">
      <c r="A47" s="198">
        <v>1193038769</v>
      </c>
      <c r="B47" s="192" t="s">
        <v>129</v>
      </c>
      <c r="C47" s="196">
        <v>0</v>
      </c>
      <c r="D47" s="196">
        <v>0</v>
      </c>
      <c r="E47" s="196">
        <v>1843000</v>
      </c>
      <c r="F47" s="196">
        <v>-1843000</v>
      </c>
      <c r="G47" s="196">
        <v>-1843000</v>
      </c>
    </row>
    <row r="48" spans="1:7" x14ac:dyDescent="0.3">
      <c r="A48" s="198">
        <v>8254610</v>
      </c>
      <c r="B48" s="192" t="s">
        <v>130</v>
      </c>
      <c r="C48" s="196">
        <v>35800</v>
      </c>
      <c r="D48" s="196">
        <v>0</v>
      </c>
      <c r="E48" s="196">
        <v>0</v>
      </c>
      <c r="F48" s="196">
        <v>0</v>
      </c>
      <c r="G48" s="196">
        <v>35800</v>
      </c>
    </row>
    <row r="49" spans="1:7" x14ac:dyDescent="0.3">
      <c r="A49" s="198">
        <v>700095056</v>
      </c>
      <c r="B49" s="192" t="s">
        <v>131</v>
      </c>
      <c r="C49" s="196">
        <v>-801000</v>
      </c>
      <c r="D49" s="196">
        <v>0</v>
      </c>
      <c r="E49" s="196">
        <v>0</v>
      </c>
      <c r="F49" s="196">
        <v>0</v>
      </c>
      <c r="G49" s="196">
        <v>-801000</v>
      </c>
    </row>
    <row r="50" spans="1:7" x14ac:dyDescent="0.3">
      <c r="A50" s="198">
        <v>32327122</v>
      </c>
      <c r="B50" s="192" t="s">
        <v>132</v>
      </c>
      <c r="C50" s="196">
        <v>249800</v>
      </c>
      <c r="D50" s="196">
        <v>0</v>
      </c>
      <c r="E50" s="196">
        <v>0</v>
      </c>
      <c r="F50" s="196">
        <v>0</v>
      </c>
      <c r="G50" s="196">
        <v>249800</v>
      </c>
    </row>
    <row r="51" spans="1:7" x14ac:dyDescent="0.3">
      <c r="A51" s="198">
        <v>43469552</v>
      </c>
      <c r="B51" s="192" t="s">
        <v>133</v>
      </c>
      <c r="C51" s="196">
        <v>900000</v>
      </c>
      <c r="D51" s="196">
        <v>0</v>
      </c>
      <c r="E51" s="196">
        <v>0</v>
      </c>
      <c r="F51" s="196">
        <v>0</v>
      </c>
      <c r="G51" s="196">
        <v>900000</v>
      </c>
    </row>
    <row r="52" spans="1:7" x14ac:dyDescent="0.3">
      <c r="A52" s="198">
        <v>43444446</v>
      </c>
      <c r="B52" s="192" t="s">
        <v>134</v>
      </c>
      <c r="C52" s="196">
        <v>2889000</v>
      </c>
      <c r="D52" s="196">
        <v>0</v>
      </c>
      <c r="E52" s="196">
        <v>0</v>
      </c>
      <c r="F52" s="196">
        <v>0</v>
      </c>
      <c r="G52" s="196">
        <v>2889000</v>
      </c>
    </row>
    <row r="53" spans="1:7" x14ac:dyDescent="0.3">
      <c r="A53" s="198">
        <v>8140662</v>
      </c>
      <c r="B53" s="192" t="s">
        <v>135</v>
      </c>
      <c r="C53" s="196">
        <v>3690000</v>
      </c>
      <c r="D53" s="196">
        <v>0</v>
      </c>
      <c r="E53" s="196">
        <v>0</v>
      </c>
      <c r="F53" s="196">
        <v>0</v>
      </c>
      <c r="G53" s="196">
        <v>3690000</v>
      </c>
    </row>
    <row r="54" spans="1:7" x14ac:dyDescent="0.3">
      <c r="A54" s="198">
        <v>901763399</v>
      </c>
      <c r="B54" s="192" t="s">
        <v>136</v>
      </c>
      <c r="C54" s="196">
        <v>-430780</v>
      </c>
      <c r="D54" s="196">
        <v>0</v>
      </c>
      <c r="E54" s="196">
        <v>0</v>
      </c>
      <c r="F54" s="196">
        <v>0</v>
      </c>
      <c r="G54" s="196">
        <v>-430780</v>
      </c>
    </row>
    <row r="55" spans="1:7" x14ac:dyDescent="0.3">
      <c r="A55" s="198">
        <v>901226955</v>
      </c>
      <c r="B55" s="192" t="s">
        <v>137</v>
      </c>
      <c r="C55" s="196">
        <v>27000</v>
      </c>
      <c r="D55" s="196">
        <v>0</v>
      </c>
      <c r="E55" s="196">
        <v>0</v>
      </c>
      <c r="F55" s="196">
        <v>0</v>
      </c>
      <c r="G55" s="196">
        <v>27000</v>
      </c>
    </row>
    <row r="56" spans="1:7" x14ac:dyDescent="0.3">
      <c r="A56" s="198">
        <v>38444069</v>
      </c>
      <c r="B56" s="192" t="s">
        <v>138</v>
      </c>
      <c r="C56" s="196">
        <v>616000</v>
      </c>
      <c r="D56" s="196">
        <v>0</v>
      </c>
      <c r="E56" s="196">
        <v>0</v>
      </c>
      <c r="F56" s="196">
        <v>0</v>
      </c>
      <c r="G56" s="196">
        <v>616000</v>
      </c>
    </row>
    <row r="57" spans="1:7" x14ac:dyDescent="0.3">
      <c r="A57" s="198">
        <v>38444369</v>
      </c>
      <c r="B57" s="192" t="s">
        <v>138</v>
      </c>
      <c r="C57" s="196">
        <v>-616000</v>
      </c>
      <c r="D57" s="196">
        <v>0</v>
      </c>
      <c r="E57" s="196">
        <v>0</v>
      </c>
      <c r="F57" s="196">
        <v>0</v>
      </c>
      <c r="G57" s="196">
        <v>-616000</v>
      </c>
    </row>
    <row r="58" spans="1:7" x14ac:dyDescent="0.3">
      <c r="A58" s="198">
        <v>8349501</v>
      </c>
      <c r="B58" s="192" t="s">
        <v>139</v>
      </c>
      <c r="C58" s="196">
        <v>249800</v>
      </c>
      <c r="D58" s="196">
        <v>0</v>
      </c>
      <c r="E58" s="196">
        <v>0</v>
      </c>
      <c r="F58" s="196">
        <v>0</v>
      </c>
      <c r="G58" s="196">
        <v>249800</v>
      </c>
    </row>
    <row r="59" spans="1:7" x14ac:dyDescent="0.3">
      <c r="A59" s="198">
        <v>40332845</v>
      </c>
      <c r="B59" s="192" t="s">
        <v>140</v>
      </c>
      <c r="C59" s="196">
        <v>0</v>
      </c>
      <c r="D59" s="196">
        <v>1843000</v>
      </c>
      <c r="E59" s="196">
        <v>0</v>
      </c>
      <c r="F59" s="196">
        <v>1843000</v>
      </c>
      <c r="G59" s="196">
        <v>1843000</v>
      </c>
    </row>
    <row r="60" spans="1:7" x14ac:dyDescent="0.3">
      <c r="A60" s="198">
        <v>1014193805</v>
      </c>
      <c r="B60" s="192" t="s">
        <v>141</v>
      </c>
      <c r="C60" s="196">
        <v>116025</v>
      </c>
      <c r="D60" s="196">
        <v>0</v>
      </c>
      <c r="E60" s="196">
        <v>0</v>
      </c>
      <c r="F60" s="196">
        <v>0</v>
      </c>
      <c r="G60" s="196">
        <v>116025</v>
      </c>
    </row>
    <row r="61" spans="1:7" x14ac:dyDescent="0.3">
      <c r="A61" s="198">
        <v>15402934</v>
      </c>
      <c r="B61" s="192" t="s">
        <v>142</v>
      </c>
      <c r="C61" s="196">
        <v>190400</v>
      </c>
      <c r="D61" s="196">
        <v>0</v>
      </c>
      <c r="E61" s="196">
        <v>0</v>
      </c>
      <c r="F61" s="196">
        <v>0</v>
      </c>
      <c r="G61" s="196">
        <v>190400</v>
      </c>
    </row>
    <row r="62" spans="1:7" x14ac:dyDescent="0.3">
      <c r="A62" s="198">
        <v>530962818</v>
      </c>
      <c r="B62" s="192" t="s">
        <v>143</v>
      </c>
      <c r="C62" s="196">
        <v>420000</v>
      </c>
      <c r="D62" s="196">
        <v>0</v>
      </c>
      <c r="E62" s="196">
        <v>0</v>
      </c>
      <c r="F62" s="196">
        <v>0</v>
      </c>
      <c r="G62" s="196">
        <v>420000</v>
      </c>
    </row>
    <row r="63" spans="1:7" x14ac:dyDescent="0.3">
      <c r="A63" s="192" t="s">
        <v>144</v>
      </c>
      <c r="B63" s="192" t="s">
        <v>145</v>
      </c>
      <c r="C63" s="196">
        <v>-420000</v>
      </c>
      <c r="D63" s="196">
        <v>0</v>
      </c>
      <c r="E63" s="196">
        <v>0</v>
      </c>
      <c r="F63" s="196">
        <v>0</v>
      </c>
      <c r="G63" s="196">
        <v>-420000</v>
      </c>
    </row>
    <row r="64" spans="1:7" x14ac:dyDescent="0.3">
      <c r="A64" s="198">
        <v>1000633916</v>
      </c>
      <c r="B64" s="192" t="s">
        <v>146</v>
      </c>
      <c r="C64" s="196">
        <v>165000</v>
      </c>
      <c r="D64" s="196">
        <v>0</v>
      </c>
      <c r="E64" s="196">
        <v>0</v>
      </c>
      <c r="F64" s="196">
        <v>0</v>
      </c>
      <c r="G64" s="196">
        <v>165000</v>
      </c>
    </row>
    <row r="65" spans="1:7" x14ac:dyDescent="0.3">
      <c r="A65" s="198">
        <v>1090388155</v>
      </c>
      <c r="B65" s="192" t="s">
        <v>147</v>
      </c>
      <c r="C65" s="196">
        <v>705800</v>
      </c>
      <c r="D65" s="196">
        <v>0</v>
      </c>
      <c r="E65" s="196">
        <v>0</v>
      </c>
      <c r="F65" s="196">
        <v>0</v>
      </c>
      <c r="G65" s="196">
        <v>705800</v>
      </c>
    </row>
    <row r="66" spans="1:7" x14ac:dyDescent="0.3">
      <c r="A66" s="197">
        <v>1120</v>
      </c>
      <c r="B66" s="191" t="s">
        <v>148</v>
      </c>
      <c r="C66" s="195">
        <v>-208683423.08000001</v>
      </c>
      <c r="D66" s="195">
        <v>1544403699.47</v>
      </c>
      <c r="E66" s="195">
        <v>1378988754.9400001</v>
      </c>
      <c r="F66" s="195">
        <v>165414944.53</v>
      </c>
      <c r="G66" s="195">
        <v>-43268478.549999997</v>
      </c>
    </row>
    <row r="67" spans="1:7" x14ac:dyDescent="0.3">
      <c r="A67" s="197">
        <v>112005</v>
      </c>
      <c r="B67" s="191" t="s">
        <v>149</v>
      </c>
      <c r="C67" s="195">
        <v>-208683423.08000001</v>
      </c>
      <c r="D67" s="195">
        <v>1544403699.47</v>
      </c>
      <c r="E67" s="195">
        <v>1378988754.9400001</v>
      </c>
      <c r="F67" s="195">
        <v>165414944.53</v>
      </c>
      <c r="G67" s="195">
        <v>-43268478.549999997</v>
      </c>
    </row>
    <row r="68" spans="1:7" x14ac:dyDescent="0.3">
      <c r="A68" s="198">
        <v>11200501</v>
      </c>
      <c r="B68" s="192" t="s">
        <v>150</v>
      </c>
      <c r="C68" s="196">
        <v>-147077654.47</v>
      </c>
      <c r="D68" s="196">
        <v>112778507</v>
      </c>
      <c r="E68" s="196">
        <v>87405981</v>
      </c>
      <c r="F68" s="196">
        <v>25372526</v>
      </c>
      <c r="G68" s="196">
        <v>-121705128.47</v>
      </c>
    </row>
    <row r="69" spans="1:7" x14ac:dyDescent="0.3">
      <c r="A69" s="198">
        <v>11200502</v>
      </c>
      <c r="B69" s="192" t="s">
        <v>151</v>
      </c>
      <c r="C69" s="196">
        <v>-61120892.520000003</v>
      </c>
      <c r="D69" s="196">
        <v>635855763</v>
      </c>
      <c r="E69" s="196">
        <v>583598577</v>
      </c>
      <c r="F69" s="196">
        <v>52257186</v>
      </c>
      <c r="G69" s="196">
        <v>-8863706.5199999996</v>
      </c>
    </row>
    <row r="70" spans="1:7" x14ac:dyDescent="0.3">
      <c r="A70" s="198">
        <v>11200503</v>
      </c>
      <c r="B70" s="192" t="s">
        <v>152</v>
      </c>
      <c r="C70" s="196">
        <v>5712637</v>
      </c>
      <c r="D70" s="196">
        <v>0</v>
      </c>
      <c r="E70" s="196">
        <v>0</v>
      </c>
      <c r="F70" s="196">
        <v>0</v>
      </c>
      <c r="G70" s="196">
        <v>5712637</v>
      </c>
    </row>
    <row r="71" spans="1:7" x14ac:dyDescent="0.3">
      <c r="A71" s="198">
        <v>11200504</v>
      </c>
      <c r="B71" s="192" t="s">
        <v>153</v>
      </c>
      <c r="C71" s="196">
        <v>-53038331.490000002</v>
      </c>
      <c r="D71" s="196">
        <v>95728523</v>
      </c>
      <c r="E71" s="196">
        <v>50525774</v>
      </c>
      <c r="F71" s="196">
        <v>45202749</v>
      </c>
      <c r="G71" s="196">
        <v>-7835582.4900000002</v>
      </c>
    </row>
    <row r="72" spans="1:7" x14ac:dyDescent="0.3">
      <c r="A72" s="198">
        <v>11200505</v>
      </c>
      <c r="B72" s="192" t="s">
        <v>154</v>
      </c>
      <c r="C72" s="196">
        <v>36577495.399999999</v>
      </c>
      <c r="D72" s="196">
        <v>700040906.47000003</v>
      </c>
      <c r="E72" s="196">
        <v>657443522.94000006</v>
      </c>
      <c r="F72" s="196">
        <v>42597383.530000001</v>
      </c>
      <c r="G72" s="196">
        <v>79174878.930000007</v>
      </c>
    </row>
    <row r="73" spans="1:7" x14ac:dyDescent="0.3">
      <c r="A73" s="198">
        <v>11200506</v>
      </c>
      <c r="B73" s="192" t="s">
        <v>155</v>
      </c>
      <c r="C73" s="196">
        <v>10263323</v>
      </c>
      <c r="D73" s="196">
        <v>0</v>
      </c>
      <c r="E73" s="196">
        <v>14900</v>
      </c>
      <c r="F73" s="196">
        <v>-14900</v>
      </c>
      <c r="G73" s="196">
        <v>10248423</v>
      </c>
    </row>
    <row r="74" spans="1:7" x14ac:dyDescent="0.3">
      <c r="A74" s="197">
        <v>13</v>
      </c>
      <c r="B74" s="191" t="s">
        <v>156</v>
      </c>
      <c r="C74" s="195">
        <v>2926670724.0300002</v>
      </c>
      <c r="D74" s="195">
        <v>3000031088.7800002</v>
      </c>
      <c r="E74" s="195">
        <v>3153010123.7199998</v>
      </c>
      <c r="F74" s="195">
        <v>-152979034.94</v>
      </c>
      <c r="G74" s="195">
        <v>2773691689.0900002</v>
      </c>
    </row>
    <row r="75" spans="1:7" x14ac:dyDescent="0.3">
      <c r="A75" s="197">
        <v>1305</v>
      </c>
      <c r="B75" s="191" t="s">
        <v>157</v>
      </c>
      <c r="C75" s="195">
        <v>1405925878.6099999</v>
      </c>
      <c r="D75" s="195">
        <v>2642415289.6999998</v>
      </c>
      <c r="E75" s="195">
        <v>2704057290.6700001</v>
      </c>
      <c r="F75" s="195">
        <v>-61642000.969999999</v>
      </c>
      <c r="G75" s="195">
        <v>1344283877.6400001</v>
      </c>
    </row>
    <row r="76" spans="1:7" x14ac:dyDescent="0.3">
      <c r="A76" s="197">
        <v>130505</v>
      </c>
      <c r="B76" s="191" t="s">
        <v>158</v>
      </c>
      <c r="C76" s="195">
        <v>1405925878.6099999</v>
      </c>
      <c r="D76" s="195">
        <v>2642415289.6999998</v>
      </c>
      <c r="E76" s="195">
        <v>2704057290.6700001</v>
      </c>
      <c r="F76" s="195">
        <v>-61642000.969999999</v>
      </c>
      <c r="G76" s="195">
        <v>1344283877.6400001</v>
      </c>
    </row>
    <row r="77" spans="1:7" x14ac:dyDescent="0.3">
      <c r="A77" s="198">
        <v>13050501</v>
      </c>
      <c r="B77" s="192" t="s">
        <v>158</v>
      </c>
      <c r="C77" s="196">
        <v>1405925878.6099999</v>
      </c>
      <c r="D77" s="196">
        <v>2642415289.6999998</v>
      </c>
      <c r="E77" s="196">
        <v>2704057290.6700001</v>
      </c>
      <c r="F77" s="196">
        <v>-61642000.969999999</v>
      </c>
      <c r="G77" s="196">
        <v>1344283877.6400001</v>
      </c>
    </row>
    <row r="78" spans="1:7" x14ac:dyDescent="0.3">
      <c r="A78" s="198">
        <v>1219213378</v>
      </c>
      <c r="B78" s="192" t="s">
        <v>159</v>
      </c>
      <c r="C78" s="196">
        <v>1</v>
      </c>
      <c r="D78" s="196">
        <v>0</v>
      </c>
      <c r="E78" s="196">
        <v>0</v>
      </c>
      <c r="F78" s="196">
        <v>0</v>
      </c>
      <c r="G78" s="196">
        <v>1</v>
      </c>
    </row>
    <row r="79" spans="1:7" x14ac:dyDescent="0.3">
      <c r="A79" s="198">
        <v>70546915</v>
      </c>
      <c r="B79" s="192" t="s">
        <v>160</v>
      </c>
      <c r="C79" s="196">
        <v>7500000</v>
      </c>
      <c r="D79" s="196">
        <v>0</v>
      </c>
      <c r="E79" s="196">
        <v>7500000</v>
      </c>
      <c r="F79" s="196">
        <v>-7500000</v>
      </c>
      <c r="G79" s="196">
        <v>0</v>
      </c>
    </row>
    <row r="80" spans="1:7" x14ac:dyDescent="0.3">
      <c r="A80" s="198">
        <v>52431671</v>
      </c>
      <c r="B80" s="192" t="s">
        <v>161</v>
      </c>
      <c r="C80" s="196">
        <v>0</v>
      </c>
      <c r="D80" s="196">
        <v>46900</v>
      </c>
      <c r="E80" s="196">
        <v>0</v>
      </c>
      <c r="F80" s="196">
        <v>46900</v>
      </c>
      <c r="G80" s="196">
        <v>46900</v>
      </c>
    </row>
    <row r="81" spans="1:7" x14ac:dyDescent="0.3">
      <c r="A81" s="198">
        <v>168695191</v>
      </c>
      <c r="B81" s="192" t="s">
        <v>162</v>
      </c>
      <c r="C81" s="196">
        <v>0</v>
      </c>
      <c r="D81" s="196">
        <v>101800</v>
      </c>
      <c r="E81" s="196">
        <v>101800</v>
      </c>
      <c r="F81" s="196">
        <v>0</v>
      </c>
      <c r="G81" s="196">
        <v>0</v>
      </c>
    </row>
    <row r="82" spans="1:7" x14ac:dyDescent="0.3">
      <c r="A82" s="198">
        <v>32408002</v>
      </c>
      <c r="B82" s="192" t="s">
        <v>163</v>
      </c>
      <c r="C82" s="196">
        <v>0</v>
      </c>
      <c r="D82" s="196">
        <v>101800</v>
      </c>
      <c r="E82" s="196">
        <v>101800</v>
      </c>
      <c r="F82" s="196">
        <v>0</v>
      </c>
      <c r="G82" s="196">
        <v>0</v>
      </c>
    </row>
    <row r="83" spans="1:7" x14ac:dyDescent="0.3">
      <c r="A83" s="198">
        <v>39789207</v>
      </c>
      <c r="B83" s="192" t="s">
        <v>164</v>
      </c>
      <c r="C83" s="196">
        <v>0</v>
      </c>
      <c r="D83" s="196">
        <v>420000</v>
      </c>
      <c r="E83" s="196">
        <v>420000</v>
      </c>
      <c r="F83" s="196">
        <v>0</v>
      </c>
      <c r="G83" s="196">
        <v>0</v>
      </c>
    </row>
    <row r="84" spans="1:7" x14ac:dyDescent="0.3">
      <c r="A84" s="198">
        <v>31948684</v>
      </c>
      <c r="B84" s="192" t="s">
        <v>165</v>
      </c>
      <c r="C84" s="196">
        <v>0</v>
      </c>
      <c r="D84" s="196">
        <v>321500</v>
      </c>
      <c r="E84" s="196">
        <v>321500</v>
      </c>
      <c r="F84" s="196">
        <v>0</v>
      </c>
      <c r="G84" s="196">
        <v>0</v>
      </c>
    </row>
    <row r="85" spans="1:7" x14ac:dyDescent="0.3">
      <c r="A85" s="198">
        <v>43023158</v>
      </c>
      <c r="B85" s="192" t="s">
        <v>166</v>
      </c>
      <c r="C85" s="196">
        <v>0</v>
      </c>
      <c r="D85" s="196">
        <v>88000</v>
      </c>
      <c r="E85" s="196">
        <v>88000</v>
      </c>
      <c r="F85" s="196">
        <v>0</v>
      </c>
      <c r="G85" s="196">
        <v>0</v>
      </c>
    </row>
    <row r="86" spans="1:7" x14ac:dyDescent="0.3">
      <c r="A86" s="198">
        <v>43083279</v>
      </c>
      <c r="B86" s="192" t="s">
        <v>167</v>
      </c>
      <c r="C86" s="196">
        <v>0</v>
      </c>
      <c r="D86" s="196">
        <v>270000</v>
      </c>
      <c r="E86" s="196">
        <v>270000</v>
      </c>
      <c r="F86" s="196">
        <v>0</v>
      </c>
      <c r="G86" s="196">
        <v>0</v>
      </c>
    </row>
    <row r="87" spans="1:7" x14ac:dyDescent="0.3">
      <c r="A87" s="198">
        <v>42772255</v>
      </c>
      <c r="B87" s="192" t="s">
        <v>168</v>
      </c>
      <c r="C87" s="196">
        <v>0</v>
      </c>
      <c r="D87" s="196">
        <v>297000</v>
      </c>
      <c r="E87" s="196">
        <v>297000</v>
      </c>
      <c r="F87" s="196">
        <v>0</v>
      </c>
      <c r="G87" s="196">
        <v>0</v>
      </c>
    </row>
    <row r="88" spans="1:7" x14ac:dyDescent="0.3">
      <c r="A88" s="198">
        <v>43103525</v>
      </c>
      <c r="B88" s="192" t="s">
        <v>169</v>
      </c>
      <c r="C88" s="196">
        <v>0</v>
      </c>
      <c r="D88" s="196">
        <v>963000</v>
      </c>
      <c r="E88" s="196">
        <v>963000</v>
      </c>
      <c r="F88" s="196">
        <v>0</v>
      </c>
      <c r="G88" s="196">
        <v>0</v>
      </c>
    </row>
    <row r="89" spans="1:7" x14ac:dyDescent="0.3">
      <c r="A89" s="198">
        <v>43729448</v>
      </c>
      <c r="B89" s="192" t="s">
        <v>170</v>
      </c>
      <c r="C89" s="196">
        <v>0</v>
      </c>
      <c r="D89" s="196">
        <v>193800</v>
      </c>
      <c r="E89" s="196">
        <v>193800</v>
      </c>
      <c r="F89" s="196">
        <v>0</v>
      </c>
      <c r="G89" s="196">
        <v>0</v>
      </c>
    </row>
    <row r="90" spans="1:7" x14ac:dyDescent="0.3">
      <c r="A90" s="198">
        <v>43678444</v>
      </c>
      <c r="B90" s="192" t="s">
        <v>171</v>
      </c>
      <c r="C90" s="196">
        <v>0</v>
      </c>
      <c r="D90" s="196">
        <v>94000</v>
      </c>
      <c r="E90" s="196">
        <v>94000</v>
      </c>
      <c r="F90" s="196">
        <v>0</v>
      </c>
      <c r="G90" s="196">
        <v>0</v>
      </c>
    </row>
    <row r="91" spans="1:7" x14ac:dyDescent="0.3">
      <c r="A91" s="198">
        <v>43362698</v>
      </c>
      <c r="B91" s="192" t="s">
        <v>172</v>
      </c>
      <c r="C91" s="196">
        <v>0</v>
      </c>
      <c r="D91" s="196">
        <v>8114200</v>
      </c>
      <c r="E91" s="196">
        <v>8114200</v>
      </c>
      <c r="F91" s="196">
        <v>0</v>
      </c>
      <c r="G91" s="196">
        <v>0</v>
      </c>
    </row>
    <row r="92" spans="1:7" x14ac:dyDescent="0.3">
      <c r="A92" s="198">
        <v>42873654</v>
      </c>
      <c r="B92" s="192" t="s">
        <v>173</v>
      </c>
      <c r="C92" s="196">
        <v>0</v>
      </c>
      <c r="D92" s="196">
        <v>108400</v>
      </c>
      <c r="E92" s="196">
        <v>108400</v>
      </c>
      <c r="F92" s="196">
        <v>0</v>
      </c>
      <c r="G92" s="196">
        <v>0</v>
      </c>
    </row>
    <row r="93" spans="1:7" x14ac:dyDescent="0.3">
      <c r="A93" s="198">
        <v>42874133</v>
      </c>
      <c r="B93" s="192" t="s">
        <v>174</v>
      </c>
      <c r="C93" s="196">
        <v>0</v>
      </c>
      <c r="D93" s="196">
        <v>216800</v>
      </c>
      <c r="E93" s="196">
        <v>216800</v>
      </c>
      <c r="F93" s="196">
        <v>0</v>
      </c>
      <c r="G93" s="196">
        <v>0</v>
      </c>
    </row>
    <row r="94" spans="1:7" x14ac:dyDescent="0.3">
      <c r="A94" s="198">
        <v>43532661</v>
      </c>
      <c r="B94" s="192" t="s">
        <v>175</v>
      </c>
      <c r="C94" s="196">
        <v>15000000</v>
      </c>
      <c r="D94" s="196">
        <v>0</v>
      </c>
      <c r="E94" s="196">
        <v>15000000</v>
      </c>
      <c r="F94" s="196">
        <v>-15000000</v>
      </c>
      <c r="G94" s="196">
        <v>0</v>
      </c>
    </row>
    <row r="95" spans="1:7" x14ac:dyDescent="0.3">
      <c r="A95" s="198">
        <v>1017141839</v>
      </c>
      <c r="B95" s="192" t="s">
        <v>176</v>
      </c>
      <c r="C95" s="196">
        <v>1</v>
      </c>
      <c r="D95" s="196">
        <v>0</v>
      </c>
      <c r="E95" s="196">
        <v>0</v>
      </c>
      <c r="F95" s="196">
        <v>0</v>
      </c>
      <c r="G95" s="196">
        <v>1</v>
      </c>
    </row>
    <row r="96" spans="1:7" x14ac:dyDescent="0.3">
      <c r="A96" s="198">
        <v>42682174</v>
      </c>
      <c r="B96" s="192" t="s">
        <v>177</v>
      </c>
      <c r="C96" s="196">
        <v>1</v>
      </c>
      <c r="D96" s="196">
        <v>0</v>
      </c>
      <c r="E96" s="196">
        <v>0</v>
      </c>
      <c r="F96" s="196">
        <v>0</v>
      </c>
      <c r="G96" s="196">
        <v>1</v>
      </c>
    </row>
    <row r="97" spans="1:7" x14ac:dyDescent="0.3">
      <c r="A97" s="198">
        <v>1017129503</v>
      </c>
      <c r="B97" s="192" t="s">
        <v>178</v>
      </c>
      <c r="C97" s="196">
        <v>0</v>
      </c>
      <c r="D97" s="196">
        <v>101800</v>
      </c>
      <c r="E97" s="196">
        <v>101800</v>
      </c>
      <c r="F97" s="196">
        <v>0</v>
      </c>
      <c r="G97" s="196">
        <v>0</v>
      </c>
    </row>
    <row r="98" spans="1:7" x14ac:dyDescent="0.3">
      <c r="A98" s="198">
        <v>43118498</v>
      </c>
      <c r="B98" s="192" t="s">
        <v>179</v>
      </c>
      <c r="C98" s="196">
        <v>0</v>
      </c>
      <c r="D98" s="196">
        <v>3071200</v>
      </c>
      <c r="E98" s="196">
        <v>3071200</v>
      </c>
      <c r="F98" s="196">
        <v>0</v>
      </c>
      <c r="G98" s="196">
        <v>0</v>
      </c>
    </row>
    <row r="99" spans="1:7" x14ac:dyDescent="0.3">
      <c r="A99" s="198">
        <v>439042</v>
      </c>
      <c r="B99" s="192" t="s">
        <v>180</v>
      </c>
      <c r="C99" s="196">
        <v>0</v>
      </c>
      <c r="D99" s="196">
        <v>101800</v>
      </c>
      <c r="E99" s="196">
        <v>101800</v>
      </c>
      <c r="F99" s="196">
        <v>0</v>
      </c>
      <c r="G99" s="196">
        <v>0</v>
      </c>
    </row>
    <row r="100" spans="1:7" x14ac:dyDescent="0.3">
      <c r="A100" s="198">
        <v>1020327333</v>
      </c>
      <c r="B100" s="192" t="s">
        <v>181</v>
      </c>
      <c r="C100" s="196">
        <v>0</v>
      </c>
      <c r="D100" s="196">
        <v>101800</v>
      </c>
      <c r="E100" s="196">
        <v>101800</v>
      </c>
      <c r="F100" s="196">
        <v>0</v>
      </c>
      <c r="G100" s="196">
        <v>0</v>
      </c>
    </row>
    <row r="101" spans="1:7" x14ac:dyDescent="0.3">
      <c r="A101" s="198">
        <v>1035019240</v>
      </c>
      <c r="B101" s="192" t="s">
        <v>182</v>
      </c>
      <c r="C101" s="196">
        <v>0</v>
      </c>
      <c r="D101" s="196">
        <v>98000</v>
      </c>
      <c r="E101" s="196">
        <v>98000</v>
      </c>
      <c r="F101" s="196">
        <v>0</v>
      </c>
      <c r="G101" s="196">
        <v>0</v>
      </c>
    </row>
    <row r="102" spans="1:7" x14ac:dyDescent="0.3">
      <c r="A102" s="198">
        <v>1035014137</v>
      </c>
      <c r="B102" s="192" t="s">
        <v>183</v>
      </c>
      <c r="C102" s="196">
        <v>0</v>
      </c>
      <c r="D102" s="196">
        <v>101800</v>
      </c>
      <c r="E102" s="196">
        <v>101800</v>
      </c>
      <c r="F102" s="196">
        <v>0</v>
      </c>
      <c r="G102" s="196">
        <v>0</v>
      </c>
    </row>
    <row r="103" spans="1:7" x14ac:dyDescent="0.3">
      <c r="A103" s="198">
        <v>675634893</v>
      </c>
      <c r="B103" s="192" t="s">
        <v>184</v>
      </c>
      <c r="C103" s="196">
        <v>0</v>
      </c>
      <c r="D103" s="196">
        <v>340000</v>
      </c>
      <c r="E103" s="196">
        <v>340000</v>
      </c>
      <c r="F103" s="196">
        <v>0</v>
      </c>
      <c r="G103" s="196">
        <v>0</v>
      </c>
    </row>
    <row r="104" spans="1:7" x14ac:dyDescent="0.3">
      <c r="A104" s="198">
        <v>1017942290</v>
      </c>
      <c r="B104" s="192" t="s">
        <v>185</v>
      </c>
      <c r="C104" s="196">
        <v>0</v>
      </c>
      <c r="D104" s="196">
        <v>101800</v>
      </c>
      <c r="E104" s="196">
        <v>101800</v>
      </c>
      <c r="F104" s="196">
        <v>0</v>
      </c>
      <c r="G104" s="196">
        <v>0</v>
      </c>
    </row>
    <row r="105" spans="1:7" x14ac:dyDescent="0.3">
      <c r="A105" s="198">
        <v>1035012741</v>
      </c>
      <c r="B105" s="192" t="s">
        <v>186</v>
      </c>
      <c r="C105" s="196">
        <v>0</v>
      </c>
      <c r="D105" s="196">
        <v>108400</v>
      </c>
      <c r="E105" s="196">
        <v>108400</v>
      </c>
      <c r="F105" s="196">
        <v>0</v>
      </c>
      <c r="G105" s="196">
        <v>0</v>
      </c>
    </row>
    <row r="106" spans="1:7" x14ac:dyDescent="0.3">
      <c r="A106" s="198">
        <v>1036462404</v>
      </c>
      <c r="B106" s="192" t="s">
        <v>187</v>
      </c>
      <c r="C106" s="196">
        <v>0</v>
      </c>
      <c r="D106" s="196">
        <v>108400</v>
      </c>
      <c r="E106" s="196">
        <v>108400</v>
      </c>
      <c r="F106" s="196">
        <v>0</v>
      </c>
      <c r="G106" s="196">
        <v>0</v>
      </c>
    </row>
    <row r="107" spans="1:7" x14ac:dyDescent="0.3">
      <c r="A107" s="198">
        <v>1035019961</v>
      </c>
      <c r="B107" s="192" t="s">
        <v>188</v>
      </c>
      <c r="C107" s="196">
        <v>0</v>
      </c>
      <c r="D107" s="196">
        <v>101800</v>
      </c>
      <c r="E107" s="196">
        <v>101800</v>
      </c>
      <c r="F107" s="196">
        <v>0</v>
      </c>
      <c r="G107" s="196">
        <v>0</v>
      </c>
    </row>
    <row r="108" spans="1:7" x14ac:dyDescent="0.3">
      <c r="A108" s="198">
        <v>25991867</v>
      </c>
      <c r="B108" s="192" t="s">
        <v>189</v>
      </c>
      <c r="C108" s="196">
        <v>0</v>
      </c>
      <c r="D108" s="196">
        <v>4314200</v>
      </c>
      <c r="E108" s="196">
        <v>4314200</v>
      </c>
      <c r="F108" s="196">
        <v>0</v>
      </c>
      <c r="G108" s="196">
        <v>0</v>
      </c>
    </row>
    <row r="109" spans="1:7" x14ac:dyDescent="0.3">
      <c r="A109" s="198">
        <v>1023574642</v>
      </c>
      <c r="B109" s="192" t="s">
        <v>190</v>
      </c>
      <c r="C109" s="196">
        <v>0</v>
      </c>
      <c r="D109" s="196">
        <v>340000</v>
      </c>
      <c r="E109" s="196">
        <v>340000</v>
      </c>
      <c r="F109" s="196">
        <v>0</v>
      </c>
      <c r="G109" s="196">
        <v>0</v>
      </c>
    </row>
    <row r="110" spans="1:7" x14ac:dyDescent="0.3">
      <c r="A110" s="198">
        <v>21401905</v>
      </c>
      <c r="B110" s="192" t="s">
        <v>191</v>
      </c>
      <c r="C110" s="196">
        <v>0</v>
      </c>
      <c r="D110" s="196">
        <v>2399000</v>
      </c>
      <c r="E110" s="196">
        <v>2399000</v>
      </c>
      <c r="F110" s="196">
        <v>0</v>
      </c>
      <c r="G110" s="196">
        <v>0</v>
      </c>
    </row>
    <row r="111" spans="1:7" x14ac:dyDescent="0.3">
      <c r="A111" s="198">
        <v>42769423</v>
      </c>
      <c r="B111" s="192" t="s">
        <v>192</v>
      </c>
      <c r="C111" s="196">
        <v>50900</v>
      </c>
      <c r="D111" s="196">
        <v>0</v>
      </c>
      <c r="E111" s="196">
        <v>50899</v>
      </c>
      <c r="F111" s="196">
        <v>-50899</v>
      </c>
      <c r="G111" s="196">
        <v>1</v>
      </c>
    </row>
    <row r="112" spans="1:7" x14ac:dyDescent="0.3">
      <c r="A112" s="198">
        <v>43002772</v>
      </c>
      <c r="B112" s="192" t="s">
        <v>193</v>
      </c>
      <c r="C112" s="196">
        <v>0</v>
      </c>
      <c r="D112" s="196">
        <v>244800</v>
      </c>
      <c r="E112" s="196">
        <v>244800</v>
      </c>
      <c r="F112" s="196">
        <v>0</v>
      </c>
      <c r="G112" s="196">
        <v>0</v>
      </c>
    </row>
    <row r="113" spans="1:7" x14ac:dyDescent="0.3">
      <c r="A113" s="198">
        <v>21492634</v>
      </c>
      <c r="B113" s="192" t="s">
        <v>194</v>
      </c>
      <c r="C113" s="196">
        <v>0</v>
      </c>
      <c r="D113" s="196">
        <v>101800</v>
      </c>
      <c r="E113" s="196">
        <v>101800</v>
      </c>
      <c r="F113" s="196">
        <v>0</v>
      </c>
      <c r="G113" s="196">
        <v>0</v>
      </c>
    </row>
    <row r="114" spans="1:7" x14ac:dyDescent="0.3">
      <c r="A114" s="198">
        <v>98654155</v>
      </c>
      <c r="B114" s="192" t="s">
        <v>195</v>
      </c>
      <c r="C114" s="196">
        <v>0</v>
      </c>
      <c r="D114" s="196">
        <v>420000</v>
      </c>
      <c r="E114" s="196">
        <v>420000</v>
      </c>
      <c r="F114" s="196">
        <v>0</v>
      </c>
      <c r="G114" s="196">
        <v>0</v>
      </c>
    </row>
    <row r="115" spans="1:7" x14ac:dyDescent="0.3">
      <c r="A115" s="198">
        <v>70504935</v>
      </c>
      <c r="B115" s="192" t="s">
        <v>196</v>
      </c>
      <c r="C115" s="196">
        <v>0</v>
      </c>
      <c r="D115" s="196">
        <v>108400</v>
      </c>
      <c r="E115" s="196">
        <v>108400</v>
      </c>
      <c r="F115" s="196">
        <v>0</v>
      </c>
      <c r="G115" s="196">
        <v>0</v>
      </c>
    </row>
    <row r="116" spans="1:7" x14ac:dyDescent="0.3">
      <c r="A116" s="198">
        <v>82360700</v>
      </c>
      <c r="B116" s="192" t="s">
        <v>197</v>
      </c>
      <c r="C116" s="196">
        <v>0</v>
      </c>
      <c r="D116" s="196">
        <v>319000</v>
      </c>
      <c r="E116" s="196">
        <v>319000</v>
      </c>
      <c r="F116" s="196">
        <v>0</v>
      </c>
      <c r="G116" s="196">
        <v>0</v>
      </c>
    </row>
    <row r="117" spans="1:7" x14ac:dyDescent="0.3">
      <c r="A117" s="198">
        <v>42825193</v>
      </c>
      <c r="B117" s="192" t="s">
        <v>198</v>
      </c>
      <c r="C117" s="196">
        <v>0</v>
      </c>
      <c r="D117" s="196">
        <v>101800</v>
      </c>
      <c r="E117" s="196">
        <v>101800</v>
      </c>
      <c r="F117" s="196">
        <v>0</v>
      </c>
      <c r="G117" s="196">
        <v>0</v>
      </c>
    </row>
    <row r="118" spans="1:7" x14ac:dyDescent="0.3">
      <c r="A118" s="198">
        <v>1020460071</v>
      </c>
      <c r="B118" s="192" t="s">
        <v>199</v>
      </c>
      <c r="C118" s="196">
        <v>0</v>
      </c>
      <c r="D118" s="196">
        <v>101800</v>
      </c>
      <c r="E118" s="196">
        <v>101800</v>
      </c>
      <c r="F118" s="196">
        <v>0</v>
      </c>
      <c r="G118" s="196">
        <v>0</v>
      </c>
    </row>
    <row r="119" spans="1:7" x14ac:dyDescent="0.3">
      <c r="A119" s="198">
        <v>91236049</v>
      </c>
      <c r="B119" s="192" t="s">
        <v>200</v>
      </c>
      <c r="C119" s="196">
        <v>0</v>
      </c>
      <c r="D119" s="196">
        <v>101800</v>
      </c>
      <c r="E119" s="196">
        <v>101800</v>
      </c>
      <c r="F119" s="196">
        <v>0</v>
      </c>
      <c r="G119" s="196">
        <v>0</v>
      </c>
    </row>
    <row r="120" spans="1:7" x14ac:dyDescent="0.3">
      <c r="A120" s="198">
        <v>80412226</v>
      </c>
      <c r="B120" s="192" t="s">
        <v>201</v>
      </c>
      <c r="C120" s="196">
        <v>0</v>
      </c>
      <c r="D120" s="196">
        <v>347000</v>
      </c>
      <c r="E120" s="196">
        <v>347000</v>
      </c>
      <c r="F120" s="196">
        <v>0</v>
      </c>
      <c r="G120" s="196">
        <v>0</v>
      </c>
    </row>
    <row r="121" spans="1:7" x14ac:dyDescent="0.3">
      <c r="A121" s="198">
        <v>1035003091</v>
      </c>
      <c r="B121" s="192" t="s">
        <v>202</v>
      </c>
      <c r="C121" s="196">
        <v>0</v>
      </c>
      <c r="D121" s="196">
        <v>87800</v>
      </c>
      <c r="E121" s="196">
        <v>87800</v>
      </c>
      <c r="F121" s="196">
        <v>0</v>
      </c>
      <c r="G121" s="196">
        <v>0</v>
      </c>
    </row>
    <row r="122" spans="1:7" x14ac:dyDescent="0.3">
      <c r="A122" s="198">
        <v>1036927643</v>
      </c>
      <c r="B122" s="192" t="s">
        <v>203</v>
      </c>
      <c r="C122" s="196">
        <v>0</v>
      </c>
      <c r="D122" s="196">
        <v>260200</v>
      </c>
      <c r="E122" s="196">
        <v>260200</v>
      </c>
      <c r="F122" s="196">
        <v>0</v>
      </c>
      <c r="G122" s="196">
        <v>0</v>
      </c>
    </row>
    <row r="123" spans="1:7" x14ac:dyDescent="0.3">
      <c r="A123" s="198">
        <v>1037617106</v>
      </c>
      <c r="B123" s="192" t="s">
        <v>204</v>
      </c>
      <c r="C123" s="196">
        <v>0</v>
      </c>
      <c r="D123" s="196">
        <v>101800</v>
      </c>
      <c r="E123" s="196">
        <v>101800</v>
      </c>
      <c r="F123" s="196">
        <v>0</v>
      </c>
      <c r="G123" s="196">
        <v>0</v>
      </c>
    </row>
    <row r="124" spans="1:7" x14ac:dyDescent="0.3">
      <c r="A124" s="198">
        <v>1035021029</v>
      </c>
      <c r="B124" s="192" t="s">
        <v>205</v>
      </c>
      <c r="C124" s="196">
        <v>0</v>
      </c>
      <c r="D124" s="196">
        <v>101800</v>
      </c>
      <c r="E124" s="196">
        <v>101800</v>
      </c>
      <c r="F124" s="196">
        <v>0</v>
      </c>
      <c r="G124" s="196">
        <v>0</v>
      </c>
    </row>
    <row r="125" spans="1:7" x14ac:dyDescent="0.3">
      <c r="A125" s="198">
        <v>1038263452</v>
      </c>
      <c r="B125" s="192" t="s">
        <v>206</v>
      </c>
      <c r="C125" s="196">
        <v>0</v>
      </c>
      <c r="D125" s="196">
        <v>101800</v>
      </c>
      <c r="E125" s="196">
        <v>101800</v>
      </c>
      <c r="F125" s="196">
        <v>0</v>
      </c>
      <c r="G125" s="196">
        <v>0</v>
      </c>
    </row>
    <row r="126" spans="1:7" x14ac:dyDescent="0.3">
      <c r="A126" s="198">
        <v>16857164</v>
      </c>
      <c r="B126" s="192" t="s">
        <v>207</v>
      </c>
      <c r="C126" s="196">
        <v>0</v>
      </c>
      <c r="D126" s="196">
        <v>270000</v>
      </c>
      <c r="E126" s="196">
        <v>270000</v>
      </c>
      <c r="F126" s="196">
        <v>0</v>
      </c>
      <c r="G126" s="196">
        <v>0</v>
      </c>
    </row>
    <row r="127" spans="1:7" x14ac:dyDescent="0.3">
      <c r="A127" s="198">
        <v>1143399563</v>
      </c>
      <c r="B127" s="192" t="s">
        <v>208</v>
      </c>
      <c r="C127" s="196">
        <v>3</v>
      </c>
      <c r="D127" s="196">
        <v>0</v>
      </c>
      <c r="E127" s="196">
        <v>0</v>
      </c>
      <c r="F127" s="196">
        <v>0</v>
      </c>
      <c r="G127" s="196">
        <v>3</v>
      </c>
    </row>
    <row r="128" spans="1:7" x14ac:dyDescent="0.3">
      <c r="A128" s="198">
        <v>1025881186</v>
      </c>
      <c r="B128" s="192" t="s">
        <v>209</v>
      </c>
      <c r="C128" s="196">
        <v>0</v>
      </c>
      <c r="D128" s="196">
        <v>217200</v>
      </c>
      <c r="E128" s="196">
        <v>217200</v>
      </c>
      <c r="F128" s="196">
        <v>0</v>
      </c>
      <c r="G128" s="196">
        <v>0</v>
      </c>
    </row>
    <row r="129" spans="1:7" x14ac:dyDescent="0.3">
      <c r="A129" s="198">
        <v>1037666700</v>
      </c>
      <c r="B129" s="192" t="s">
        <v>210</v>
      </c>
      <c r="C129" s="196">
        <v>0</v>
      </c>
      <c r="D129" s="196">
        <v>76800</v>
      </c>
      <c r="E129" s="196">
        <v>76800</v>
      </c>
      <c r="F129" s="196">
        <v>0</v>
      </c>
      <c r="G129" s="196">
        <v>0</v>
      </c>
    </row>
    <row r="130" spans="1:7" x14ac:dyDescent="0.3">
      <c r="A130" s="198">
        <v>1013536190</v>
      </c>
      <c r="B130" s="192" t="s">
        <v>211</v>
      </c>
      <c r="C130" s="196">
        <v>0</v>
      </c>
      <c r="D130" s="196">
        <v>3500000</v>
      </c>
      <c r="E130" s="196">
        <v>3500000</v>
      </c>
      <c r="F130" s="196">
        <v>0</v>
      </c>
      <c r="G130" s="196">
        <v>0</v>
      </c>
    </row>
    <row r="131" spans="1:7" x14ac:dyDescent="0.3">
      <c r="A131" s="198">
        <v>18517738</v>
      </c>
      <c r="B131" s="192" t="s">
        <v>212</v>
      </c>
      <c r="C131" s="196">
        <v>0</v>
      </c>
      <c r="D131" s="196">
        <v>10299200</v>
      </c>
      <c r="E131" s="196">
        <v>10299200</v>
      </c>
      <c r="F131" s="196">
        <v>0</v>
      </c>
      <c r="G131" s="196">
        <v>0</v>
      </c>
    </row>
    <row r="132" spans="1:7" x14ac:dyDescent="0.3">
      <c r="A132" s="198">
        <v>43873215</v>
      </c>
      <c r="B132" s="192" t="s">
        <v>213</v>
      </c>
      <c r="C132" s="196">
        <v>0</v>
      </c>
      <c r="D132" s="196">
        <v>85000</v>
      </c>
      <c r="E132" s="196">
        <v>85000</v>
      </c>
      <c r="F132" s="196">
        <v>0</v>
      </c>
      <c r="G132" s="196">
        <v>0</v>
      </c>
    </row>
    <row r="133" spans="1:7" x14ac:dyDescent="0.3">
      <c r="A133" s="198">
        <v>43872306</v>
      </c>
      <c r="B133" s="192" t="s">
        <v>214</v>
      </c>
      <c r="C133" s="196">
        <v>0</v>
      </c>
      <c r="D133" s="196">
        <v>101800</v>
      </c>
      <c r="E133" s="196">
        <v>101800</v>
      </c>
      <c r="F133" s="196">
        <v>0</v>
      </c>
      <c r="G133" s="196">
        <v>0</v>
      </c>
    </row>
    <row r="134" spans="1:7" x14ac:dyDescent="0.3">
      <c r="A134" s="198">
        <v>43728136</v>
      </c>
      <c r="B134" s="192" t="s">
        <v>215</v>
      </c>
      <c r="C134" s="196">
        <v>0</v>
      </c>
      <c r="D134" s="196">
        <v>7019200</v>
      </c>
      <c r="E134" s="196">
        <v>7019200</v>
      </c>
      <c r="F134" s="196">
        <v>0</v>
      </c>
      <c r="G134" s="196">
        <v>0</v>
      </c>
    </row>
    <row r="135" spans="1:7" x14ac:dyDescent="0.3">
      <c r="A135" s="198">
        <v>39282142</v>
      </c>
      <c r="B135" s="192" t="s">
        <v>216</v>
      </c>
      <c r="C135" s="196">
        <v>54200</v>
      </c>
      <c r="D135" s="196">
        <v>0</v>
      </c>
      <c r="E135" s="196">
        <v>0</v>
      </c>
      <c r="F135" s="196">
        <v>0</v>
      </c>
      <c r="G135" s="196">
        <v>54200</v>
      </c>
    </row>
    <row r="136" spans="1:7" x14ac:dyDescent="0.3">
      <c r="A136" s="198">
        <v>1037646749</v>
      </c>
      <c r="B136" s="192" t="s">
        <v>217</v>
      </c>
      <c r="C136" s="196">
        <v>1</v>
      </c>
      <c r="D136" s="196">
        <v>0</v>
      </c>
      <c r="E136" s="196">
        <v>0</v>
      </c>
      <c r="F136" s="196">
        <v>0</v>
      </c>
      <c r="G136" s="196">
        <v>1</v>
      </c>
    </row>
    <row r="137" spans="1:7" x14ac:dyDescent="0.3">
      <c r="A137" s="198">
        <v>1022345473</v>
      </c>
      <c r="B137" s="192" t="s">
        <v>218</v>
      </c>
      <c r="C137" s="196">
        <v>0</v>
      </c>
      <c r="D137" s="196">
        <v>963000</v>
      </c>
      <c r="E137" s="196">
        <v>963000</v>
      </c>
      <c r="F137" s="196">
        <v>0</v>
      </c>
      <c r="G137" s="196">
        <v>0</v>
      </c>
    </row>
    <row r="138" spans="1:7" x14ac:dyDescent="0.3">
      <c r="A138" s="198">
        <v>1035009818</v>
      </c>
      <c r="B138" s="192" t="s">
        <v>219</v>
      </c>
      <c r="C138" s="196">
        <v>0</v>
      </c>
      <c r="D138" s="196">
        <v>114400</v>
      </c>
      <c r="E138" s="196">
        <v>114400</v>
      </c>
      <c r="F138" s="196">
        <v>0</v>
      </c>
      <c r="G138" s="196">
        <v>0</v>
      </c>
    </row>
    <row r="139" spans="1:7" x14ac:dyDescent="0.3">
      <c r="A139" s="198">
        <v>1035022814</v>
      </c>
      <c r="B139" s="192" t="s">
        <v>220</v>
      </c>
      <c r="C139" s="196">
        <v>0</v>
      </c>
      <c r="D139" s="196">
        <v>98000</v>
      </c>
      <c r="E139" s="196">
        <v>98000</v>
      </c>
      <c r="F139" s="196">
        <v>0</v>
      </c>
      <c r="G139" s="196">
        <v>0</v>
      </c>
    </row>
    <row r="140" spans="1:7" x14ac:dyDescent="0.3">
      <c r="A140" s="198">
        <v>1022007864</v>
      </c>
      <c r="B140" s="192" t="s">
        <v>221</v>
      </c>
      <c r="C140" s="196">
        <v>0</v>
      </c>
      <c r="D140" s="196">
        <v>165600</v>
      </c>
      <c r="E140" s="196">
        <v>165600</v>
      </c>
      <c r="F140" s="196">
        <v>0</v>
      </c>
      <c r="G140" s="196">
        <v>0</v>
      </c>
    </row>
    <row r="141" spans="1:7" x14ac:dyDescent="0.3">
      <c r="A141" s="198">
        <v>1035019984</v>
      </c>
      <c r="B141" s="192" t="s">
        <v>222</v>
      </c>
      <c r="C141" s="196">
        <v>0</v>
      </c>
      <c r="D141" s="196">
        <v>101800</v>
      </c>
      <c r="E141" s="196">
        <v>101800</v>
      </c>
      <c r="F141" s="196">
        <v>0</v>
      </c>
      <c r="G141" s="196">
        <v>0</v>
      </c>
    </row>
    <row r="142" spans="1:7" x14ac:dyDescent="0.3">
      <c r="A142" s="198">
        <v>1015197355</v>
      </c>
      <c r="B142" s="192" t="s">
        <v>223</v>
      </c>
      <c r="C142" s="196">
        <v>0</v>
      </c>
      <c r="D142" s="196">
        <v>101800</v>
      </c>
      <c r="E142" s="196">
        <v>101800</v>
      </c>
      <c r="F142" s="196">
        <v>0</v>
      </c>
      <c r="G142" s="196">
        <v>0</v>
      </c>
    </row>
    <row r="143" spans="1:7" x14ac:dyDescent="0.3">
      <c r="A143" s="198">
        <v>70417995</v>
      </c>
      <c r="B143" s="192" t="s">
        <v>224</v>
      </c>
      <c r="C143" s="196">
        <v>0</v>
      </c>
      <c r="D143" s="196">
        <v>319000</v>
      </c>
      <c r="E143" s="196">
        <v>319000</v>
      </c>
      <c r="F143" s="196">
        <v>0</v>
      </c>
      <c r="G143" s="196">
        <v>0</v>
      </c>
    </row>
    <row r="144" spans="1:7" x14ac:dyDescent="0.3">
      <c r="A144" s="198">
        <v>43032520</v>
      </c>
      <c r="B144" s="192" t="s">
        <v>225</v>
      </c>
      <c r="C144" s="196">
        <v>0</v>
      </c>
      <c r="D144" s="196">
        <v>8275650</v>
      </c>
      <c r="E144" s="196">
        <v>8275650</v>
      </c>
      <c r="F144" s="196">
        <v>0</v>
      </c>
      <c r="G144" s="196">
        <v>0</v>
      </c>
    </row>
    <row r="145" spans="1:7" x14ac:dyDescent="0.3">
      <c r="A145" s="198">
        <v>1022142105</v>
      </c>
      <c r="B145" s="192" t="s">
        <v>226</v>
      </c>
      <c r="C145" s="196">
        <v>0</v>
      </c>
      <c r="D145" s="196">
        <v>963000</v>
      </c>
      <c r="E145" s="196">
        <v>963000</v>
      </c>
      <c r="F145" s="196">
        <v>0</v>
      </c>
      <c r="G145" s="196">
        <v>0</v>
      </c>
    </row>
    <row r="146" spans="1:7" x14ac:dyDescent="0.3">
      <c r="A146" s="198">
        <v>1033769823</v>
      </c>
      <c r="B146" s="192" t="s">
        <v>227</v>
      </c>
      <c r="C146" s="196">
        <v>0</v>
      </c>
      <c r="D146" s="196">
        <v>963000</v>
      </c>
      <c r="E146" s="196">
        <v>963000</v>
      </c>
      <c r="F146" s="196">
        <v>0</v>
      </c>
      <c r="G146" s="196">
        <v>0</v>
      </c>
    </row>
    <row r="147" spans="1:7" x14ac:dyDescent="0.3">
      <c r="A147" s="198">
        <v>860027404</v>
      </c>
      <c r="B147" s="192" t="s">
        <v>228</v>
      </c>
      <c r="C147" s="196">
        <v>104512045.66</v>
      </c>
      <c r="D147" s="196">
        <v>95811568</v>
      </c>
      <c r="E147" s="196">
        <v>145812296.83000001</v>
      </c>
      <c r="F147" s="196">
        <v>-50000728.829999998</v>
      </c>
      <c r="G147" s="196">
        <v>54511316.829999998</v>
      </c>
    </row>
    <row r="148" spans="1:7" x14ac:dyDescent="0.3">
      <c r="A148" s="192" t="s">
        <v>229</v>
      </c>
      <c r="B148" s="192" t="s">
        <v>230</v>
      </c>
      <c r="C148" s="196">
        <v>0</v>
      </c>
      <c r="D148" s="196">
        <v>21000000</v>
      </c>
      <c r="E148" s="196">
        <v>21000000</v>
      </c>
      <c r="F148" s="196">
        <v>0</v>
      </c>
      <c r="G148" s="196">
        <v>0</v>
      </c>
    </row>
    <row r="149" spans="1:7" x14ac:dyDescent="0.3">
      <c r="A149" s="198">
        <v>71757184</v>
      </c>
      <c r="B149" s="192" t="s">
        <v>231</v>
      </c>
      <c r="C149" s="196">
        <v>-0.3</v>
      </c>
      <c r="D149" s="196">
        <v>0</v>
      </c>
      <c r="E149" s="196">
        <v>0</v>
      </c>
      <c r="F149" s="196">
        <v>0</v>
      </c>
      <c r="G149" s="196">
        <v>-0.3</v>
      </c>
    </row>
    <row r="150" spans="1:7" x14ac:dyDescent="0.3">
      <c r="A150" s="198">
        <v>71626370</v>
      </c>
      <c r="B150" s="192" t="s">
        <v>232</v>
      </c>
      <c r="C150" s="196">
        <v>1</v>
      </c>
      <c r="D150" s="196">
        <v>0</v>
      </c>
      <c r="E150" s="196">
        <v>0</v>
      </c>
      <c r="F150" s="196">
        <v>0</v>
      </c>
      <c r="G150" s="196">
        <v>1</v>
      </c>
    </row>
    <row r="151" spans="1:7" x14ac:dyDescent="0.3">
      <c r="A151" s="198">
        <v>1128395842</v>
      </c>
      <c r="B151" s="192" t="s">
        <v>233</v>
      </c>
      <c r="C151" s="196">
        <v>0</v>
      </c>
      <c r="D151" s="196">
        <v>963000</v>
      </c>
      <c r="E151" s="196">
        <v>963000</v>
      </c>
      <c r="F151" s="196">
        <v>0</v>
      </c>
      <c r="G151" s="196">
        <v>0</v>
      </c>
    </row>
    <row r="152" spans="1:7" x14ac:dyDescent="0.3">
      <c r="A152" s="198">
        <v>8284880</v>
      </c>
      <c r="B152" s="192" t="s">
        <v>234</v>
      </c>
      <c r="C152" s="196">
        <v>0</v>
      </c>
      <c r="D152" s="196">
        <v>195600</v>
      </c>
      <c r="E152" s="196">
        <v>195600</v>
      </c>
      <c r="F152" s="196">
        <v>0</v>
      </c>
      <c r="G152" s="196">
        <v>0</v>
      </c>
    </row>
    <row r="153" spans="1:7" x14ac:dyDescent="0.3">
      <c r="A153" s="198">
        <v>3599402</v>
      </c>
      <c r="B153" s="192" t="s">
        <v>235</v>
      </c>
      <c r="C153" s="196">
        <v>0</v>
      </c>
      <c r="D153" s="196">
        <v>114400</v>
      </c>
      <c r="E153" s="196">
        <v>114400</v>
      </c>
      <c r="F153" s="196">
        <v>0</v>
      </c>
      <c r="G153" s="196">
        <v>0</v>
      </c>
    </row>
    <row r="154" spans="1:7" x14ac:dyDescent="0.3">
      <c r="A154" s="198">
        <v>79236999</v>
      </c>
      <c r="B154" s="192" t="s">
        <v>236</v>
      </c>
      <c r="C154" s="196">
        <v>0</v>
      </c>
      <c r="D154" s="196">
        <v>60400</v>
      </c>
      <c r="E154" s="196">
        <v>60400</v>
      </c>
      <c r="F154" s="196">
        <v>0</v>
      </c>
      <c r="G154" s="196">
        <v>0</v>
      </c>
    </row>
    <row r="155" spans="1:7" x14ac:dyDescent="0.3">
      <c r="A155" s="198">
        <v>1126667015</v>
      </c>
      <c r="B155" s="192" t="s">
        <v>237</v>
      </c>
      <c r="C155" s="196">
        <v>0</v>
      </c>
      <c r="D155" s="196">
        <v>326600</v>
      </c>
      <c r="E155" s="196">
        <v>326600</v>
      </c>
      <c r="F155" s="196">
        <v>0</v>
      </c>
      <c r="G155" s="196">
        <v>0</v>
      </c>
    </row>
    <row r="156" spans="1:7" x14ac:dyDescent="0.3">
      <c r="A156" s="198">
        <v>1035027132</v>
      </c>
      <c r="B156" s="192" t="s">
        <v>238</v>
      </c>
      <c r="C156" s="196">
        <v>0</v>
      </c>
      <c r="D156" s="196">
        <v>82800</v>
      </c>
      <c r="E156" s="196">
        <v>82800</v>
      </c>
      <c r="F156" s="196">
        <v>0</v>
      </c>
      <c r="G156" s="196">
        <v>0</v>
      </c>
    </row>
    <row r="157" spans="1:7" x14ac:dyDescent="0.3">
      <c r="A157" s="198">
        <v>1035017821</v>
      </c>
      <c r="B157" s="192" t="s">
        <v>239</v>
      </c>
      <c r="C157" s="196">
        <v>0</v>
      </c>
      <c r="D157" s="196">
        <v>101800</v>
      </c>
      <c r="E157" s="196">
        <v>101800</v>
      </c>
      <c r="F157" s="196">
        <v>0</v>
      </c>
      <c r="G157" s="196">
        <v>0</v>
      </c>
    </row>
    <row r="158" spans="1:7" x14ac:dyDescent="0.3">
      <c r="A158" s="198">
        <v>43983660</v>
      </c>
      <c r="B158" s="192" t="s">
        <v>240</v>
      </c>
      <c r="C158" s="196">
        <v>0</v>
      </c>
      <c r="D158" s="196">
        <v>101800</v>
      </c>
      <c r="E158" s="196">
        <v>101800</v>
      </c>
      <c r="F158" s="196">
        <v>0</v>
      </c>
      <c r="G158" s="196">
        <v>0</v>
      </c>
    </row>
    <row r="159" spans="1:7" x14ac:dyDescent="0.3">
      <c r="A159" s="198">
        <v>1035018665</v>
      </c>
      <c r="B159" s="192" t="s">
        <v>241</v>
      </c>
      <c r="C159" s="196">
        <v>0</v>
      </c>
      <c r="D159" s="196">
        <v>101800</v>
      </c>
      <c r="E159" s="196">
        <v>101800</v>
      </c>
      <c r="F159" s="196">
        <v>0</v>
      </c>
      <c r="G159" s="196">
        <v>0</v>
      </c>
    </row>
    <row r="160" spans="1:7" x14ac:dyDescent="0.3">
      <c r="A160" s="198">
        <v>1035013713</v>
      </c>
      <c r="B160" s="192" t="s">
        <v>242</v>
      </c>
      <c r="C160" s="196">
        <v>0</v>
      </c>
      <c r="D160" s="196">
        <v>101800</v>
      </c>
      <c r="E160" s="196">
        <v>101800</v>
      </c>
      <c r="F160" s="196">
        <v>0</v>
      </c>
      <c r="G160" s="196">
        <v>0</v>
      </c>
    </row>
    <row r="161" spans="1:7" x14ac:dyDescent="0.3">
      <c r="A161" s="198">
        <v>22008427</v>
      </c>
      <c r="B161" s="192" t="s">
        <v>243</v>
      </c>
      <c r="C161" s="196">
        <v>0</v>
      </c>
      <c r="D161" s="196">
        <v>89000</v>
      </c>
      <c r="E161" s="196">
        <v>89000</v>
      </c>
      <c r="F161" s="196">
        <v>0</v>
      </c>
      <c r="G161" s="196">
        <v>0</v>
      </c>
    </row>
    <row r="162" spans="1:7" x14ac:dyDescent="0.3">
      <c r="A162" s="198">
        <v>1020323390</v>
      </c>
      <c r="B162" s="192" t="s">
        <v>244</v>
      </c>
      <c r="C162" s="196">
        <v>0</v>
      </c>
      <c r="D162" s="196">
        <v>114400</v>
      </c>
      <c r="E162" s="196">
        <v>114400</v>
      </c>
      <c r="F162" s="196">
        <v>0</v>
      </c>
      <c r="G162" s="196">
        <v>0</v>
      </c>
    </row>
    <row r="163" spans="1:7" x14ac:dyDescent="0.3">
      <c r="A163" s="198">
        <v>1031950243</v>
      </c>
      <c r="B163" s="192" t="s">
        <v>245</v>
      </c>
      <c r="C163" s="196">
        <v>0</v>
      </c>
      <c r="D163" s="196">
        <v>114400</v>
      </c>
      <c r="E163" s="196">
        <v>114400</v>
      </c>
      <c r="F163" s="196">
        <v>0</v>
      </c>
      <c r="G163" s="196">
        <v>0</v>
      </c>
    </row>
    <row r="164" spans="1:7" x14ac:dyDescent="0.3">
      <c r="A164" s="198">
        <v>1035027504</v>
      </c>
      <c r="B164" s="192" t="s">
        <v>246</v>
      </c>
      <c r="C164" s="196">
        <v>0</v>
      </c>
      <c r="D164" s="196">
        <v>101800</v>
      </c>
      <c r="E164" s="196">
        <v>101800</v>
      </c>
      <c r="F164" s="196">
        <v>0</v>
      </c>
      <c r="G164" s="196">
        <v>0</v>
      </c>
    </row>
    <row r="165" spans="1:7" x14ac:dyDescent="0.3">
      <c r="A165" s="198">
        <v>1011520627</v>
      </c>
      <c r="B165" s="192" t="s">
        <v>247</v>
      </c>
      <c r="C165" s="196">
        <v>0</v>
      </c>
      <c r="D165" s="196">
        <v>101800</v>
      </c>
      <c r="E165" s="196">
        <v>101800</v>
      </c>
      <c r="F165" s="196">
        <v>0</v>
      </c>
      <c r="G165" s="196">
        <v>0</v>
      </c>
    </row>
    <row r="166" spans="1:7" x14ac:dyDescent="0.3">
      <c r="A166" s="198">
        <v>43449847</v>
      </c>
      <c r="B166" s="192" t="s">
        <v>248</v>
      </c>
      <c r="C166" s="196">
        <v>0</v>
      </c>
      <c r="D166" s="196">
        <v>6316000</v>
      </c>
      <c r="E166" s="196">
        <v>6316000</v>
      </c>
      <c r="F166" s="196">
        <v>0</v>
      </c>
      <c r="G166" s="196">
        <v>0</v>
      </c>
    </row>
    <row r="167" spans="1:7" x14ac:dyDescent="0.3">
      <c r="A167" s="198">
        <v>21344784</v>
      </c>
      <c r="B167" s="192" t="s">
        <v>249</v>
      </c>
      <c r="C167" s="196">
        <v>2</v>
      </c>
      <c r="D167" s="196">
        <v>0</v>
      </c>
      <c r="E167" s="196">
        <v>0</v>
      </c>
      <c r="F167" s="196">
        <v>0</v>
      </c>
      <c r="G167" s="196">
        <v>2</v>
      </c>
    </row>
    <row r="168" spans="1:7" x14ac:dyDescent="0.3">
      <c r="A168" s="198">
        <v>34042566</v>
      </c>
      <c r="B168" s="192" t="s">
        <v>250</v>
      </c>
      <c r="C168" s="196">
        <v>0</v>
      </c>
      <c r="D168" s="196">
        <v>4166400</v>
      </c>
      <c r="E168" s="196">
        <v>4166400</v>
      </c>
      <c r="F168" s="196">
        <v>0</v>
      </c>
      <c r="G168" s="196">
        <v>0</v>
      </c>
    </row>
    <row r="169" spans="1:7" x14ac:dyDescent="0.3">
      <c r="A169" s="198">
        <v>42993373</v>
      </c>
      <c r="B169" s="192" t="s">
        <v>251</v>
      </c>
      <c r="C169" s="196">
        <v>0</v>
      </c>
      <c r="D169" s="196">
        <v>223300</v>
      </c>
      <c r="E169" s="196">
        <v>223300</v>
      </c>
      <c r="F169" s="196">
        <v>0</v>
      </c>
      <c r="G169" s="196">
        <v>0</v>
      </c>
    </row>
    <row r="170" spans="1:7" x14ac:dyDescent="0.3">
      <c r="A170" s="198">
        <v>43343845</v>
      </c>
      <c r="B170" s="192" t="s">
        <v>252</v>
      </c>
      <c r="C170" s="196">
        <v>0</v>
      </c>
      <c r="D170" s="196">
        <v>101800</v>
      </c>
      <c r="E170" s="196">
        <v>101800</v>
      </c>
      <c r="F170" s="196">
        <v>0</v>
      </c>
      <c r="G170" s="196">
        <v>0</v>
      </c>
    </row>
    <row r="171" spans="1:7" x14ac:dyDescent="0.3">
      <c r="A171" s="198">
        <v>21374478</v>
      </c>
      <c r="B171" s="192" t="s">
        <v>253</v>
      </c>
      <c r="C171" s="196">
        <v>1</v>
      </c>
      <c r="D171" s="196">
        <v>184400</v>
      </c>
      <c r="E171" s="196">
        <v>184400</v>
      </c>
      <c r="F171" s="196">
        <v>0</v>
      </c>
      <c r="G171" s="196">
        <v>1</v>
      </c>
    </row>
    <row r="172" spans="1:7" x14ac:dyDescent="0.3">
      <c r="A172" s="198">
        <v>43112300</v>
      </c>
      <c r="B172" s="192" t="s">
        <v>254</v>
      </c>
      <c r="C172" s="196">
        <v>0</v>
      </c>
      <c r="D172" s="196">
        <v>165000</v>
      </c>
      <c r="E172" s="196">
        <v>165000</v>
      </c>
      <c r="F172" s="196">
        <v>0</v>
      </c>
      <c r="G172" s="196">
        <v>0</v>
      </c>
    </row>
    <row r="173" spans="1:7" x14ac:dyDescent="0.3">
      <c r="A173" s="198">
        <v>22056671</v>
      </c>
      <c r="B173" s="192" t="s">
        <v>255</v>
      </c>
      <c r="C173" s="196">
        <v>0</v>
      </c>
      <c r="D173" s="196">
        <v>88000</v>
      </c>
      <c r="E173" s="196">
        <v>88000</v>
      </c>
      <c r="F173" s="196">
        <v>0</v>
      </c>
      <c r="G173" s="196">
        <v>0</v>
      </c>
    </row>
    <row r="174" spans="1:7" x14ac:dyDescent="0.3">
      <c r="A174" s="198">
        <v>1214744974</v>
      </c>
      <c r="B174" s="192" t="s">
        <v>256</v>
      </c>
      <c r="C174" s="196">
        <v>0</v>
      </c>
      <c r="D174" s="196">
        <v>963000</v>
      </c>
      <c r="E174" s="196">
        <v>963000</v>
      </c>
      <c r="F174" s="196">
        <v>0</v>
      </c>
      <c r="G174" s="196">
        <v>0</v>
      </c>
    </row>
    <row r="175" spans="1:7" x14ac:dyDescent="0.3">
      <c r="A175" s="198">
        <v>32258004</v>
      </c>
      <c r="B175" s="192" t="s">
        <v>257</v>
      </c>
      <c r="C175" s="196">
        <v>0</v>
      </c>
      <c r="D175" s="196">
        <v>101800</v>
      </c>
      <c r="E175" s="196">
        <v>101800</v>
      </c>
      <c r="F175" s="196">
        <v>0</v>
      </c>
      <c r="G175" s="196">
        <v>0</v>
      </c>
    </row>
    <row r="176" spans="1:7" x14ac:dyDescent="0.3">
      <c r="A176" s="198">
        <v>51842414</v>
      </c>
      <c r="B176" s="192" t="s">
        <v>258</v>
      </c>
      <c r="C176" s="196">
        <v>0</v>
      </c>
      <c r="D176" s="196">
        <v>73200</v>
      </c>
      <c r="E176" s="196">
        <v>73200</v>
      </c>
      <c r="F176" s="196">
        <v>0</v>
      </c>
      <c r="G176" s="196">
        <v>0</v>
      </c>
    </row>
    <row r="177" spans="1:7" x14ac:dyDescent="0.3">
      <c r="A177" s="198">
        <v>43252205</v>
      </c>
      <c r="B177" s="192" t="s">
        <v>259</v>
      </c>
      <c r="C177" s="196">
        <v>0</v>
      </c>
      <c r="D177" s="196">
        <v>101800</v>
      </c>
      <c r="E177" s="196">
        <v>101800</v>
      </c>
      <c r="F177" s="196">
        <v>0</v>
      </c>
      <c r="G177" s="196">
        <v>0</v>
      </c>
    </row>
    <row r="178" spans="1:7" x14ac:dyDescent="0.3">
      <c r="A178" s="198">
        <v>1037644962</v>
      </c>
      <c r="B178" s="192" t="s">
        <v>260</v>
      </c>
      <c r="C178" s="196">
        <v>0</v>
      </c>
      <c r="D178" s="196">
        <v>10000</v>
      </c>
      <c r="E178" s="196">
        <v>10000</v>
      </c>
      <c r="F178" s="196">
        <v>0</v>
      </c>
      <c r="G178" s="196">
        <v>0</v>
      </c>
    </row>
    <row r="179" spans="1:7" x14ac:dyDescent="0.3">
      <c r="A179" s="198">
        <v>1214731253</v>
      </c>
      <c r="B179" s="192" t="s">
        <v>261</v>
      </c>
      <c r="C179" s="196">
        <v>0</v>
      </c>
      <c r="D179" s="196">
        <v>113600</v>
      </c>
      <c r="E179" s="196">
        <v>113600</v>
      </c>
      <c r="F179" s="196">
        <v>0</v>
      </c>
      <c r="G179" s="196">
        <v>0</v>
      </c>
    </row>
    <row r="180" spans="1:7" x14ac:dyDescent="0.3">
      <c r="A180" s="198">
        <v>43205122</v>
      </c>
      <c r="B180" s="192" t="s">
        <v>262</v>
      </c>
      <c r="C180" s="196">
        <v>0</v>
      </c>
      <c r="D180" s="196">
        <v>1326200</v>
      </c>
      <c r="E180" s="196">
        <v>1326200</v>
      </c>
      <c r="F180" s="196">
        <v>0</v>
      </c>
      <c r="G180" s="196">
        <v>0</v>
      </c>
    </row>
    <row r="181" spans="1:7" x14ac:dyDescent="0.3">
      <c r="A181" s="198">
        <v>43723590</v>
      </c>
      <c r="B181" s="192" t="s">
        <v>263</v>
      </c>
      <c r="C181" s="196">
        <v>0</v>
      </c>
      <c r="D181" s="196">
        <v>114400</v>
      </c>
      <c r="E181" s="196">
        <v>114400</v>
      </c>
      <c r="F181" s="196">
        <v>0</v>
      </c>
      <c r="G181" s="196">
        <v>0</v>
      </c>
    </row>
    <row r="182" spans="1:7" x14ac:dyDescent="0.3">
      <c r="A182" s="198">
        <v>33102889</v>
      </c>
      <c r="B182" s="192" t="s">
        <v>264</v>
      </c>
      <c r="C182" s="196">
        <v>0</v>
      </c>
      <c r="D182" s="196">
        <v>268000</v>
      </c>
      <c r="E182" s="196">
        <v>267999</v>
      </c>
      <c r="F182" s="196">
        <v>1</v>
      </c>
      <c r="G182" s="196">
        <v>1</v>
      </c>
    </row>
    <row r="183" spans="1:7" x14ac:dyDescent="0.3">
      <c r="A183" s="198">
        <v>41638013</v>
      </c>
      <c r="B183" s="192" t="s">
        <v>265</v>
      </c>
      <c r="C183" s="196">
        <v>0</v>
      </c>
      <c r="D183" s="196">
        <v>423600</v>
      </c>
      <c r="E183" s="196">
        <v>423600</v>
      </c>
      <c r="F183" s="196">
        <v>0</v>
      </c>
      <c r="G183" s="196">
        <v>0</v>
      </c>
    </row>
    <row r="184" spans="1:7" x14ac:dyDescent="0.3">
      <c r="A184" s="198">
        <v>1040033426</v>
      </c>
      <c r="B184" s="192" t="s">
        <v>266</v>
      </c>
      <c r="C184" s="196">
        <v>0</v>
      </c>
      <c r="D184" s="196">
        <v>2046200</v>
      </c>
      <c r="E184" s="196">
        <v>2046200</v>
      </c>
      <c r="F184" s="196">
        <v>0</v>
      </c>
      <c r="G184" s="196">
        <v>0</v>
      </c>
    </row>
    <row r="185" spans="1:7" x14ac:dyDescent="0.3">
      <c r="A185" s="198">
        <v>1128467422</v>
      </c>
      <c r="B185" s="192" t="s">
        <v>267</v>
      </c>
      <c r="C185" s="196">
        <v>0</v>
      </c>
      <c r="D185" s="196">
        <v>963000</v>
      </c>
      <c r="E185" s="196">
        <v>963000</v>
      </c>
      <c r="F185" s="196">
        <v>0</v>
      </c>
      <c r="G185" s="196">
        <v>0</v>
      </c>
    </row>
    <row r="186" spans="1:7" x14ac:dyDescent="0.3">
      <c r="A186" s="198">
        <v>1152712164</v>
      </c>
      <c r="B186" s="192" t="s">
        <v>268</v>
      </c>
      <c r="C186" s="196">
        <v>2</v>
      </c>
      <c r="D186" s="196">
        <v>0</v>
      </c>
      <c r="E186" s="196">
        <v>0</v>
      </c>
      <c r="F186" s="196">
        <v>0</v>
      </c>
      <c r="G186" s="196">
        <v>2</v>
      </c>
    </row>
    <row r="187" spans="1:7" x14ac:dyDescent="0.3">
      <c r="A187" s="198">
        <v>42884962</v>
      </c>
      <c r="B187" s="192" t="s">
        <v>269</v>
      </c>
      <c r="C187" s="196">
        <v>0</v>
      </c>
      <c r="D187" s="196">
        <v>114400</v>
      </c>
      <c r="E187" s="196">
        <v>114400</v>
      </c>
      <c r="F187" s="196">
        <v>0</v>
      </c>
      <c r="G187" s="196">
        <v>0</v>
      </c>
    </row>
    <row r="188" spans="1:7" x14ac:dyDescent="0.3">
      <c r="A188" s="198">
        <v>39782657</v>
      </c>
      <c r="B188" s="192" t="s">
        <v>270</v>
      </c>
      <c r="C188" s="196">
        <v>0</v>
      </c>
      <c r="D188" s="196">
        <v>101800</v>
      </c>
      <c r="E188" s="196">
        <v>101800</v>
      </c>
      <c r="F188" s="196">
        <v>0</v>
      </c>
      <c r="G188" s="196">
        <v>0</v>
      </c>
    </row>
    <row r="189" spans="1:7" x14ac:dyDescent="0.3">
      <c r="A189" s="198">
        <v>39273484</v>
      </c>
      <c r="B189" s="192" t="s">
        <v>271</v>
      </c>
      <c r="C189" s="196">
        <v>-50900</v>
      </c>
      <c r="D189" s="196">
        <v>0</v>
      </c>
      <c r="E189" s="196">
        <v>0</v>
      </c>
      <c r="F189" s="196">
        <v>0</v>
      </c>
      <c r="G189" s="196">
        <v>-50900</v>
      </c>
    </row>
    <row r="190" spans="1:7" x14ac:dyDescent="0.3">
      <c r="A190" s="198">
        <v>43879409</v>
      </c>
      <c r="B190" s="192" t="s">
        <v>272</v>
      </c>
      <c r="C190" s="196">
        <v>0</v>
      </c>
      <c r="D190" s="196">
        <v>3071200</v>
      </c>
      <c r="E190" s="196">
        <v>3071200</v>
      </c>
      <c r="F190" s="196">
        <v>0</v>
      </c>
      <c r="G190" s="196">
        <v>0</v>
      </c>
    </row>
    <row r="191" spans="1:7" x14ac:dyDescent="0.3">
      <c r="A191" s="198">
        <v>43220105</v>
      </c>
      <c r="B191" s="192" t="s">
        <v>273</v>
      </c>
      <c r="C191" s="196">
        <v>0</v>
      </c>
      <c r="D191" s="196">
        <v>194000</v>
      </c>
      <c r="E191" s="196">
        <v>194000</v>
      </c>
      <c r="F191" s="196">
        <v>0</v>
      </c>
      <c r="G191" s="196">
        <v>0</v>
      </c>
    </row>
    <row r="192" spans="1:7" x14ac:dyDescent="0.3">
      <c r="A192" s="198">
        <v>21279334</v>
      </c>
      <c r="B192" s="192" t="s">
        <v>274</v>
      </c>
      <c r="C192" s="196">
        <v>0</v>
      </c>
      <c r="D192" s="196">
        <v>101800</v>
      </c>
      <c r="E192" s="196">
        <v>101800</v>
      </c>
      <c r="F192" s="196">
        <v>0</v>
      </c>
      <c r="G192" s="196">
        <v>0</v>
      </c>
    </row>
    <row r="193" spans="1:7" x14ac:dyDescent="0.3">
      <c r="A193" s="198">
        <v>1038647572</v>
      </c>
      <c r="B193" s="192" t="s">
        <v>275</v>
      </c>
      <c r="C193" s="196">
        <v>0</v>
      </c>
      <c r="D193" s="196">
        <v>3400000</v>
      </c>
      <c r="E193" s="196">
        <v>3400000</v>
      </c>
      <c r="F193" s="196">
        <v>0</v>
      </c>
      <c r="G193" s="196">
        <v>0</v>
      </c>
    </row>
    <row r="194" spans="1:7" x14ac:dyDescent="0.3">
      <c r="A194" s="198">
        <v>1020305632</v>
      </c>
      <c r="B194" s="192" t="s">
        <v>276</v>
      </c>
      <c r="C194" s="196">
        <v>0</v>
      </c>
      <c r="D194" s="196">
        <v>114400</v>
      </c>
      <c r="E194" s="196">
        <v>114400</v>
      </c>
      <c r="F194" s="196">
        <v>0</v>
      </c>
      <c r="G194" s="196">
        <v>0</v>
      </c>
    </row>
    <row r="195" spans="1:7" x14ac:dyDescent="0.3">
      <c r="A195" s="198">
        <v>1039740499</v>
      </c>
      <c r="B195" s="192" t="s">
        <v>277</v>
      </c>
      <c r="C195" s="196">
        <v>0</v>
      </c>
      <c r="D195" s="196">
        <v>101800</v>
      </c>
      <c r="E195" s="196">
        <v>101800</v>
      </c>
      <c r="F195" s="196">
        <v>0</v>
      </c>
      <c r="G195" s="196">
        <v>0</v>
      </c>
    </row>
    <row r="196" spans="1:7" x14ac:dyDescent="0.3">
      <c r="A196" s="198">
        <v>626836</v>
      </c>
      <c r="B196" s="192" t="s">
        <v>278</v>
      </c>
      <c r="C196" s="196">
        <v>0</v>
      </c>
      <c r="D196" s="196">
        <v>101800</v>
      </c>
      <c r="E196" s="196">
        <v>101800</v>
      </c>
      <c r="F196" s="196">
        <v>0</v>
      </c>
      <c r="G196" s="196">
        <v>0</v>
      </c>
    </row>
    <row r="197" spans="1:7" x14ac:dyDescent="0.3">
      <c r="A197" s="198">
        <v>2000027975</v>
      </c>
      <c r="B197" s="192" t="s">
        <v>279</v>
      </c>
      <c r="C197" s="196">
        <v>0</v>
      </c>
      <c r="D197" s="196">
        <v>101800</v>
      </c>
      <c r="E197" s="196">
        <v>101800</v>
      </c>
      <c r="F197" s="196">
        <v>0</v>
      </c>
      <c r="G197" s="196">
        <v>0</v>
      </c>
    </row>
    <row r="198" spans="1:7" x14ac:dyDescent="0.3">
      <c r="A198" s="198">
        <v>1014271963</v>
      </c>
      <c r="B198" s="192" t="s">
        <v>280</v>
      </c>
      <c r="C198" s="196">
        <v>0</v>
      </c>
      <c r="D198" s="196">
        <v>101800</v>
      </c>
      <c r="E198" s="196">
        <v>101800</v>
      </c>
      <c r="F198" s="196">
        <v>0</v>
      </c>
      <c r="G198" s="196">
        <v>0</v>
      </c>
    </row>
    <row r="199" spans="1:7" x14ac:dyDescent="0.3">
      <c r="A199" s="198">
        <v>1037656284</v>
      </c>
      <c r="B199" s="192" t="s">
        <v>281</v>
      </c>
      <c r="C199" s="196">
        <v>0</v>
      </c>
      <c r="D199" s="196">
        <v>260200</v>
      </c>
      <c r="E199" s="196">
        <v>260200</v>
      </c>
      <c r="F199" s="196">
        <v>0</v>
      </c>
      <c r="G199" s="196">
        <v>0</v>
      </c>
    </row>
    <row r="200" spans="1:7" x14ac:dyDescent="0.3">
      <c r="A200" s="198">
        <v>1094066577</v>
      </c>
      <c r="B200" s="192" t="s">
        <v>282</v>
      </c>
      <c r="C200" s="196">
        <v>0</v>
      </c>
      <c r="D200" s="196">
        <v>101800</v>
      </c>
      <c r="E200" s="196">
        <v>101800</v>
      </c>
      <c r="F200" s="196">
        <v>0</v>
      </c>
      <c r="G200" s="196">
        <v>0</v>
      </c>
    </row>
    <row r="201" spans="1:7" x14ac:dyDescent="0.3">
      <c r="A201" s="198">
        <v>52896185</v>
      </c>
      <c r="B201" s="192" t="s">
        <v>283</v>
      </c>
      <c r="C201" s="196">
        <v>0</v>
      </c>
      <c r="D201" s="196">
        <v>101800</v>
      </c>
      <c r="E201" s="196">
        <v>101800</v>
      </c>
      <c r="F201" s="196">
        <v>0</v>
      </c>
      <c r="G201" s="196">
        <v>0</v>
      </c>
    </row>
    <row r="202" spans="1:7" x14ac:dyDescent="0.3">
      <c r="A202" s="198">
        <v>1033339141</v>
      </c>
      <c r="B202" s="192" t="s">
        <v>284</v>
      </c>
      <c r="C202" s="196">
        <v>0</v>
      </c>
      <c r="D202" s="196">
        <v>963000</v>
      </c>
      <c r="E202" s="196">
        <v>963000</v>
      </c>
      <c r="F202" s="196">
        <v>0</v>
      </c>
      <c r="G202" s="196">
        <v>0</v>
      </c>
    </row>
    <row r="203" spans="1:7" x14ac:dyDescent="0.3">
      <c r="A203" s="198">
        <v>43614394</v>
      </c>
      <c r="B203" s="192" t="s">
        <v>285</v>
      </c>
      <c r="C203" s="196">
        <v>0</v>
      </c>
      <c r="D203" s="196">
        <v>101800</v>
      </c>
      <c r="E203" s="196">
        <v>101800</v>
      </c>
      <c r="F203" s="196">
        <v>0</v>
      </c>
      <c r="G203" s="196">
        <v>0</v>
      </c>
    </row>
    <row r="204" spans="1:7" x14ac:dyDescent="0.3">
      <c r="A204" s="198">
        <v>24332799</v>
      </c>
      <c r="B204" s="192" t="s">
        <v>286</v>
      </c>
      <c r="C204" s="196">
        <v>0</v>
      </c>
      <c r="D204" s="196">
        <v>101800</v>
      </c>
      <c r="E204" s="196">
        <v>101800</v>
      </c>
      <c r="F204" s="196">
        <v>0</v>
      </c>
      <c r="G204" s="196">
        <v>0</v>
      </c>
    </row>
    <row r="205" spans="1:7" x14ac:dyDescent="0.3">
      <c r="A205" s="198">
        <v>1000549488</v>
      </c>
      <c r="B205" s="192" t="s">
        <v>287</v>
      </c>
      <c r="C205" s="196">
        <v>1</v>
      </c>
      <c r="D205" s="196">
        <v>0</v>
      </c>
      <c r="E205" s="196">
        <v>0</v>
      </c>
      <c r="F205" s="196">
        <v>0</v>
      </c>
      <c r="G205" s="196">
        <v>1</v>
      </c>
    </row>
    <row r="206" spans="1:7" x14ac:dyDescent="0.3">
      <c r="A206" s="198">
        <v>79596268</v>
      </c>
      <c r="B206" s="192" t="s">
        <v>288</v>
      </c>
      <c r="C206" s="196">
        <v>3</v>
      </c>
      <c r="D206" s="196">
        <v>0</v>
      </c>
      <c r="E206" s="196">
        <v>0</v>
      </c>
      <c r="F206" s="196">
        <v>0</v>
      </c>
      <c r="G206" s="196">
        <v>3</v>
      </c>
    </row>
    <row r="207" spans="1:7" x14ac:dyDescent="0.3">
      <c r="A207" s="198">
        <v>10264522</v>
      </c>
      <c r="B207" s="192" t="s">
        <v>289</v>
      </c>
      <c r="C207" s="196">
        <v>0</v>
      </c>
      <c r="D207" s="196">
        <v>101800</v>
      </c>
      <c r="E207" s="196">
        <v>101800</v>
      </c>
      <c r="F207" s="196">
        <v>0</v>
      </c>
      <c r="G207" s="196">
        <v>0</v>
      </c>
    </row>
    <row r="208" spans="1:7" x14ac:dyDescent="0.3">
      <c r="A208" s="198">
        <v>1020742053</v>
      </c>
      <c r="B208" s="192" t="s">
        <v>290</v>
      </c>
      <c r="C208" s="196">
        <v>0</v>
      </c>
      <c r="D208" s="196">
        <v>206000</v>
      </c>
      <c r="E208" s="196">
        <v>206000</v>
      </c>
      <c r="F208" s="196">
        <v>0</v>
      </c>
      <c r="G208" s="196">
        <v>0</v>
      </c>
    </row>
    <row r="209" spans="1:7" x14ac:dyDescent="0.3">
      <c r="A209" s="198">
        <v>71647999</v>
      </c>
      <c r="B209" s="192" t="s">
        <v>291</v>
      </c>
      <c r="C209" s="196">
        <v>0</v>
      </c>
      <c r="D209" s="196">
        <v>101800</v>
      </c>
      <c r="E209" s="196">
        <v>101800</v>
      </c>
      <c r="F209" s="196">
        <v>0</v>
      </c>
      <c r="G209" s="196">
        <v>0</v>
      </c>
    </row>
    <row r="210" spans="1:7" x14ac:dyDescent="0.3">
      <c r="A210" s="198">
        <v>1128482014</v>
      </c>
      <c r="B210" s="192" t="s">
        <v>292</v>
      </c>
      <c r="C210" s="196">
        <v>0</v>
      </c>
      <c r="D210" s="196">
        <v>196000</v>
      </c>
      <c r="E210" s="196">
        <v>196000</v>
      </c>
      <c r="F210" s="196">
        <v>0</v>
      </c>
      <c r="G210" s="196">
        <v>0</v>
      </c>
    </row>
    <row r="211" spans="1:7" x14ac:dyDescent="0.3">
      <c r="A211" s="198">
        <v>71316077</v>
      </c>
      <c r="B211" s="192" t="s">
        <v>293</v>
      </c>
      <c r="C211" s="196">
        <v>0</v>
      </c>
      <c r="D211" s="196">
        <v>920000</v>
      </c>
      <c r="E211" s="196">
        <v>920000</v>
      </c>
      <c r="F211" s="196">
        <v>0</v>
      </c>
      <c r="G211" s="196">
        <v>0</v>
      </c>
    </row>
    <row r="212" spans="1:7" x14ac:dyDescent="0.3">
      <c r="A212" s="198">
        <v>3391410</v>
      </c>
      <c r="B212" s="192" t="s">
        <v>294</v>
      </c>
      <c r="C212" s="196">
        <v>0</v>
      </c>
      <c r="D212" s="196">
        <v>963000</v>
      </c>
      <c r="E212" s="196">
        <v>963000</v>
      </c>
      <c r="F212" s="196">
        <v>0</v>
      </c>
      <c r="G212" s="196">
        <v>0</v>
      </c>
    </row>
    <row r="213" spans="1:7" x14ac:dyDescent="0.3">
      <c r="A213" s="198">
        <v>9728091</v>
      </c>
      <c r="B213" s="192" t="s">
        <v>295</v>
      </c>
      <c r="C213" s="196">
        <v>0</v>
      </c>
      <c r="D213" s="196">
        <v>101800</v>
      </c>
      <c r="E213" s="196">
        <v>101800</v>
      </c>
      <c r="F213" s="196">
        <v>0</v>
      </c>
      <c r="G213" s="196">
        <v>0</v>
      </c>
    </row>
    <row r="214" spans="1:7" x14ac:dyDescent="0.3">
      <c r="A214" s="198">
        <v>94524479</v>
      </c>
      <c r="B214" s="192" t="s">
        <v>296</v>
      </c>
      <c r="C214" s="196">
        <v>1</v>
      </c>
      <c r="D214" s="196">
        <v>47399</v>
      </c>
      <c r="E214" s="196">
        <v>47399</v>
      </c>
      <c r="F214" s="196">
        <v>0</v>
      </c>
      <c r="G214" s="196">
        <v>1</v>
      </c>
    </row>
    <row r="215" spans="1:7" x14ac:dyDescent="0.3">
      <c r="A215" s="198">
        <v>1038098957</v>
      </c>
      <c r="B215" s="192" t="s">
        <v>297</v>
      </c>
      <c r="C215" s="196">
        <v>0</v>
      </c>
      <c r="D215" s="196">
        <v>119000</v>
      </c>
      <c r="E215" s="196">
        <v>119000</v>
      </c>
      <c r="F215" s="196">
        <v>0</v>
      </c>
      <c r="G215" s="196">
        <v>0</v>
      </c>
    </row>
    <row r="216" spans="1:7" x14ac:dyDescent="0.3">
      <c r="A216" s="198">
        <v>79789493</v>
      </c>
      <c r="B216" s="192" t="s">
        <v>298</v>
      </c>
      <c r="C216" s="196">
        <v>0</v>
      </c>
      <c r="D216" s="196">
        <v>101800</v>
      </c>
      <c r="E216" s="196">
        <v>101800</v>
      </c>
      <c r="F216" s="196">
        <v>0</v>
      </c>
      <c r="G216" s="196">
        <v>0</v>
      </c>
    </row>
    <row r="217" spans="1:7" x14ac:dyDescent="0.3">
      <c r="A217" s="198">
        <v>1037584845</v>
      </c>
      <c r="B217" s="192" t="s">
        <v>299</v>
      </c>
      <c r="C217" s="196">
        <v>0</v>
      </c>
      <c r="D217" s="196">
        <v>101800</v>
      </c>
      <c r="E217" s="196">
        <v>101800</v>
      </c>
      <c r="F217" s="196">
        <v>0</v>
      </c>
      <c r="G217" s="196">
        <v>0</v>
      </c>
    </row>
    <row r="218" spans="1:7" x14ac:dyDescent="0.3">
      <c r="A218" s="198">
        <v>98660395</v>
      </c>
      <c r="B218" s="192" t="s">
        <v>300</v>
      </c>
      <c r="C218" s="196">
        <v>0</v>
      </c>
      <c r="D218" s="196">
        <v>101800</v>
      </c>
      <c r="E218" s="196">
        <v>101800</v>
      </c>
      <c r="F218" s="196">
        <v>0</v>
      </c>
      <c r="G218" s="196">
        <v>0</v>
      </c>
    </row>
    <row r="219" spans="1:7" x14ac:dyDescent="0.3">
      <c r="A219" s="198">
        <v>1140829690</v>
      </c>
      <c r="B219" s="192" t="s">
        <v>301</v>
      </c>
      <c r="C219" s="196">
        <v>0</v>
      </c>
      <c r="D219" s="196">
        <v>101800</v>
      </c>
      <c r="E219" s="196">
        <v>101800</v>
      </c>
      <c r="F219" s="196">
        <v>0</v>
      </c>
      <c r="G219" s="196">
        <v>0</v>
      </c>
    </row>
    <row r="220" spans="1:7" x14ac:dyDescent="0.3">
      <c r="A220" s="198">
        <v>1026150300</v>
      </c>
      <c r="B220" s="192" t="s">
        <v>302</v>
      </c>
      <c r="C220" s="196">
        <v>0</v>
      </c>
      <c r="D220" s="196">
        <v>165000</v>
      </c>
      <c r="E220" s="196">
        <v>165000</v>
      </c>
      <c r="F220" s="196">
        <v>0</v>
      </c>
      <c r="G220" s="196">
        <v>0</v>
      </c>
    </row>
    <row r="221" spans="1:7" x14ac:dyDescent="0.3">
      <c r="A221" s="198">
        <v>1000455105</v>
      </c>
      <c r="B221" s="192" t="s">
        <v>303</v>
      </c>
      <c r="C221" s="196">
        <v>0</v>
      </c>
      <c r="D221" s="196">
        <v>963000</v>
      </c>
      <c r="E221" s="196">
        <v>963000</v>
      </c>
      <c r="F221" s="196">
        <v>0</v>
      </c>
      <c r="G221" s="196">
        <v>0</v>
      </c>
    </row>
    <row r="222" spans="1:7" x14ac:dyDescent="0.3">
      <c r="A222" s="198">
        <v>1000416142</v>
      </c>
      <c r="B222" s="192" t="s">
        <v>304</v>
      </c>
      <c r="C222" s="196">
        <v>0</v>
      </c>
      <c r="D222" s="196">
        <v>101800</v>
      </c>
      <c r="E222" s="196">
        <v>101800</v>
      </c>
      <c r="F222" s="196">
        <v>0</v>
      </c>
      <c r="G222" s="196">
        <v>0</v>
      </c>
    </row>
    <row r="223" spans="1:7" x14ac:dyDescent="0.3">
      <c r="A223" s="198">
        <v>42872817</v>
      </c>
      <c r="B223" s="192" t="s">
        <v>305</v>
      </c>
      <c r="C223" s="196">
        <v>0</v>
      </c>
      <c r="D223" s="196">
        <v>297000</v>
      </c>
      <c r="E223" s="196">
        <v>297000</v>
      </c>
      <c r="F223" s="196">
        <v>0</v>
      </c>
      <c r="G223" s="196">
        <v>0</v>
      </c>
    </row>
    <row r="224" spans="1:7" x14ac:dyDescent="0.3">
      <c r="A224" s="198">
        <v>1061047689</v>
      </c>
      <c r="B224" s="192" t="s">
        <v>306</v>
      </c>
      <c r="C224" s="196">
        <v>0</v>
      </c>
      <c r="D224" s="196">
        <v>1310000</v>
      </c>
      <c r="E224" s="196">
        <v>1310000</v>
      </c>
      <c r="F224" s="196">
        <v>0</v>
      </c>
      <c r="G224" s="196">
        <v>0</v>
      </c>
    </row>
    <row r="225" spans="1:7" x14ac:dyDescent="0.3">
      <c r="A225" s="198">
        <v>1000445422</v>
      </c>
      <c r="B225" s="192" t="s">
        <v>307</v>
      </c>
      <c r="C225" s="196">
        <v>38675</v>
      </c>
      <c r="D225" s="196">
        <v>0</v>
      </c>
      <c r="E225" s="196">
        <v>0</v>
      </c>
      <c r="F225" s="196">
        <v>0</v>
      </c>
      <c r="G225" s="196">
        <v>38675</v>
      </c>
    </row>
    <row r="226" spans="1:7" x14ac:dyDescent="0.3">
      <c r="A226" s="198">
        <v>1053861574</v>
      </c>
      <c r="B226" s="192" t="s">
        <v>308</v>
      </c>
      <c r="C226" s="196">
        <v>0</v>
      </c>
      <c r="D226" s="196">
        <v>9500000</v>
      </c>
      <c r="E226" s="196">
        <v>9500000</v>
      </c>
      <c r="F226" s="196">
        <v>0</v>
      </c>
      <c r="G226" s="196">
        <v>0</v>
      </c>
    </row>
    <row r="227" spans="1:7" x14ac:dyDescent="0.3">
      <c r="A227" s="192" t="s">
        <v>309</v>
      </c>
      <c r="B227" s="192" t="s">
        <v>310</v>
      </c>
      <c r="C227" s="196">
        <v>1</v>
      </c>
      <c r="D227" s="196">
        <v>0</v>
      </c>
      <c r="E227" s="196">
        <v>0</v>
      </c>
      <c r="F227" s="196">
        <v>0</v>
      </c>
      <c r="G227" s="196">
        <v>1</v>
      </c>
    </row>
    <row r="228" spans="1:7" x14ac:dyDescent="0.3">
      <c r="A228" s="198">
        <v>1037587514</v>
      </c>
      <c r="B228" s="192" t="s">
        <v>311</v>
      </c>
      <c r="C228" s="196">
        <v>0</v>
      </c>
      <c r="D228" s="196">
        <v>168200</v>
      </c>
      <c r="E228" s="196">
        <v>168200</v>
      </c>
      <c r="F228" s="196">
        <v>0</v>
      </c>
      <c r="G228" s="196">
        <v>0</v>
      </c>
    </row>
    <row r="229" spans="1:7" x14ac:dyDescent="0.3">
      <c r="A229" s="198">
        <v>1035016793</v>
      </c>
      <c r="B229" s="192" t="s">
        <v>312</v>
      </c>
      <c r="C229" s="196">
        <v>0</v>
      </c>
      <c r="D229" s="196">
        <v>101800</v>
      </c>
      <c r="E229" s="196">
        <v>101800</v>
      </c>
      <c r="F229" s="196">
        <v>0</v>
      </c>
      <c r="G229" s="196">
        <v>0</v>
      </c>
    </row>
    <row r="230" spans="1:7" x14ac:dyDescent="0.3">
      <c r="A230" s="198">
        <v>1031943331</v>
      </c>
      <c r="B230" s="192" t="s">
        <v>313</v>
      </c>
      <c r="C230" s="196">
        <v>0</v>
      </c>
      <c r="D230" s="196">
        <v>76800</v>
      </c>
      <c r="E230" s="196">
        <v>76800</v>
      </c>
      <c r="F230" s="196">
        <v>0</v>
      </c>
      <c r="G230" s="196">
        <v>0</v>
      </c>
    </row>
    <row r="231" spans="1:7" x14ac:dyDescent="0.3">
      <c r="A231" s="198">
        <v>1034992360</v>
      </c>
      <c r="B231" s="192" t="s">
        <v>314</v>
      </c>
      <c r="C231" s="196">
        <v>0</v>
      </c>
      <c r="D231" s="196">
        <v>297000</v>
      </c>
      <c r="E231" s="196">
        <v>297000</v>
      </c>
      <c r="F231" s="196">
        <v>0</v>
      </c>
      <c r="G231" s="196">
        <v>0</v>
      </c>
    </row>
    <row r="232" spans="1:7" x14ac:dyDescent="0.3">
      <c r="A232" s="198">
        <v>1020236598</v>
      </c>
      <c r="B232" s="192" t="s">
        <v>315</v>
      </c>
      <c r="C232" s="196">
        <v>0</v>
      </c>
      <c r="D232" s="196">
        <v>101800</v>
      </c>
      <c r="E232" s="196">
        <v>101800</v>
      </c>
      <c r="F232" s="196">
        <v>0</v>
      </c>
      <c r="G232" s="196">
        <v>0</v>
      </c>
    </row>
    <row r="233" spans="1:7" x14ac:dyDescent="0.3">
      <c r="A233" s="198">
        <v>1035000513</v>
      </c>
      <c r="B233" s="192" t="s">
        <v>316</v>
      </c>
      <c r="C233" s="196">
        <v>0</v>
      </c>
      <c r="D233" s="196">
        <v>101800</v>
      </c>
      <c r="E233" s="196">
        <v>101800</v>
      </c>
      <c r="F233" s="196">
        <v>0</v>
      </c>
      <c r="G233" s="196">
        <v>0</v>
      </c>
    </row>
    <row r="234" spans="1:7" x14ac:dyDescent="0.3">
      <c r="A234" s="198">
        <v>1034991973</v>
      </c>
      <c r="B234" s="192" t="s">
        <v>317</v>
      </c>
      <c r="C234" s="196">
        <v>0</v>
      </c>
      <c r="D234" s="196">
        <v>73200</v>
      </c>
      <c r="E234" s="196">
        <v>73200</v>
      </c>
      <c r="F234" s="196">
        <v>0</v>
      </c>
      <c r="G234" s="196">
        <v>0</v>
      </c>
    </row>
    <row r="235" spans="1:7" x14ac:dyDescent="0.3">
      <c r="A235" s="198">
        <v>1022008441</v>
      </c>
      <c r="B235" s="192" t="s">
        <v>318</v>
      </c>
      <c r="C235" s="196">
        <v>0</v>
      </c>
      <c r="D235" s="196">
        <v>101800</v>
      </c>
      <c r="E235" s="196">
        <v>101800</v>
      </c>
      <c r="F235" s="196">
        <v>0</v>
      </c>
      <c r="G235" s="196">
        <v>0</v>
      </c>
    </row>
    <row r="236" spans="1:7" x14ac:dyDescent="0.3">
      <c r="A236" s="198">
        <v>1035005013</v>
      </c>
      <c r="B236" s="192" t="s">
        <v>319</v>
      </c>
      <c r="C236" s="196">
        <v>0</v>
      </c>
      <c r="D236" s="196">
        <v>73200</v>
      </c>
      <c r="E236" s="196">
        <v>73200</v>
      </c>
      <c r="F236" s="196">
        <v>0</v>
      </c>
      <c r="G236" s="196">
        <v>0</v>
      </c>
    </row>
    <row r="237" spans="1:7" x14ac:dyDescent="0.3">
      <c r="A237" s="198">
        <v>21449741</v>
      </c>
      <c r="B237" s="192" t="s">
        <v>320</v>
      </c>
      <c r="C237" s="196">
        <v>0</v>
      </c>
      <c r="D237" s="196">
        <v>319000</v>
      </c>
      <c r="E237" s="196">
        <v>319000</v>
      </c>
      <c r="F237" s="196">
        <v>0</v>
      </c>
      <c r="G237" s="196">
        <v>0</v>
      </c>
    </row>
    <row r="238" spans="1:7" x14ac:dyDescent="0.3">
      <c r="A238" s="198">
        <v>3468828</v>
      </c>
      <c r="B238" s="192" t="s">
        <v>321</v>
      </c>
      <c r="C238" s="196">
        <v>3</v>
      </c>
      <c r="D238" s="196">
        <v>0</v>
      </c>
      <c r="E238" s="196">
        <v>0</v>
      </c>
      <c r="F238" s="196">
        <v>0</v>
      </c>
      <c r="G238" s="196">
        <v>3</v>
      </c>
    </row>
    <row r="239" spans="1:7" x14ac:dyDescent="0.3">
      <c r="A239" s="198">
        <v>43265192</v>
      </c>
      <c r="B239" s="192" t="s">
        <v>322</v>
      </c>
      <c r="C239" s="196">
        <v>0</v>
      </c>
      <c r="D239" s="196">
        <v>101800</v>
      </c>
      <c r="E239" s="196">
        <v>101800</v>
      </c>
      <c r="F239" s="196">
        <v>0</v>
      </c>
      <c r="G239" s="196">
        <v>0</v>
      </c>
    </row>
    <row r="240" spans="1:7" x14ac:dyDescent="0.3">
      <c r="A240" s="198">
        <v>1035019672</v>
      </c>
      <c r="B240" s="192" t="s">
        <v>323</v>
      </c>
      <c r="C240" s="196">
        <v>0</v>
      </c>
      <c r="D240" s="196">
        <v>114400</v>
      </c>
      <c r="E240" s="196">
        <v>114400</v>
      </c>
      <c r="F240" s="196">
        <v>0</v>
      </c>
      <c r="G240" s="196">
        <v>0</v>
      </c>
    </row>
    <row r="241" spans="1:7" x14ac:dyDescent="0.3">
      <c r="A241" s="198">
        <v>1021932472</v>
      </c>
      <c r="B241" s="192" t="s">
        <v>324</v>
      </c>
      <c r="C241" s="196">
        <v>0</v>
      </c>
      <c r="D241" s="196">
        <v>50200</v>
      </c>
      <c r="E241" s="196">
        <v>50200</v>
      </c>
      <c r="F241" s="196">
        <v>0</v>
      </c>
      <c r="G241" s="196">
        <v>0</v>
      </c>
    </row>
    <row r="242" spans="1:7" x14ac:dyDescent="0.3">
      <c r="A242" s="198">
        <v>1220465759</v>
      </c>
      <c r="B242" s="192" t="s">
        <v>325</v>
      </c>
      <c r="C242" s="196">
        <v>0</v>
      </c>
      <c r="D242" s="196">
        <v>177400</v>
      </c>
      <c r="E242" s="196">
        <v>177400</v>
      </c>
      <c r="F242" s="196">
        <v>0</v>
      </c>
      <c r="G242" s="196">
        <v>0</v>
      </c>
    </row>
    <row r="243" spans="1:7" x14ac:dyDescent="0.3">
      <c r="A243" s="198">
        <v>1045046935</v>
      </c>
      <c r="B243" s="192" t="s">
        <v>326</v>
      </c>
      <c r="C243" s="196">
        <v>0</v>
      </c>
      <c r="D243" s="196">
        <v>166600</v>
      </c>
      <c r="E243" s="196">
        <v>166600</v>
      </c>
      <c r="F243" s="196">
        <v>0</v>
      </c>
      <c r="G243" s="196">
        <v>0</v>
      </c>
    </row>
    <row r="244" spans="1:7" x14ac:dyDescent="0.3">
      <c r="A244" s="198">
        <v>1036462841</v>
      </c>
      <c r="B244" s="192" t="s">
        <v>327</v>
      </c>
      <c r="C244" s="196">
        <v>0</v>
      </c>
      <c r="D244" s="196">
        <v>161000</v>
      </c>
      <c r="E244" s="196">
        <v>161000</v>
      </c>
      <c r="F244" s="196">
        <v>0</v>
      </c>
      <c r="G244" s="196">
        <v>0</v>
      </c>
    </row>
    <row r="245" spans="1:7" x14ac:dyDescent="0.3">
      <c r="A245" s="198">
        <v>21802084</v>
      </c>
      <c r="B245" s="192" t="s">
        <v>328</v>
      </c>
      <c r="C245" s="196">
        <v>0</v>
      </c>
      <c r="D245" s="196">
        <v>114400</v>
      </c>
      <c r="E245" s="196">
        <v>114400</v>
      </c>
      <c r="F245" s="196">
        <v>0</v>
      </c>
      <c r="G245" s="196">
        <v>0</v>
      </c>
    </row>
    <row r="246" spans="1:7" x14ac:dyDescent="0.3">
      <c r="A246" s="198">
        <v>21810071</v>
      </c>
      <c r="B246" s="192" t="s">
        <v>329</v>
      </c>
      <c r="C246" s="196">
        <v>1</v>
      </c>
      <c r="D246" s="196">
        <v>270000</v>
      </c>
      <c r="E246" s="196">
        <v>270000</v>
      </c>
      <c r="F246" s="196">
        <v>0</v>
      </c>
      <c r="G246" s="196">
        <v>1</v>
      </c>
    </row>
    <row r="247" spans="1:7" x14ac:dyDescent="0.3">
      <c r="A247" s="198">
        <v>1128268164</v>
      </c>
      <c r="B247" s="192" t="s">
        <v>330</v>
      </c>
      <c r="C247" s="196">
        <v>0</v>
      </c>
      <c r="D247" s="196">
        <v>101800</v>
      </c>
      <c r="E247" s="196">
        <v>101800</v>
      </c>
      <c r="F247" s="196">
        <v>0</v>
      </c>
      <c r="G247" s="196">
        <v>0</v>
      </c>
    </row>
    <row r="248" spans="1:7" x14ac:dyDescent="0.3">
      <c r="A248" s="198">
        <v>35262205</v>
      </c>
      <c r="B248" s="192" t="s">
        <v>331</v>
      </c>
      <c r="C248" s="196">
        <v>0</v>
      </c>
      <c r="D248" s="196">
        <v>82800</v>
      </c>
      <c r="E248" s="196">
        <v>82800</v>
      </c>
      <c r="F248" s="196">
        <v>0</v>
      </c>
      <c r="G248" s="196">
        <v>0</v>
      </c>
    </row>
    <row r="249" spans="1:7" x14ac:dyDescent="0.3">
      <c r="A249" s="198">
        <v>28532219</v>
      </c>
      <c r="B249" s="192" t="s">
        <v>332</v>
      </c>
      <c r="C249" s="196">
        <v>0</v>
      </c>
      <c r="D249" s="196">
        <v>920000</v>
      </c>
      <c r="E249" s="196">
        <v>920000</v>
      </c>
      <c r="F249" s="196">
        <v>0</v>
      </c>
      <c r="G249" s="196">
        <v>0</v>
      </c>
    </row>
    <row r="250" spans="1:7" x14ac:dyDescent="0.3">
      <c r="A250" s="198">
        <v>10530462</v>
      </c>
      <c r="B250" s="192" t="s">
        <v>333</v>
      </c>
      <c r="C250" s="196">
        <v>0</v>
      </c>
      <c r="D250" s="196">
        <v>2450000</v>
      </c>
      <c r="E250" s="196">
        <v>2450000</v>
      </c>
      <c r="F250" s="196">
        <v>0</v>
      </c>
      <c r="G250" s="196">
        <v>0</v>
      </c>
    </row>
    <row r="251" spans="1:7" x14ac:dyDescent="0.3">
      <c r="A251" s="198">
        <v>1035022741</v>
      </c>
      <c r="B251" s="192" t="s">
        <v>334</v>
      </c>
      <c r="C251" s="196">
        <v>0</v>
      </c>
      <c r="D251" s="196">
        <v>92800</v>
      </c>
      <c r="E251" s="196">
        <v>92800</v>
      </c>
      <c r="F251" s="196">
        <v>0</v>
      </c>
      <c r="G251" s="196">
        <v>0</v>
      </c>
    </row>
    <row r="252" spans="1:7" x14ac:dyDescent="0.3">
      <c r="A252" s="198">
        <v>1035005899</v>
      </c>
      <c r="B252" s="192" t="s">
        <v>335</v>
      </c>
      <c r="C252" s="196">
        <v>0</v>
      </c>
      <c r="D252" s="196">
        <v>168800</v>
      </c>
      <c r="E252" s="196">
        <v>168800</v>
      </c>
      <c r="F252" s="196">
        <v>0</v>
      </c>
      <c r="G252" s="196">
        <v>0</v>
      </c>
    </row>
    <row r="253" spans="1:7" x14ac:dyDescent="0.3">
      <c r="A253" s="198">
        <v>900640334</v>
      </c>
      <c r="B253" s="192" t="s">
        <v>336</v>
      </c>
      <c r="C253" s="196">
        <v>33614880.539999999</v>
      </c>
      <c r="D253" s="196">
        <v>12393787.16</v>
      </c>
      <c r="E253" s="196">
        <v>1471667</v>
      </c>
      <c r="F253" s="196">
        <v>10922120.16</v>
      </c>
      <c r="G253" s="196">
        <v>44537000.700000003</v>
      </c>
    </row>
    <row r="254" spans="1:7" x14ac:dyDescent="0.3">
      <c r="A254" s="198">
        <v>860002183</v>
      </c>
      <c r="B254" s="192" t="s">
        <v>337</v>
      </c>
      <c r="C254" s="196">
        <v>4265829</v>
      </c>
      <c r="D254" s="196">
        <v>6138386</v>
      </c>
      <c r="E254" s="196">
        <v>2227823</v>
      </c>
      <c r="F254" s="196">
        <v>3910563</v>
      </c>
      <c r="G254" s="196">
        <v>8176392</v>
      </c>
    </row>
    <row r="255" spans="1:7" x14ac:dyDescent="0.3">
      <c r="A255" s="192" t="s">
        <v>338</v>
      </c>
      <c r="B255" s="192" t="s">
        <v>339</v>
      </c>
      <c r="C255" s="196">
        <v>0</v>
      </c>
      <c r="D255" s="196">
        <v>580000</v>
      </c>
      <c r="E255" s="196">
        <v>580000</v>
      </c>
      <c r="F255" s="196">
        <v>0</v>
      </c>
      <c r="G255" s="196">
        <v>0</v>
      </c>
    </row>
    <row r="256" spans="1:7" x14ac:dyDescent="0.3">
      <c r="A256" s="198">
        <v>1219213434</v>
      </c>
      <c r="B256" s="192" t="s">
        <v>340</v>
      </c>
      <c r="C256" s="196">
        <v>1</v>
      </c>
      <c r="D256" s="196">
        <v>0</v>
      </c>
      <c r="E256" s="196">
        <v>0</v>
      </c>
      <c r="F256" s="196">
        <v>0</v>
      </c>
      <c r="G256" s="196">
        <v>1</v>
      </c>
    </row>
    <row r="257" spans="1:7" x14ac:dyDescent="0.3">
      <c r="A257" s="192" t="s">
        <v>104</v>
      </c>
      <c r="B257" s="192" t="s">
        <v>105</v>
      </c>
      <c r="C257" s="196">
        <v>0</v>
      </c>
      <c r="D257" s="196">
        <v>4300000</v>
      </c>
      <c r="E257" s="196">
        <v>4300000</v>
      </c>
      <c r="F257" s="196">
        <v>0</v>
      </c>
      <c r="G257" s="196">
        <v>0</v>
      </c>
    </row>
    <row r="258" spans="1:7" x14ac:dyDescent="0.3">
      <c r="A258" s="192" t="s">
        <v>106</v>
      </c>
      <c r="B258" s="192" t="s">
        <v>105</v>
      </c>
      <c r="C258" s="196">
        <v>0</v>
      </c>
      <c r="D258" s="196">
        <v>4300000</v>
      </c>
      <c r="E258" s="196">
        <v>4300000</v>
      </c>
      <c r="F258" s="196">
        <v>0</v>
      </c>
      <c r="G258" s="196">
        <v>0</v>
      </c>
    </row>
    <row r="259" spans="1:7" x14ac:dyDescent="0.3">
      <c r="A259" s="198">
        <v>42996677</v>
      </c>
      <c r="B259" s="192" t="s">
        <v>341</v>
      </c>
      <c r="C259" s="196">
        <v>0</v>
      </c>
      <c r="D259" s="196">
        <v>101800</v>
      </c>
      <c r="E259" s="196">
        <v>101800</v>
      </c>
      <c r="F259" s="196">
        <v>0</v>
      </c>
      <c r="G259" s="196">
        <v>0</v>
      </c>
    </row>
    <row r="260" spans="1:7" x14ac:dyDescent="0.3">
      <c r="A260" s="198">
        <v>43062123</v>
      </c>
      <c r="B260" s="192" t="s">
        <v>342</v>
      </c>
      <c r="C260" s="196">
        <v>2658000</v>
      </c>
      <c r="D260" s="196">
        <v>0</v>
      </c>
      <c r="E260" s="196">
        <v>2658000</v>
      </c>
      <c r="F260" s="196">
        <v>-2658000</v>
      </c>
      <c r="G260" s="196">
        <v>0</v>
      </c>
    </row>
    <row r="261" spans="1:7" x14ac:dyDescent="0.3">
      <c r="A261" s="198">
        <v>21714188</v>
      </c>
      <c r="B261" s="192" t="s">
        <v>343</v>
      </c>
      <c r="C261" s="196">
        <v>0</v>
      </c>
      <c r="D261" s="196">
        <v>101800</v>
      </c>
      <c r="E261" s="196">
        <v>101800</v>
      </c>
      <c r="F261" s="196">
        <v>0</v>
      </c>
      <c r="G261" s="196">
        <v>0</v>
      </c>
    </row>
    <row r="262" spans="1:7" x14ac:dyDescent="0.3">
      <c r="A262" s="198">
        <v>42823737</v>
      </c>
      <c r="B262" s="192" t="s">
        <v>344</v>
      </c>
      <c r="C262" s="196">
        <v>0</v>
      </c>
      <c r="D262" s="196">
        <v>319000</v>
      </c>
      <c r="E262" s="196">
        <v>319000</v>
      </c>
      <c r="F262" s="196">
        <v>0</v>
      </c>
      <c r="G262" s="196">
        <v>0</v>
      </c>
    </row>
    <row r="263" spans="1:7" x14ac:dyDescent="0.3">
      <c r="A263" s="198">
        <v>1039679460</v>
      </c>
      <c r="B263" s="192" t="s">
        <v>345</v>
      </c>
      <c r="C263" s="196">
        <v>0</v>
      </c>
      <c r="D263" s="196">
        <v>108400</v>
      </c>
      <c r="E263" s="196">
        <v>108400</v>
      </c>
      <c r="F263" s="196">
        <v>0</v>
      </c>
      <c r="G263" s="196">
        <v>0</v>
      </c>
    </row>
    <row r="264" spans="1:7" x14ac:dyDescent="0.3">
      <c r="A264" s="198">
        <v>42870992</v>
      </c>
      <c r="B264" s="192" t="s">
        <v>346</v>
      </c>
      <c r="C264" s="196">
        <v>0</v>
      </c>
      <c r="D264" s="196">
        <v>4900000</v>
      </c>
      <c r="E264" s="196">
        <v>4900000</v>
      </c>
      <c r="F264" s="196">
        <v>0</v>
      </c>
      <c r="G264" s="196">
        <v>0</v>
      </c>
    </row>
    <row r="265" spans="1:7" x14ac:dyDescent="0.3">
      <c r="A265" s="198">
        <v>52451625</v>
      </c>
      <c r="B265" s="192" t="s">
        <v>347</v>
      </c>
      <c r="C265" s="196">
        <v>0</v>
      </c>
      <c r="D265" s="196">
        <v>101800</v>
      </c>
      <c r="E265" s="196">
        <v>101800</v>
      </c>
      <c r="F265" s="196">
        <v>0</v>
      </c>
      <c r="G265" s="196">
        <v>0</v>
      </c>
    </row>
    <row r="266" spans="1:7" x14ac:dyDescent="0.3">
      <c r="A266" s="198">
        <v>43110688</v>
      </c>
      <c r="B266" s="192" t="s">
        <v>348</v>
      </c>
      <c r="C266" s="196">
        <v>0</v>
      </c>
      <c r="D266" s="196">
        <v>114400</v>
      </c>
      <c r="E266" s="196">
        <v>114400</v>
      </c>
      <c r="F266" s="196">
        <v>0</v>
      </c>
      <c r="G266" s="196">
        <v>0</v>
      </c>
    </row>
    <row r="267" spans="1:7" x14ac:dyDescent="0.3">
      <c r="A267" s="198">
        <v>42968835</v>
      </c>
      <c r="B267" s="192" t="s">
        <v>349</v>
      </c>
      <c r="C267" s="196">
        <v>1</v>
      </c>
      <c r="D267" s="196">
        <v>0</v>
      </c>
      <c r="E267" s="196">
        <v>0</v>
      </c>
      <c r="F267" s="196">
        <v>0</v>
      </c>
      <c r="G267" s="196">
        <v>1</v>
      </c>
    </row>
    <row r="268" spans="1:7" x14ac:dyDescent="0.3">
      <c r="A268" s="198">
        <v>1022008778</v>
      </c>
      <c r="B268" s="192" t="s">
        <v>350</v>
      </c>
      <c r="C268" s="196">
        <v>0</v>
      </c>
      <c r="D268" s="196">
        <v>101800</v>
      </c>
      <c r="E268" s="196">
        <v>101800</v>
      </c>
      <c r="F268" s="196">
        <v>0</v>
      </c>
      <c r="G268" s="196">
        <v>0</v>
      </c>
    </row>
    <row r="269" spans="1:7" x14ac:dyDescent="0.3">
      <c r="A269" s="198">
        <v>22103904</v>
      </c>
      <c r="B269" s="192" t="s">
        <v>351</v>
      </c>
      <c r="C269" s="196">
        <v>0</v>
      </c>
      <c r="D269" s="196">
        <v>7310200</v>
      </c>
      <c r="E269" s="196">
        <v>7310200</v>
      </c>
      <c r="F269" s="196">
        <v>0</v>
      </c>
      <c r="G269" s="196">
        <v>0</v>
      </c>
    </row>
    <row r="270" spans="1:7" x14ac:dyDescent="0.3">
      <c r="A270" s="198">
        <v>43499791</v>
      </c>
      <c r="B270" s="192" t="s">
        <v>352</v>
      </c>
      <c r="C270" s="196">
        <v>0</v>
      </c>
      <c r="D270" s="196">
        <v>297000</v>
      </c>
      <c r="E270" s="196">
        <v>297000</v>
      </c>
      <c r="F270" s="196">
        <v>0</v>
      </c>
      <c r="G270" s="196">
        <v>0</v>
      </c>
    </row>
    <row r="271" spans="1:7" x14ac:dyDescent="0.3">
      <c r="A271" s="198">
        <v>21796531</v>
      </c>
      <c r="B271" s="192" t="s">
        <v>353</v>
      </c>
      <c r="C271" s="196">
        <v>0</v>
      </c>
      <c r="D271" s="196">
        <v>114400</v>
      </c>
      <c r="E271" s="196">
        <v>114400</v>
      </c>
      <c r="F271" s="196">
        <v>0</v>
      </c>
      <c r="G271" s="196">
        <v>0</v>
      </c>
    </row>
    <row r="272" spans="1:7" x14ac:dyDescent="0.3">
      <c r="A272" s="198">
        <v>39436090</v>
      </c>
      <c r="B272" s="192" t="s">
        <v>354</v>
      </c>
      <c r="C272" s="196">
        <v>0</v>
      </c>
      <c r="D272" s="196">
        <v>59400</v>
      </c>
      <c r="E272" s="196">
        <v>59400</v>
      </c>
      <c r="F272" s="196">
        <v>0</v>
      </c>
      <c r="G272" s="196">
        <v>0</v>
      </c>
    </row>
    <row r="273" spans="1:7" x14ac:dyDescent="0.3">
      <c r="A273" s="198">
        <v>52646358</v>
      </c>
      <c r="B273" s="192" t="s">
        <v>355</v>
      </c>
      <c r="C273" s="196">
        <v>0</v>
      </c>
      <c r="D273" s="196">
        <v>101800</v>
      </c>
      <c r="E273" s="196">
        <v>101800</v>
      </c>
      <c r="F273" s="196">
        <v>0</v>
      </c>
      <c r="G273" s="196">
        <v>0</v>
      </c>
    </row>
    <row r="274" spans="1:7" x14ac:dyDescent="0.3">
      <c r="A274" s="198">
        <v>52319132</v>
      </c>
      <c r="B274" s="192" t="s">
        <v>356</v>
      </c>
      <c r="C274" s="196">
        <v>9886000</v>
      </c>
      <c r="D274" s="196">
        <v>101800</v>
      </c>
      <c r="E274" s="196">
        <v>9987800</v>
      </c>
      <c r="F274" s="196">
        <v>-9886000</v>
      </c>
      <c r="G274" s="196">
        <v>0</v>
      </c>
    </row>
    <row r="275" spans="1:7" x14ac:dyDescent="0.3">
      <c r="A275" s="198">
        <v>43604930</v>
      </c>
      <c r="B275" s="192" t="s">
        <v>357</v>
      </c>
      <c r="C275" s="196">
        <v>0</v>
      </c>
      <c r="D275" s="196">
        <v>101800</v>
      </c>
      <c r="E275" s="196">
        <v>101800</v>
      </c>
      <c r="F275" s="196">
        <v>0</v>
      </c>
      <c r="G275" s="196">
        <v>0</v>
      </c>
    </row>
    <row r="276" spans="1:7" x14ac:dyDescent="0.3">
      <c r="A276" s="198">
        <v>42884261</v>
      </c>
      <c r="B276" s="192" t="s">
        <v>358</v>
      </c>
      <c r="C276" s="196">
        <v>0</v>
      </c>
      <c r="D276" s="196">
        <v>101800</v>
      </c>
      <c r="E276" s="196">
        <v>101800</v>
      </c>
      <c r="F276" s="196">
        <v>0</v>
      </c>
      <c r="G276" s="196">
        <v>0</v>
      </c>
    </row>
    <row r="277" spans="1:7" x14ac:dyDescent="0.3">
      <c r="A277" s="198">
        <v>4901175</v>
      </c>
      <c r="B277" s="192" t="s">
        <v>359</v>
      </c>
      <c r="C277" s="196">
        <v>0</v>
      </c>
      <c r="D277" s="196">
        <v>297000</v>
      </c>
      <c r="E277" s="196">
        <v>297000</v>
      </c>
      <c r="F277" s="196">
        <v>0</v>
      </c>
      <c r="G277" s="196">
        <v>0</v>
      </c>
    </row>
    <row r="278" spans="1:7" x14ac:dyDescent="0.3">
      <c r="A278" s="198">
        <v>901630573</v>
      </c>
      <c r="B278" s="192" t="s">
        <v>107</v>
      </c>
      <c r="C278" s="196">
        <v>49969801.200000003</v>
      </c>
      <c r="D278" s="196">
        <v>16490082</v>
      </c>
      <c r="E278" s="196">
        <v>37980164</v>
      </c>
      <c r="F278" s="196">
        <v>-21490082</v>
      </c>
      <c r="G278" s="196">
        <v>28479719.199999999</v>
      </c>
    </row>
    <row r="279" spans="1:7" x14ac:dyDescent="0.3">
      <c r="A279" s="192" t="s">
        <v>360</v>
      </c>
      <c r="B279" s="192" t="s">
        <v>361</v>
      </c>
      <c r="C279" s="196">
        <v>0</v>
      </c>
      <c r="D279" s="196">
        <v>382000</v>
      </c>
      <c r="E279" s="196">
        <v>382000</v>
      </c>
      <c r="F279" s="196">
        <v>0</v>
      </c>
      <c r="G279" s="196">
        <v>0</v>
      </c>
    </row>
    <row r="280" spans="1:7" x14ac:dyDescent="0.3">
      <c r="A280" s="198">
        <v>43475947</v>
      </c>
      <c r="B280" s="192" t="s">
        <v>362</v>
      </c>
      <c r="C280" s="196">
        <v>0</v>
      </c>
      <c r="D280" s="196">
        <v>4551200</v>
      </c>
      <c r="E280" s="196">
        <v>4551200</v>
      </c>
      <c r="F280" s="196">
        <v>0</v>
      </c>
      <c r="G280" s="196">
        <v>0</v>
      </c>
    </row>
    <row r="281" spans="1:7" x14ac:dyDescent="0.3">
      <c r="A281" s="198">
        <v>43046008</v>
      </c>
      <c r="B281" s="192" t="s">
        <v>363</v>
      </c>
      <c r="C281" s="196">
        <v>0</v>
      </c>
      <c r="D281" s="196">
        <v>223300</v>
      </c>
      <c r="E281" s="196">
        <v>223300</v>
      </c>
      <c r="F281" s="196">
        <v>0</v>
      </c>
      <c r="G281" s="196">
        <v>0</v>
      </c>
    </row>
    <row r="282" spans="1:7" x14ac:dyDescent="0.3">
      <c r="A282" s="198">
        <v>25062889</v>
      </c>
      <c r="B282" s="192" t="s">
        <v>364</v>
      </c>
      <c r="C282" s="196">
        <v>676000</v>
      </c>
      <c r="D282" s="196">
        <v>0</v>
      </c>
      <c r="E282" s="196">
        <v>676000</v>
      </c>
      <c r="F282" s="196">
        <v>-676000</v>
      </c>
      <c r="G282" s="196">
        <v>0</v>
      </c>
    </row>
    <row r="283" spans="1:7" x14ac:dyDescent="0.3">
      <c r="A283" s="198">
        <v>42751453</v>
      </c>
      <c r="B283" s="192" t="s">
        <v>365</v>
      </c>
      <c r="C283" s="196">
        <v>0</v>
      </c>
      <c r="D283" s="196">
        <v>193800</v>
      </c>
      <c r="E283" s="196">
        <v>193800</v>
      </c>
      <c r="F283" s="196">
        <v>0</v>
      </c>
      <c r="G283" s="196">
        <v>0</v>
      </c>
    </row>
    <row r="284" spans="1:7" x14ac:dyDescent="0.3">
      <c r="A284" s="198">
        <v>43746429</v>
      </c>
      <c r="B284" s="192" t="s">
        <v>366</v>
      </c>
      <c r="C284" s="196">
        <v>0</v>
      </c>
      <c r="D284" s="196">
        <v>3519200</v>
      </c>
      <c r="E284" s="196">
        <v>3519200</v>
      </c>
      <c r="F284" s="196">
        <v>0</v>
      </c>
      <c r="G284" s="196">
        <v>0</v>
      </c>
    </row>
    <row r="285" spans="1:7" x14ac:dyDescent="0.3">
      <c r="A285" s="198">
        <v>32329884</v>
      </c>
      <c r="B285" s="192" t="s">
        <v>367</v>
      </c>
      <c r="C285" s="196">
        <v>0</v>
      </c>
      <c r="D285" s="196">
        <v>246800</v>
      </c>
      <c r="E285" s="196">
        <v>246800</v>
      </c>
      <c r="F285" s="196">
        <v>0</v>
      </c>
      <c r="G285" s="196">
        <v>0</v>
      </c>
    </row>
    <row r="286" spans="1:7" x14ac:dyDescent="0.3">
      <c r="A286" s="198">
        <v>43085137</v>
      </c>
      <c r="B286" s="192" t="s">
        <v>368</v>
      </c>
      <c r="C286" s="196">
        <v>0</v>
      </c>
      <c r="D286" s="196">
        <v>1864200</v>
      </c>
      <c r="E286" s="196">
        <v>1864200</v>
      </c>
      <c r="F286" s="196">
        <v>0</v>
      </c>
      <c r="G286" s="196">
        <v>0</v>
      </c>
    </row>
    <row r="287" spans="1:7" x14ac:dyDescent="0.3">
      <c r="A287" s="198">
        <v>15517529</v>
      </c>
      <c r="B287" s="192" t="s">
        <v>369</v>
      </c>
      <c r="C287" s="196">
        <v>0</v>
      </c>
      <c r="D287" s="196">
        <v>300000</v>
      </c>
      <c r="E287" s="196">
        <v>300000</v>
      </c>
      <c r="F287" s="196">
        <v>0</v>
      </c>
      <c r="G287" s="196">
        <v>0</v>
      </c>
    </row>
    <row r="288" spans="1:7" x14ac:dyDescent="0.3">
      <c r="A288" s="192" t="s">
        <v>370</v>
      </c>
      <c r="B288" s="192" t="s">
        <v>371</v>
      </c>
      <c r="C288" s="196">
        <v>0</v>
      </c>
      <c r="D288" s="196">
        <v>12750000</v>
      </c>
      <c r="E288" s="196">
        <v>12750000</v>
      </c>
      <c r="F288" s="196">
        <v>0</v>
      </c>
      <c r="G288" s="196">
        <v>0</v>
      </c>
    </row>
    <row r="289" spans="1:7" x14ac:dyDescent="0.3">
      <c r="A289" s="198">
        <v>12360831</v>
      </c>
      <c r="B289" s="192" t="s">
        <v>372</v>
      </c>
      <c r="C289" s="196">
        <v>-1</v>
      </c>
      <c r="D289" s="196">
        <v>0</v>
      </c>
      <c r="E289" s="196">
        <v>0</v>
      </c>
      <c r="F289" s="196">
        <v>0</v>
      </c>
      <c r="G289" s="196">
        <v>-1</v>
      </c>
    </row>
    <row r="290" spans="1:7" x14ac:dyDescent="0.3">
      <c r="A290" s="198">
        <v>1193529929</v>
      </c>
      <c r="B290" s="192" t="s">
        <v>373</v>
      </c>
      <c r="C290" s="196">
        <v>0</v>
      </c>
      <c r="D290" s="196">
        <v>637000</v>
      </c>
      <c r="E290" s="196">
        <v>637000</v>
      </c>
      <c r="F290" s="196">
        <v>0</v>
      </c>
      <c r="G290" s="196">
        <v>0</v>
      </c>
    </row>
    <row r="291" spans="1:7" x14ac:dyDescent="0.3">
      <c r="A291" s="192" t="s">
        <v>374</v>
      </c>
      <c r="B291" s="192" t="s">
        <v>375</v>
      </c>
      <c r="C291" s="196">
        <v>0</v>
      </c>
      <c r="D291" s="196">
        <v>200000</v>
      </c>
      <c r="E291" s="196">
        <v>200000</v>
      </c>
      <c r="F291" s="196">
        <v>0</v>
      </c>
      <c r="G291" s="196">
        <v>0</v>
      </c>
    </row>
    <row r="292" spans="1:7" x14ac:dyDescent="0.3">
      <c r="A292" s="198">
        <v>1032431486</v>
      </c>
      <c r="B292" s="192" t="s">
        <v>376</v>
      </c>
      <c r="C292" s="196">
        <v>0</v>
      </c>
      <c r="D292" s="196">
        <v>825000</v>
      </c>
      <c r="E292" s="196">
        <v>825000</v>
      </c>
      <c r="F292" s="196">
        <v>0</v>
      </c>
      <c r="G292" s="196">
        <v>0</v>
      </c>
    </row>
    <row r="293" spans="1:7" x14ac:dyDescent="0.3">
      <c r="A293" s="192" t="s">
        <v>377</v>
      </c>
      <c r="B293" s="192" t="s">
        <v>378</v>
      </c>
      <c r="C293" s="196">
        <v>0</v>
      </c>
      <c r="D293" s="196">
        <v>300000</v>
      </c>
      <c r="E293" s="196">
        <v>300000</v>
      </c>
      <c r="F293" s="196">
        <v>0</v>
      </c>
      <c r="G293" s="196">
        <v>0</v>
      </c>
    </row>
    <row r="294" spans="1:7" x14ac:dyDescent="0.3">
      <c r="A294" s="198">
        <v>1065833783</v>
      </c>
      <c r="B294" s="192" t="s">
        <v>379</v>
      </c>
      <c r="C294" s="196">
        <v>0</v>
      </c>
      <c r="D294" s="196">
        <v>389000</v>
      </c>
      <c r="E294" s="196">
        <v>389000</v>
      </c>
      <c r="F294" s="196">
        <v>0</v>
      </c>
      <c r="G294" s="196">
        <v>0</v>
      </c>
    </row>
    <row r="295" spans="1:7" x14ac:dyDescent="0.3">
      <c r="A295" s="198">
        <v>1035443743</v>
      </c>
      <c r="B295" s="192" t="s">
        <v>380</v>
      </c>
      <c r="C295" s="196">
        <v>0</v>
      </c>
      <c r="D295" s="196">
        <v>963000</v>
      </c>
      <c r="E295" s="196">
        <v>963000</v>
      </c>
      <c r="F295" s="196">
        <v>0</v>
      </c>
      <c r="G295" s="196">
        <v>0</v>
      </c>
    </row>
    <row r="296" spans="1:7" x14ac:dyDescent="0.3">
      <c r="A296" s="198">
        <v>1037613475</v>
      </c>
      <c r="B296" s="192" t="s">
        <v>381</v>
      </c>
      <c r="C296" s="196">
        <v>0</v>
      </c>
      <c r="D296" s="196">
        <v>62100</v>
      </c>
      <c r="E296" s="196">
        <v>62100</v>
      </c>
      <c r="F296" s="196">
        <v>0</v>
      </c>
      <c r="G296" s="196">
        <v>0</v>
      </c>
    </row>
    <row r="297" spans="1:7" x14ac:dyDescent="0.3">
      <c r="A297" s="198">
        <v>1037601188</v>
      </c>
      <c r="B297" s="192" t="s">
        <v>382</v>
      </c>
      <c r="C297" s="196">
        <v>0</v>
      </c>
      <c r="D297" s="196">
        <v>85000</v>
      </c>
      <c r="E297" s="196">
        <v>85000</v>
      </c>
      <c r="F297" s="196">
        <v>0</v>
      </c>
      <c r="G297" s="196">
        <v>0</v>
      </c>
    </row>
    <row r="298" spans="1:7" x14ac:dyDescent="0.3">
      <c r="A298" s="198">
        <v>21342467</v>
      </c>
      <c r="B298" s="192" t="s">
        <v>383</v>
      </c>
      <c r="C298" s="196">
        <v>0</v>
      </c>
      <c r="D298" s="196">
        <v>297000</v>
      </c>
      <c r="E298" s="196">
        <v>297000</v>
      </c>
      <c r="F298" s="196">
        <v>0</v>
      </c>
      <c r="G298" s="196">
        <v>0</v>
      </c>
    </row>
    <row r="299" spans="1:7" x14ac:dyDescent="0.3">
      <c r="A299" s="198">
        <v>79791406</v>
      </c>
      <c r="B299" s="192" t="s">
        <v>384</v>
      </c>
      <c r="C299" s="196">
        <v>0</v>
      </c>
      <c r="D299" s="196">
        <v>92000</v>
      </c>
      <c r="E299" s="196">
        <v>92000</v>
      </c>
      <c r="F299" s="196">
        <v>0</v>
      </c>
      <c r="G299" s="196">
        <v>0</v>
      </c>
    </row>
    <row r="300" spans="1:7" x14ac:dyDescent="0.3">
      <c r="A300" s="198">
        <v>79943265</v>
      </c>
      <c r="B300" s="192" t="s">
        <v>385</v>
      </c>
      <c r="C300" s="196">
        <v>0</v>
      </c>
      <c r="D300" s="196">
        <v>59400</v>
      </c>
      <c r="E300" s="196">
        <v>59400</v>
      </c>
      <c r="F300" s="196">
        <v>0</v>
      </c>
      <c r="G300" s="196">
        <v>0</v>
      </c>
    </row>
    <row r="301" spans="1:7" x14ac:dyDescent="0.3">
      <c r="A301" s="198">
        <v>71374787</v>
      </c>
      <c r="B301" s="192" t="s">
        <v>386</v>
      </c>
      <c r="C301" s="196">
        <v>0</v>
      </c>
      <c r="D301" s="196">
        <v>101800</v>
      </c>
      <c r="E301" s="196">
        <v>101800</v>
      </c>
      <c r="F301" s="196">
        <v>0</v>
      </c>
      <c r="G301" s="196">
        <v>0</v>
      </c>
    </row>
    <row r="302" spans="1:7" x14ac:dyDescent="0.3">
      <c r="A302" s="192" t="s">
        <v>387</v>
      </c>
      <c r="B302" s="192" t="s">
        <v>388</v>
      </c>
      <c r="C302" s="196">
        <v>0</v>
      </c>
      <c r="D302" s="196">
        <v>637000</v>
      </c>
      <c r="E302" s="196">
        <v>637000</v>
      </c>
      <c r="F302" s="196">
        <v>0</v>
      </c>
      <c r="G302" s="196">
        <v>0</v>
      </c>
    </row>
    <row r="303" spans="1:7" x14ac:dyDescent="0.3">
      <c r="A303" s="198">
        <v>1020453897</v>
      </c>
      <c r="B303" s="192" t="s">
        <v>389</v>
      </c>
      <c r="C303" s="196">
        <v>0</v>
      </c>
      <c r="D303" s="196">
        <v>101800</v>
      </c>
      <c r="E303" s="196">
        <v>101800</v>
      </c>
      <c r="F303" s="196">
        <v>0</v>
      </c>
      <c r="G303" s="196">
        <v>0</v>
      </c>
    </row>
    <row r="304" spans="1:7" x14ac:dyDescent="0.3">
      <c r="A304" s="198">
        <v>1035855605</v>
      </c>
      <c r="B304" s="192" t="s">
        <v>390</v>
      </c>
      <c r="C304" s="196">
        <v>0</v>
      </c>
      <c r="D304" s="196">
        <v>108400</v>
      </c>
      <c r="E304" s="196">
        <v>108400</v>
      </c>
      <c r="F304" s="196">
        <v>0</v>
      </c>
      <c r="G304" s="196">
        <v>0</v>
      </c>
    </row>
    <row r="305" spans="1:7" x14ac:dyDescent="0.3">
      <c r="A305" s="198">
        <v>16270788</v>
      </c>
      <c r="B305" s="192" t="s">
        <v>391</v>
      </c>
      <c r="C305" s="196">
        <v>253000</v>
      </c>
      <c r="D305" s="196">
        <v>253000</v>
      </c>
      <c r="E305" s="196">
        <v>506000</v>
      </c>
      <c r="F305" s="196">
        <v>-253000</v>
      </c>
      <c r="G305" s="196">
        <v>0</v>
      </c>
    </row>
    <row r="306" spans="1:7" x14ac:dyDescent="0.3">
      <c r="A306" s="198">
        <v>1017206618</v>
      </c>
      <c r="B306" s="192" t="s">
        <v>392</v>
      </c>
      <c r="C306" s="196">
        <v>0</v>
      </c>
      <c r="D306" s="196">
        <v>101800</v>
      </c>
      <c r="E306" s="196">
        <v>101800</v>
      </c>
      <c r="F306" s="196">
        <v>0</v>
      </c>
      <c r="G306" s="196">
        <v>0</v>
      </c>
    </row>
    <row r="307" spans="1:7" x14ac:dyDescent="0.3">
      <c r="A307" s="198">
        <v>1152184214</v>
      </c>
      <c r="B307" s="192" t="s">
        <v>393</v>
      </c>
      <c r="C307" s="196">
        <v>1</v>
      </c>
      <c r="D307" s="196">
        <v>101800</v>
      </c>
      <c r="E307" s="196">
        <v>101800</v>
      </c>
      <c r="F307" s="196">
        <v>0</v>
      </c>
      <c r="G307" s="196">
        <v>1</v>
      </c>
    </row>
    <row r="308" spans="1:7" x14ac:dyDescent="0.3">
      <c r="A308" s="198">
        <v>79934902</v>
      </c>
      <c r="B308" s="192" t="s">
        <v>394</v>
      </c>
      <c r="C308" s="196">
        <v>0</v>
      </c>
      <c r="D308" s="196">
        <v>166600</v>
      </c>
      <c r="E308" s="196">
        <v>166600</v>
      </c>
      <c r="F308" s="196">
        <v>0</v>
      </c>
      <c r="G308" s="196">
        <v>0</v>
      </c>
    </row>
    <row r="309" spans="1:7" x14ac:dyDescent="0.3">
      <c r="A309" s="198">
        <v>1035912930</v>
      </c>
      <c r="B309" s="192" t="s">
        <v>395</v>
      </c>
      <c r="C309" s="196">
        <v>0</v>
      </c>
      <c r="D309" s="196">
        <v>101800</v>
      </c>
      <c r="E309" s="196">
        <v>101800</v>
      </c>
      <c r="F309" s="196">
        <v>0</v>
      </c>
      <c r="G309" s="196">
        <v>0</v>
      </c>
    </row>
    <row r="310" spans="1:7" x14ac:dyDescent="0.3">
      <c r="A310" s="198">
        <v>3415919</v>
      </c>
      <c r="B310" s="192" t="s">
        <v>396</v>
      </c>
      <c r="C310" s="196">
        <v>1</v>
      </c>
      <c r="D310" s="196">
        <v>0</v>
      </c>
      <c r="E310" s="196">
        <v>0</v>
      </c>
      <c r="F310" s="196">
        <v>0</v>
      </c>
      <c r="G310" s="196">
        <v>1</v>
      </c>
    </row>
    <row r="311" spans="1:7" x14ac:dyDescent="0.3">
      <c r="A311" s="198">
        <v>10103079</v>
      </c>
      <c r="B311" s="192" t="s">
        <v>397</v>
      </c>
      <c r="C311" s="196">
        <v>0</v>
      </c>
      <c r="D311" s="196">
        <v>101800</v>
      </c>
      <c r="E311" s="196">
        <v>101800</v>
      </c>
      <c r="F311" s="196">
        <v>0</v>
      </c>
      <c r="G311" s="196">
        <v>0</v>
      </c>
    </row>
    <row r="312" spans="1:7" x14ac:dyDescent="0.3">
      <c r="A312" s="198">
        <v>586655004</v>
      </c>
      <c r="B312" s="192" t="s">
        <v>398</v>
      </c>
      <c r="C312" s="196">
        <v>0</v>
      </c>
      <c r="D312" s="196">
        <v>4133000</v>
      </c>
      <c r="E312" s="196">
        <v>4133000</v>
      </c>
      <c r="F312" s="196">
        <v>0</v>
      </c>
      <c r="G312" s="196">
        <v>0</v>
      </c>
    </row>
    <row r="313" spans="1:7" x14ac:dyDescent="0.3">
      <c r="A313" s="198">
        <v>71665341</v>
      </c>
      <c r="B313" s="192" t="s">
        <v>399</v>
      </c>
      <c r="C313" s="196">
        <v>0</v>
      </c>
      <c r="D313" s="196">
        <v>114400</v>
      </c>
      <c r="E313" s="196">
        <v>114400</v>
      </c>
      <c r="F313" s="196">
        <v>0</v>
      </c>
      <c r="G313" s="196">
        <v>0</v>
      </c>
    </row>
    <row r="314" spans="1:7" x14ac:dyDescent="0.3">
      <c r="A314" s="198">
        <v>8103938</v>
      </c>
      <c r="B314" s="192" t="s">
        <v>400</v>
      </c>
      <c r="C314" s="196">
        <v>0</v>
      </c>
      <c r="D314" s="196">
        <v>101800</v>
      </c>
      <c r="E314" s="196">
        <v>101800</v>
      </c>
      <c r="F314" s="196">
        <v>0</v>
      </c>
      <c r="G314" s="196">
        <v>0</v>
      </c>
    </row>
    <row r="315" spans="1:7" x14ac:dyDescent="0.3">
      <c r="A315" s="198">
        <v>1078462460</v>
      </c>
      <c r="B315" s="192" t="s">
        <v>401</v>
      </c>
      <c r="C315" s="196">
        <v>0</v>
      </c>
      <c r="D315" s="196">
        <v>101800</v>
      </c>
      <c r="E315" s="196">
        <v>101800</v>
      </c>
      <c r="F315" s="196">
        <v>0</v>
      </c>
      <c r="G315" s="196">
        <v>0</v>
      </c>
    </row>
    <row r="316" spans="1:7" x14ac:dyDescent="0.3">
      <c r="A316" s="198">
        <v>42889411</v>
      </c>
      <c r="B316" s="192" t="s">
        <v>402</v>
      </c>
      <c r="C316" s="196">
        <v>1</v>
      </c>
      <c r="D316" s="196">
        <v>0</v>
      </c>
      <c r="E316" s="196">
        <v>0</v>
      </c>
      <c r="F316" s="196">
        <v>0</v>
      </c>
      <c r="G316" s="196">
        <v>1</v>
      </c>
    </row>
    <row r="317" spans="1:7" x14ac:dyDescent="0.3">
      <c r="A317" s="198">
        <v>21599449</v>
      </c>
      <c r="B317" s="192" t="s">
        <v>403</v>
      </c>
      <c r="C317" s="196">
        <v>1</v>
      </c>
      <c r="D317" s="196">
        <v>0</v>
      </c>
      <c r="E317" s="196">
        <v>0</v>
      </c>
      <c r="F317" s="196">
        <v>0</v>
      </c>
      <c r="G317" s="196">
        <v>1</v>
      </c>
    </row>
    <row r="318" spans="1:7" x14ac:dyDescent="0.3">
      <c r="A318" s="198">
        <v>31134111</v>
      </c>
      <c r="B318" s="192" t="s">
        <v>404</v>
      </c>
      <c r="C318" s="196">
        <v>0</v>
      </c>
      <c r="D318" s="196">
        <v>225400</v>
      </c>
      <c r="E318" s="196">
        <v>225400</v>
      </c>
      <c r="F318" s="196">
        <v>0</v>
      </c>
      <c r="G318" s="196">
        <v>0</v>
      </c>
    </row>
    <row r="319" spans="1:7" x14ac:dyDescent="0.3">
      <c r="A319" s="198">
        <v>1017146865</v>
      </c>
      <c r="B319" s="192" t="s">
        <v>405</v>
      </c>
      <c r="C319" s="196">
        <v>0</v>
      </c>
      <c r="D319" s="196">
        <v>297000</v>
      </c>
      <c r="E319" s="196">
        <v>297000</v>
      </c>
      <c r="F319" s="196">
        <v>0</v>
      </c>
      <c r="G319" s="196">
        <v>0</v>
      </c>
    </row>
    <row r="320" spans="1:7" x14ac:dyDescent="0.3">
      <c r="A320" s="198">
        <v>1001250047</v>
      </c>
      <c r="B320" s="192" t="s">
        <v>406</v>
      </c>
      <c r="C320" s="196">
        <v>0</v>
      </c>
      <c r="D320" s="196">
        <v>968000</v>
      </c>
      <c r="E320" s="196">
        <v>968000</v>
      </c>
      <c r="F320" s="196">
        <v>0</v>
      </c>
      <c r="G320" s="196">
        <v>0</v>
      </c>
    </row>
    <row r="321" spans="1:7" x14ac:dyDescent="0.3">
      <c r="A321" s="198">
        <v>1039455529</v>
      </c>
      <c r="B321" s="192" t="s">
        <v>407</v>
      </c>
      <c r="C321" s="196">
        <v>0</v>
      </c>
      <c r="D321" s="196">
        <v>101800</v>
      </c>
      <c r="E321" s="196">
        <v>101800</v>
      </c>
      <c r="F321" s="196">
        <v>0</v>
      </c>
      <c r="G321" s="196">
        <v>0</v>
      </c>
    </row>
    <row r="322" spans="1:7" x14ac:dyDescent="0.3">
      <c r="A322" s="198">
        <v>22550237</v>
      </c>
      <c r="B322" s="192" t="s">
        <v>408</v>
      </c>
      <c r="C322" s="196">
        <v>0</v>
      </c>
      <c r="D322" s="196">
        <v>101800</v>
      </c>
      <c r="E322" s="196">
        <v>101800</v>
      </c>
      <c r="F322" s="196">
        <v>0</v>
      </c>
      <c r="G322" s="196">
        <v>0</v>
      </c>
    </row>
    <row r="323" spans="1:7" x14ac:dyDescent="0.3">
      <c r="A323" s="198">
        <v>32207106</v>
      </c>
      <c r="B323" s="192" t="s">
        <v>409</v>
      </c>
      <c r="C323" s="196">
        <v>0</v>
      </c>
      <c r="D323" s="196">
        <v>4157200</v>
      </c>
      <c r="E323" s="196">
        <v>4157200</v>
      </c>
      <c r="F323" s="196">
        <v>0</v>
      </c>
      <c r="G323" s="196">
        <v>0</v>
      </c>
    </row>
    <row r="324" spans="1:7" x14ac:dyDescent="0.3">
      <c r="A324" s="198">
        <v>52387762</v>
      </c>
      <c r="B324" s="192" t="s">
        <v>410</v>
      </c>
      <c r="C324" s="196">
        <v>0</v>
      </c>
      <c r="D324" s="196">
        <v>2756200</v>
      </c>
      <c r="E324" s="196">
        <v>2756200</v>
      </c>
      <c r="F324" s="196">
        <v>0</v>
      </c>
      <c r="G324" s="196">
        <v>0</v>
      </c>
    </row>
    <row r="325" spans="1:7" x14ac:dyDescent="0.3">
      <c r="A325" s="198">
        <v>43982984</v>
      </c>
      <c r="B325" s="192" t="s">
        <v>411</v>
      </c>
      <c r="C325" s="196">
        <v>0</v>
      </c>
      <c r="D325" s="196">
        <v>101800</v>
      </c>
      <c r="E325" s="196">
        <v>101800</v>
      </c>
      <c r="F325" s="196">
        <v>0</v>
      </c>
      <c r="G325" s="196">
        <v>0</v>
      </c>
    </row>
    <row r="326" spans="1:7" x14ac:dyDescent="0.3">
      <c r="A326" s="198">
        <v>1036643261</v>
      </c>
      <c r="B326" s="192" t="s">
        <v>412</v>
      </c>
      <c r="C326" s="196">
        <v>0</v>
      </c>
      <c r="D326" s="196">
        <v>101800</v>
      </c>
      <c r="E326" s="196">
        <v>101800</v>
      </c>
      <c r="F326" s="196">
        <v>0</v>
      </c>
      <c r="G326" s="196">
        <v>0</v>
      </c>
    </row>
    <row r="327" spans="1:7" x14ac:dyDescent="0.3">
      <c r="A327" s="198">
        <v>43874917</v>
      </c>
      <c r="B327" s="192" t="s">
        <v>413</v>
      </c>
      <c r="C327" s="196">
        <v>0</v>
      </c>
      <c r="D327" s="196">
        <v>101800</v>
      </c>
      <c r="E327" s="196">
        <v>101800</v>
      </c>
      <c r="F327" s="196">
        <v>0</v>
      </c>
      <c r="G327" s="196">
        <v>0</v>
      </c>
    </row>
    <row r="328" spans="1:7" x14ac:dyDescent="0.3">
      <c r="A328" s="198">
        <v>1039451040</v>
      </c>
      <c r="B328" s="192" t="s">
        <v>414</v>
      </c>
      <c r="C328" s="196">
        <v>0</v>
      </c>
      <c r="D328" s="196">
        <v>186800</v>
      </c>
      <c r="E328" s="196">
        <v>186800</v>
      </c>
      <c r="F328" s="196">
        <v>0</v>
      </c>
      <c r="G328" s="196">
        <v>0</v>
      </c>
    </row>
    <row r="329" spans="1:7" x14ac:dyDescent="0.3">
      <c r="A329" s="198">
        <v>43870429</v>
      </c>
      <c r="B329" s="192" t="s">
        <v>415</v>
      </c>
      <c r="C329" s="196">
        <v>0</v>
      </c>
      <c r="D329" s="196">
        <v>101800</v>
      </c>
      <c r="E329" s="196">
        <v>101800</v>
      </c>
      <c r="F329" s="196">
        <v>0</v>
      </c>
      <c r="G329" s="196">
        <v>0</v>
      </c>
    </row>
    <row r="330" spans="1:7" x14ac:dyDescent="0.3">
      <c r="A330" s="198">
        <v>1000748590</v>
      </c>
      <c r="B330" s="192" t="s">
        <v>416</v>
      </c>
      <c r="C330" s="196">
        <v>0</v>
      </c>
      <c r="D330" s="196">
        <v>297000</v>
      </c>
      <c r="E330" s="196">
        <v>297000</v>
      </c>
      <c r="F330" s="196">
        <v>0</v>
      </c>
      <c r="G330" s="196">
        <v>0</v>
      </c>
    </row>
    <row r="331" spans="1:7" x14ac:dyDescent="0.3">
      <c r="A331" s="198">
        <v>43278671</v>
      </c>
      <c r="B331" s="192" t="s">
        <v>417</v>
      </c>
      <c r="C331" s="196">
        <v>0</v>
      </c>
      <c r="D331" s="196">
        <v>90000</v>
      </c>
      <c r="E331" s="196">
        <v>90000</v>
      </c>
      <c r="F331" s="196">
        <v>0</v>
      </c>
      <c r="G331" s="196">
        <v>0</v>
      </c>
    </row>
    <row r="332" spans="1:7" x14ac:dyDescent="0.3">
      <c r="A332" s="198">
        <v>43085591</v>
      </c>
      <c r="B332" s="192" t="s">
        <v>418</v>
      </c>
      <c r="C332" s="196">
        <v>2</v>
      </c>
      <c r="D332" s="196">
        <v>0</v>
      </c>
      <c r="E332" s="196">
        <v>0</v>
      </c>
      <c r="F332" s="196">
        <v>0</v>
      </c>
      <c r="G332" s="196">
        <v>2</v>
      </c>
    </row>
    <row r="333" spans="1:7" x14ac:dyDescent="0.3">
      <c r="A333" s="198">
        <v>43614881</v>
      </c>
      <c r="B333" s="192" t="s">
        <v>419</v>
      </c>
      <c r="C333" s="196">
        <v>0</v>
      </c>
      <c r="D333" s="196">
        <v>101800</v>
      </c>
      <c r="E333" s="196">
        <v>101800</v>
      </c>
      <c r="F333" s="196">
        <v>0</v>
      </c>
      <c r="G333" s="196">
        <v>0</v>
      </c>
    </row>
    <row r="334" spans="1:7" x14ac:dyDescent="0.3">
      <c r="A334" s="198">
        <v>32351888</v>
      </c>
      <c r="B334" s="192" t="s">
        <v>420</v>
      </c>
      <c r="C334" s="196">
        <v>0</v>
      </c>
      <c r="D334" s="196">
        <v>3898600</v>
      </c>
      <c r="E334" s="196">
        <v>3898600</v>
      </c>
      <c r="F334" s="196">
        <v>0</v>
      </c>
      <c r="G334" s="196">
        <v>0</v>
      </c>
    </row>
    <row r="335" spans="1:7" x14ac:dyDescent="0.3">
      <c r="A335" s="198">
        <v>20940527</v>
      </c>
      <c r="B335" s="192" t="s">
        <v>421</v>
      </c>
      <c r="C335" s="196">
        <v>0</v>
      </c>
      <c r="D335" s="196">
        <v>297000</v>
      </c>
      <c r="E335" s="196">
        <v>297000</v>
      </c>
      <c r="F335" s="196">
        <v>0</v>
      </c>
      <c r="G335" s="196">
        <v>0</v>
      </c>
    </row>
    <row r="336" spans="1:7" x14ac:dyDescent="0.3">
      <c r="A336" s="198">
        <v>1035014543</v>
      </c>
      <c r="B336" s="192" t="s">
        <v>422</v>
      </c>
      <c r="C336" s="196">
        <v>0</v>
      </c>
      <c r="D336" s="196">
        <v>136666</v>
      </c>
      <c r="E336" s="196">
        <v>136666</v>
      </c>
      <c r="F336" s="196">
        <v>0</v>
      </c>
      <c r="G336" s="196">
        <v>0</v>
      </c>
    </row>
    <row r="337" spans="1:7" x14ac:dyDescent="0.3">
      <c r="A337" s="198">
        <v>21334843</v>
      </c>
      <c r="B337" s="192" t="s">
        <v>423</v>
      </c>
      <c r="C337" s="196">
        <v>0</v>
      </c>
      <c r="D337" s="196">
        <v>114400</v>
      </c>
      <c r="E337" s="196">
        <v>114400</v>
      </c>
      <c r="F337" s="196">
        <v>0</v>
      </c>
      <c r="G337" s="196">
        <v>0</v>
      </c>
    </row>
    <row r="338" spans="1:7" x14ac:dyDescent="0.3">
      <c r="A338" s="198">
        <v>98666686</v>
      </c>
      <c r="B338" s="192" t="s">
        <v>424</v>
      </c>
      <c r="C338" s="196">
        <v>0</v>
      </c>
      <c r="D338" s="196">
        <v>297000</v>
      </c>
      <c r="E338" s="196">
        <v>297000</v>
      </c>
      <c r="F338" s="196">
        <v>0</v>
      </c>
      <c r="G338" s="196">
        <v>0</v>
      </c>
    </row>
    <row r="339" spans="1:7" x14ac:dyDescent="0.3">
      <c r="A339" s="198">
        <v>71271398</v>
      </c>
      <c r="B339" s="192" t="s">
        <v>425</v>
      </c>
      <c r="C339" s="196">
        <v>0</v>
      </c>
      <c r="D339" s="196">
        <v>207900</v>
      </c>
      <c r="E339" s="196">
        <v>207900</v>
      </c>
      <c r="F339" s="196">
        <v>0</v>
      </c>
      <c r="G339" s="196">
        <v>0</v>
      </c>
    </row>
    <row r="340" spans="1:7" x14ac:dyDescent="0.3">
      <c r="A340" s="198">
        <v>70112854</v>
      </c>
      <c r="B340" s="192" t="s">
        <v>426</v>
      </c>
      <c r="C340" s="196">
        <v>0</v>
      </c>
      <c r="D340" s="196">
        <v>165600</v>
      </c>
      <c r="E340" s="196">
        <v>165600</v>
      </c>
      <c r="F340" s="196">
        <v>0</v>
      </c>
      <c r="G340" s="196">
        <v>0</v>
      </c>
    </row>
    <row r="341" spans="1:7" x14ac:dyDescent="0.3">
      <c r="A341" s="198">
        <v>71736919</v>
      </c>
      <c r="B341" s="192" t="s">
        <v>427</v>
      </c>
      <c r="C341" s="196">
        <v>0</v>
      </c>
      <c r="D341" s="196">
        <v>101800</v>
      </c>
      <c r="E341" s="196">
        <v>101800</v>
      </c>
      <c r="F341" s="196">
        <v>0</v>
      </c>
      <c r="G341" s="196">
        <v>0</v>
      </c>
    </row>
    <row r="342" spans="1:7" x14ac:dyDescent="0.3">
      <c r="A342" s="198">
        <v>71654308</v>
      </c>
      <c r="B342" s="192" t="s">
        <v>428</v>
      </c>
      <c r="C342" s="196">
        <v>0</v>
      </c>
      <c r="D342" s="196">
        <v>108400</v>
      </c>
      <c r="E342" s="196">
        <v>108400</v>
      </c>
      <c r="F342" s="196">
        <v>0</v>
      </c>
      <c r="G342" s="196">
        <v>0</v>
      </c>
    </row>
    <row r="343" spans="1:7" x14ac:dyDescent="0.3">
      <c r="A343" s="198">
        <v>79236164</v>
      </c>
      <c r="B343" s="192" t="s">
        <v>429</v>
      </c>
      <c r="C343" s="196">
        <v>1</v>
      </c>
      <c r="D343" s="196">
        <v>0</v>
      </c>
      <c r="E343" s="196">
        <v>0</v>
      </c>
      <c r="F343" s="196">
        <v>0</v>
      </c>
      <c r="G343" s="196">
        <v>1</v>
      </c>
    </row>
    <row r="344" spans="1:7" x14ac:dyDescent="0.3">
      <c r="A344" s="198">
        <v>3227703</v>
      </c>
      <c r="B344" s="192" t="s">
        <v>430</v>
      </c>
      <c r="C344" s="196">
        <v>0</v>
      </c>
      <c r="D344" s="196">
        <v>504900</v>
      </c>
      <c r="E344" s="196">
        <v>504899</v>
      </c>
      <c r="F344" s="196">
        <v>1</v>
      </c>
      <c r="G344" s="196">
        <v>1</v>
      </c>
    </row>
    <row r="345" spans="1:7" x14ac:dyDescent="0.3">
      <c r="A345" s="198">
        <v>1020459390</v>
      </c>
      <c r="B345" s="192" t="s">
        <v>431</v>
      </c>
      <c r="C345" s="196">
        <v>0</v>
      </c>
      <c r="D345" s="196">
        <v>963000</v>
      </c>
      <c r="E345" s="196">
        <v>963000</v>
      </c>
      <c r="F345" s="196">
        <v>0</v>
      </c>
      <c r="G345" s="196">
        <v>0</v>
      </c>
    </row>
    <row r="346" spans="1:7" x14ac:dyDescent="0.3">
      <c r="A346" s="198">
        <v>1103114605</v>
      </c>
      <c r="B346" s="192" t="s">
        <v>432</v>
      </c>
      <c r="C346" s="196">
        <v>0</v>
      </c>
      <c r="D346" s="196">
        <v>101800</v>
      </c>
      <c r="E346" s="196">
        <v>101800</v>
      </c>
      <c r="F346" s="196">
        <v>0</v>
      </c>
      <c r="G346" s="196">
        <v>0</v>
      </c>
    </row>
    <row r="347" spans="1:7" x14ac:dyDescent="0.3">
      <c r="A347" s="198">
        <v>1001764389</v>
      </c>
      <c r="B347" s="192" t="s">
        <v>433</v>
      </c>
      <c r="C347" s="196">
        <v>0</v>
      </c>
      <c r="D347" s="196">
        <v>3500000</v>
      </c>
      <c r="E347" s="196">
        <v>3500000</v>
      </c>
      <c r="F347" s="196">
        <v>0</v>
      </c>
      <c r="G347" s="196">
        <v>0</v>
      </c>
    </row>
    <row r="348" spans="1:7" x14ac:dyDescent="0.3">
      <c r="A348" s="198">
        <v>1034988193</v>
      </c>
      <c r="B348" s="192" t="s">
        <v>434</v>
      </c>
      <c r="C348" s="196">
        <v>0</v>
      </c>
      <c r="D348" s="196">
        <v>158600</v>
      </c>
      <c r="E348" s="196">
        <v>158600</v>
      </c>
      <c r="F348" s="196">
        <v>0</v>
      </c>
      <c r="G348" s="196">
        <v>0</v>
      </c>
    </row>
    <row r="349" spans="1:7" x14ac:dyDescent="0.3">
      <c r="A349" s="198">
        <v>1015199327</v>
      </c>
      <c r="B349" s="192" t="s">
        <v>435</v>
      </c>
      <c r="C349" s="196">
        <v>0</v>
      </c>
      <c r="D349" s="196">
        <v>101800</v>
      </c>
      <c r="E349" s="196">
        <v>101800</v>
      </c>
      <c r="F349" s="196">
        <v>0</v>
      </c>
      <c r="G349" s="196">
        <v>0</v>
      </c>
    </row>
    <row r="350" spans="1:7" x14ac:dyDescent="0.3">
      <c r="A350" s="198">
        <v>21823039</v>
      </c>
      <c r="B350" s="192" t="s">
        <v>436</v>
      </c>
      <c r="C350" s="196">
        <v>1</v>
      </c>
      <c r="D350" s="196">
        <v>0</v>
      </c>
      <c r="E350" s="196">
        <v>0</v>
      </c>
      <c r="F350" s="196">
        <v>0</v>
      </c>
      <c r="G350" s="196">
        <v>1</v>
      </c>
    </row>
    <row r="351" spans="1:7" x14ac:dyDescent="0.3">
      <c r="A351" s="198">
        <v>21401206</v>
      </c>
      <c r="B351" s="192" t="s">
        <v>437</v>
      </c>
      <c r="C351" s="196">
        <v>0</v>
      </c>
      <c r="D351" s="196">
        <v>168800</v>
      </c>
      <c r="E351" s="196">
        <v>168800</v>
      </c>
      <c r="F351" s="196">
        <v>0</v>
      </c>
      <c r="G351" s="196">
        <v>0</v>
      </c>
    </row>
    <row r="352" spans="1:7" x14ac:dyDescent="0.3">
      <c r="A352" s="198">
        <v>43740222</v>
      </c>
      <c r="B352" s="192" t="s">
        <v>438</v>
      </c>
      <c r="C352" s="196">
        <v>0</v>
      </c>
      <c r="D352" s="196">
        <v>101800</v>
      </c>
      <c r="E352" s="196">
        <v>101800</v>
      </c>
      <c r="F352" s="196">
        <v>0</v>
      </c>
      <c r="G352" s="196">
        <v>0</v>
      </c>
    </row>
    <row r="353" spans="1:7" x14ac:dyDescent="0.3">
      <c r="A353" s="198">
        <v>43667274</v>
      </c>
      <c r="B353" s="192" t="s">
        <v>439</v>
      </c>
      <c r="C353" s="196">
        <v>0</v>
      </c>
      <c r="D353" s="196">
        <v>326800</v>
      </c>
      <c r="E353" s="196">
        <v>326800</v>
      </c>
      <c r="F353" s="196">
        <v>0</v>
      </c>
      <c r="G353" s="196">
        <v>0</v>
      </c>
    </row>
    <row r="354" spans="1:7" x14ac:dyDescent="0.3">
      <c r="A354" s="198">
        <v>43795693</v>
      </c>
      <c r="B354" s="192" t="s">
        <v>440</v>
      </c>
      <c r="C354" s="196">
        <v>0</v>
      </c>
      <c r="D354" s="196">
        <v>101800</v>
      </c>
      <c r="E354" s="196">
        <v>101800</v>
      </c>
      <c r="F354" s="196">
        <v>0</v>
      </c>
      <c r="G354" s="196">
        <v>0</v>
      </c>
    </row>
    <row r="355" spans="1:7" x14ac:dyDescent="0.3">
      <c r="A355" s="198">
        <v>43752148</v>
      </c>
      <c r="B355" s="192" t="s">
        <v>441</v>
      </c>
      <c r="C355" s="196">
        <v>0</v>
      </c>
      <c r="D355" s="196">
        <v>101800</v>
      </c>
      <c r="E355" s="196">
        <v>101800</v>
      </c>
      <c r="F355" s="196">
        <v>0</v>
      </c>
      <c r="G355" s="196">
        <v>0</v>
      </c>
    </row>
    <row r="356" spans="1:7" x14ac:dyDescent="0.3">
      <c r="A356" s="198">
        <v>32351307</v>
      </c>
      <c r="B356" s="192" t="s">
        <v>442</v>
      </c>
      <c r="C356" s="196">
        <v>0</v>
      </c>
      <c r="D356" s="196">
        <v>337800</v>
      </c>
      <c r="E356" s="196">
        <v>337800</v>
      </c>
      <c r="F356" s="196">
        <v>0</v>
      </c>
      <c r="G356" s="196">
        <v>0</v>
      </c>
    </row>
    <row r="357" spans="1:7" x14ac:dyDescent="0.3">
      <c r="A357" s="198">
        <v>43735606</v>
      </c>
      <c r="B357" s="192" t="s">
        <v>443</v>
      </c>
      <c r="C357" s="196">
        <v>0</v>
      </c>
      <c r="D357" s="196">
        <v>82800</v>
      </c>
      <c r="E357" s="196">
        <v>82800</v>
      </c>
      <c r="F357" s="196">
        <v>0</v>
      </c>
      <c r="G357" s="196">
        <v>0</v>
      </c>
    </row>
    <row r="358" spans="1:7" x14ac:dyDescent="0.3">
      <c r="A358" s="198">
        <v>223226772</v>
      </c>
      <c r="B358" s="192" t="s">
        <v>444</v>
      </c>
      <c r="C358" s="196">
        <v>101800</v>
      </c>
      <c r="D358" s="196">
        <v>0</v>
      </c>
      <c r="E358" s="196">
        <v>0</v>
      </c>
      <c r="F358" s="196">
        <v>0</v>
      </c>
      <c r="G358" s="196">
        <v>101800</v>
      </c>
    </row>
    <row r="359" spans="1:7" x14ac:dyDescent="0.3">
      <c r="A359" s="198">
        <v>1060268270</v>
      </c>
      <c r="B359" s="192" t="s">
        <v>445</v>
      </c>
      <c r="C359" s="196">
        <v>165000</v>
      </c>
      <c r="D359" s="196">
        <v>0</v>
      </c>
      <c r="E359" s="196">
        <v>0</v>
      </c>
      <c r="F359" s="196">
        <v>0</v>
      </c>
      <c r="G359" s="196">
        <v>165000</v>
      </c>
    </row>
    <row r="360" spans="1:7" x14ac:dyDescent="0.3">
      <c r="A360" s="198">
        <v>31577431</v>
      </c>
      <c r="B360" s="192" t="s">
        <v>446</v>
      </c>
      <c r="C360" s="196">
        <v>0</v>
      </c>
      <c r="D360" s="196">
        <v>230400</v>
      </c>
      <c r="E360" s="196">
        <v>230400</v>
      </c>
      <c r="F360" s="196">
        <v>0</v>
      </c>
      <c r="G360" s="196">
        <v>0</v>
      </c>
    </row>
    <row r="361" spans="1:7" x14ac:dyDescent="0.3">
      <c r="A361" s="198">
        <v>32291904</v>
      </c>
      <c r="B361" s="192" t="s">
        <v>447</v>
      </c>
      <c r="C361" s="196">
        <v>0</v>
      </c>
      <c r="D361" s="196">
        <v>963000</v>
      </c>
      <c r="E361" s="196">
        <v>963000</v>
      </c>
      <c r="F361" s="196">
        <v>0</v>
      </c>
      <c r="G361" s="196">
        <v>0</v>
      </c>
    </row>
    <row r="362" spans="1:7" x14ac:dyDescent="0.3">
      <c r="A362" s="198">
        <v>43513771</v>
      </c>
      <c r="B362" s="192" t="s">
        <v>448</v>
      </c>
      <c r="C362" s="196">
        <v>0</v>
      </c>
      <c r="D362" s="196">
        <v>101800</v>
      </c>
      <c r="E362" s="196">
        <v>101800</v>
      </c>
      <c r="F362" s="196">
        <v>0</v>
      </c>
      <c r="G362" s="196">
        <v>0</v>
      </c>
    </row>
    <row r="363" spans="1:7" x14ac:dyDescent="0.3">
      <c r="A363" s="198">
        <v>43100150</v>
      </c>
      <c r="B363" s="192" t="s">
        <v>449</v>
      </c>
      <c r="C363" s="196">
        <v>0</v>
      </c>
      <c r="D363" s="196">
        <v>101800</v>
      </c>
      <c r="E363" s="196">
        <v>101800</v>
      </c>
      <c r="F363" s="196">
        <v>0</v>
      </c>
      <c r="G363" s="196">
        <v>0</v>
      </c>
    </row>
    <row r="364" spans="1:7" x14ac:dyDescent="0.3">
      <c r="A364" s="198">
        <v>38888529</v>
      </c>
      <c r="B364" s="192" t="s">
        <v>450</v>
      </c>
      <c r="C364" s="196">
        <v>0</v>
      </c>
      <c r="D364" s="196">
        <v>94800</v>
      </c>
      <c r="E364" s="196">
        <v>94800</v>
      </c>
      <c r="F364" s="196">
        <v>0</v>
      </c>
      <c r="G364" s="196">
        <v>0</v>
      </c>
    </row>
    <row r="365" spans="1:7" x14ac:dyDescent="0.3">
      <c r="A365" s="198">
        <v>75092625</v>
      </c>
      <c r="B365" s="192" t="s">
        <v>451</v>
      </c>
      <c r="C365" s="196">
        <v>0</v>
      </c>
      <c r="D365" s="196">
        <v>165000</v>
      </c>
      <c r="E365" s="196">
        <v>165000</v>
      </c>
      <c r="F365" s="196">
        <v>0</v>
      </c>
      <c r="G365" s="196">
        <v>0</v>
      </c>
    </row>
    <row r="366" spans="1:7" x14ac:dyDescent="0.3">
      <c r="A366" s="198">
        <v>1192746112</v>
      </c>
      <c r="B366" s="192" t="s">
        <v>452</v>
      </c>
      <c r="C366" s="196">
        <v>0</v>
      </c>
      <c r="D366" s="196">
        <v>968000</v>
      </c>
      <c r="E366" s="196">
        <v>968000</v>
      </c>
      <c r="F366" s="196">
        <v>0</v>
      </c>
      <c r="G366" s="196">
        <v>0</v>
      </c>
    </row>
    <row r="367" spans="1:7" x14ac:dyDescent="0.3">
      <c r="A367" s="198">
        <v>32488777</v>
      </c>
      <c r="B367" s="192" t="s">
        <v>453</v>
      </c>
      <c r="C367" s="196">
        <v>0</v>
      </c>
      <c r="D367" s="196">
        <v>92800</v>
      </c>
      <c r="E367" s="196">
        <v>92800</v>
      </c>
      <c r="F367" s="196">
        <v>0</v>
      </c>
      <c r="G367" s="196">
        <v>0</v>
      </c>
    </row>
    <row r="368" spans="1:7" x14ac:dyDescent="0.3">
      <c r="A368" s="198">
        <v>800106339</v>
      </c>
      <c r="B368" s="192" t="s">
        <v>454</v>
      </c>
      <c r="C368" s="196">
        <v>101041873.29000001</v>
      </c>
      <c r="D368" s="196">
        <v>6779531</v>
      </c>
      <c r="E368" s="196">
        <v>1591342</v>
      </c>
      <c r="F368" s="196">
        <v>5188189</v>
      </c>
      <c r="G368" s="196">
        <v>106230062.29000001</v>
      </c>
    </row>
    <row r="369" spans="1:7" x14ac:dyDescent="0.3">
      <c r="A369" s="198">
        <v>860002503</v>
      </c>
      <c r="B369" s="192" t="s">
        <v>455</v>
      </c>
      <c r="C369" s="196">
        <v>50761531.969999999</v>
      </c>
      <c r="D369" s="196">
        <v>110373020.54000001</v>
      </c>
      <c r="E369" s="196">
        <v>98689463.540000007</v>
      </c>
      <c r="F369" s="196">
        <v>11683557</v>
      </c>
      <c r="G369" s="196">
        <v>62445088.969999999</v>
      </c>
    </row>
    <row r="370" spans="1:7" x14ac:dyDescent="0.3">
      <c r="A370" s="198">
        <v>901469580</v>
      </c>
      <c r="B370" s="192" t="s">
        <v>456</v>
      </c>
      <c r="C370" s="196">
        <v>0</v>
      </c>
      <c r="D370" s="196">
        <v>90500</v>
      </c>
      <c r="E370" s="196">
        <v>0</v>
      </c>
      <c r="F370" s="196">
        <v>90500</v>
      </c>
      <c r="G370" s="196">
        <v>90500</v>
      </c>
    </row>
    <row r="371" spans="1:7" x14ac:dyDescent="0.3">
      <c r="A371" s="198">
        <v>15665703</v>
      </c>
      <c r="B371" s="192" t="s">
        <v>457</v>
      </c>
      <c r="C371" s="196">
        <v>1</v>
      </c>
      <c r="D371" s="196">
        <v>0</v>
      </c>
      <c r="E371" s="196">
        <v>0</v>
      </c>
      <c r="F371" s="196">
        <v>0</v>
      </c>
      <c r="G371" s="196">
        <v>1</v>
      </c>
    </row>
    <row r="372" spans="1:7" x14ac:dyDescent="0.3">
      <c r="A372" s="198">
        <v>42870338</v>
      </c>
      <c r="B372" s="192" t="s">
        <v>458</v>
      </c>
      <c r="C372" s="196">
        <v>0</v>
      </c>
      <c r="D372" s="196">
        <v>396000</v>
      </c>
      <c r="E372" s="196">
        <v>0</v>
      </c>
      <c r="F372" s="196">
        <v>396000</v>
      </c>
      <c r="G372" s="196">
        <v>396000</v>
      </c>
    </row>
    <row r="373" spans="1:7" x14ac:dyDescent="0.3">
      <c r="A373" s="198">
        <v>900901490</v>
      </c>
      <c r="B373" s="192" t="s">
        <v>459</v>
      </c>
      <c r="C373" s="196">
        <v>16923200</v>
      </c>
      <c r="D373" s="196">
        <v>0</v>
      </c>
      <c r="E373" s="196">
        <v>16923195</v>
      </c>
      <c r="F373" s="196">
        <v>-16923195</v>
      </c>
      <c r="G373" s="196">
        <v>5</v>
      </c>
    </row>
    <row r="374" spans="1:7" x14ac:dyDescent="0.3">
      <c r="A374" s="198">
        <v>21366560</v>
      </c>
      <c r="B374" s="192" t="s">
        <v>460</v>
      </c>
      <c r="C374" s="196">
        <v>0</v>
      </c>
      <c r="D374" s="196">
        <v>676000</v>
      </c>
      <c r="E374" s="196">
        <v>676000</v>
      </c>
      <c r="F374" s="196">
        <v>0</v>
      </c>
      <c r="G374" s="196">
        <v>0</v>
      </c>
    </row>
    <row r="375" spans="1:7" x14ac:dyDescent="0.3">
      <c r="A375" s="198">
        <v>805009741</v>
      </c>
      <c r="B375" s="192" t="s">
        <v>461</v>
      </c>
      <c r="C375" s="196">
        <v>163696193.86000001</v>
      </c>
      <c r="D375" s="196">
        <v>137775201</v>
      </c>
      <c r="E375" s="196">
        <v>203675488.30000001</v>
      </c>
      <c r="F375" s="196">
        <v>-65900287.299999997</v>
      </c>
      <c r="G375" s="196">
        <v>97795906.560000002</v>
      </c>
    </row>
    <row r="376" spans="1:7" x14ac:dyDescent="0.3">
      <c r="A376" s="198">
        <v>1053825950</v>
      </c>
      <c r="B376" s="192" t="s">
        <v>462</v>
      </c>
      <c r="C376" s="196">
        <v>0</v>
      </c>
      <c r="D376" s="196">
        <v>6300000</v>
      </c>
      <c r="E376" s="196">
        <v>6300000</v>
      </c>
      <c r="F376" s="196">
        <v>0</v>
      </c>
      <c r="G376" s="196">
        <v>0</v>
      </c>
    </row>
    <row r="377" spans="1:7" x14ac:dyDescent="0.3">
      <c r="A377" s="198">
        <v>8028422</v>
      </c>
      <c r="B377" s="192" t="s">
        <v>463</v>
      </c>
      <c r="C377" s="196">
        <v>0</v>
      </c>
      <c r="D377" s="196">
        <v>1039400</v>
      </c>
      <c r="E377" s="196">
        <v>1039400</v>
      </c>
      <c r="F377" s="196">
        <v>0</v>
      </c>
      <c r="G377" s="196">
        <v>0</v>
      </c>
    </row>
    <row r="378" spans="1:7" x14ac:dyDescent="0.3">
      <c r="A378" s="198">
        <v>1125642287</v>
      </c>
      <c r="B378" s="192" t="s">
        <v>464</v>
      </c>
      <c r="C378" s="196">
        <v>0</v>
      </c>
      <c r="D378" s="196">
        <v>64800</v>
      </c>
      <c r="E378" s="196">
        <v>64800</v>
      </c>
      <c r="F378" s="196">
        <v>0</v>
      </c>
      <c r="G378" s="196">
        <v>0</v>
      </c>
    </row>
    <row r="379" spans="1:7" x14ac:dyDescent="0.3">
      <c r="A379" s="198">
        <v>1017258958</v>
      </c>
      <c r="B379" s="192" t="s">
        <v>465</v>
      </c>
      <c r="C379" s="196">
        <v>0</v>
      </c>
      <c r="D379" s="196">
        <v>963000</v>
      </c>
      <c r="E379" s="196">
        <v>963000</v>
      </c>
      <c r="F379" s="196">
        <v>0</v>
      </c>
      <c r="G379" s="196">
        <v>0</v>
      </c>
    </row>
    <row r="380" spans="1:7" x14ac:dyDescent="0.3">
      <c r="A380" s="198">
        <v>71607242</v>
      </c>
      <c r="B380" s="192" t="s">
        <v>466</v>
      </c>
      <c r="C380" s="196">
        <v>5</v>
      </c>
      <c r="D380" s="196">
        <v>0</v>
      </c>
      <c r="E380" s="196">
        <v>0</v>
      </c>
      <c r="F380" s="196">
        <v>0</v>
      </c>
      <c r="G380" s="196">
        <v>5</v>
      </c>
    </row>
    <row r="381" spans="1:7" x14ac:dyDescent="0.3">
      <c r="A381" s="198">
        <v>71228070</v>
      </c>
      <c r="B381" s="192" t="s">
        <v>467</v>
      </c>
      <c r="C381" s="196">
        <v>0</v>
      </c>
      <c r="D381" s="196">
        <v>168200</v>
      </c>
      <c r="E381" s="196">
        <v>168200</v>
      </c>
      <c r="F381" s="196">
        <v>0</v>
      </c>
      <c r="G381" s="196">
        <v>0</v>
      </c>
    </row>
    <row r="382" spans="1:7" x14ac:dyDescent="0.3">
      <c r="A382" s="198">
        <v>1035000459</v>
      </c>
      <c r="B382" s="192" t="s">
        <v>468</v>
      </c>
      <c r="C382" s="196">
        <v>0</v>
      </c>
      <c r="D382" s="196">
        <v>98000</v>
      </c>
      <c r="E382" s="196">
        <v>98000</v>
      </c>
      <c r="F382" s="196">
        <v>0</v>
      </c>
      <c r="G382" s="196">
        <v>0</v>
      </c>
    </row>
    <row r="383" spans="1:7" x14ac:dyDescent="0.3">
      <c r="A383" s="198">
        <v>43428288</v>
      </c>
      <c r="B383" s="192" t="s">
        <v>469</v>
      </c>
      <c r="C383" s="196">
        <v>0</v>
      </c>
      <c r="D383" s="196">
        <v>2829200</v>
      </c>
      <c r="E383" s="196">
        <v>2829200</v>
      </c>
      <c r="F383" s="196">
        <v>0</v>
      </c>
      <c r="G383" s="196">
        <v>0</v>
      </c>
    </row>
    <row r="384" spans="1:7" x14ac:dyDescent="0.3">
      <c r="A384" s="198">
        <v>60318407</v>
      </c>
      <c r="B384" s="192" t="s">
        <v>470</v>
      </c>
      <c r="C384" s="196">
        <v>0</v>
      </c>
      <c r="D384" s="196">
        <v>1562000</v>
      </c>
      <c r="E384" s="196">
        <v>1562000</v>
      </c>
      <c r="F384" s="196">
        <v>0</v>
      </c>
      <c r="G384" s="196">
        <v>0</v>
      </c>
    </row>
    <row r="385" spans="1:7" x14ac:dyDescent="0.3">
      <c r="A385" s="198">
        <v>3399066</v>
      </c>
      <c r="B385" s="192" t="s">
        <v>471</v>
      </c>
      <c r="C385" s="196">
        <v>0</v>
      </c>
      <c r="D385" s="196">
        <v>6281200</v>
      </c>
      <c r="E385" s="196">
        <v>6281200</v>
      </c>
      <c r="F385" s="196">
        <v>0</v>
      </c>
      <c r="G385" s="196">
        <v>0</v>
      </c>
    </row>
    <row r="386" spans="1:7" x14ac:dyDescent="0.3">
      <c r="A386" s="198">
        <v>535719382</v>
      </c>
      <c r="B386" s="192" t="s">
        <v>472</v>
      </c>
      <c r="C386" s="196">
        <v>0</v>
      </c>
      <c r="D386" s="196">
        <v>409000</v>
      </c>
      <c r="E386" s="196">
        <v>409000</v>
      </c>
      <c r="F386" s="196">
        <v>0</v>
      </c>
      <c r="G386" s="196">
        <v>0</v>
      </c>
    </row>
    <row r="387" spans="1:7" x14ac:dyDescent="0.3">
      <c r="A387" s="198">
        <v>1088271062</v>
      </c>
      <c r="B387" s="192" t="s">
        <v>473</v>
      </c>
      <c r="C387" s="196">
        <v>0</v>
      </c>
      <c r="D387" s="196">
        <v>3800000</v>
      </c>
      <c r="E387" s="196">
        <v>3800000</v>
      </c>
      <c r="F387" s="196">
        <v>0</v>
      </c>
      <c r="G387" s="196">
        <v>0</v>
      </c>
    </row>
    <row r="388" spans="1:7" x14ac:dyDescent="0.3">
      <c r="A388" s="198">
        <v>1020433856</v>
      </c>
      <c r="B388" s="192" t="s">
        <v>474</v>
      </c>
      <c r="C388" s="196">
        <v>0</v>
      </c>
      <c r="D388" s="196">
        <v>101800</v>
      </c>
      <c r="E388" s="196">
        <v>101800</v>
      </c>
      <c r="F388" s="196">
        <v>0</v>
      </c>
      <c r="G388" s="196">
        <v>0</v>
      </c>
    </row>
    <row r="389" spans="1:7" x14ac:dyDescent="0.3">
      <c r="A389" s="198">
        <v>1128269844</v>
      </c>
      <c r="B389" s="192" t="s">
        <v>475</v>
      </c>
      <c r="C389" s="196">
        <v>0</v>
      </c>
      <c r="D389" s="196">
        <v>114400</v>
      </c>
      <c r="E389" s="196">
        <v>114400</v>
      </c>
      <c r="F389" s="196">
        <v>0</v>
      </c>
      <c r="G389" s="196">
        <v>0</v>
      </c>
    </row>
    <row r="390" spans="1:7" x14ac:dyDescent="0.3">
      <c r="A390" s="198">
        <v>43489520</v>
      </c>
      <c r="B390" s="192" t="s">
        <v>476</v>
      </c>
      <c r="C390" s="196">
        <v>0</v>
      </c>
      <c r="D390" s="196">
        <v>114400</v>
      </c>
      <c r="E390" s="196">
        <v>114400</v>
      </c>
      <c r="F390" s="196">
        <v>0</v>
      </c>
      <c r="G390" s="196">
        <v>0</v>
      </c>
    </row>
    <row r="391" spans="1:7" x14ac:dyDescent="0.3">
      <c r="A391" s="198">
        <v>1000853380</v>
      </c>
      <c r="B391" s="192" t="s">
        <v>477</v>
      </c>
      <c r="C391" s="196">
        <v>0</v>
      </c>
      <c r="D391" s="196">
        <v>82800</v>
      </c>
      <c r="E391" s="196">
        <v>82800</v>
      </c>
      <c r="F391" s="196">
        <v>0</v>
      </c>
      <c r="G391" s="196">
        <v>0</v>
      </c>
    </row>
    <row r="392" spans="1:7" x14ac:dyDescent="0.3">
      <c r="A392" s="198">
        <v>1128424733</v>
      </c>
      <c r="B392" s="192" t="s">
        <v>478</v>
      </c>
      <c r="C392" s="196">
        <v>0</v>
      </c>
      <c r="D392" s="196">
        <v>114400</v>
      </c>
      <c r="E392" s="196">
        <v>114400</v>
      </c>
      <c r="F392" s="196">
        <v>0</v>
      </c>
      <c r="G392" s="196">
        <v>0</v>
      </c>
    </row>
    <row r="393" spans="1:7" x14ac:dyDescent="0.3">
      <c r="A393" s="198">
        <v>1152711894</v>
      </c>
      <c r="B393" s="192" t="s">
        <v>479</v>
      </c>
      <c r="C393" s="196">
        <v>0</v>
      </c>
      <c r="D393" s="196">
        <v>441800</v>
      </c>
      <c r="E393" s="196">
        <v>441800</v>
      </c>
      <c r="F393" s="196">
        <v>0</v>
      </c>
      <c r="G393" s="196">
        <v>0</v>
      </c>
    </row>
    <row r="394" spans="1:7" x14ac:dyDescent="0.3">
      <c r="A394" s="198">
        <v>1017267930</v>
      </c>
      <c r="B394" s="192" t="s">
        <v>480</v>
      </c>
      <c r="C394" s="196">
        <v>-0.3</v>
      </c>
      <c r="D394" s="196">
        <v>0</v>
      </c>
      <c r="E394" s="196">
        <v>0</v>
      </c>
      <c r="F394" s="196">
        <v>0</v>
      </c>
      <c r="G394" s="196">
        <v>-0.3</v>
      </c>
    </row>
    <row r="395" spans="1:7" x14ac:dyDescent="0.3">
      <c r="A395" s="198">
        <v>71786846</v>
      </c>
      <c r="B395" s="192" t="s">
        <v>481</v>
      </c>
      <c r="C395" s="196">
        <v>0</v>
      </c>
      <c r="D395" s="196">
        <v>166600</v>
      </c>
      <c r="E395" s="196">
        <v>166600</v>
      </c>
      <c r="F395" s="196">
        <v>0</v>
      </c>
      <c r="G395" s="196">
        <v>0</v>
      </c>
    </row>
    <row r="396" spans="1:7" x14ac:dyDescent="0.3">
      <c r="A396" s="198">
        <v>71748767</v>
      </c>
      <c r="B396" s="192" t="s">
        <v>482</v>
      </c>
      <c r="C396" s="196">
        <v>0</v>
      </c>
      <c r="D396" s="196">
        <v>87800</v>
      </c>
      <c r="E396" s="196">
        <v>87800</v>
      </c>
      <c r="F396" s="196">
        <v>0</v>
      </c>
      <c r="G396" s="196">
        <v>0</v>
      </c>
    </row>
    <row r="397" spans="1:7" x14ac:dyDescent="0.3">
      <c r="A397" s="198">
        <v>1020448582</v>
      </c>
      <c r="B397" s="192" t="s">
        <v>483</v>
      </c>
      <c r="C397" s="196">
        <v>0</v>
      </c>
      <c r="D397" s="196">
        <v>1852200</v>
      </c>
      <c r="E397" s="196">
        <v>1852200</v>
      </c>
      <c r="F397" s="196">
        <v>0</v>
      </c>
      <c r="G397" s="196">
        <v>0</v>
      </c>
    </row>
    <row r="398" spans="1:7" x14ac:dyDescent="0.3">
      <c r="A398" s="198">
        <v>1036672398</v>
      </c>
      <c r="B398" s="192" t="s">
        <v>484</v>
      </c>
      <c r="C398" s="196">
        <v>0</v>
      </c>
      <c r="D398" s="196">
        <v>11956200</v>
      </c>
      <c r="E398" s="196">
        <v>11956200</v>
      </c>
      <c r="F398" s="196">
        <v>0</v>
      </c>
      <c r="G398" s="196">
        <v>0</v>
      </c>
    </row>
    <row r="399" spans="1:7" x14ac:dyDescent="0.3">
      <c r="A399" s="198">
        <v>1037641568</v>
      </c>
      <c r="B399" s="192" t="s">
        <v>485</v>
      </c>
      <c r="C399" s="196">
        <v>1</v>
      </c>
      <c r="D399" s="196">
        <v>0</v>
      </c>
      <c r="E399" s="196">
        <v>0</v>
      </c>
      <c r="F399" s="196">
        <v>0</v>
      </c>
      <c r="G399" s="196">
        <v>1</v>
      </c>
    </row>
    <row r="400" spans="1:7" x14ac:dyDescent="0.3">
      <c r="A400" s="198">
        <v>1037640830</v>
      </c>
      <c r="B400" s="192" t="s">
        <v>486</v>
      </c>
      <c r="C400" s="196">
        <v>0</v>
      </c>
      <c r="D400" s="196">
        <v>963000</v>
      </c>
      <c r="E400" s="196">
        <v>963000</v>
      </c>
      <c r="F400" s="196">
        <v>0</v>
      </c>
      <c r="G400" s="196">
        <v>0</v>
      </c>
    </row>
    <row r="401" spans="1:7" x14ac:dyDescent="0.3">
      <c r="A401" s="198">
        <v>1020106917</v>
      </c>
      <c r="B401" s="192" t="s">
        <v>487</v>
      </c>
      <c r="C401" s="196">
        <v>0</v>
      </c>
      <c r="D401" s="196">
        <v>963000</v>
      </c>
      <c r="E401" s="196">
        <v>963000</v>
      </c>
      <c r="F401" s="196">
        <v>0</v>
      </c>
      <c r="G401" s="196">
        <v>0</v>
      </c>
    </row>
    <row r="402" spans="1:7" x14ac:dyDescent="0.3">
      <c r="A402" s="198">
        <v>1036655663</v>
      </c>
      <c r="B402" s="192" t="s">
        <v>488</v>
      </c>
      <c r="C402" s="196">
        <v>0</v>
      </c>
      <c r="D402" s="196">
        <v>101800</v>
      </c>
      <c r="E402" s="196">
        <v>101800</v>
      </c>
      <c r="F402" s="196">
        <v>0</v>
      </c>
      <c r="G402" s="196">
        <v>0</v>
      </c>
    </row>
    <row r="403" spans="1:7" x14ac:dyDescent="0.3">
      <c r="A403" s="198">
        <v>1037650683</v>
      </c>
      <c r="B403" s="192" t="s">
        <v>489</v>
      </c>
      <c r="C403" s="196">
        <v>0</v>
      </c>
      <c r="D403" s="196">
        <v>101800</v>
      </c>
      <c r="E403" s="196">
        <v>101800</v>
      </c>
      <c r="F403" s="196">
        <v>0</v>
      </c>
      <c r="G403" s="196">
        <v>0</v>
      </c>
    </row>
    <row r="404" spans="1:7" x14ac:dyDescent="0.3">
      <c r="A404" s="198">
        <v>1020128630</v>
      </c>
      <c r="B404" s="192" t="s">
        <v>490</v>
      </c>
      <c r="C404" s="196">
        <v>0</v>
      </c>
      <c r="D404" s="196">
        <v>58000</v>
      </c>
      <c r="E404" s="196">
        <v>58000</v>
      </c>
      <c r="F404" s="196">
        <v>0</v>
      </c>
      <c r="G404" s="196">
        <v>0</v>
      </c>
    </row>
    <row r="405" spans="1:7" x14ac:dyDescent="0.3">
      <c r="A405" s="198">
        <v>1040746527</v>
      </c>
      <c r="B405" s="192" t="s">
        <v>491</v>
      </c>
      <c r="C405" s="196">
        <v>0</v>
      </c>
      <c r="D405" s="196">
        <v>1161000</v>
      </c>
      <c r="E405" s="196">
        <v>1161000</v>
      </c>
      <c r="F405" s="196">
        <v>0</v>
      </c>
      <c r="G405" s="196">
        <v>0</v>
      </c>
    </row>
    <row r="406" spans="1:7" x14ac:dyDescent="0.3">
      <c r="A406" s="198">
        <v>1033774065</v>
      </c>
      <c r="B406" s="192" t="s">
        <v>492</v>
      </c>
      <c r="C406" s="196">
        <v>0</v>
      </c>
      <c r="D406" s="196">
        <v>968000</v>
      </c>
      <c r="E406" s="196">
        <v>968000</v>
      </c>
      <c r="F406" s="196">
        <v>0</v>
      </c>
      <c r="G406" s="196">
        <v>0</v>
      </c>
    </row>
    <row r="407" spans="1:7" x14ac:dyDescent="0.3">
      <c r="A407" s="198">
        <v>43161404</v>
      </c>
      <c r="B407" s="192" t="s">
        <v>493</v>
      </c>
      <c r="C407" s="196">
        <v>0</v>
      </c>
      <c r="D407" s="196">
        <v>193800</v>
      </c>
      <c r="E407" s="196">
        <v>193800</v>
      </c>
      <c r="F407" s="196">
        <v>0</v>
      </c>
      <c r="G407" s="196">
        <v>0</v>
      </c>
    </row>
    <row r="408" spans="1:7" x14ac:dyDescent="0.3">
      <c r="A408" s="198">
        <v>1054884607</v>
      </c>
      <c r="B408" s="192" t="s">
        <v>494</v>
      </c>
      <c r="C408" s="196">
        <v>0</v>
      </c>
      <c r="D408" s="196">
        <v>101800</v>
      </c>
      <c r="E408" s="196">
        <v>101800</v>
      </c>
      <c r="F408" s="196">
        <v>0</v>
      </c>
      <c r="G408" s="196">
        <v>0</v>
      </c>
    </row>
    <row r="409" spans="1:7" x14ac:dyDescent="0.3">
      <c r="A409" s="198">
        <v>8357594</v>
      </c>
      <c r="B409" s="192" t="s">
        <v>495</v>
      </c>
      <c r="C409" s="196">
        <v>0</v>
      </c>
      <c r="D409" s="196">
        <v>138800</v>
      </c>
      <c r="E409" s="196">
        <v>138800</v>
      </c>
      <c r="F409" s="196">
        <v>0</v>
      </c>
      <c r="G409" s="196">
        <v>0</v>
      </c>
    </row>
    <row r="410" spans="1:7" x14ac:dyDescent="0.3">
      <c r="A410" s="192" t="s">
        <v>496</v>
      </c>
      <c r="B410" s="192" t="s">
        <v>497</v>
      </c>
      <c r="C410" s="196">
        <v>0</v>
      </c>
      <c r="D410" s="196">
        <v>165000</v>
      </c>
      <c r="E410" s="196">
        <v>165000</v>
      </c>
      <c r="F410" s="196">
        <v>0</v>
      </c>
      <c r="G410" s="196">
        <v>0</v>
      </c>
    </row>
    <row r="411" spans="1:7" x14ac:dyDescent="0.3">
      <c r="A411" s="198">
        <v>1032027613</v>
      </c>
      <c r="B411" s="192" t="s">
        <v>498</v>
      </c>
      <c r="C411" s="196">
        <v>0</v>
      </c>
      <c r="D411" s="196">
        <v>340000</v>
      </c>
      <c r="E411" s="196">
        <v>340000</v>
      </c>
      <c r="F411" s="196">
        <v>0</v>
      </c>
      <c r="G411" s="196">
        <v>0</v>
      </c>
    </row>
    <row r="412" spans="1:7" x14ac:dyDescent="0.3">
      <c r="A412" s="198">
        <v>71291723</v>
      </c>
      <c r="B412" s="192" t="s">
        <v>499</v>
      </c>
      <c r="C412" s="196">
        <v>0</v>
      </c>
      <c r="D412" s="196">
        <v>193800</v>
      </c>
      <c r="E412" s="196">
        <v>193800</v>
      </c>
      <c r="F412" s="196">
        <v>0</v>
      </c>
      <c r="G412" s="196">
        <v>0</v>
      </c>
    </row>
    <row r="413" spans="1:7" x14ac:dyDescent="0.3">
      <c r="A413" s="198">
        <v>1036673324</v>
      </c>
      <c r="B413" s="192" t="s">
        <v>500</v>
      </c>
      <c r="C413" s="196">
        <v>0</v>
      </c>
      <c r="D413" s="196">
        <v>683000</v>
      </c>
      <c r="E413" s="196">
        <v>683000</v>
      </c>
      <c r="F413" s="196">
        <v>0</v>
      </c>
      <c r="G413" s="196">
        <v>0</v>
      </c>
    </row>
    <row r="414" spans="1:7" x14ac:dyDescent="0.3">
      <c r="A414" s="198">
        <v>1038874642</v>
      </c>
      <c r="B414" s="192" t="s">
        <v>501</v>
      </c>
      <c r="C414" s="196">
        <v>0</v>
      </c>
      <c r="D414" s="196">
        <v>207900</v>
      </c>
      <c r="E414" s="196">
        <v>207900</v>
      </c>
      <c r="F414" s="196">
        <v>0</v>
      </c>
      <c r="G414" s="196">
        <v>0</v>
      </c>
    </row>
    <row r="415" spans="1:7" x14ac:dyDescent="0.3">
      <c r="A415" s="198">
        <v>1036658716</v>
      </c>
      <c r="B415" s="192" t="s">
        <v>502</v>
      </c>
      <c r="C415" s="196">
        <v>0</v>
      </c>
      <c r="D415" s="196">
        <v>308000</v>
      </c>
      <c r="E415" s="196">
        <v>308000</v>
      </c>
      <c r="F415" s="196">
        <v>0</v>
      </c>
      <c r="G415" s="196">
        <v>0</v>
      </c>
    </row>
    <row r="416" spans="1:7" x14ac:dyDescent="0.3">
      <c r="A416" s="198">
        <v>1036947810</v>
      </c>
      <c r="B416" s="192" t="s">
        <v>503</v>
      </c>
      <c r="C416" s="196">
        <v>0</v>
      </c>
      <c r="D416" s="196">
        <v>101800</v>
      </c>
      <c r="E416" s="196">
        <v>101800</v>
      </c>
      <c r="F416" s="196">
        <v>0</v>
      </c>
      <c r="G416" s="196">
        <v>0</v>
      </c>
    </row>
    <row r="417" spans="1:7" x14ac:dyDescent="0.3">
      <c r="A417" s="198">
        <v>1193068396</v>
      </c>
      <c r="B417" s="192" t="s">
        <v>504</v>
      </c>
      <c r="C417" s="196">
        <v>0</v>
      </c>
      <c r="D417" s="196">
        <v>223300</v>
      </c>
      <c r="E417" s="196">
        <v>223300</v>
      </c>
      <c r="F417" s="196">
        <v>0</v>
      </c>
      <c r="G417" s="196">
        <v>0</v>
      </c>
    </row>
    <row r="418" spans="1:7" x14ac:dyDescent="0.3">
      <c r="A418" s="198">
        <v>1041205106</v>
      </c>
      <c r="B418" s="192" t="s">
        <v>505</v>
      </c>
      <c r="C418" s="196">
        <v>0</v>
      </c>
      <c r="D418" s="196">
        <v>85000</v>
      </c>
      <c r="E418" s="196">
        <v>85000</v>
      </c>
      <c r="F418" s="196">
        <v>0</v>
      </c>
      <c r="G418" s="196">
        <v>0</v>
      </c>
    </row>
    <row r="419" spans="1:7" x14ac:dyDescent="0.3">
      <c r="A419" s="198">
        <v>98637270</v>
      </c>
      <c r="B419" s="192" t="s">
        <v>506</v>
      </c>
      <c r="C419" s="196">
        <v>0</v>
      </c>
      <c r="D419" s="196">
        <v>60000</v>
      </c>
      <c r="E419" s="196">
        <v>60000</v>
      </c>
      <c r="F419" s="196">
        <v>0</v>
      </c>
      <c r="G419" s="196">
        <v>0</v>
      </c>
    </row>
    <row r="420" spans="1:7" x14ac:dyDescent="0.3">
      <c r="A420" s="198">
        <v>541147936</v>
      </c>
      <c r="B420" s="192" t="s">
        <v>507</v>
      </c>
      <c r="C420" s="196">
        <v>1</v>
      </c>
      <c r="D420" s="196">
        <v>0</v>
      </c>
      <c r="E420" s="196">
        <v>0</v>
      </c>
      <c r="F420" s="196">
        <v>0</v>
      </c>
      <c r="G420" s="196">
        <v>1</v>
      </c>
    </row>
    <row r="421" spans="1:7" x14ac:dyDescent="0.3">
      <c r="A421" s="198">
        <v>1020445462</v>
      </c>
      <c r="B421" s="192" t="s">
        <v>508</v>
      </c>
      <c r="C421" s="196">
        <v>-1</v>
      </c>
      <c r="D421" s="196">
        <v>0</v>
      </c>
      <c r="E421" s="196">
        <v>0</v>
      </c>
      <c r="F421" s="196">
        <v>0</v>
      </c>
      <c r="G421" s="196">
        <v>-1</v>
      </c>
    </row>
    <row r="422" spans="1:7" x14ac:dyDescent="0.3">
      <c r="A422" s="198">
        <v>1128399982</v>
      </c>
      <c r="B422" s="192" t="s">
        <v>509</v>
      </c>
      <c r="C422" s="196">
        <v>0</v>
      </c>
      <c r="D422" s="196">
        <v>1161000</v>
      </c>
      <c r="E422" s="196">
        <v>1161000</v>
      </c>
      <c r="F422" s="196">
        <v>0</v>
      </c>
      <c r="G422" s="196">
        <v>0</v>
      </c>
    </row>
    <row r="423" spans="1:7" x14ac:dyDescent="0.3">
      <c r="A423" s="198">
        <v>1035430166</v>
      </c>
      <c r="B423" s="192" t="s">
        <v>510</v>
      </c>
      <c r="C423" s="196">
        <v>0</v>
      </c>
      <c r="D423" s="196">
        <v>119000</v>
      </c>
      <c r="E423" s="196">
        <v>119000</v>
      </c>
      <c r="F423" s="196">
        <v>0</v>
      </c>
      <c r="G423" s="196">
        <v>0</v>
      </c>
    </row>
    <row r="424" spans="1:7" x14ac:dyDescent="0.3">
      <c r="A424" s="198">
        <v>1128272790</v>
      </c>
      <c r="B424" s="192" t="s">
        <v>511</v>
      </c>
      <c r="C424" s="196">
        <v>0</v>
      </c>
      <c r="D424" s="196">
        <v>101800</v>
      </c>
      <c r="E424" s="196">
        <v>101800</v>
      </c>
      <c r="F424" s="196">
        <v>0</v>
      </c>
      <c r="G424" s="196">
        <v>0</v>
      </c>
    </row>
    <row r="425" spans="1:7" x14ac:dyDescent="0.3">
      <c r="A425" s="198">
        <v>8296845</v>
      </c>
      <c r="B425" s="192" t="s">
        <v>512</v>
      </c>
      <c r="C425" s="196">
        <v>0</v>
      </c>
      <c r="D425" s="196">
        <v>4556200</v>
      </c>
      <c r="E425" s="196">
        <v>4556200</v>
      </c>
      <c r="F425" s="196">
        <v>0</v>
      </c>
      <c r="G425" s="196">
        <v>0</v>
      </c>
    </row>
    <row r="426" spans="1:7" x14ac:dyDescent="0.3">
      <c r="A426" s="192" t="s">
        <v>513</v>
      </c>
      <c r="B426" s="192" t="s">
        <v>514</v>
      </c>
      <c r="C426" s="196">
        <v>0</v>
      </c>
      <c r="D426" s="196">
        <v>4309000</v>
      </c>
      <c r="E426" s="196">
        <v>4309000</v>
      </c>
      <c r="F426" s="196">
        <v>0</v>
      </c>
      <c r="G426" s="196">
        <v>0</v>
      </c>
    </row>
    <row r="427" spans="1:7" x14ac:dyDescent="0.3">
      <c r="A427" s="192" t="s">
        <v>515</v>
      </c>
      <c r="B427" s="192" t="s">
        <v>516</v>
      </c>
      <c r="C427" s="196">
        <v>-269999</v>
      </c>
      <c r="D427" s="196">
        <v>0</v>
      </c>
      <c r="E427" s="196">
        <v>0</v>
      </c>
      <c r="F427" s="196">
        <v>0</v>
      </c>
      <c r="G427" s="196">
        <v>-269999</v>
      </c>
    </row>
    <row r="428" spans="1:7" x14ac:dyDescent="0.3">
      <c r="A428" s="198">
        <v>1128279186</v>
      </c>
      <c r="B428" s="192" t="s">
        <v>517</v>
      </c>
      <c r="C428" s="196">
        <v>0</v>
      </c>
      <c r="D428" s="196">
        <v>101800</v>
      </c>
      <c r="E428" s="196">
        <v>101800</v>
      </c>
      <c r="F428" s="196">
        <v>0</v>
      </c>
      <c r="G428" s="196">
        <v>0</v>
      </c>
    </row>
    <row r="429" spans="1:7" x14ac:dyDescent="0.3">
      <c r="A429" s="198">
        <v>43251662</v>
      </c>
      <c r="B429" s="192" t="s">
        <v>518</v>
      </c>
      <c r="C429" s="196">
        <v>0</v>
      </c>
      <c r="D429" s="196">
        <v>319000</v>
      </c>
      <c r="E429" s="196">
        <v>319000</v>
      </c>
      <c r="F429" s="196">
        <v>0</v>
      </c>
      <c r="G429" s="196">
        <v>0</v>
      </c>
    </row>
    <row r="430" spans="1:7" x14ac:dyDescent="0.3">
      <c r="A430" s="198">
        <v>43604020</v>
      </c>
      <c r="B430" s="192" t="s">
        <v>519</v>
      </c>
      <c r="C430" s="196">
        <v>0</v>
      </c>
      <c r="D430" s="196">
        <v>98000</v>
      </c>
      <c r="E430" s="196">
        <v>98000</v>
      </c>
      <c r="F430" s="196">
        <v>0</v>
      </c>
      <c r="G430" s="196">
        <v>0</v>
      </c>
    </row>
    <row r="431" spans="1:7" x14ac:dyDescent="0.3">
      <c r="A431" s="198">
        <v>32184715</v>
      </c>
      <c r="B431" s="192" t="s">
        <v>520</v>
      </c>
      <c r="C431" s="196">
        <v>0</v>
      </c>
      <c r="D431" s="196">
        <v>101800</v>
      </c>
      <c r="E431" s="196">
        <v>101800</v>
      </c>
      <c r="F431" s="196">
        <v>0</v>
      </c>
      <c r="G431" s="196">
        <v>0</v>
      </c>
    </row>
    <row r="432" spans="1:7" x14ac:dyDescent="0.3">
      <c r="A432" s="198">
        <v>21400198</v>
      </c>
      <c r="B432" s="192" t="s">
        <v>521</v>
      </c>
      <c r="C432" s="196">
        <v>0</v>
      </c>
      <c r="D432" s="196">
        <v>101800</v>
      </c>
      <c r="E432" s="196">
        <v>101800</v>
      </c>
      <c r="F432" s="196">
        <v>0</v>
      </c>
      <c r="G432" s="196">
        <v>0</v>
      </c>
    </row>
    <row r="433" spans="1:7" x14ac:dyDescent="0.3">
      <c r="A433" s="198">
        <v>1017153192</v>
      </c>
      <c r="B433" s="192" t="s">
        <v>522</v>
      </c>
      <c r="C433" s="196">
        <v>0</v>
      </c>
      <c r="D433" s="196">
        <v>184000</v>
      </c>
      <c r="E433" s="196">
        <v>184000</v>
      </c>
      <c r="F433" s="196">
        <v>0</v>
      </c>
      <c r="G433" s="196">
        <v>0</v>
      </c>
    </row>
    <row r="434" spans="1:7" x14ac:dyDescent="0.3">
      <c r="A434" s="198">
        <v>43971528</v>
      </c>
      <c r="B434" s="192" t="s">
        <v>523</v>
      </c>
      <c r="C434" s="196">
        <v>0</v>
      </c>
      <c r="D434" s="196">
        <v>101800</v>
      </c>
      <c r="E434" s="196">
        <v>101800</v>
      </c>
      <c r="F434" s="196">
        <v>0</v>
      </c>
      <c r="G434" s="196">
        <v>0</v>
      </c>
    </row>
    <row r="435" spans="1:7" x14ac:dyDescent="0.3">
      <c r="A435" s="198">
        <v>1126964103</v>
      </c>
      <c r="B435" s="192" t="s">
        <v>524</v>
      </c>
      <c r="C435" s="196">
        <v>0</v>
      </c>
      <c r="D435" s="196">
        <v>101800</v>
      </c>
      <c r="E435" s="196">
        <v>101800</v>
      </c>
      <c r="F435" s="196">
        <v>0</v>
      </c>
      <c r="G435" s="196">
        <v>0</v>
      </c>
    </row>
    <row r="436" spans="1:7" x14ac:dyDescent="0.3">
      <c r="A436" s="198">
        <v>42751512</v>
      </c>
      <c r="B436" s="192" t="s">
        <v>525</v>
      </c>
      <c r="C436" s="196">
        <v>0</v>
      </c>
      <c r="D436" s="196">
        <v>165000</v>
      </c>
      <c r="E436" s="196">
        <v>165000</v>
      </c>
      <c r="F436" s="196">
        <v>0</v>
      </c>
      <c r="G436" s="196">
        <v>0</v>
      </c>
    </row>
    <row r="437" spans="1:7" x14ac:dyDescent="0.3">
      <c r="A437" s="198">
        <v>1036676961</v>
      </c>
      <c r="B437" s="192" t="s">
        <v>526</v>
      </c>
      <c r="C437" s="196">
        <v>0</v>
      </c>
      <c r="D437" s="196">
        <v>963000</v>
      </c>
      <c r="E437" s="196">
        <v>963000</v>
      </c>
      <c r="F437" s="196">
        <v>0</v>
      </c>
      <c r="G437" s="196">
        <v>0</v>
      </c>
    </row>
    <row r="438" spans="1:7" x14ac:dyDescent="0.3">
      <c r="A438" s="198">
        <v>43874201</v>
      </c>
      <c r="B438" s="192" t="s">
        <v>527</v>
      </c>
      <c r="C438" s="196">
        <v>0</v>
      </c>
      <c r="D438" s="196">
        <v>170800</v>
      </c>
      <c r="E438" s="196">
        <v>170800</v>
      </c>
      <c r="F438" s="196">
        <v>0</v>
      </c>
      <c r="G438" s="196">
        <v>0</v>
      </c>
    </row>
    <row r="439" spans="1:7" x14ac:dyDescent="0.3">
      <c r="A439" s="198">
        <v>1042768843</v>
      </c>
      <c r="B439" s="192" t="s">
        <v>528</v>
      </c>
      <c r="C439" s="196">
        <v>-346998</v>
      </c>
      <c r="D439" s="196">
        <v>296999</v>
      </c>
      <c r="E439" s="196">
        <v>296999</v>
      </c>
      <c r="F439" s="196">
        <v>0</v>
      </c>
      <c r="G439" s="196">
        <v>-346998</v>
      </c>
    </row>
    <row r="440" spans="1:7" x14ac:dyDescent="0.3">
      <c r="A440" s="198">
        <v>42771242</v>
      </c>
      <c r="B440" s="192" t="s">
        <v>529</v>
      </c>
      <c r="C440" s="196">
        <v>0</v>
      </c>
      <c r="D440" s="196">
        <v>3898600</v>
      </c>
      <c r="E440" s="196">
        <v>3898600</v>
      </c>
      <c r="F440" s="196">
        <v>0</v>
      </c>
      <c r="G440" s="196">
        <v>0</v>
      </c>
    </row>
    <row r="441" spans="1:7" x14ac:dyDescent="0.3">
      <c r="A441" s="198">
        <v>1017221050</v>
      </c>
      <c r="B441" s="192" t="s">
        <v>530</v>
      </c>
      <c r="C441" s="196">
        <v>0</v>
      </c>
      <c r="D441" s="196">
        <v>963000</v>
      </c>
      <c r="E441" s="196">
        <v>963000</v>
      </c>
      <c r="F441" s="196">
        <v>0</v>
      </c>
      <c r="G441" s="196">
        <v>0</v>
      </c>
    </row>
    <row r="442" spans="1:7" x14ac:dyDescent="0.3">
      <c r="A442" s="198">
        <v>1032248611</v>
      </c>
      <c r="B442" s="192" t="s">
        <v>531</v>
      </c>
      <c r="C442" s="196">
        <v>0</v>
      </c>
      <c r="D442" s="196">
        <v>963000</v>
      </c>
      <c r="E442" s="196">
        <v>963000</v>
      </c>
      <c r="F442" s="196">
        <v>0</v>
      </c>
      <c r="G442" s="196">
        <v>0</v>
      </c>
    </row>
    <row r="443" spans="1:7" x14ac:dyDescent="0.3">
      <c r="A443" s="198">
        <v>16581627</v>
      </c>
      <c r="B443" s="192" t="s">
        <v>532</v>
      </c>
      <c r="C443" s="196">
        <v>0</v>
      </c>
      <c r="D443" s="196">
        <v>380000</v>
      </c>
      <c r="E443" s="196">
        <v>380000</v>
      </c>
      <c r="F443" s="196">
        <v>0</v>
      </c>
      <c r="G443" s="196">
        <v>0</v>
      </c>
    </row>
    <row r="444" spans="1:7" x14ac:dyDescent="0.3">
      <c r="A444" s="198">
        <v>1152446846</v>
      </c>
      <c r="B444" s="192" t="s">
        <v>533</v>
      </c>
      <c r="C444" s="196">
        <v>0</v>
      </c>
      <c r="D444" s="196">
        <v>963000</v>
      </c>
      <c r="E444" s="196">
        <v>963000</v>
      </c>
      <c r="F444" s="196">
        <v>0</v>
      </c>
      <c r="G444" s="196">
        <v>0</v>
      </c>
    </row>
    <row r="445" spans="1:7" x14ac:dyDescent="0.3">
      <c r="A445" s="198">
        <v>98666903</v>
      </c>
      <c r="B445" s="192" t="s">
        <v>534</v>
      </c>
      <c r="C445" s="196">
        <v>0</v>
      </c>
      <c r="D445" s="196">
        <v>362000</v>
      </c>
      <c r="E445" s="196">
        <v>362000</v>
      </c>
      <c r="F445" s="196">
        <v>0</v>
      </c>
      <c r="G445" s="196">
        <v>0</v>
      </c>
    </row>
    <row r="446" spans="1:7" x14ac:dyDescent="0.3">
      <c r="A446" s="198">
        <v>1128398425</v>
      </c>
      <c r="B446" s="192" t="s">
        <v>535</v>
      </c>
      <c r="C446" s="196">
        <v>0</v>
      </c>
      <c r="D446" s="196">
        <v>963000</v>
      </c>
      <c r="E446" s="196">
        <v>963000</v>
      </c>
      <c r="F446" s="196">
        <v>0</v>
      </c>
      <c r="G446" s="196">
        <v>0</v>
      </c>
    </row>
    <row r="447" spans="1:7" x14ac:dyDescent="0.3">
      <c r="A447" s="198">
        <v>22732256</v>
      </c>
      <c r="B447" s="192" t="s">
        <v>536</v>
      </c>
      <c r="C447" s="196">
        <v>0</v>
      </c>
      <c r="D447" s="196">
        <v>248400</v>
      </c>
      <c r="E447" s="196">
        <v>248400</v>
      </c>
      <c r="F447" s="196">
        <v>0</v>
      </c>
      <c r="G447" s="196">
        <v>0</v>
      </c>
    </row>
    <row r="448" spans="1:7" x14ac:dyDescent="0.3">
      <c r="A448" s="198">
        <v>42876459</v>
      </c>
      <c r="B448" s="192" t="s">
        <v>537</v>
      </c>
      <c r="C448" s="196">
        <v>0</v>
      </c>
      <c r="D448" s="196">
        <v>380000</v>
      </c>
      <c r="E448" s="196">
        <v>380000</v>
      </c>
      <c r="F448" s="196">
        <v>0</v>
      </c>
      <c r="G448" s="196">
        <v>0</v>
      </c>
    </row>
    <row r="449" spans="1:7" x14ac:dyDescent="0.3">
      <c r="A449" s="198">
        <v>32480757</v>
      </c>
      <c r="B449" s="192" t="s">
        <v>538</v>
      </c>
      <c r="C449" s="196">
        <v>0</v>
      </c>
      <c r="D449" s="196">
        <v>76800</v>
      </c>
      <c r="E449" s="196">
        <v>76800</v>
      </c>
      <c r="F449" s="196">
        <v>0</v>
      </c>
      <c r="G449" s="196">
        <v>0</v>
      </c>
    </row>
    <row r="450" spans="1:7" x14ac:dyDescent="0.3">
      <c r="A450" s="198">
        <v>42971780</v>
      </c>
      <c r="B450" s="192" t="s">
        <v>539</v>
      </c>
      <c r="C450" s="196">
        <v>0</v>
      </c>
      <c r="D450" s="196">
        <v>439200</v>
      </c>
      <c r="E450" s="196">
        <v>439200</v>
      </c>
      <c r="F450" s="196">
        <v>0</v>
      </c>
      <c r="G450" s="196">
        <v>0</v>
      </c>
    </row>
    <row r="451" spans="1:7" x14ac:dyDescent="0.3">
      <c r="A451" s="198">
        <v>71729597</v>
      </c>
      <c r="B451" s="192" t="s">
        <v>540</v>
      </c>
      <c r="C451" s="196">
        <v>0</v>
      </c>
      <c r="D451" s="196">
        <v>101800</v>
      </c>
      <c r="E451" s="196">
        <v>101800</v>
      </c>
      <c r="F451" s="196">
        <v>0</v>
      </c>
      <c r="G451" s="196">
        <v>0</v>
      </c>
    </row>
    <row r="452" spans="1:7" x14ac:dyDescent="0.3">
      <c r="A452" s="198">
        <v>43599050</v>
      </c>
      <c r="B452" s="192" t="s">
        <v>541</v>
      </c>
      <c r="C452" s="196">
        <v>0</v>
      </c>
      <c r="D452" s="196">
        <v>101800</v>
      </c>
      <c r="E452" s="196">
        <v>101800</v>
      </c>
      <c r="F452" s="196">
        <v>0</v>
      </c>
      <c r="G452" s="196">
        <v>0</v>
      </c>
    </row>
    <row r="453" spans="1:7" x14ac:dyDescent="0.3">
      <c r="A453" s="198">
        <v>71374815</v>
      </c>
      <c r="B453" s="192" t="s">
        <v>542</v>
      </c>
      <c r="C453" s="196">
        <v>0</v>
      </c>
      <c r="D453" s="196">
        <v>1055000</v>
      </c>
      <c r="E453" s="196">
        <v>1055000</v>
      </c>
      <c r="F453" s="196">
        <v>0</v>
      </c>
      <c r="G453" s="196">
        <v>0</v>
      </c>
    </row>
    <row r="454" spans="1:7" x14ac:dyDescent="0.3">
      <c r="A454" s="192" t="s">
        <v>543</v>
      </c>
      <c r="B454" s="192" t="s">
        <v>544</v>
      </c>
      <c r="C454" s="196">
        <v>0</v>
      </c>
      <c r="D454" s="196">
        <v>654000</v>
      </c>
      <c r="E454" s="196">
        <v>654000</v>
      </c>
      <c r="F454" s="196">
        <v>0</v>
      </c>
      <c r="G454" s="196">
        <v>0</v>
      </c>
    </row>
    <row r="455" spans="1:7" x14ac:dyDescent="0.3">
      <c r="A455" s="198">
        <v>1034930521</v>
      </c>
      <c r="B455" s="192" t="s">
        <v>545</v>
      </c>
      <c r="C455" s="196">
        <v>0</v>
      </c>
      <c r="D455" s="196">
        <v>340000</v>
      </c>
      <c r="E455" s="196">
        <v>340000</v>
      </c>
      <c r="F455" s="196">
        <v>0</v>
      </c>
      <c r="G455" s="196">
        <v>0</v>
      </c>
    </row>
    <row r="456" spans="1:7" x14ac:dyDescent="0.3">
      <c r="A456" s="198">
        <v>1039695623</v>
      </c>
      <c r="B456" s="192" t="s">
        <v>546</v>
      </c>
      <c r="C456" s="196">
        <v>0</v>
      </c>
      <c r="D456" s="196">
        <v>963000</v>
      </c>
      <c r="E456" s="196">
        <v>963000</v>
      </c>
      <c r="F456" s="196">
        <v>0</v>
      </c>
      <c r="G456" s="196">
        <v>0</v>
      </c>
    </row>
    <row r="457" spans="1:7" x14ac:dyDescent="0.3">
      <c r="A457" s="198">
        <v>43109631</v>
      </c>
      <c r="B457" s="192" t="s">
        <v>547</v>
      </c>
      <c r="C457" s="196">
        <v>0</v>
      </c>
      <c r="D457" s="196">
        <v>1026000</v>
      </c>
      <c r="E457" s="196">
        <v>1026000</v>
      </c>
      <c r="F457" s="196">
        <v>0</v>
      </c>
      <c r="G457" s="196">
        <v>0</v>
      </c>
    </row>
    <row r="458" spans="1:7" x14ac:dyDescent="0.3">
      <c r="A458" s="192" t="s">
        <v>548</v>
      </c>
      <c r="B458" s="192" t="s">
        <v>549</v>
      </c>
      <c r="C458" s="196">
        <v>0</v>
      </c>
      <c r="D458" s="196">
        <v>200000</v>
      </c>
      <c r="E458" s="196">
        <v>200000</v>
      </c>
      <c r="F458" s="196">
        <v>0</v>
      </c>
      <c r="G458" s="196">
        <v>0</v>
      </c>
    </row>
    <row r="459" spans="1:7" x14ac:dyDescent="0.3">
      <c r="A459" s="198">
        <v>70110035</v>
      </c>
      <c r="B459" s="192" t="s">
        <v>550</v>
      </c>
      <c r="C459" s="196">
        <v>0</v>
      </c>
      <c r="D459" s="196">
        <v>314400</v>
      </c>
      <c r="E459" s="196">
        <v>314400</v>
      </c>
      <c r="F459" s="196">
        <v>0</v>
      </c>
      <c r="G459" s="196">
        <v>0</v>
      </c>
    </row>
    <row r="460" spans="1:7" x14ac:dyDescent="0.3">
      <c r="A460" s="198">
        <v>71794058</v>
      </c>
      <c r="B460" s="192" t="s">
        <v>551</v>
      </c>
      <c r="C460" s="196">
        <v>0</v>
      </c>
      <c r="D460" s="196">
        <v>53000</v>
      </c>
      <c r="E460" s="196">
        <v>53000</v>
      </c>
      <c r="F460" s="196">
        <v>0</v>
      </c>
      <c r="G460" s="196">
        <v>0</v>
      </c>
    </row>
    <row r="461" spans="1:7" x14ac:dyDescent="0.3">
      <c r="A461" s="198">
        <v>12644705</v>
      </c>
      <c r="B461" s="192" t="s">
        <v>552</v>
      </c>
      <c r="C461" s="196">
        <v>0</v>
      </c>
      <c r="D461" s="196">
        <v>101800</v>
      </c>
      <c r="E461" s="196">
        <v>101800</v>
      </c>
      <c r="F461" s="196">
        <v>0</v>
      </c>
      <c r="G461" s="196">
        <v>0</v>
      </c>
    </row>
    <row r="462" spans="1:7" x14ac:dyDescent="0.3">
      <c r="A462" s="198">
        <v>1035863894</v>
      </c>
      <c r="B462" s="192" t="s">
        <v>553</v>
      </c>
      <c r="C462" s="196">
        <v>0</v>
      </c>
      <c r="D462" s="196">
        <v>683000</v>
      </c>
      <c r="E462" s="196">
        <v>683000</v>
      </c>
      <c r="F462" s="196">
        <v>0</v>
      </c>
      <c r="G462" s="196">
        <v>0</v>
      </c>
    </row>
    <row r="463" spans="1:7" x14ac:dyDescent="0.3">
      <c r="A463" s="198">
        <v>98548221</v>
      </c>
      <c r="B463" s="192" t="s">
        <v>554</v>
      </c>
      <c r="C463" s="196">
        <v>0</v>
      </c>
      <c r="D463" s="196">
        <v>297000</v>
      </c>
      <c r="E463" s="196">
        <v>297000</v>
      </c>
      <c r="F463" s="196">
        <v>0</v>
      </c>
      <c r="G463" s="196">
        <v>0</v>
      </c>
    </row>
    <row r="464" spans="1:7" x14ac:dyDescent="0.3">
      <c r="A464" s="198">
        <v>6401369</v>
      </c>
      <c r="B464" s="192" t="s">
        <v>555</v>
      </c>
      <c r="C464" s="196">
        <v>0</v>
      </c>
      <c r="D464" s="196">
        <v>297000</v>
      </c>
      <c r="E464" s="196">
        <v>297000</v>
      </c>
      <c r="F464" s="196">
        <v>0</v>
      </c>
      <c r="G464" s="196">
        <v>0</v>
      </c>
    </row>
    <row r="465" spans="1:7" x14ac:dyDescent="0.3">
      <c r="A465" s="198">
        <v>21277585</v>
      </c>
      <c r="B465" s="192" t="s">
        <v>556</v>
      </c>
      <c r="C465" s="196">
        <v>0</v>
      </c>
      <c r="D465" s="196">
        <v>246200</v>
      </c>
      <c r="E465" s="196">
        <v>246200</v>
      </c>
      <c r="F465" s="196">
        <v>0</v>
      </c>
      <c r="G465" s="196">
        <v>0</v>
      </c>
    </row>
    <row r="466" spans="1:7" x14ac:dyDescent="0.3">
      <c r="A466" s="198">
        <v>1065659779</v>
      </c>
      <c r="B466" s="192" t="s">
        <v>557</v>
      </c>
      <c r="C466" s="196">
        <v>0</v>
      </c>
      <c r="D466" s="196">
        <v>165000</v>
      </c>
      <c r="E466" s="196">
        <v>165000</v>
      </c>
      <c r="F466" s="196">
        <v>0</v>
      </c>
      <c r="G466" s="196">
        <v>0</v>
      </c>
    </row>
    <row r="467" spans="1:7" x14ac:dyDescent="0.3">
      <c r="A467" s="198">
        <v>21404805</v>
      </c>
      <c r="B467" s="192" t="s">
        <v>558</v>
      </c>
      <c r="C467" s="196">
        <v>0</v>
      </c>
      <c r="D467" s="196">
        <v>297000</v>
      </c>
      <c r="E467" s="196">
        <v>297000</v>
      </c>
      <c r="F467" s="196">
        <v>0</v>
      </c>
      <c r="G467" s="196">
        <v>0</v>
      </c>
    </row>
    <row r="468" spans="1:7" x14ac:dyDescent="0.3">
      <c r="A468" s="198">
        <v>43101772</v>
      </c>
      <c r="B468" s="192" t="s">
        <v>559</v>
      </c>
      <c r="C468" s="196">
        <v>0</v>
      </c>
      <c r="D468" s="196">
        <v>3182200</v>
      </c>
      <c r="E468" s="196">
        <v>3182200</v>
      </c>
      <c r="F468" s="196">
        <v>0</v>
      </c>
      <c r="G468" s="196">
        <v>0</v>
      </c>
    </row>
    <row r="469" spans="1:7" x14ac:dyDescent="0.3">
      <c r="A469" s="198">
        <v>43300339</v>
      </c>
      <c r="B469" s="192" t="s">
        <v>560</v>
      </c>
      <c r="C469" s="196">
        <v>0</v>
      </c>
      <c r="D469" s="196">
        <v>1763300</v>
      </c>
      <c r="E469" s="196">
        <v>1763300</v>
      </c>
      <c r="F469" s="196">
        <v>0</v>
      </c>
      <c r="G469" s="196">
        <v>0</v>
      </c>
    </row>
    <row r="470" spans="1:7" x14ac:dyDescent="0.3">
      <c r="A470" s="198">
        <v>1039459754</v>
      </c>
      <c r="B470" s="192" t="s">
        <v>561</v>
      </c>
      <c r="C470" s="196">
        <v>0</v>
      </c>
      <c r="D470" s="196">
        <v>3000000</v>
      </c>
      <c r="E470" s="196">
        <v>3000000</v>
      </c>
      <c r="F470" s="196">
        <v>0</v>
      </c>
      <c r="G470" s="196">
        <v>0</v>
      </c>
    </row>
    <row r="471" spans="1:7" x14ac:dyDescent="0.3">
      <c r="A471" s="198">
        <v>1034992607</v>
      </c>
      <c r="B471" s="192" t="s">
        <v>562</v>
      </c>
      <c r="C471" s="196">
        <v>0</v>
      </c>
      <c r="D471" s="196">
        <v>114400</v>
      </c>
      <c r="E471" s="196">
        <v>114400</v>
      </c>
      <c r="F471" s="196">
        <v>0</v>
      </c>
      <c r="G471" s="196">
        <v>0</v>
      </c>
    </row>
    <row r="472" spans="1:7" x14ac:dyDescent="0.3">
      <c r="A472" s="198">
        <v>1067973683</v>
      </c>
      <c r="B472" s="192" t="s">
        <v>563</v>
      </c>
      <c r="C472" s="196">
        <v>0</v>
      </c>
      <c r="D472" s="196">
        <v>87800</v>
      </c>
      <c r="E472" s="196">
        <v>87800</v>
      </c>
      <c r="F472" s="196">
        <v>0</v>
      </c>
      <c r="G472" s="196">
        <v>0</v>
      </c>
    </row>
    <row r="473" spans="1:7" x14ac:dyDescent="0.3">
      <c r="A473" s="198">
        <v>1037612866</v>
      </c>
      <c r="B473" s="192" t="s">
        <v>564</v>
      </c>
      <c r="C473" s="196">
        <v>0</v>
      </c>
      <c r="D473" s="196">
        <v>260400</v>
      </c>
      <c r="E473" s="196">
        <v>260400</v>
      </c>
      <c r="F473" s="196">
        <v>0</v>
      </c>
      <c r="G473" s="196">
        <v>0</v>
      </c>
    </row>
    <row r="474" spans="1:7" x14ac:dyDescent="0.3">
      <c r="A474" s="198">
        <v>43605890</v>
      </c>
      <c r="B474" s="192" t="s">
        <v>565</v>
      </c>
      <c r="C474" s="196">
        <v>689300</v>
      </c>
      <c r="D474" s="196">
        <v>0</v>
      </c>
      <c r="E474" s="196">
        <v>689300</v>
      </c>
      <c r="F474" s="196">
        <v>-689300</v>
      </c>
      <c r="G474" s="196">
        <v>0</v>
      </c>
    </row>
    <row r="475" spans="1:7" x14ac:dyDescent="0.3">
      <c r="A475" s="198">
        <v>1045022293</v>
      </c>
      <c r="B475" s="192" t="s">
        <v>566</v>
      </c>
      <c r="C475" s="196">
        <v>0</v>
      </c>
      <c r="D475" s="196">
        <v>170000</v>
      </c>
      <c r="E475" s="196">
        <v>170000</v>
      </c>
      <c r="F475" s="196">
        <v>0</v>
      </c>
      <c r="G475" s="196">
        <v>0</v>
      </c>
    </row>
    <row r="476" spans="1:7" x14ac:dyDescent="0.3">
      <c r="A476" s="198">
        <v>1037629035</v>
      </c>
      <c r="B476" s="192" t="s">
        <v>567</v>
      </c>
      <c r="C476" s="196">
        <v>0</v>
      </c>
      <c r="D476" s="196">
        <v>114400</v>
      </c>
      <c r="E476" s="196">
        <v>114400</v>
      </c>
      <c r="F476" s="196">
        <v>0</v>
      </c>
      <c r="G476" s="196">
        <v>0</v>
      </c>
    </row>
    <row r="477" spans="1:7" x14ac:dyDescent="0.3">
      <c r="A477" s="198">
        <v>42694448</v>
      </c>
      <c r="B477" s="192" t="s">
        <v>568</v>
      </c>
      <c r="C477" s="196">
        <v>0</v>
      </c>
      <c r="D477" s="196">
        <v>2864200</v>
      </c>
      <c r="E477" s="196">
        <v>2864200</v>
      </c>
      <c r="F477" s="196">
        <v>0</v>
      </c>
      <c r="G477" s="196">
        <v>0</v>
      </c>
    </row>
    <row r="478" spans="1:7" x14ac:dyDescent="0.3">
      <c r="A478" s="198">
        <v>70067596</v>
      </c>
      <c r="B478" s="192" t="s">
        <v>569</v>
      </c>
      <c r="C478" s="196">
        <v>0</v>
      </c>
      <c r="D478" s="196">
        <v>66400</v>
      </c>
      <c r="E478" s="196">
        <v>66400</v>
      </c>
      <c r="F478" s="196">
        <v>0</v>
      </c>
      <c r="G478" s="196">
        <v>0</v>
      </c>
    </row>
    <row r="479" spans="1:7" x14ac:dyDescent="0.3">
      <c r="A479" s="198">
        <v>43634292</v>
      </c>
      <c r="B479" s="192" t="s">
        <v>570</v>
      </c>
      <c r="C479" s="196">
        <v>0</v>
      </c>
      <c r="D479" s="196">
        <v>98000</v>
      </c>
      <c r="E479" s="196">
        <v>98000</v>
      </c>
      <c r="F479" s="196">
        <v>0</v>
      </c>
      <c r="G479" s="196">
        <v>0</v>
      </c>
    </row>
    <row r="480" spans="1:7" x14ac:dyDescent="0.3">
      <c r="A480" s="198">
        <v>1035003898</v>
      </c>
      <c r="B480" s="192" t="s">
        <v>571</v>
      </c>
      <c r="C480" s="196">
        <v>0</v>
      </c>
      <c r="D480" s="196">
        <v>101800</v>
      </c>
      <c r="E480" s="196">
        <v>101800</v>
      </c>
      <c r="F480" s="196">
        <v>0</v>
      </c>
      <c r="G480" s="196">
        <v>0</v>
      </c>
    </row>
    <row r="481" spans="1:7" x14ac:dyDescent="0.3">
      <c r="A481" s="198">
        <v>1140419097</v>
      </c>
      <c r="B481" s="192" t="s">
        <v>572</v>
      </c>
      <c r="C481" s="196">
        <v>0</v>
      </c>
      <c r="D481" s="196">
        <v>101800</v>
      </c>
      <c r="E481" s="196">
        <v>101800</v>
      </c>
      <c r="F481" s="196">
        <v>0</v>
      </c>
      <c r="G481" s="196">
        <v>0</v>
      </c>
    </row>
    <row r="482" spans="1:7" x14ac:dyDescent="0.3">
      <c r="A482" s="198">
        <v>27760730</v>
      </c>
      <c r="B482" s="192" t="s">
        <v>573</v>
      </c>
      <c r="C482" s="196">
        <v>0</v>
      </c>
      <c r="D482" s="196">
        <v>1963200</v>
      </c>
      <c r="E482" s="196">
        <v>1963200</v>
      </c>
      <c r="F482" s="196">
        <v>0</v>
      </c>
      <c r="G482" s="196">
        <v>0</v>
      </c>
    </row>
    <row r="483" spans="1:7" x14ac:dyDescent="0.3">
      <c r="A483" s="198">
        <v>21323541</v>
      </c>
      <c r="B483" s="192" t="s">
        <v>574</v>
      </c>
      <c r="C483" s="196">
        <v>0</v>
      </c>
      <c r="D483" s="196">
        <v>2814000</v>
      </c>
      <c r="E483" s="196">
        <v>2814000</v>
      </c>
      <c r="F483" s="196">
        <v>0</v>
      </c>
      <c r="G483" s="196">
        <v>0</v>
      </c>
    </row>
    <row r="484" spans="1:7" x14ac:dyDescent="0.3">
      <c r="A484" s="198">
        <v>42750620</v>
      </c>
      <c r="B484" s="192" t="s">
        <v>575</v>
      </c>
      <c r="C484" s="196">
        <v>0</v>
      </c>
      <c r="D484" s="196">
        <v>5802500</v>
      </c>
      <c r="E484" s="196">
        <v>5802500</v>
      </c>
      <c r="F484" s="196">
        <v>0</v>
      </c>
      <c r="G484" s="196">
        <v>0</v>
      </c>
    </row>
    <row r="485" spans="1:7" x14ac:dyDescent="0.3">
      <c r="A485" s="198">
        <v>1035013501</v>
      </c>
      <c r="B485" s="192" t="s">
        <v>576</v>
      </c>
      <c r="C485" s="196">
        <v>0</v>
      </c>
      <c r="D485" s="196">
        <v>101800</v>
      </c>
      <c r="E485" s="196">
        <v>101800</v>
      </c>
      <c r="F485" s="196">
        <v>0</v>
      </c>
      <c r="G485" s="196">
        <v>0</v>
      </c>
    </row>
    <row r="486" spans="1:7" x14ac:dyDescent="0.3">
      <c r="A486" s="198">
        <v>1027664108</v>
      </c>
      <c r="B486" s="192" t="s">
        <v>577</v>
      </c>
      <c r="C486" s="196">
        <v>0</v>
      </c>
      <c r="D486" s="196">
        <v>98000</v>
      </c>
      <c r="E486" s="196">
        <v>98000</v>
      </c>
      <c r="F486" s="196">
        <v>0</v>
      </c>
      <c r="G486" s="196">
        <v>0</v>
      </c>
    </row>
    <row r="487" spans="1:7" x14ac:dyDescent="0.3">
      <c r="A487" s="198">
        <v>1023567004</v>
      </c>
      <c r="B487" s="192" t="s">
        <v>578</v>
      </c>
      <c r="C487" s="196">
        <v>0</v>
      </c>
      <c r="D487" s="196">
        <v>53200</v>
      </c>
      <c r="E487" s="196">
        <v>53200</v>
      </c>
      <c r="F487" s="196">
        <v>0</v>
      </c>
      <c r="G487" s="196">
        <v>0</v>
      </c>
    </row>
    <row r="488" spans="1:7" x14ac:dyDescent="0.3">
      <c r="A488" s="198">
        <v>1035001710</v>
      </c>
      <c r="B488" s="192" t="s">
        <v>579</v>
      </c>
      <c r="C488" s="196">
        <v>0</v>
      </c>
      <c r="D488" s="196">
        <v>101800</v>
      </c>
      <c r="E488" s="196">
        <v>101800</v>
      </c>
      <c r="F488" s="196">
        <v>0</v>
      </c>
      <c r="G488" s="196">
        <v>0</v>
      </c>
    </row>
    <row r="489" spans="1:7" x14ac:dyDescent="0.3">
      <c r="A489" s="198">
        <v>1035026360</v>
      </c>
      <c r="B489" s="192" t="s">
        <v>580</v>
      </c>
      <c r="C489" s="196">
        <v>0</v>
      </c>
      <c r="D489" s="196">
        <v>101800</v>
      </c>
      <c r="E489" s="196">
        <v>101800</v>
      </c>
      <c r="F489" s="196">
        <v>0</v>
      </c>
      <c r="G489" s="196">
        <v>0</v>
      </c>
    </row>
    <row r="490" spans="1:7" x14ac:dyDescent="0.3">
      <c r="A490" s="198">
        <v>1125098073</v>
      </c>
      <c r="B490" s="192" t="s">
        <v>581</v>
      </c>
      <c r="C490" s="196">
        <v>0</v>
      </c>
      <c r="D490" s="196">
        <v>136667</v>
      </c>
      <c r="E490" s="196">
        <v>136667</v>
      </c>
      <c r="F490" s="196">
        <v>0</v>
      </c>
      <c r="G490" s="196">
        <v>0</v>
      </c>
    </row>
    <row r="491" spans="1:7" x14ac:dyDescent="0.3">
      <c r="A491" s="198">
        <v>1020327787</v>
      </c>
      <c r="B491" s="192" t="s">
        <v>582</v>
      </c>
      <c r="C491" s="196">
        <v>0</v>
      </c>
      <c r="D491" s="196">
        <v>340000</v>
      </c>
      <c r="E491" s="196">
        <v>340000</v>
      </c>
      <c r="F491" s="196">
        <v>0</v>
      </c>
      <c r="G491" s="196">
        <v>0</v>
      </c>
    </row>
    <row r="492" spans="1:7" x14ac:dyDescent="0.3">
      <c r="A492" s="198">
        <v>1023595120</v>
      </c>
      <c r="B492" s="192" t="s">
        <v>583</v>
      </c>
      <c r="C492" s="196">
        <v>0</v>
      </c>
      <c r="D492" s="196">
        <v>101800</v>
      </c>
      <c r="E492" s="196">
        <v>101800</v>
      </c>
      <c r="F492" s="196">
        <v>0</v>
      </c>
      <c r="G492" s="196">
        <v>0</v>
      </c>
    </row>
    <row r="493" spans="1:7" x14ac:dyDescent="0.3">
      <c r="A493" s="198">
        <v>1035021091</v>
      </c>
      <c r="B493" s="192" t="s">
        <v>584</v>
      </c>
      <c r="C493" s="196">
        <v>0</v>
      </c>
      <c r="D493" s="196">
        <v>101800</v>
      </c>
      <c r="E493" s="196">
        <v>101800</v>
      </c>
      <c r="F493" s="196">
        <v>0</v>
      </c>
      <c r="G493" s="196">
        <v>0</v>
      </c>
    </row>
    <row r="494" spans="1:7" x14ac:dyDescent="0.3">
      <c r="A494" s="198">
        <v>1035026886</v>
      </c>
      <c r="B494" s="192" t="s">
        <v>585</v>
      </c>
      <c r="C494" s="196">
        <v>0</v>
      </c>
      <c r="D494" s="196">
        <v>101800</v>
      </c>
      <c r="E494" s="196">
        <v>101800</v>
      </c>
      <c r="F494" s="196">
        <v>0</v>
      </c>
      <c r="G494" s="196">
        <v>0</v>
      </c>
    </row>
    <row r="495" spans="1:7" x14ac:dyDescent="0.3">
      <c r="A495" s="198">
        <v>1021810254</v>
      </c>
      <c r="B495" s="192" t="s">
        <v>586</v>
      </c>
      <c r="C495" s="196">
        <v>0</v>
      </c>
      <c r="D495" s="196">
        <v>92800</v>
      </c>
      <c r="E495" s="196">
        <v>92800</v>
      </c>
      <c r="F495" s="196">
        <v>0</v>
      </c>
      <c r="G495" s="196">
        <v>0</v>
      </c>
    </row>
    <row r="496" spans="1:7" x14ac:dyDescent="0.3">
      <c r="A496" s="198">
        <v>1035026132</v>
      </c>
      <c r="B496" s="192" t="s">
        <v>587</v>
      </c>
      <c r="C496" s="196">
        <v>0</v>
      </c>
      <c r="D496" s="196">
        <v>101800</v>
      </c>
      <c r="E496" s="196">
        <v>101800</v>
      </c>
      <c r="F496" s="196">
        <v>0</v>
      </c>
      <c r="G496" s="196">
        <v>0</v>
      </c>
    </row>
    <row r="497" spans="1:7" x14ac:dyDescent="0.3">
      <c r="A497" s="198">
        <v>1020327623</v>
      </c>
      <c r="B497" s="192" t="s">
        <v>588</v>
      </c>
      <c r="C497" s="196">
        <v>0</v>
      </c>
      <c r="D497" s="196">
        <v>101800</v>
      </c>
      <c r="E497" s="196">
        <v>101800</v>
      </c>
      <c r="F497" s="196">
        <v>0</v>
      </c>
      <c r="G497" s="196">
        <v>0</v>
      </c>
    </row>
    <row r="498" spans="1:7" x14ac:dyDescent="0.3">
      <c r="A498" s="198">
        <v>1035017852</v>
      </c>
      <c r="B498" s="192" t="s">
        <v>589</v>
      </c>
      <c r="C498" s="196">
        <v>0</v>
      </c>
      <c r="D498" s="196">
        <v>101800</v>
      </c>
      <c r="E498" s="196">
        <v>101800</v>
      </c>
      <c r="F498" s="196">
        <v>0</v>
      </c>
      <c r="G498" s="196">
        <v>0</v>
      </c>
    </row>
    <row r="499" spans="1:7" x14ac:dyDescent="0.3">
      <c r="A499" s="198">
        <v>1035020500</v>
      </c>
      <c r="B499" s="192" t="s">
        <v>590</v>
      </c>
      <c r="C499" s="196">
        <v>0</v>
      </c>
      <c r="D499" s="196">
        <v>101800</v>
      </c>
      <c r="E499" s="196">
        <v>101800</v>
      </c>
      <c r="F499" s="196">
        <v>0</v>
      </c>
      <c r="G499" s="196">
        <v>0</v>
      </c>
    </row>
    <row r="500" spans="1:7" x14ac:dyDescent="0.3">
      <c r="A500" s="198">
        <v>1022158147</v>
      </c>
      <c r="B500" s="192" t="s">
        <v>591</v>
      </c>
      <c r="C500" s="196">
        <v>0</v>
      </c>
      <c r="D500" s="196">
        <v>101800</v>
      </c>
      <c r="E500" s="196">
        <v>101800</v>
      </c>
      <c r="F500" s="196">
        <v>0</v>
      </c>
      <c r="G500" s="196">
        <v>0</v>
      </c>
    </row>
    <row r="501" spans="1:7" x14ac:dyDescent="0.3">
      <c r="A501" s="198">
        <v>1023304227</v>
      </c>
      <c r="B501" s="192" t="s">
        <v>592</v>
      </c>
      <c r="C501" s="196">
        <v>0</v>
      </c>
      <c r="D501" s="196">
        <v>101800</v>
      </c>
      <c r="E501" s="196">
        <v>101800</v>
      </c>
      <c r="F501" s="196">
        <v>0</v>
      </c>
      <c r="G501" s="196">
        <v>0</v>
      </c>
    </row>
    <row r="502" spans="1:7" x14ac:dyDescent="0.3">
      <c r="A502" s="198">
        <v>1023544037</v>
      </c>
      <c r="B502" s="192" t="s">
        <v>593</v>
      </c>
      <c r="C502" s="196">
        <v>0</v>
      </c>
      <c r="D502" s="196">
        <v>101800</v>
      </c>
      <c r="E502" s="196">
        <v>101800</v>
      </c>
      <c r="F502" s="196">
        <v>0</v>
      </c>
      <c r="G502" s="196">
        <v>0</v>
      </c>
    </row>
    <row r="503" spans="1:7" x14ac:dyDescent="0.3">
      <c r="A503" s="198">
        <v>6384531</v>
      </c>
      <c r="B503" s="192" t="s">
        <v>594</v>
      </c>
      <c r="C503" s="196">
        <v>-50899</v>
      </c>
      <c r="D503" s="196">
        <v>461899</v>
      </c>
      <c r="E503" s="196">
        <v>461899</v>
      </c>
      <c r="F503" s="196">
        <v>0</v>
      </c>
      <c r="G503" s="196">
        <v>-50899</v>
      </c>
    </row>
    <row r="504" spans="1:7" x14ac:dyDescent="0.3">
      <c r="A504" s="198">
        <v>1044504953</v>
      </c>
      <c r="B504" s="192" t="s">
        <v>595</v>
      </c>
      <c r="C504" s="196">
        <v>1</v>
      </c>
      <c r="D504" s="196">
        <v>0</v>
      </c>
      <c r="E504" s="196">
        <v>0</v>
      </c>
      <c r="F504" s="196">
        <v>0</v>
      </c>
      <c r="G504" s="196">
        <v>1</v>
      </c>
    </row>
    <row r="505" spans="1:7" x14ac:dyDescent="0.3">
      <c r="A505" s="198">
        <v>1126644202</v>
      </c>
      <c r="B505" s="192" t="s">
        <v>596</v>
      </c>
      <c r="C505" s="196">
        <v>0</v>
      </c>
      <c r="D505" s="196">
        <v>193800</v>
      </c>
      <c r="E505" s="196">
        <v>193800</v>
      </c>
      <c r="F505" s="196">
        <v>0</v>
      </c>
      <c r="G505" s="196">
        <v>0</v>
      </c>
    </row>
    <row r="506" spans="1:7" x14ac:dyDescent="0.3">
      <c r="A506" s="198">
        <v>21526273</v>
      </c>
      <c r="B506" s="192" t="s">
        <v>597</v>
      </c>
      <c r="C506" s="196">
        <v>0</v>
      </c>
      <c r="D506" s="196">
        <v>98000</v>
      </c>
      <c r="E506" s="196">
        <v>98000</v>
      </c>
      <c r="F506" s="196">
        <v>0</v>
      </c>
      <c r="G506" s="196">
        <v>0</v>
      </c>
    </row>
    <row r="507" spans="1:7" x14ac:dyDescent="0.3">
      <c r="A507" s="198">
        <v>3525158</v>
      </c>
      <c r="B507" s="192" t="s">
        <v>598</v>
      </c>
      <c r="C507" s="196">
        <v>0</v>
      </c>
      <c r="D507" s="196">
        <v>297000</v>
      </c>
      <c r="E507" s="196">
        <v>297000</v>
      </c>
      <c r="F507" s="196">
        <v>0</v>
      </c>
      <c r="G507" s="196">
        <v>0</v>
      </c>
    </row>
    <row r="508" spans="1:7" x14ac:dyDescent="0.3">
      <c r="A508" s="198">
        <v>1036338040</v>
      </c>
      <c r="B508" s="192" t="s">
        <v>599</v>
      </c>
      <c r="C508" s="196">
        <v>0</v>
      </c>
      <c r="D508" s="196">
        <v>101800</v>
      </c>
      <c r="E508" s="196">
        <v>101800</v>
      </c>
      <c r="F508" s="196">
        <v>0</v>
      </c>
      <c r="G508" s="196">
        <v>0</v>
      </c>
    </row>
    <row r="509" spans="1:7" x14ac:dyDescent="0.3">
      <c r="A509" s="198">
        <v>1077464654</v>
      </c>
      <c r="B509" s="192" t="s">
        <v>600</v>
      </c>
      <c r="C509" s="196">
        <v>0</v>
      </c>
      <c r="D509" s="196">
        <v>1068400</v>
      </c>
      <c r="E509" s="196">
        <v>1068400</v>
      </c>
      <c r="F509" s="196">
        <v>0</v>
      </c>
      <c r="G509" s="196">
        <v>0</v>
      </c>
    </row>
    <row r="510" spans="1:7" x14ac:dyDescent="0.3">
      <c r="A510" s="198">
        <v>1037615783</v>
      </c>
      <c r="B510" s="192" t="s">
        <v>601</v>
      </c>
      <c r="C510" s="196">
        <v>0</v>
      </c>
      <c r="D510" s="196">
        <v>101800</v>
      </c>
      <c r="E510" s="196">
        <v>101800</v>
      </c>
      <c r="F510" s="196">
        <v>0</v>
      </c>
      <c r="G510" s="196">
        <v>0</v>
      </c>
    </row>
    <row r="511" spans="1:7" x14ac:dyDescent="0.3">
      <c r="A511" s="198">
        <v>1037639251</v>
      </c>
      <c r="B511" s="192" t="s">
        <v>602</v>
      </c>
      <c r="C511" s="196">
        <v>0</v>
      </c>
      <c r="D511" s="196">
        <v>101800</v>
      </c>
      <c r="E511" s="196">
        <v>101800</v>
      </c>
      <c r="F511" s="196">
        <v>0</v>
      </c>
      <c r="G511" s="196">
        <v>0</v>
      </c>
    </row>
    <row r="512" spans="1:7" x14ac:dyDescent="0.3">
      <c r="A512" s="198">
        <v>1152190205</v>
      </c>
      <c r="B512" s="192" t="s">
        <v>603</v>
      </c>
      <c r="C512" s="196">
        <v>0</v>
      </c>
      <c r="D512" s="196">
        <v>671000</v>
      </c>
      <c r="E512" s="196">
        <v>671000</v>
      </c>
      <c r="F512" s="196">
        <v>0</v>
      </c>
      <c r="G512" s="196">
        <v>0</v>
      </c>
    </row>
    <row r="513" spans="1:7" x14ac:dyDescent="0.3">
      <c r="A513" s="198">
        <v>1020459476</v>
      </c>
      <c r="B513" s="192" t="s">
        <v>604</v>
      </c>
      <c r="C513" s="196">
        <v>0</v>
      </c>
      <c r="D513" s="196">
        <v>963000</v>
      </c>
      <c r="E513" s="196">
        <v>963000</v>
      </c>
      <c r="F513" s="196">
        <v>0</v>
      </c>
      <c r="G513" s="196">
        <v>0</v>
      </c>
    </row>
    <row r="514" spans="1:7" x14ac:dyDescent="0.3">
      <c r="A514" s="198">
        <v>2279463</v>
      </c>
      <c r="B514" s="192" t="s">
        <v>605</v>
      </c>
      <c r="C514" s="196">
        <v>0</v>
      </c>
      <c r="D514" s="196">
        <v>297000</v>
      </c>
      <c r="E514" s="196">
        <v>297000</v>
      </c>
      <c r="F514" s="196">
        <v>0</v>
      </c>
      <c r="G514" s="196">
        <v>0</v>
      </c>
    </row>
    <row r="515" spans="1:7" x14ac:dyDescent="0.3">
      <c r="A515" s="198">
        <v>901503425</v>
      </c>
      <c r="B515" s="192" t="s">
        <v>118</v>
      </c>
      <c r="C515" s="196">
        <v>17125200</v>
      </c>
      <c r="D515" s="196">
        <v>0</v>
      </c>
      <c r="E515" s="196">
        <v>0</v>
      </c>
      <c r="F515" s="196">
        <v>0</v>
      </c>
      <c r="G515" s="196">
        <v>17125200</v>
      </c>
    </row>
    <row r="516" spans="1:7" x14ac:dyDescent="0.3">
      <c r="A516" s="198">
        <v>900226523</v>
      </c>
      <c r="B516" s="192" t="s">
        <v>606</v>
      </c>
      <c r="C516" s="196">
        <v>11138000</v>
      </c>
      <c r="D516" s="196">
        <v>0</v>
      </c>
      <c r="E516" s="196">
        <v>11138000</v>
      </c>
      <c r="F516" s="196">
        <v>-11138000</v>
      </c>
      <c r="G516" s="196">
        <v>0</v>
      </c>
    </row>
    <row r="517" spans="1:7" x14ac:dyDescent="0.3">
      <c r="A517" s="198">
        <v>71905003</v>
      </c>
      <c r="B517" s="192" t="s">
        <v>607</v>
      </c>
      <c r="C517" s="196">
        <v>0</v>
      </c>
      <c r="D517" s="196">
        <v>11549200</v>
      </c>
      <c r="E517" s="196">
        <v>11606400</v>
      </c>
      <c r="F517" s="196">
        <v>-57200</v>
      </c>
      <c r="G517" s="196">
        <v>-57200</v>
      </c>
    </row>
    <row r="518" spans="1:7" x14ac:dyDescent="0.3">
      <c r="A518" s="198">
        <v>8280141</v>
      </c>
      <c r="B518" s="192" t="s">
        <v>608</v>
      </c>
      <c r="C518" s="196">
        <v>12830000</v>
      </c>
      <c r="D518" s="196">
        <v>0</v>
      </c>
      <c r="E518" s="196">
        <v>12830000</v>
      </c>
      <c r="F518" s="196">
        <v>-12830000</v>
      </c>
      <c r="G518" s="196">
        <v>0</v>
      </c>
    </row>
    <row r="519" spans="1:7" x14ac:dyDescent="0.3">
      <c r="A519" s="198">
        <v>15442720</v>
      </c>
      <c r="B519" s="192" t="s">
        <v>609</v>
      </c>
      <c r="C519" s="196">
        <v>0</v>
      </c>
      <c r="D519" s="196">
        <v>8874200</v>
      </c>
      <c r="E519" s="196">
        <v>8874200</v>
      </c>
      <c r="F519" s="196">
        <v>0</v>
      </c>
      <c r="G519" s="196">
        <v>0</v>
      </c>
    </row>
    <row r="520" spans="1:7" x14ac:dyDescent="0.3">
      <c r="A520" s="198">
        <v>7803771</v>
      </c>
      <c r="B520" s="192" t="s">
        <v>610</v>
      </c>
      <c r="C520" s="196">
        <v>0</v>
      </c>
      <c r="D520" s="196">
        <v>92200</v>
      </c>
      <c r="E520" s="196">
        <v>92200</v>
      </c>
      <c r="F520" s="196">
        <v>0</v>
      </c>
      <c r="G520" s="196">
        <v>0</v>
      </c>
    </row>
    <row r="521" spans="1:7" x14ac:dyDescent="0.3">
      <c r="A521" s="192" t="s">
        <v>611</v>
      </c>
      <c r="B521" s="192" t="s">
        <v>612</v>
      </c>
      <c r="C521" s="196">
        <v>3</v>
      </c>
      <c r="D521" s="196">
        <v>408997</v>
      </c>
      <c r="E521" s="196">
        <v>408997</v>
      </c>
      <c r="F521" s="196">
        <v>0</v>
      </c>
      <c r="G521" s="196">
        <v>3</v>
      </c>
    </row>
    <row r="522" spans="1:7" x14ac:dyDescent="0.3">
      <c r="A522" s="198">
        <v>169290607</v>
      </c>
      <c r="B522" s="192" t="s">
        <v>613</v>
      </c>
      <c r="C522" s="196">
        <v>0</v>
      </c>
      <c r="D522" s="196">
        <v>297000</v>
      </c>
      <c r="E522" s="196">
        <v>297000</v>
      </c>
      <c r="F522" s="196">
        <v>0</v>
      </c>
      <c r="G522" s="196">
        <v>0</v>
      </c>
    </row>
    <row r="523" spans="1:7" x14ac:dyDescent="0.3">
      <c r="A523" s="198">
        <v>21393200</v>
      </c>
      <c r="B523" s="192" t="s">
        <v>614</v>
      </c>
      <c r="C523" s="196">
        <v>0</v>
      </c>
      <c r="D523" s="196">
        <v>2450000</v>
      </c>
      <c r="E523" s="196">
        <v>2450000</v>
      </c>
      <c r="F523" s="196">
        <v>0</v>
      </c>
      <c r="G523" s="196">
        <v>0</v>
      </c>
    </row>
    <row r="524" spans="1:7" x14ac:dyDescent="0.3">
      <c r="A524" s="198">
        <v>43912481</v>
      </c>
      <c r="B524" s="192" t="s">
        <v>615</v>
      </c>
      <c r="C524" s="196">
        <v>0</v>
      </c>
      <c r="D524" s="196">
        <v>101800</v>
      </c>
      <c r="E524" s="196">
        <v>101800</v>
      </c>
      <c r="F524" s="196">
        <v>0</v>
      </c>
      <c r="G524" s="196">
        <v>0</v>
      </c>
    </row>
    <row r="525" spans="1:7" x14ac:dyDescent="0.3">
      <c r="A525" s="198">
        <v>5035581</v>
      </c>
      <c r="B525" s="192" t="s">
        <v>616</v>
      </c>
      <c r="C525" s="196">
        <v>0</v>
      </c>
      <c r="D525" s="196">
        <v>290000</v>
      </c>
      <c r="E525" s="196">
        <v>290000</v>
      </c>
      <c r="F525" s="196">
        <v>0</v>
      </c>
      <c r="G525" s="196">
        <v>0</v>
      </c>
    </row>
    <row r="526" spans="1:7" x14ac:dyDescent="0.3">
      <c r="A526" s="198">
        <v>1017940420</v>
      </c>
      <c r="B526" s="192" t="s">
        <v>617</v>
      </c>
      <c r="C526" s="196">
        <v>0</v>
      </c>
      <c r="D526" s="196">
        <v>297000</v>
      </c>
      <c r="E526" s="196">
        <v>297000</v>
      </c>
      <c r="F526" s="196">
        <v>0</v>
      </c>
      <c r="G526" s="196">
        <v>0</v>
      </c>
    </row>
    <row r="527" spans="1:7" x14ac:dyDescent="0.3">
      <c r="A527" s="198">
        <v>1054988007</v>
      </c>
      <c r="B527" s="192" t="s">
        <v>618</v>
      </c>
      <c r="C527" s="196">
        <v>0</v>
      </c>
      <c r="D527" s="196">
        <v>297000</v>
      </c>
      <c r="E527" s="196">
        <v>297000</v>
      </c>
      <c r="F527" s="196">
        <v>0</v>
      </c>
      <c r="G527" s="196">
        <v>0</v>
      </c>
    </row>
    <row r="528" spans="1:7" x14ac:dyDescent="0.3">
      <c r="A528" s="192" t="s">
        <v>619</v>
      </c>
      <c r="B528" s="192" t="s">
        <v>620</v>
      </c>
      <c r="C528" s="196">
        <v>0</v>
      </c>
      <c r="D528" s="196">
        <v>207900</v>
      </c>
      <c r="E528" s="196">
        <v>207900</v>
      </c>
      <c r="F528" s="196">
        <v>0</v>
      </c>
      <c r="G528" s="196">
        <v>0</v>
      </c>
    </row>
    <row r="529" spans="1:7" x14ac:dyDescent="0.3">
      <c r="A529" s="198">
        <v>79297424</v>
      </c>
      <c r="B529" s="192" t="s">
        <v>621</v>
      </c>
      <c r="C529" s="196">
        <v>0</v>
      </c>
      <c r="D529" s="196">
        <v>420000</v>
      </c>
      <c r="E529" s="196">
        <v>420000</v>
      </c>
      <c r="F529" s="196">
        <v>0</v>
      </c>
      <c r="G529" s="196">
        <v>0</v>
      </c>
    </row>
    <row r="530" spans="1:7" x14ac:dyDescent="0.3">
      <c r="A530" s="198">
        <v>1019998542</v>
      </c>
      <c r="B530" s="192" t="s">
        <v>622</v>
      </c>
      <c r="C530" s="196">
        <v>0</v>
      </c>
      <c r="D530" s="196">
        <v>101800</v>
      </c>
      <c r="E530" s="196">
        <v>101800</v>
      </c>
      <c r="F530" s="196">
        <v>0</v>
      </c>
      <c r="G530" s="196">
        <v>0</v>
      </c>
    </row>
    <row r="531" spans="1:7" x14ac:dyDescent="0.3">
      <c r="A531" s="198">
        <v>98579439</v>
      </c>
      <c r="B531" s="192" t="s">
        <v>623</v>
      </c>
      <c r="C531" s="196">
        <v>0</v>
      </c>
      <c r="D531" s="196">
        <v>172800</v>
      </c>
      <c r="E531" s="196">
        <v>172800</v>
      </c>
      <c r="F531" s="196">
        <v>0</v>
      </c>
      <c r="G531" s="196">
        <v>0</v>
      </c>
    </row>
    <row r="532" spans="1:7" x14ac:dyDescent="0.3">
      <c r="A532" s="198">
        <v>71786174</v>
      </c>
      <c r="B532" s="192" t="s">
        <v>624</v>
      </c>
      <c r="C532" s="196">
        <v>0</v>
      </c>
      <c r="D532" s="196">
        <v>101800</v>
      </c>
      <c r="E532" s="196">
        <v>101800</v>
      </c>
      <c r="F532" s="196">
        <v>0</v>
      </c>
      <c r="G532" s="196">
        <v>0</v>
      </c>
    </row>
    <row r="533" spans="1:7" x14ac:dyDescent="0.3">
      <c r="A533" s="198">
        <v>71668464</v>
      </c>
      <c r="B533" s="192" t="s">
        <v>625</v>
      </c>
      <c r="C533" s="196">
        <v>0</v>
      </c>
      <c r="D533" s="196">
        <v>40000</v>
      </c>
      <c r="E533" s="196">
        <v>40000</v>
      </c>
      <c r="F533" s="196">
        <v>0</v>
      </c>
      <c r="G533" s="196">
        <v>0</v>
      </c>
    </row>
    <row r="534" spans="1:7" x14ac:dyDescent="0.3">
      <c r="A534" s="198">
        <v>43017558</v>
      </c>
      <c r="B534" s="192" t="s">
        <v>626</v>
      </c>
      <c r="C534" s="196">
        <v>0</v>
      </c>
      <c r="D534" s="196">
        <v>297000</v>
      </c>
      <c r="E534" s="196">
        <v>297000</v>
      </c>
      <c r="F534" s="196">
        <v>0</v>
      </c>
      <c r="G534" s="196">
        <v>0</v>
      </c>
    </row>
    <row r="535" spans="1:7" x14ac:dyDescent="0.3">
      <c r="A535" s="198">
        <v>21419400</v>
      </c>
      <c r="B535" s="192" t="s">
        <v>627</v>
      </c>
      <c r="C535" s="196">
        <v>0</v>
      </c>
      <c r="D535" s="196">
        <v>101800</v>
      </c>
      <c r="E535" s="196">
        <v>101800</v>
      </c>
      <c r="F535" s="196">
        <v>0</v>
      </c>
      <c r="G535" s="196">
        <v>0</v>
      </c>
    </row>
    <row r="536" spans="1:7" x14ac:dyDescent="0.3">
      <c r="A536" s="198">
        <v>46646207</v>
      </c>
      <c r="B536" s="192" t="s">
        <v>628</v>
      </c>
      <c r="C536" s="196">
        <v>0</v>
      </c>
      <c r="D536" s="196">
        <v>108400</v>
      </c>
      <c r="E536" s="196">
        <v>108400</v>
      </c>
      <c r="F536" s="196">
        <v>0</v>
      </c>
      <c r="G536" s="196">
        <v>0</v>
      </c>
    </row>
    <row r="537" spans="1:7" x14ac:dyDescent="0.3">
      <c r="A537" s="198">
        <v>1022008851</v>
      </c>
      <c r="B537" s="192" t="s">
        <v>629</v>
      </c>
      <c r="C537" s="196">
        <v>0</v>
      </c>
      <c r="D537" s="196">
        <v>101800</v>
      </c>
      <c r="E537" s="196">
        <v>101800</v>
      </c>
      <c r="F537" s="196">
        <v>0</v>
      </c>
      <c r="G537" s="196">
        <v>0</v>
      </c>
    </row>
    <row r="538" spans="1:7" x14ac:dyDescent="0.3">
      <c r="A538" s="198">
        <v>53030816</v>
      </c>
      <c r="B538" s="192" t="s">
        <v>630</v>
      </c>
      <c r="C538" s="196">
        <v>0</v>
      </c>
      <c r="D538" s="196">
        <v>319000</v>
      </c>
      <c r="E538" s="196">
        <v>319000</v>
      </c>
      <c r="F538" s="196">
        <v>0</v>
      </c>
      <c r="G538" s="196">
        <v>0</v>
      </c>
    </row>
    <row r="539" spans="1:7" x14ac:dyDescent="0.3">
      <c r="A539" s="198">
        <v>42973806</v>
      </c>
      <c r="B539" s="192" t="s">
        <v>631</v>
      </c>
      <c r="C539" s="196">
        <v>-1</v>
      </c>
      <c r="D539" s="196">
        <v>0</v>
      </c>
      <c r="E539" s="196">
        <v>0</v>
      </c>
      <c r="F539" s="196">
        <v>0</v>
      </c>
      <c r="G539" s="196">
        <v>-1</v>
      </c>
    </row>
    <row r="540" spans="1:7" x14ac:dyDescent="0.3">
      <c r="A540" s="198">
        <v>1018402354</v>
      </c>
      <c r="B540" s="192" t="s">
        <v>632</v>
      </c>
      <c r="C540" s="196">
        <v>0</v>
      </c>
      <c r="D540" s="196">
        <v>297000</v>
      </c>
      <c r="E540" s="196">
        <v>297000</v>
      </c>
      <c r="F540" s="196">
        <v>0</v>
      </c>
      <c r="G540" s="196">
        <v>0</v>
      </c>
    </row>
    <row r="541" spans="1:7" x14ac:dyDescent="0.3">
      <c r="A541" s="198">
        <v>8255133</v>
      </c>
      <c r="B541" s="192" t="s">
        <v>633</v>
      </c>
      <c r="C541" s="196">
        <v>0</v>
      </c>
      <c r="D541" s="196">
        <v>5484800</v>
      </c>
      <c r="E541" s="196">
        <v>5484800</v>
      </c>
      <c r="F541" s="196">
        <v>0</v>
      </c>
      <c r="G541" s="196">
        <v>0</v>
      </c>
    </row>
    <row r="542" spans="1:7" x14ac:dyDescent="0.3">
      <c r="A542" s="198">
        <v>1035026369</v>
      </c>
      <c r="B542" s="192" t="s">
        <v>634</v>
      </c>
      <c r="C542" s="196">
        <v>0</v>
      </c>
      <c r="D542" s="196">
        <v>70000</v>
      </c>
      <c r="E542" s="196">
        <v>70000</v>
      </c>
      <c r="F542" s="196">
        <v>0</v>
      </c>
      <c r="G542" s="196">
        <v>0</v>
      </c>
    </row>
    <row r="543" spans="1:7" x14ac:dyDescent="0.3">
      <c r="A543" s="198">
        <v>1239489947</v>
      </c>
      <c r="B543" s="192" t="s">
        <v>635</v>
      </c>
      <c r="C543" s="196">
        <v>0</v>
      </c>
      <c r="D543" s="196">
        <v>98000</v>
      </c>
      <c r="E543" s="196">
        <v>98000</v>
      </c>
      <c r="F543" s="196">
        <v>0</v>
      </c>
      <c r="G543" s="196">
        <v>0</v>
      </c>
    </row>
    <row r="544" spans="1:7" x14ac:dyDescent="0.3">
      <c r="A544" s="198">
        <v>32221025</v>
      </c>
      <c r="B544" s="192" t="s">
        <v>636</v>
      </c>
      <c r="C544" s="196">
        <v>0</v>
      </c>
      <c r="D544" s="196">
        <v>297000</v>
      </c>
      <c r="E544" s="196">
        <v>297000</v>
      </c>
      <c r="F544" s="196">
        <v>0</v>
      </c>
      <c r="G544" s="196">
        <v>0</v>
      </c>
    </row>
    <row r="545" spans="1:7" x14ac:dyDescent="0.3">
      <c r="A545" s="198">
        <v>79532253</v>
      </c>
      <c r="B545" s="192" t="s">
        <v>637</v>
      </c>
      <c r="C545" s="196">
        <v>0</v>
      </c>
      <c r="D545" s="196">
        <v>24000000</v>
      </c>
      <c r="E545" s="196">
        <v>24000000</v>
      </c>
      <c r="F545" s="196">
        <v>0</v>
      </c>
      <c r="G545" s="196">
        <v>0</v>
      </c>
    </row>
    <row r="546" spans="1:7" x14ac:dyDescent="0.3">
      <c r="A546" s="198">
        <v>14895481</v>
      </c>
      <c r="B546" s="192" t="s">
        <v>638</v>
      </c>
      <c r="C546" s="196">
        <v>0</v>
      </c>
      <c r="D546" s="196">
        <v>165000</v>
      </c>
      <c r="E546" s="196">
        <v>165000</v>
      </c>
      <c r="F546" s="196">
        <v>0</v>
      </c>
      <c r="G546" s="196">
        <v>0</v>
      </c>
    </row>
    <row r="547" spans="1:7" x14ac:dyDescent="0.3">
      <c r="A547" s="198">
        <v>1013463486</v>
      </c>
      <c r="B547" s="192" t="s">
        <v>639</v>
      </c>
      <c r="C547" s="196">
        <v>0</v>
      </c>
      <c r="D547" s="196">
        <v>101800</v>
      </c>
      <c r="E547" s="196">
        <v>101800</v>
      </c>
      <c r="F547" s="196">
        <v>0</v>
      </c>
      <c r="G547" s="196">
        <v>0</v>
      </c>
    </row>
    <row r="548" spans="1:7" x14ac:dyDescent="0.3">
      <c r="A548" s="198">
        <v>98546918</v>
      </c>
      <c r="B548" s="192" t="s">
        <v>640</v>
      </c>
      <c r="C548" s="196">
        <v>0</v>
      </c>
      <c r="D548" s="196">
        <v>193806</v>
      </c>
      <c r="E548" s="196">
        <v>193806</v>
      </c>
      <c r="F548" s="196">
        <v>0</v>
      </c>
      <c r="G548" s="196">
        <v>0</v>
      </c>
    </row>
    <row r="549" spans="1:7" x14ac:dyDescent="0.3">
      <c r="A549" s="198">
        <v>1017156928</v>
      </c>
      <c r="B549" s="192" t="s">
        <v>641</v>
      </c>
      <c r="C549" s="196">
        <v>0</v>
      </c>
      <c r="D549" s="196">
        <v>101800</v>
      </c>
      <c r="E549" s="196">
        <v>101800</v>
      </c>
      <c r="F549" s="196">
        <v>0</v>
      </c>
      <c r="G549" s="196">
        <v>0</v>
      </c>
    </row>
    <row r="550" spans="1:7" x14ac:dyDescent="0.3">
      <c r="A550" s="198">
        <v>4105038</v>
      </c>
      <c r="B550" s="192" t="s">
        <v>642</v>
      </c>
      <c r="C550" s="196">
        <v>0</v>
      </c>
      <c r="D550" s="196">
        <v>9574000</v>
      </c>
      <c r="E550" s="196">
        <v>9574000</v>
      </c>
      <c r="F550" s="196">
        <v>0</v>
      </c>
      <c r="G550" s="196">
        <v>0</v>
      </c>
    </row>
    <row r="551" spans="1:7" x14ac:dyDescent="0.3">
      <c r="A551" s="198">
        <v>1013009908</v>
      </c>
      <c r="B551" s="192" t="s">
        <v>643</v>
      </c>
      <c r="C551" s="196">
        <v>0</v>
      </c>
      <c r="D551" s="196">
        <v>65850</v>
      </c>
      <c r="E551" s="196">
        <v>65850</v>
      </c>
      <c r="F551" s="196">
        <v>0</v>
      </c>
      <c r="G551" s="196">
        <v>0</v>
      </c>
    </row>
    <row r="552" spans="1:7" x14ac:dyDescent="0.3">
      <c r="A552" s="198">
        <v>1195216996</v>
      </c>
      <c r="B552" s="192" t="s">
        <v>644</v>
      </c>
      <c r="C552" s="196">
        <v>0</v>
      </c>
      <c r="D552" s="196">
        <v>101800</v>
      </c>
      <c r="E552" s="196">
        <v>101800</v>
      </c>
      <c r="F552" s="196">
        <v>0</v>
      </c>
      <c r="G552" s="196">
        <v>0</v>
      </c>
    </row>
    <row r="553" spans="1:7" x14ac:dyDescent="0.3">
      <c r="A553" s="198">
        <v>1034990759</v>
      </c>
      <c r="B553" s="192" t="s">
        <v>645</v>
      </c>
      <c r="C553" s="196">
        <v>0</v>
      </c>
      <c r="D553" s="196">
        <v>153600</v>
      </c>
      <c r="E553" s="196">
        <v>153600</v>
      </c>
      <c r="F553" s="196">
        <v>0</v>
      </c>
      <c r="G553" s="196">
        <v>0</v>
      </c>
    </row>
    <row r="554" spans="1:7" x14ac:dyDescent="0.3">
      <c r="A554" s="198">
        <v>1035026743</v>
      </c>
      <c r="B554" s="192" t="s">
        <v>646</v>
      </c>
      <c r="C554" s="196">
        <v>0</v>
      </c>
      <c r="D554" s="196">
        <v>50000</v>
      </c>
      <c r="E554" s="196">
        <v>50000</v>
      </c>
      <c r="F554" s="196">
        <v>0</v>
      </c>
      <c r="G554" s="196">
        <v>0</v>
      </c>
    </row>
    <row r="555" spans="1:7" x14ac:dyDescent="0.3">
      <c r="A555" s="198">
        <v>1007853333</v>
      </c>
      <c r="B555" s="192" t="s">
        <v>647</v>
      </c>
      <c r="C555" s="196">
        <v>0</v>
      </c>
      <c r="D555" s="196">
        <v>968000</v>
      </c>
      <c r="E555" s="196">
        <v>968000</v>
      </c>
      <c r="F555" s="196">
        <v>0</v>
      </c>
      <c r="G555" s="196">
        <v>0</v>
      </c>
    </row>
    <row r="556" spans="1:7" x14ac:dyDescent="0.3">
      <c r="A556" s="198">
        <v>1000137044</v>
      </c>
      <c r="B556" s="192" t="s">
        <v>648</v>
      </c>
      <c r="C556" s="196">
        <v>0</v>
      </c>
      <c r="D556" s="196">
        <v>3386000</v>
      </c>
      <c r="E556" s="196">
        <v>3386000</v>
      </c>
      <c r="F556" s="196">
        <v>0</v>
      </c>
      <c r="G556" s="196">
        <v>0</v>
      </c>
    </row>
    <row r="557" spans="1:7" x14ac:dyDescent="0.3">
      <c r="A557" s="198">
        <v>12962343</v>
      </c>
      <c r="B557" s="192" t="s">
        <v>649</v>
      </c>
      <c r="C557" s="196">
        <v>0</v>
      </c>
      <c r="D557" s="196">
        <v>140000</v>
      </c>
      <c r="E557" s="196">
        <v>140000</v>
      </c>
      <c r="F557" s="196">
        <v>0</v>
      </c>
      <c r="G557" s="196">
        <v>0</v>
      </c>
    </row>
    <row r="558" spans="1:7" x14ac:dyDescent="0.3">
      <c r="A558" s="198">
        <v>71673060</v>
      </c>
      <c r="B558" s="192" t="s">
        <v>650</v>
      </c>
      <c r="C558" s="196">
        <v>0</v>
      </c>
      <c r="D558" s="196">
        <v>50000</v>
      </c>
      <c r="E558" s="196">
        <v>50000</v>
      </c>
      <c r="F558" s="196">
        <v>0</v>
      </c>
      <c r="G558" s="196">
        <v>0</v>
      </c>
    </row>
    <row r="559" spans="1:7" x14ac:dyDescent="0.3">
      <c r="A559" s="198">
        <v>79542252</v>
      </c>
      <c r="B559" s="192" t="s">
        <v>651</v>
      </c>
      <c r="C559" s="196">
        <v>0</v>
      </c>
      <c r="D559" s="196">
        <v>82800</v>
      </c>
      <c r="E559" s="196">
        <v>82800</v>
      </c>
      <c r="F559" s="196">
        <v>0</v>
      </c>
      <c r="G559" s="196">
        <v>0</v>
      </c>
    </row>
    <row r="560" spans="1:7" x14ac:dyDescent="0.3">
      <c r="A560" s="198">
        <v>8260483</v>
      </c>
      <c r="B560" s="192" t="s">
        <v>652</v>
      </c>
      <c r="C560" s="196">
        <v>0</v>
      </c>
      <c r="D560" s="196">
        <v>4954000</v>
      </c>
      <c r="E560" s="196">
        <v>4954000</v>
      </c>
      <c r="F560" s="196">
        <v>0</v>
      </c>
      <c r="G560" s="196">
        <v>0</v>
      </c>
    </row>
    <row r="561" spans="1:7" x14ac:dyDescent="0.3">
      <c r="A561" s="198">
        <v>8164912</v>
      </c>
      <c r="B561" s="192" t="s">
        <v>653</v>
      </c>
      <c r="C561" s="196">
        <v>0</v>
      </c>
      <c r="D561" s="196">
        <v>108400</v>
      </c>
      <c r="E561" s="196">
        <v>108400</v>
      </c>
      <c r="F561" s="196">
        <v>0</v>
      </c>
      <c r="G561" s="196">
        <v>0</v>
      </c>
    </row>
    <row r="562" spans="1:7" x14ac:dyDescent="0.3">
      <c r="A562" s="198">
        <v>800066123</v>
      </c>
      <c r="B562" s="192" t="s">
        <v>654</v>
      </c>
      <c r="C562" s="196">
        <v>-0.01</v>
      </c>
      <c r="D562" s="196">
        <v>2550000</v>
      </c>
      <c r="E562" s="196">
        <v>0</v>
      </c>
      <c r="F562" s="196">
        <v>2550000</v>
      </c>
      <c r="G562" s="196">
        <v>2549999.9900000002</v>
      </c>
    </row>
    <row r="563" spans="1:7" x14ac:dyDescent="0.3">
      <c r="A563" s="198">
        <v>70071136</v>
      </c>
      <c r="B563" s="192" t="s">
        <v>655</v>
      </c>
      <c r="C563" s="196">
        <v>0</v>
      </c>
      <c r="D563" s="196">
        <v>76000</v>
      </c>
      <c r="E563" s="196">
        <v>76000</v>
      </c>
      <c r="F563" s="196">
        <v>0</v>
      </c>
      <c r="G563" s="196">
        <v>0</v>
      </c>
    </row>
    <row r="564" spans="1:7" x14ac:dyDescent="0.3">
      <c r="A564" s="198">
        <v>21871979</v>
      </c>
      <c r="B564" s="192" t="s">
        <v>656</v>
      </c>
      <c r="C564" s="196">
        <v>0</v>
      </c>
      <c r="D564" s="196">
        <v>683000</v>
      </c>
      <c r="E564" s="196">
        <v>683000</v>
      </c>
      <c r="F564" s="196">
        <v>0</v>
      </c>
      <c r="G564" s="196">
        <v>0</v>
      </c>
    </row>
    <row r="565" spans="1:7" x14ac:dyDescent="0.3">
      <c r="A565" s="198">
        <v>43904363</v>
      </c>
      <c r="B565" s="192" t="s">
        <v>657</v>
      </c>
      <c r="C565" s="196">
        <v>0</v>
      </c>
      <c r="D565" s="196">
        <v>297000</v>
      </c>
      <c r="E565" s="196">
        <v>297000</v>
      </c>
      <c r="F565" s="196">
        <v>0</v>
      </c>
      <c r="G565" s="196">
        <v>0</v>
      </c>
    </row>
    <row r="566" spans="1:7" x14ac:dyDescent="0.3">
      <c r="A566" s="198">
        <v>24367241</v>
      </c>
      <c r="B566" s="192" t="s">
        <v>658</v>
      </c>
      <c r="C566" s="196">
        <v>0</v>
      </c>
      <c r="D566" s="196">
        <v>104000</v>
      </c>
      <c r="E566" s="196">
        <v>104000</v>
      </c>
      <c r="F566" s="196">
        <v>0</v>
      </c>
      <c r="G566" s="196">
        <v>0</v>
      </c>
    </row>
    <row r="567" spans="1:7" x14ac:dyDescent="0.3">
      <c r="A567" s="198">
        <v>29856431</v>
      </c>
      <c r="B567" s="192" t="s">
        <v>659</v>
      </c>
      <c r="C567" s="196">
        <v>0</v>
      </c>
      <c r="D567" s="196">
        <v>114400</v>
      </c>
      <c r="E567" s="196">
        <v>114400</v>
      </c>
      <c r="F567" s="196">
        <v>0</v>
      </c>
      <c r="G567" s="196">
        <v>0</v>
      </c>
    </row>
    <row r="568" spans="1:7" x14ac:dyDescent="0.3">
      <c r="A568" s="198">
        <v>1043977083</v>
      </c>
      <c r="B568" s="192" t="s">
        <v>660</v>
      </c>
      <c r="C568" s="196">
        <v>0</v>
      </c>
      <c r="D568" s="196">
        <v>319000</v>
      </c>
      <c r="E568" s="196">
        <v>319000</v>
      </c>
      <c r="F568" s="196">
        <v>0</v>
      </c>
      <c r="G568" s="196">
        <v>0</v>
      </c>
    </row>
    <row r="569" spans="1:7" x14ac:dyDescent="0.3">
      <c r="A569" s="198">
        <v>71784033</v>
      </c>
      <c r="B569" s="192" t="s">
        <v>661</v>
      </c>
      <c r="C569" s="196">
        <v>0</v>
      </c>
      <c r="D569" s="196">
        <v>101800</v>
      </c>
      <c r="E569" s="196">
        <v>101800</v>
      </c>
      <c r="F569" s="196">
        <v>0</v>
      </c>
      <c r="G569" s="196">
        <v>0</v>
      </c>
    </row>
    <row r="570" spans="1:7" x14ac:dyDescent="0.3">
      <c r="A570" s="198">
        <v>43440595</v>
      </c>
      <c r="B570" s="192" t="s">
        <v>662</v>
      </c>
      <c r="C570" s="196">
        <v>0</v>
      </c>
      <c r="D570" s="196">
        <v>247000</v>
      </c>
      <c r="E570" s="196">
        <v>247000</v>
      </c>
      <c r="F570" s="196">
        <v>0</v>
      </c>
      <c r="G570" s="196">
        <v>0</v>
      </c>
    </row>
    <row r="571" spans="1:7" x14ac:dyDescent="0.3">
      <c r="A571" s="198">
        <v>32015972</v>
      </c>
      <c r="B571" s="192" t="s">
        <v>663</v>
      </c>
      <c r="C571" s="196">
        <v>0</v>
      </c>
      <c r="D571" s="196">
        <v>66400</v>
      </c>
      <c r="E571" s="196">
        <v>66400</v>
      </c>
      <c r="F571" s="196">
        <v>0</v>
      </c>
      <c r="G571" s="196">
        <v>0</v>
      </c>
    </row>
    <row r="572" spans="1:7" x14ac:dyDescent="0.3">
      <c r="A572" s="198">
        <v>37834074</v>
      </c>
      <c r="B572" s="192" t="s">
        <v>664</v>
      </c>
      <c r="C572" s="196">
        <v>0</v>
      </c>
      <c r="D572" s="196">
        <v>101800</v>
      </c>
      <c r="E572" s="196">
        <v>101800</v>
      </c>
      <c r="F572" s="196">
        <v>0</v>
      </c>
      <c r="G572" s="196">
        <v>0</v>
      </c>
    </row>
    <row r="573" spans="1:7" x14ac:dyDescent="0.3">
      <c r="A573" s="198">
        <v>51555699</v>
      </c>
      <c r="B573" s="192" t="s">
        <v>665</v>
      </c>
      <c r="C573" s="196">
        <v>0</v>
      </c>
      <c r="D573" s="196">
        <v>50200</v>
      </c>
      <c r="E573" s="196">
        <v>50200</v>
      </c>
      <c r="F573" s="196">
        <v>0</v>
      </c>
      <c r="G573" s="196">
        <v>0</v>
      </c>
    </row>
    <row r="574" spans="1:7" x14ac:dyDescent="0.3">
      <c r="A574" s="198">
        <v>37825638</v>
      </c>
      <c r="B574" s="192" t="s">
        <v>666</v>
      </c>
      <c r="C574" s="196">
        <v>12608200</v>
      </c>
      <c r="D574" s="196">
        <v>0</v>
      </c>
      <c r="E574" s="196">
        <v>12608200</v>
      </c>
      <c r="F574" s="196">
        <v>-12608200</v>
      </c>
      <c r="G574" s="196">
        <v>0</v>
      </c>
    </row>
    <row r="575" spans="1:7" x14ac:dyDescent="0.3">
      <c r="A575" s="198">
        <v>39268931</v>
      </c>
      <c r="B575" s="192" t="s">
        <v>667</v>
      </c>
      <c r="C575" s="196">
        <v>0</v>
      </c>
      <c r="D575" s="196">
        <v>326600</v>
      </c>
      <c r="E575" s="196">
        <v>326600</v>
      </c>
      <c r="F575" s="196">
        <v>0</v>
      </c>
      <c r="G575" s="196">
        <v>0</v>
      </c>
    </row>
    <row r="576" spans="1:7" x14ac:dyDescent="0.3">
      <c r="A576" s="198">
        <v>43557742</v>
      </c>
      <c r="B576" s="192" t="s">
        <v>668</v>
      </c>
      <c r="C576" s="196">
        <v>0</v>
      </c>
      <c r="D576" s="196">
        <v>101800</v>
      </c>
      <c r="E576" s="196">
        <v>101800</v>
      </c>
      <c r="F576" s="196">
        <v>0</v>
      </c>
      <c r="G576" s="196">
        <v>0</v>
      </c>
    </row>
    <row r="577" spans="1:7" x14ac:dyDescent="0.3">
      <c r="A577" s="198">
        <v>32334815</v>
      </c>
      <c r="B577" s="192" t="s">
        <v>669</v>
      </c>
      <c r="C577" s="196">
        <v>0</v>
      </c>
      <c r="D577" s="196">
        <v>824000</v>
      </c>
      <c r="E577" s="196">
        <v>824000</v>
      </c>
      <c r="F577" s="196">
        <v>0</v>
      </c>
      <c r="G577" s="196">
        <v>0</v>
      </c>
    </row>
    <row r="578" spans="1:7" x14ac:dyDescent="0.3">
      <c r="A578" s="198">
        <v>42865217</v>
      </c>
      <c r="B578" s="192" t="s">
        <v>670</v>
      </c>
      <c r="C578" s="196">
        <v>0</v>
      </c>
      <c r="D578" s="196">
        <v>184400</v>
      </c>
      <c r="E578" s="196">
        <v>184400</v>
      </c>
      <c r="F578" s="196">
        <v>0</v>
      </c>
      <c r="G578" s="196">
        <v>0</v>
      </c>
    </row>
    <row r="579" spans="1:7" x14ac:dyDescent="0.3">
      <c r="A579" s="198">
        <v>42876811</v>
      </c>
      <c r="B579" s="192" t="s">
        <v>671</v>
      </c>
      <c r="C579" s="196">
        <v>0</v>
      </c>
      <c r="D579" s="196">
        <v>3912000</v>
      </c>
      <c r="E579" s="196">
        <v>3912000</v>
      </c>
      <c r="F579" s="196">
        <v>0</v>
      </c>
      <c r="G579" s="196">
        <v>0</v>
      </c>
    </row>
    <row r="580" spans="1:7" x14ac:dyDescent="0.3">
      <c r="A580" s="198">
        <v>51702430</v>
      </c>
      <c r="B580" s="192" t="s">
        <v>672</v>
      </c>
      <c r="C580" s="196">
        <v>0</v>
      </c>
      <c r="D580" s="196">
        <v>2503900</v>
      </c>
      <c r="E580" s="196">
        <v>2503899</v>
      </c>
      <c r="F580" s="196">
        <v>1</v>
      </c>
      <c r="G580" s="196">
        <v>1</v>
      </c>
    </row>
    <row r="581" spans="1:7" x14ac:dyDescent="0.3">
      <c r="A581" s="198">
        <v>43530091</v>
      </c>
      <c r="B581" s="192" t="s">
        <v>673</v>
      </c>
      <c r="C581" s="196">
        <v>0</v>
      </c>
      <c r="D581" s="196">
        <v>101800</v>
      </c>
      <c r="E581" s="196">
        <v>101800</v>
      </c>
      <c r="F581" s="196">
        <v>0</v>
      </c>
      <c r="G581" s="196">
        <v>0</v>
      </c>
    </row>
    <row r="582" spans="1:7" x14ac:dyDescent="0.3">
      <c r="A582" s="198">
        <v>43461242</v>
      </c>
      <c r="B582" s="192" t="s">
        <v>674</v>
      </c>
      <c r="C582" s="196">
        <v>0</v>
      </c>
      <c r="D582" s="196">
        <v>163900</v>
      </c>
      <c r="E582" s="196">
        <v>163900</v>
      </c>
      <c r="F582" s="196">
        <v>0</v>
      </c>
      <c r="G582" s="196">
        <v>0</v>
      </c>
    </row>
    <row r="583" spans="1:7" x14ac:dyDescent="0.3">
      <c r="A583" s="198">
        <v>43741927</v>
      </c>
      <c r="B583" s="192" t="s">
        <v>675</v>
      </c>
      <c r="C583" s="196">
        <v>0</v>
      </c>
      <c r="D583" s="196">
        <v>101800</v>
      </c>
      <c r="E583" s="196">
        <v>101800</v>
      </c>
      <c r="F583" s="196">
        <v>0</v>
      </c>
      <c r="G583" s="196">
        <v>0</v>
      </c>
    </row>
    <row r="584" spans="1:7" x14ac:dyDescent="0.3">
      <c r="A584" s="198">
        <v>1095844253</v>
      </c>
      <c r="B584" s="192" t="s">
        <v>676</v>
      </c>
      <c r="C584" s="196">
        <v>0</v>
      </c>
      <c r="D584" s="196">
        <v>101800</v>
      </c>
      <c r="E584" s="196">
        <v>101800</v>
      </c>
      <c r="F584" s="196">
        <v>0</v>
      </c>
      <c r="G584" s="196">
        <v>0</v>
      </c>
    </row>
    <row r="585" spans="1:7" x14ac:dyDescent="0.3">
      <c r="A585" s="198">
        <v>22583134</v>
      </c>
      <c r="B585" s="192" t="s">
        <v>677</v>
      </c>
      <c r="C585" s="196">
        <v>0</v>
      </c>
      <c r="D585" s="196">
        <v>101800</v>
      </c>
      <c r="E585" s="196">
        <v>101800</v>
      </c>
      <c r="F585" s="196">
        <v>0</v>
      </c>
      <c r="G585" s="196">
        <v>0</v>
      </c>
    </row>
    <row r="586" spans="1:7" x14ac:dyDescent="0.3">
      <c r="A586" s="198">
        <v>1034988192</v>
      </c>
      <c r="B586" s="192" t="s">
        <v>678</v>
      </c>
      <c r="C586" s="196">
        <v>0</v>
      </c>
      <c r="D586" s="196">
        <v>158600</v>
      </c>
      <c r="E586" s="196">
        <v>158600</v>
      </c>
      <c r="F586" s="196">
        <v>0</v>
      </c>
      <c r="G586" s="196">
        <v>0</v>
      </c>
    </row>
    <row r="587" spans="1:7" x14ac:dyDescent="0.3">
      <c r="A587" s="198">
        <v>1035007942</v>
      </c>
      <c r="B587" s="192" t="s">
        <v>679</v>
      </c>
      <c r="C587" s="196">
        <v>0</v>
      </c>
      <c r="D587" s="196">
        <v>101800</v>
      </c>
      <c r="E587" s="196">
        <v>101800</v>
      </c>
      <c r="F587" s="196">
        <v>0</v>
      </c>
      <c r="G587" s="196">
        <v>0</v>
      </c>
    </row>
    <row r="588" spans="1:7" x14ac:dyDescent="0.3">
      <c r="A588" s="198">
        <v>1035015878</v>
      </c>
      <c r="B588" s="192" t="s">
        <v>680</v>
      </c>
      <c r="C588" s="196">
        <v>1</v>
      </c>
      <c r="D588" s="196">
        <v>0</v>
      </c>
      <c r="E588" s="196">
        <v>0</v>
      </c>
      <c r="F588" s="196">
        <v>0</v>
      </c>
      <c r="G588" s="196">
        <v>1</v>
      </c>
    </row>
    <row r="589" spans="1:7" x14ac:dyDescent="0.3">
      <c r="A589" s="198">
        <v>1035012880</v>
      </c>
      <c r="B589" s="192" t="s">
        <v>681</v>
      </c>
      <c r="C589" s="196">
        <v>0</v>
      </c>
      <c r="D589" s="196">
        <v>90000</v>
      </c>
      <c r="E589" s="196">
        <v>90000</v>
      </c>
      <c r="F589" s="196">
        <v>0</v>
      </c>
      <c r="G589" s="196">
        <v>0</v>
      </c>
    </row>
    <row r="590" spans="1:7" x14ac:dyDescent="0.3">
      <c r="A590" s="198">
        <v>1016917644</v>
      </c>
      <c r="B590" s="192" t="s">
        <v>682</v>
      </c>
      <c r="C590" s="196">
        <v>0</v>
      </c>
      <c r="D590" s="196">
        <v>65850</v>
      </c>
      <c r="E590" s="196">
        <v>65850</v>
      </c>
      <c r="F590" s="196">
        <v>0</v>
      </c>
      <c r="G590" s="196">
        <v>0</v>
      </c>
    </row>
    <row r="591" spans="1:7" x14ac:dyDescent="0.3">
      <c r="A591" s="198">
        <v>900244957</v>
      </c>
      <c r="B591" s="192" t="s">
        <v>683</v>
      </c>
      <c r="C591" s="196">
        <v>0</v>
      </c>
      <c r="D591" s="196">
        <v>1926000</v>
      </c>
      <c r="E591" s="196">
        <v>1926000</v>
      </c>
      <c r="F591" s="196">
        <v>0</v>
      </c>
      <c r="G591" s="196">
        <v>0</v>
      </c>
    </row>
    <row r="592" spans="1:7" x14ac:dyDescent="0.3">
      <c r="A592" s="198">
        <v>891327</v>
      </c>
      <c r="B592" s="192" t="s">
        <v>684</v>
      </c>
      <c r="C592" s="196">
        <v>0</v>
      </c>
      <c r="D592" s="196">
        <v>108400</v>
      </c>
      <c r="E592" s="196">
        <v>108400</v>
      </c>
      <c r="F592" s="196">
        <v>0</v>
      </c>
      <c r="G592" s="196">
        <v>0</v>
      </c>
    </row>
    <row r="593" spans="1:7" x14ac:dyDescent="0.3">
      <c r="A593" s="198">
        <v>3454032</v>
      </c>
      <c r="B593" s="192" t="s">
        <v>685</v>
      </c>
      <c r="C593" s="196">
        <v>0</v>
      </c>
      <c r="D593" s="196">
        <v>310000</v>
      </c>
      <c r="E593" s="196">
        <v>310000</v>
      </c>
      <c r="F593" s="196">
        <v>0</v>
      </c>
      <c r="G593" s="196">
        <v>0</v>
      </c>
    </row>
    <row r="594" spans="1:7" x14ac:dyDescent="0.3">
      <c r="A594" s="198">
        <v>3566307</v>
      </c>
      <c r="B594" s="192" t="s">
        <v>686</v>
      </c>
      <c r="C594" s="196">
        <v>0</v>
      </c>
      <c r="D594" s="196">
        <v>101800</v>
      </c>
      <c r="E594" s="196">
        <v>101800</v>
      </c>
      <c r="F594" s="196">
        <v>0</v>
      </c>
      <c r="G594" s="196">
        <v>0</v>
      </c>
    </row>
    <row r="595" spans="1:7" x14ac:dyDescent="0.3">
      <c r="A595" s="198">
        <v>1037640791</v>
      </c>
      <c r="B595" s="192" t="s">
        <v>687</v>
      </c>
      <c r="C595" s="196">
        <v>0</v>
      </c>
      <c r="D595" s="196">
        <v>963000</v>
      </c>
      <c r="E595" s="196">
        <v>963000</v>
      </c>
      <c r="F595" s="196">
        <v>0</v>
      </c>
      <c r="G595" s="196">
        <v>0</v>
      </c>
    </row>
    <row r="596" spans="1:7" x14ac:dyDescent="0.3">
      <c r="A596" s="198">
        <v>3345147</v>
      </c>
      <c r="B596" s="192" t="s">
        <v>688</v>
      </c>
      <c r="C596" s="196">
        <v>0</v>
      </c>
      <c r="D596" s="196">
        <v>184400</v>
      </c>
      <c r="E596" s="196">
        <v>184400</v>
      </c>
      <c r="F596" s="196">
        <v>0</v>
      </c>
      <c r="G596" s="196">
        <v>0</v>
      </c>
    </row>
    <row r="597" spans="1:7" x14ac:dyDescent="0.3">
      <c r="A597" s="198">
        <v>71376311</v>
      </c>
      <c r="B597" s="192" t="s">
        <v>689</v>
      </c>
      <c r="C597" s="196">
        <v>0</v>
      </c>
      <c r="D597" s="196">
        <v>114400</v>
      </c>
      <c r="E597" s="196">
        <v>114400</v>
      </c>
      <c r="F597" s="196">
        <v>0</v>
      </c>
      <c r="G597" s="196">
        <v>0</v>
      </c>
    </row>
    <row r="598" spans="1:7" x14ac:dyDescent="0.3">
      <c r="A598" s="198">
        <v>98522171</v>
      </c>
      <c r="B598" s="192" t="s">
        <v>690</v>
      </c>
      <c r="C598" s="196">
        <v>0</v>
      </c>
      <c r="D598" s="196">
        <v>67000</v>
      </c>
      <c r="E598" s="196">
        <v>67000</v>
      </c>
      <c r="F598" s="196">
        <v>0</v>
      </c>
      <c r="G598" s="196">
        <v>0</v>
      </c>
    </row>
    <row r="599" spans="1:7" x14ac:dyDescent="0.3">
      <c r="A599" s="198">
        <v>3481171</v>
      </c>
      <c r="B599" s="192" t="s">
        <v>691</v>
      </c>
      <c r="C599" s="196">
        <v>0</v>
      </c>
      <c r="D599" s="196">
        <v>352200</v>
      </c>
      <c r="E599" s="196">
        <v>352200</v>
      </c>
      <c r="F599" s="196">
        <v>0</v>
      </c>
      <c r="G599" s="196">
        <v>0</v>
      </c>
    </row>
    <row r="600" spans="1:7" x14ac:dyDescent="0.3">
      <c r="A600" s="192" t="s">
        <v>692</v>
      </c>
      <c r="B600" s="192" t="s">
        <v>693</v>
      </c>
      <c r="C600" s="196">
        <v>0</v>
      </c>
      <c r="D600" s="196">
        <v>4133000</v>
      </c>
      <c r="E600" s="196">
        <v>4133000</v>
      </c>
      <c r="F600" s="196">
        <v>0</v>
      </c>
      <c r="G600" s="196">
        <v>0</v>
      </c>
    </row>
    <row r="601" spans="1:7" x14ac:dyDescent="0.3">
      <c r="A601" s="198">
        <v>98492988</v>
      </c>
      <c r="B601" s="192" t="s">
        <v>694</v>
      </c>
      <c r="C601" s="196">
        <v>0</v>
      </c>
      <c r="D601" s="196">
        <v>223300</v>
      </c>
      <c r="E601" s="196">
        <v>223300</v>
      </c>
      <c r="F601" s="196">
        <v>0</v>
      </c>
      <c r="G601" s="196">
        <v>0</v>
      </c>
    </row>
    <row r="602" spans="1:7" x14ac:dyDescent="0.3">
      <c r="A602" s="198">
        <v>79375093</v>
      </c>
      <c r="B602" s="192" t="s">
        <v>695</v>
      </c>
      <c r="C602" s="196">
        <v>0</v>
      </c>
      <c r="D602" s="196">
        <v>319000</v>
      </c>
      <c r="E602" s="196">
        <v>319000</v>
      </c>
      <c r="F602" s="196">
        <v>0</v>
      </c>
      <c r="G602" s="196">
        <v>0</v>
      </c>
    </row>
    <row r="603" spans="1:7" x14ac:dyDescent="0.3">
      <c r="A603" s="192" t="s">
        <v>696</v>
      </c>
      <c r="B603" s="192" t="s">
        <v>697</v>
      </c>
      <c r="C603" s="196">
        <v>0</v>
      </c>
      <c r="D603" s="196">
        <v>52000</v>
      </c>
      <c r="E603" s="196">
        <v>52000</v>
      </c>
      <c r="F603" s="196">
        <v>0</v>
      </c>
      <c r="G603" s="196">
        <v>0</v>
      </c>
    </row>
    <row r="604" spans="1:7" x14ac:dyDescent="0.3">
      <c r="A604" s="198">
        <v>1015196243</v>
      </c>
      <c r="B604" s="192" t="s">
        <v>698</v>
      </c>
      <c r="C604" s="196">
        <v>0</v>
      </c>
      <c r="D604" s="196">
        <v>101800</v>
      </c>
      <c r="E604" s="196">
        <v>101800</v>
      </c>
      <c r="F604" s="196">
        <v>0</v>
      </c>
      <c r="G604" s="196">
        <v>0</v>
      </c>
    </row>
    <row r="605" spans="1:7" x14ac:dyDescent="0.3">
      <c r="A605" s="192" t="s">
        <v>699</v>
      </c>
      <c r="B605" s="192" t="s">
        <v>700</v>
      </c>
      <c r="C605" s="196">
        <v>0</v>
      </c>
      <c r="D605" s="196">
        <v>297000</v>
      </c>
      <c r="E605" s="196">
        <v>297000</v>
      </c>
      <c r="F605" s="196">
        <v>0</v>
      </c>
      <c r="G605" s="196">
        <v>0</v>
      </c>
    </row>
    <row r="606" spans="1:7" x14ac:dyDescent="0.3">
      <c r="A606" s="198">
        <v>1017185563</v>
      </c>
      <c r="B606" s="192" t="s">
        <v>701</v>
      </c>
      <c r="C606" s="196">
        <v>0</v>
      </c>
      <c r="D606" s="196">
        <v>108400</v>
      </c>
      <c r="E606" s="196">
        <v>108400</v>
      </c>
      <c r="F606" s="196">
        <v>0</v>
      </c>
      <c r="G606" s="196">
        <v>0</v>
      </c>
    </row>
    <row r="607" spans="1:7" x14ac:dyDescent="0.3">
      <c r="A607" s="198">
        <v>91266082</v>
      </c>
      <c r="B607" s="192" t="s">
        <v>702</v>
      </c>
      <c r="C607" s="196">
        <v>0</v>
      </c>
      <c r="D607" s="196">
        <v>297000</v>
      </c>
      <c r="E607" s="196">
        <v>297000</v>
      </c>
      <c r="F607" s="196">
        <v>0</v>
      </c>
      <c r="G607" s="196">
        <v>0</v>
      </c>
    </row>
    <row r="608" spans="1:7" x14ac:dyDescent="0.3">
      <c r="A608" s="198">
        <v>70055687</v>
      </c>
      <c r="B608" s="192" t="s">
        <v>703</v>
      </c>
      <c r="C608" s="196">
        <v>0</v>
      </c>
      <c r="D608" s="196">
        <v>276800</v>
      </c>
      <c r="E608" s="196">
        <v>276800</v>
      </c>
      <c r="F608" s="196">
        <v>0</v>
      </c>
      <c r="G608" s="196">
        <v>0</v>
      </c>
    </row>
    <row r="609" spans="1:7" x14ac:dyDescent="0.3">
      <c r="A609" s="198">
        <v>1035024695</v>
      </c>
      <c r="B609" s="192" t="s">
        <v>704</v>
      </c>
      <c r="C609" s="196">
        <v>0</v>
      </c>
      <c r="D609" s="196">
        <v>101800</v>
      </c>
      <c r="E609" s="196">
        <v>101800</v>
      </c>
      <c r="F609" s="196">
        <v>0</v>
      </c>
      <c r="G609" s="196">
        <v>0</v>
      </c>
    </row>
    <row r="610" spans="1:7" x14ac:dyDescent="0.3">
      <c r="A610" s="198">
        <v>1035017609</v>
      </c>
      <c r="B610" s="192" t="s">
        <v>705</v>
      </c>
      <c r="C610" s="196">
        <v>0</v>
      </c>
      <c r="D610" s="196">
        <v>101800</v>
      </c>
      <c r="E610" s="196">
        <v>101800</v>
      </c>
      <c r="F610" s="196">
        <v>0</v>
      </c>
      <c r="G610" s="196">
        <v>0</v>
      </c>
    </row>
    <row r="611" spans="1:7" x14ac:dyDescent="0.3">
      <c r="A611" s="198">
        <v>1127356522</v>
      </c>
      <c r="B611" s="192" t="s">
        <v>706</v>
      </c>
      <c r="C611" s="196">
        <v>0</v>
      </c>
      <c r="D611" s="196">
        <v>3358000</v>
      </c>
      <c r="E611" s="196">
        <v>3358000</v>
      </c>
      <c r="F611" s="196">
        <v>0</v>
      </c>
      <c r="G611" s="196">
        <v>0</v>
      </c>
    </row>
    <row r="612" spans="1:7" x14ac:dyDescent="0.3">
      <c r="A612" s="198">
        <v>71260455</v>
      </c>
      <c r="B612" s="192" t="s">
        <v>707</v>
      </c>
      <c r="C612" s="196">
        <v>0</v>
      </c>
      <c r="D612" s="196">
        <v>82800</v>
      </c>
      <c r="E612" s="196">
        <v>82800</v>
      </c>
      <c r="F612" s="196">
        <v>0</v>
      </c>
      <c r="G612" s="196">
        <v>0</v>
      </c>
    </row>
    <row r="613" spans="1:7" x14ac:dyDescent="0.3">
      <c r="A613" s="198">
        <v>1043302454</v>
      </c>
      <c r="B613" s="192" t="s">
        <v>708</v>
      </c>
      <c r="C613" s="196">
        <v>1</v>
      </c>
      <c r="D613" s="196">
        <v>50899</v>
      </c>
      <c r="E613" s="196">
        <v>50899</v>
      </c>
      <c r="F613" s="196">
        <v>0</v>
      </c>
      <c r="G613" s="196">
        <v>1</v>
      </c>
    </row>
    <row r="614" spans="1:7" x14ac:dyDescent="0.3">
      <c r="A614" s="192" t="s">
        <v>709</v>
      </c>
      <c r="B614" s="192" t="s">
        <v>710</v>
      </c>
      <c r="C614" s="196">
        <v>5</v>
      </c>
      <c r="D614" s="196">
        <v>0</v>
      </c>
      <c r="E614" s="196">
        <v>0</v>
      </c>
      <c r="F614" s="196">
        <v>0</v>
      </c>
      <c r="G614" s="196">
        <v>5</v>
      </c>
    </row>
    <row r="615" spans="1:7" x14ac:dyDescent="0.3">
      <c r="A615" s="198">
        <v>6450606</v>
      </c>
      <c r="B615" s="192" t="s">
        <v>711</v>
      </c>
      <c r="C615" s="196">
        <v>0</v>
      </c>
      <c r="D615" s="196">
        <v>380000</v>
      </c>
      <c r="E615" s="196">
        <v>380000</v>
      </c>
      <c r="F615" s="196">
        <v>0</v>
      </c>
      <c r="G615" s="196">
        <v>0</v>
      </c>
    </row>
    <row r="616" spans="1:7" x14ac:dyDescent="0.3">
      <c r="A616" s="198">
        <v>7537104</v>
      </c>
      <c r="B616" s="192" t="s">
        <v>712</v>
      </c>
      <c r="C616" s="196">
        <v>0</v>
      </c>
      <c r="D616" s="196">
        <v>297000</v>
      </c>
      <c r="E616" s="196">
        <v>297000</v>
      </c>
      <c r="F616" s="196">
        <v>0</v>
      </c>
      <c r="G616" s="196">
        <v>0</v>
      </c>
    </row>
    <row r="617" spans="1:7" x14ac:dyDescent="0.3">
      <c r="A617" s="198">
        <v>1137977262</v>
      </c>
      <c r="B617" s="192" t="s">
        <v>713</v>
      </c>
      <c r="C617" s="196">
        <v>129310</v>
      </c>
      <c r="D617" s="196">
        <v>0</v>
      </c>
      <c r="E617" s="196">
        <v>0</v>
      </c>
      <c r="F617" s="196">
        <v>0</v>
      </c>
      <c r="G617" s="196">
        <v>129310</v>
      </c>
    </row>
    <row r="618" spans="1:7" x14ac:dyDescent="0.3">
      <c r="A618" s="198">
        <v>43085422</v>
      </c>
      <c r="B618" s="192" t="s">
        <v>714</v>
      </c>
      <c r="C618" s="196">
        <v>0</v>
      </c>
      <c r="D618" s="196">
        <v>2954000</v>
      </c>
      <c r="E618" s="196">
        <v>2954000</v>
      </c>
      <c r="F618" s="196">
        <v>0</v>
      </c>
      <c r="G618" s="196">
        <v>0</v>
      </c>
    </row>
    <row r="619" spans="1:7" x14ac:dyDescent="0.3">
      <c r="A619" s="198">
        <v>1193583589</v>
      </c>
      <c r="B619" s="192" t="s">
        <v>715</v>
      </c>
      <c r="C619" s="196">
        <v>0</v>
      </c>
      <c r="D619" s="196">
        <v>963000</v>
      </c>
      <c r="E619" s="196">
        <v>963000</v>
      </c>
      <c r="F619" s="196">
        <v>0</v>
      </c>
      <c r="G619" s="196">
        <v>0</v>
      </c>
    </row>
    <row r="620" spans="1:7" x14ac:dyDescent="0.3">
      <c r="A620" s="198">
        <v>501488</v>
      </c>
      <c r="B620" s="192" t="s">
        <v>716</v>
      </c>
      <c r="C620" s="196">
        <v>0</v>
      </c>
      <c r="D620" s="196">
        <v>101800</v>
      </c>
      <c r="E620" s="196">
        <v>101800</v>
      </c>
      <c r="F620" s="196">
        <v>0</v>
      </c>
      <c r="G620" s="196">
        <v>0</v>
      </c>
    </row>
    <row r="621" spans="1:7" x14ac:dyDescent="0.3">
      <c r="A621" s="198">
        <v>32304305</v>
      </c>
      <c r="B621" s="192" t="s">
        <v>717</v>
      </c>
      <c r="C621" s="196">
        <v>1</v>
      </c>
      <c r="D621" s="196">
        <v>0</v>
      </c>
      <c r="E621" s="196">
        <v>0</v>
      </c>
      <c r="F621" s="196">
        <v>0</v>
      </c>
      <c r="G621" s="196">
        <v>1</v>
      </c>
    </row>
    <row r="622" spans="1:7" x14ac:dyDescent="0.3">
      <c r="A622" s="198">
        <v>901133049</v>
      </c>
      <c r="B622" s="192" t="s">
        <v>718</v>
      </c>
      <c r="C622" s="196">
        <v>0</v>
      </c>
      <c r="D622" s="196">
        <v>2242000</v>
      </c>
      <c r="E622" s="196">
        <v>2242000</v>
      </c>
      <c r="F622" s="196">
        <v>0</v>
      </c>
      <c r="G622" s="196">
        <v>0</v>
      </c>
    </row>
    <row r="623" spans="1:7" x14ac:dyDescent="0.3">
      <c r="A623" s="198">
        <v>8000850</v>
      </c>
      <c r="B623" s="192" t="s">
        <v>719</v>
      </c>
      <c r="C623" s="196">
        <v>0</v>
      </c>
      <c r="D623" s="196">
        <v>420000</v>
      </c>
      <c r="E623" s="196">
        <v>420000</v>
      </c>
      <c r="F623" s="196">
        <v>0</v>
      </c>
      <c r="G623" s="196">
        <v>0</v>
      </c>
    </row>
    <row r="624" spans="1:7" x14ac:dyDescent="0.3">
      <c r="A624" s="198">
        <v>39676051</v>
      </c>
      <c r="B624" s="192" t="s">
        <v>720</v>
      </c>
      <c r="C624" s="196">
        <v>0</v>
      </c>
      <c r="D624" s="196">
        <v>919000</v>
      </c>
      <c r="E624" s="196">
        <v>919000</v>
      </c>
      <c r="F624" s="196">
        <v>0</v>
      </c>
      <c r="G624" s="196">
        <v>0</v>
      </c>
    </row>
    <row r="625" spans="1:7" x14ac:dyDescent="0.3">
      <c r="A625" s="198">
        <v>32754871</v>
      </c>
      <c r="B625" s="192" t="s">
        <v>721</v>
      </c>
      <c r="C625" s="196">
        <v>1</v>
      </c>
      <c r="D625" s="196">
        <v>183000</v>
      </c>
      <c r="E625" s="196">
        <v>183000</v>
      </c>
      <c r="F625" s="196">
        <v>0</v>
      </c>
      <c r="G625" s="196">
        <v>1</v>
      </c>
    </row>
    <row r="626" spans="1:7" x14ac:dyDescent="0.3">
      <c r="A626" s="198">
        <v>900163228</v>
      </c>
      <c r="B626" s="192" t="s">
        <v>722</v>
      </c>
      <c r="C626" s="196">
        <v>8751500</v>
      </c>
      <c r="D626" s="196">
        <v>3151500</v>
      </c>
      <c r="E626" s="196">
        <v>6303000</v>
      </c>
      <c r="F626" s="196">
        <v>-3151500</v>
      </c>
      <c r="G626" s="196">
        <v>5600000</v>
      </c>
    </row>
    <row r="627" spans="1:7" x14ac:dyDescent="0.3">
      <c r="A627" s="198">
        <v>70196823</v>
      </c>
      <c r="B627" s="192" t="s">
        <v>723</v>
      </c>
      <c r="C627" s="196">
        <v>0</v>
      </c>
      <c r="D627" s="196">
        <v>420000</v>
      </c>
      <c r="E627" s="196">
        <v>420000</v>
      </c>
      <c r="F627" s="196">
        <v>0</v>
      </c>
      <c r="G627" s="196">
        <v>0</v>
      </c>
    </row>
    <row r="628" spans="1:7" x14ac:dyDescent="0.3">
      <c r="A628" s="198">
        <v>1233932497</v>
      </c>
      <c r="B628" s="192" t="s">
        <v>724</v>
      </c>
      <c r="C628" s="196">
        <v>0</v>
      </c>
      <c r="D628" s="196">
        <v>50600</v>
      </c>
      <c r="E628" s="196">
        <v>50600</v>
      </c>
      <c r="F628" s="196">
        <v>0</v>
      </c>
      <c r="G628" s="196">
        <v>0</v>
      </c>
    </row>
    <row r="629" spans="1:7" x14ac:dyDescent="0.3">
      <c r="A629" s="198">
        <v>1023542035</v>
      </c>
      <c r="B629" s="192" t="s">
        <v>725</v>
      </c>
      <c r="C629" s="196">
        <v>0</v>
      </c>
      <c r="D629" s="196">
        <v>94000</v>
      </c>
      <c r="E629" s="196">
        <v>94000</v>
      </c>
      <c r="F629" s="196">
        <v>0</v>
      </c>
      <c r="G629" s="196">
        <v>0</v>
      </c>
    </row>
    <row r="630" spans="1:7" x14ac:dyDescent="0.3">
      <c r="A630" s="198">
        <v>1110612332</v>
      </c>
      <c r="B630" s="192" t="s">
        <v>726</v>
      </c>
      <c r="C630" s="196">
        <v>0</v>
      </c>
      <c r="D630" s="196">
        <v>98000</v>
      </c>
      <c r="E630" s="196">
        <v>98000</v>
      </c>
      <c r="F630" s="196">
        <v>0</v>
      </c>
      <c r="G630" s="196">
        <v>0</v>
      </c>
    </row>
    <row r="631" spans="1:7" x14ac:dyDescent="0.3">
      <c r="A631" s="198">
        <v>32447962</v>
      </c>
      <c r="B631" s="192" t="s">
        <v>727</v>
      </c>
      <c r="C631" s="196">
        <v>0</v>
      </c>
      <c r="D631" s="196">
        <v>7248600</v>
      </c>
      <c r="E631" s="196">
        <v>7248599</v>
      </c>
      <c r="F631" s="196">
        <v>1</v>
      </c>
      <c r="G631" s="196">
        <v>1</v>
      </c>
    </row>
    <row r="632" spans="1:7" x14ac:dyDescent="0.3">
      <c r="A632" s="198">
        <v>1017236584</v>
      </c>
      <c r="B632" s="192" t="s">
        <v>728</v>
      </c>
      <c r="C632" s="196">
        <v>0</v>
      </c>
      <c r="D632" s="196">
        <v>101800</v>
      </c>
      <c r="E632" s="196">
        <v>101800</v>
      </c>
      <c r="F632" s="196">
        <v>0</v>
      </c>
      <c r="G632" s="196">
        <v>0</v>
      </c>
    </row>
    <row r="633" spans="1:7" x14ac:dyDescent="0.3">
      <c r="A633" s="198">
        <v>1152196904</v>
      </c>
      <c r="B633" s="192" t="s">
        <v>729</v>
      </c>
      <c r="C633" s="196">
        <v>0</v>
      </c>
      <c r="D633" s="196">
        <v>1324200</v>
      </c>
      <c r="E633" s="196">
        <v>1324200</v>
      </c>
      <c r="F633" s="196">
        <v>0</v>
      </c>
      <c r="G633" s="196">
        <v>0</v>
      </c>
    </row>
    <row r="634" spans="1:7" x14ac:dyDescent="0.3">
      <c r="A634" s="198">
        <v>43254232</v>
      </c>
      <c r="B634" s="192" t="s">
        <v>730</v>
      </c>
      <c r="C634" s="196">
        <v>0</v>
      </c>
      <c r="D634" s="196">
        <v>101800</v>
      </c>
      <c r="E634" s="196">
        <v>101800</v>
      </c>
      <c r="F634" s="196">
        <v>0</v>
      </c>
      <c r="G634" s="196">
        <v>0</v>
      </c>
    </row>
    <row r="635" spans="1:7" x14ac:dyDescent="0.3">
      <c r="A635" s="198">
        <v>43613829</v>
      </c>
      <c r="B635" s="192" t="s">
        <v>731</v>
      </c>
      <c r="C635" s="196">
        <v>0</v>
      </c>
      <c r="D635" s="196">
        <v>710000</v>
      </c>
      <c r="E635" s="196">
        <v>710000</v>
      </c>
      <c r="F635" s="196">
        <v>0</v>
      </c>
      <c r="G635" s="196">
        <v>0</v>
      </c>
    </row>
    <row r="636" spans="1:7" x14ac:dyDescent="0.3">
      <c r="A636" s="198">
        <v>41406418</v>
      </c>
      <c r="B636" s="192" t="s">
        <v>732</v>
      </c>
      <c r="C636" s="196">
        <v>0</v>
      </c>
      <c r="D636" s="196">
        <v>358000</v>
      </c>
      <c r="E636" s="196">
        <v>358000</v>
      </c>
      <c r="F636" s="196">
        <v>0</v>
      </c>
      <c r="G636" s="196">
        <v>0</v>
      </c>
    </row>
    <row r="637" spans="1:7" x14ac:dyDescent="0.3">
      <c r="A637" s="198">
        <v>1193575354</v>
      </c>
      <c r="B637" s="192" t="s">
        <v>733</v>
      </c>
      <c r="C637" s="196">
        <v>0</v>
      </c>
      <c r="D637" s="196">
        <v>59400</v>
      </c>
      <c r="E637" s="196">
        <v>59400</v>
      </c>
      <c r="F637" s="196">
        <v>0</v>
      </c>
      <c r="G637" s="196">
        <v>0</v>
      </c>
    </row>
    <row r="638" spans="1:7" x14ac:dyDescent="0.3">
      <c r="A638" s="198">
        <v>1045108256</v>
      </c>
      <c r="B638" s="192" t="s">
        <v>734</v>
      </c>
      <c r="C638" s="196">
        <v>0</v>
      </c>
      <c r="D638" s="196">
        <v>968000</v>
      </c>
      <c r="E638" s="196">
        <v>968000</v>
      </c>
      <c r="F638" s="196">
        <v>0</v>
      </c>
      <c r="G638" s="196">
        <v>0</v>
      </c>
    </row>
    <row r="639" spans="1:7" x14ac:dyDescent="0.3">
      <c r="A639" s="198">
        <v>1019904225</v>
      </c>
      <c r="B639" s="192" t="s">
        <v>735</v>
      </c>
      <c r="C639" s="196">
        <v>0</v>
      </c>
      <c r="D639" s="196">
        <v>92800</v>
      </c>
      <c r="E639" s="196">
        <v>92800</v>
      </c>
      <c r="F639" s="196">
        <v>0</v>
      </c>
      <c r="G639" s="196">
        <v>0</v>
      </c>
    </row>
    <row r="640" spans="1:7" x14ac:dyDescent="0.3">
      <c r="A640" s="198">
        <v>1027661607</v>
      </c>
      <c r="B640" s="192" t="s">
        <v>736</v>
      </c>
      <c r="C640" s="196">
        <v>0</v>
      </c>
      <c r="D640" s="196">
        <v>114400</v>
      </c>
      <c r="E640" s="196">
        <v>114400</v>
      </c>
      <c r="F640" s="196">
        <v>0</v>
      </c>
      <c r="G640" s="196">
        <v>0</v>
      </c>
    </row>
    <row r="641" spans="1:7" x14ac:dyDescent="0.3">
      <c r="A641" s="198">
        <v>1034994511</v>
      </c>
      <c r="B641" s="192" t="s">
        <v>737</v>
      </c>
      <c r="C641" s="196">
        <v>0</v>
      </c>
      <c r="D641" s="196">
        <v>101800</v>
      </c>
      <c r="E641" s="196">
        <v>101800</v>
      </c>
      <c r="F641" s="196">
        <v>0</v>
      </c>
      <c r="G641" s="196">
        <v>0</v>
      </c>
    </row>
    <row r="642" spans="1:7" x14ac:dyDescent="0.3">
      <c r="A642" s="198">
        <v>1034995286</v>
      </c>
      <c r="B642" s="192" t="s">
        <v>738</v>
      </c>
      <c r="C642" s="196">
        <v>0</v>
      </c>
      <c r="D642" s="196">
        <v>101800</v>
      </c>
      <c r="E642" s="196">
        <v>101800</v>
      </c>
      <c r="F642" s="196">
        <v>0</v>
      </c>
      <c r="G642" s="196">
        <v>0</v>
      </c>
    </row>
    <row r="643" spans="1:7" x14ac:dyDescent="0.3">
      <c r="A643" s="198">
        <v>1035026868</v>
      </c>
      <c r="B643" s="192" t="s">
        <v>739</v>
      </c>
      <c r="C643" s="196">
        <v>0</v>
      </c>
      <c r="D643" s="196">
        <v>101800</v>
      </c>
      <c r="E643" s="196">
        <v>101800</v>
      </c>
      <c r="F643" s="196">
        <v>0</v>
      </c>
      <c r="G643" s="196">
        <v>0</v>
      </c>
    </row>
    <row r="644" spans="1:7" x14ac:dyDescent="0.3">
      <c r="A644" s="198">
        <v>1001016812</v>
      </c>
      <c r="B644" s="192" t="s">
        <v>740</v>
      </c>
      <c r="C644" s="196">
        <v>3993000</v>
      </c>
      <c r="D644" s="196">
        <v>0</v>
      </c>
      <c r="E644" s="196">
        <v>3993000</v>
      </c>
      <c r="F644" s="196">
        <v>-3993000</v>
      </c>
      <c r="G644" s="196">
        <v>0</v>
      </c>
    </row>
    <row r="645" spans="1:7" x14ac:dyDescent="0.3">
      <c r="A645" s="198">
        <v>1239491260</v>
      </c>
      <c r="B645" s="192" t="s">
        <v>741</v>
      </c>
      <c r="C645" s="196">
        <v>0</v>
      </c>
      <c r="D645" s="196">
        <v>101800</v>
      </c>
      <c r="E645" s="196">
        <v>101800</v>
      </c>
      <c r="F645" s="196">
        <v>0</v>
      </c>
      <c r="G645" s="196">
        <v>0</v>
      </c>
    </row>
    <row r="646" spans="1:7" x14ac:dyDescent="0.3">
      <c r="A646" s="198">
        <v>1238940651</v>
      </c>
      <c r="B646" s="192" t="s">
        <v>742</v>
      </c>
      <c r="C646" s="196">
        <v>0</v>
      </c>
      <c r="D646" s="196">
        <v>101800</v>
      </c>
      <c r="E646" s="196">
        <v>101800</v>
      </c>
      <c r="F646" s="196">
        <v>0</v>
      </c>
      <c r="G646" s="196">
        <v>0</v>
      </c>
    </row>
    <row r="647" spans="1:7" x14ac:dyDescent="0.3">
      <c r="A647" s="198">
        <v>1000515751</v>
      </c>
      <c r="B647" s="192" t="s">
        <v>743</v>
      </c>
      <c r="C647" s="196">
        <v>0</v>
      </c>
      <c r="D647" s="196">
        <v>435800</v>
      </c>
      <c r="E647" s="196">
        <v>435800</v>
      </c>
      <c r="F647" s="196">
        <v>0</v>
      </c>
      <c r="G647" s="196">
        <v>0</v>
      </c>
    </row>
    <row r="648" spans="1:7" x14ac:dyDescent="0.3">
      <c r="A648" s="198">
        <v>1022008466</v>
      </c>
      <c r="B648" s="192" t="s">
        <v>744</v>
      </c>
      <c r="C648" s="196">
        <v>0</v>
      </c>
      <c r="D648" s="196">
        <v>101800</v>
      </c>
      <c r="E648" s="196">
        <v>101800</v>
      </c>
      <c r="F648" s="196">
        <v>0</v>
      </c>
      <c r="G648" s="196">
        <v>0</v>
      </c>
    </row>
    <row r="649" spans="1:7" x14ac:dyDescent="0.3">
      <c r="A649" s="198">
        <v>1025766107</v>
      </c>
      <c r="B649" s="192" t="s">
        <v>745</v>
      </c>
      <c r="C649" s="196">
        <v>0</v>
      </c>
      <c r="D649" s="196">
        <v>569000</v>
      </c>
      <c r="E649" s="196">
        <v>569000</v>
      </c>
      <c r="F649" s="196">
        <v>0</v>
      </c>
      <c r="G649" s="196">
        <v>0</v>
      </c>
    </row>
    <row r="650" spans="1:7" x14ac:dyDescent="0.3">
      <c r="A650" s="198">
        <v>71617619</v>
      </c>
      <c r="B650" s="192" t="s">
        <v>746</v>
      </c>
      <c r="C650" s="196">
        <v>38001</v>
      </c>
      <c r="D650" s="196">
        <v>15500</v>
      </c>
      <c r="E650" s="196">
        <v>15500</v>
      </c>
      <c r="F650" s="196">
        <v>0</v>
      </c>
      <c r="G650" s="196">
        <v>38001</v>
      </c>
    </row>
    <row r="651" spans="1:7" x14ac:dyDescent="0.3">
      <c r="A651" s="198">
        <v>71738535</v>
      </c>
      <c r="B651" s="192" t="s">
        <v>747</v>
      </c>
      <c r="C651" s="196">
        <v>0</v>
      </c>
      <c r="D651" s="196">
        <v>101800</v>
      </c>
      <c r="E651" s="196">
        <v>101800</v>
      </c>
      <c r="F651" s="196">
        <v>0</v>
      </c>
      <c r="G651" s="196">
        <v>0</v>
      </c>
    </row>
    <row r="652" spans="1:7" x14ac:dyDescent="0.3">
      <c r="A652" s="198">
        <v>1098644575</v>
      </c>
      <c r="B652" s="192" t="s">
        <v>748</v>
      </c>
      <c r="C652" s="196">
        <v>0</v>
      </c>
      <c r="D652" s="196">
        <v>138000</v>
      </c>
      <c r="E652" s="196">
        <v>138000</v>
      </c>
      <c r="F652" s="196">
        <v>0</v>
      </c>
      <c r="G652" s="196">
        <v>0</v>
      </c>
    </row>
    <row r="653" spans="1:7" x14ac:dyDescent="0.3">
      <c r="A653" s="198">
        <v>1035016084</v>
      </c>
      <c r="B653" s="192" t="s">
        <v>749</v>
      </c>
      <c r="C653" s="196">
        <v>0</v>
      </c>
      <c r="D653" s="196">
        <v>101800</v>
      </c>
      <c r="E653" s="196">
        <v>101800</v>
      </c>
      <c r="F653" s="196">
        <v>0</v>
      </c>
      <c r="G653" s="196">
        <v>0</v>
      </c>
    </row>
    <row r="654" spans="1:7" x14ac:dyDescent="0.3">
      <c r="A654" s="198">
        <v>1014674019</v>
      </c>
      <c r="B654" s="192" t="s">
        <v>750</v>
      </c>
      <c r="C654" s="196">
        <v>0</v>
      </c>
      <c r="D654" s="196">
        <v>297000</v>
      </c>
      <c r="E654" s="196">
        <v>297000</v>
      </c>
      <c r="F654" s="196">
        <v>0</v>
      </c>
      <c r="G654" s="196">
        <v>0</v>
      </c>
    </row>
    <row r="655" spans="1:7" x14ac:dyDescent="0.3">
      <c r="A655" s="198">
        <v>43083608</v>
      </c>
      <c r="B655" s="192" t="s">
        <v>751</v>
      </c>
      <c r="C655" s="196">
        <v>0</v>
      </c>
      <c r="D655" s="196">
        <v>165000</v>
      </c>
      <c r="E655" s="196">
        <v>165000</v>
      </c>
      <c r="F655" s="196">
        <v>0</v>
      </c>
      <c r="G655" s="196">
        <v>0</v>
      </c>
    </row>
    <row r="656" spans="1:7" x14ac:dyDescent="0.3">
      <c r="A656" s="198">
        <v>7771800</v>
      </c>
      <c r="B656" s="192" t="s">
        <v>752</v>
      </c>
      <c r="C656" s="196">
        <v>2000000</v>
      </c>
      <c r="D656" s="196">
        <v>0</v>
      </c>
      <c r="E656" s="196">
        <v>2000000</v>
      </c>
      <c r="F656" s="196">
        <v>-2000000</v>
      </c>
      <c r="G656" s="196">
        <v>0</v>
      </c>
    </row>
    <row r="657" spans="1:7" x14ac:dyDescent="0.3">
      <c r="A657" s="198">
        <v>1067847763</v>
      </c>
      <c r="B657" s="192" t="s">
        <v>753</v>
      </c>
      <c r="C657" s="196">
        <v>0</v>
      </c>
      <c r="D657" s="196">
        <v>101800</v>
      </c>
      <c r="E657" s="196">
        <v>101800</v>
      </c>
      <c r="F657" s="196">
        <v>0</v>
      </c>
      <c r="G657" s="196">
        <v>0</v>
      </c>
    </row>
    <row r="658" spans="1:7" x14ac:dyDescent="0.3">
      <c r="A658" s="198">
        <v>71315338</v>
      </c>
      <c r="B658" s="192" t="s">
        <v>754</v>
      </c>
      <c r="C658" s="196">
        <v>0</v>
      </c>
      <c r="D658" s="196">
        <v>114400</v>
      </c>
      <c r="E658" s="196">
        <v>114400</v>
      </c>
      <c r="F658" s="196">
        <v>0</v>
      </c>
      <c r="G658" s="196">
        <v>0</v>
      </c>
    </row>
    <row r="659" spans="1:7" x14ac:dyDescent="0.3">
      <c r="A659" s="198">
        <v>71697782</v>
      </c>
      <c r="B659" s="192" t="s">
        <v>755</v>
      </c>
      <c r="C659" s="196">
        <v>0</v>
      </c>
      <c r="D659" s="196">
        <v>101800</v>
      </c>
      <c r="E659" s="196">
        <v>101800</v>
      </c>
      <c r="F659" s="196">
        <v>0</v>
      </c>
      <c r="G659" s="196">
        <v>0</v>
      </c>
    </row>
    <row r="660" spans="1:7" x14ac:dyDescent="0.3">
      <c r="A660" s="198">
        <v>1017143197</v>
      </c>
      <c r="B660" s="192" t="s">
        <v>756</v>
      </c>
      <c r="C660" s="196">
        <v>0</v>
      </c>
      <c r="D660" s="196">
        <v>101800</v>
      </c>
      <c r="E660" s="196">
        <v>101800</v>
      </c>
      <c r="F660" s="196">
        <v>0</v>
      </c>
      <c r="G660" s="196">
        <v>0</v>
      </c>
    </row>
    <row r="661" spans="1:7" x14ac:dyDescent="0.3">
      <c r="A661" s="198">
        <v>3481976</v>
      </c>
      <c r="B661" s="192" t="s">
        <v>757</v>
      </c>
      <c r="C661" s="196">
        <v>0</v>
      </c>
      <c r="D661" s="196">
        <v>114400</v>
      </c>
      <c r="E661" s="196">
        <v>114400</v>
      </c>
      <c r="F661" s="196">
        <v>0</v>
      </c>
      <c r="G661" s="196">
        <v>0</v>
      </c>
    </row>
    <row r="662" spans="1:7" x14ac:dyDescent="0.3">
      <c r="A662" s="198">
        <v>3227506</v>
      </c>
      <c r="B662" s="192" t="s">
        <v>758</v>
      </c>
      <c r="C662" s="196">
        <v>0</v>
      </c>
      <c r="D662" s="196">
        <v>4085000</v>
      </c>
      <c r="E662" s="196">
        <v>4085000</v>
      </c>
      <c r="F662" s="196">
        <v>0</v>
      </c>
      <c r="G662" s="196">
        <v>0</v>
      </c>
    </row>
    <row r="663" spans="1:7" x14ac:dyDescent="0.3">
      <c r="A663" s="198">
        <v>10227844</v>
      </c>
      <c r="B663" s="192" t="s">
        <v>759</v>
      </c>
      <c r="C663" s="196">
        <v>0</v>
      </c>
      <c r="D663" s="196">
        <v>76800</v>
      </c>
      <c r="E663" s="196">
        <v>76800</v>
      </c>
      <c r="F663" s="196">
        <v>0</v>
      </c>
      <c r="G663" s="196">
        <v>0</v>
      </c>
    </row>
    <row r="664" spans="1:7" x14ac:dyDescent="0.3">
      <c r="A664" s="198">
        <v>98487264</v>
      </c>
      <c r="B664" s="192" t="s">
        <v>760</v>
      </c>
      <c r="C664" s="196">
        <v>0</v>
      </c>
      <c r="D664" s="196">
        <v>285600</v>
      </c>
      <c r="E664" s="196">
        <v>285600</v>
      </c>
      <c r="F664" s="196">
        <v>0</v>
      </c>
      <c r="G664" s="196">
        <v>0</v>
      </c>
    </row>
    <row r="665" spans="1:7" x14ac:dyDescent="0.3">
      <c r="A665" s="198">
        <v>9855236</v>
      </c>
      <c r="B665" s="192" t="s">
        <v>761</v>
      </c>
      <c r="C665" s="196">
        <v>0</v>
      </c>
      <c r="D665" s="196">
        <v>92800</v>
      </c>
      <c r="E665" s="196">
        <v>92800</v>
      </c>
      <c r="F665" s="196">
        <v>0</v>
      </c>
      <c r="G665" s="196">
        <v>0</v>
      </c>
    </row>
    <row r="666" spans="1:7" x14ac:dyDescent="0.3">
      <c r="A666" s="198">
        <v>94478285</v>
      </c>
      <c r="B666" s="192" t="s">
        <v>762</v>
      </c>
      <c r="C666" s="196">
        <v>0</v>
      </c>
      <c r="D666" s="196">
        <v>94000</v>
      </c>
      <c r="E666" s="196">
        <v>94000</v>
      </c>
      <c r="F666" s="196">
        <v>0</v>
      </c>
      <c r="G666" s="196">
        <v>0</v>
      </c>
    </row>
    <row r="667" spans="1:7" x14ac:dyDescent="0.3">
      <c r="A667" s="198">
        <v>71678963</v>
      </c>
      <c r="B667" s="192" t="s">
        <v>763</v>
      </c>
      <c r="C667" s="196">
        <v>0</v>
      </c>
      <c r="D667" s="196">
        <v>2046200</v>
      </c>
      <c r="E667" s="196">
        <v>2046200</v>
      </c>
      <c r="F667" s="196">
        <v>0</v>
      </c>
      <c r="G667" s="196">
        <v>0</v>
      </c>
    </row>
    <row r="668" spans="1:7" x14ac:dyDescent="0.3">
      <c r="A668" s="198">
        <v>669553276</v>
      </c>
      <c r="B668" s="192" t="s">
        <v>764</v>
      </c>
      <c r="C668" s="196">
        <v>0</v>
      </c>
      <c r="D668" s="196">
        <v>4409000</v>
      </c>
      <c r="E668" s="196">
        <v>4409000</v>
      </c>
      <c r="F668" s="196">
        <v>0</v>
      </c>
      <c r="G668" s="196">
        <v>0</v>
      </c>
    </row>
    <row r="669" spans="1:7" x14ac:dyDescent="0.3">
      <c r="A669" s="198">
        <v>69015895</v>
      </c>
      <c r="B669" s="192" t="s">
        <v>765</v>
      </c>
      <c r="C669" s="196">
        <v>0</v>
      </c>
      <c r="D669" s="196">
        <v>294000</v>
      </c>
      <c r="E669" s="196">
        <v>294000</v>
      </c>
      <c r="F669" s="196">
        <v>0</v>
      </c>
      <c r="G669" s="196">
        <v>0</v>
      </c>
    </row>
    <row r="670" spans="1:7" x14ac:dyDescent="0.3">
      <c r="A670" s="198">
        <v>9868462</v>
      </c>
      <c r="B670" s="192" t="s">
        <v>766</v>
      </c>
      <c r="C670" s="196">
        <v>0</v>
      </c>
      <c r="D670" s="196">
        <v>150000</v>
      </c>
      <c r="E670" s="196">
        <v>150000</v>
      </c>
      <c r="F670" s="196">
        <v>0</v>
      </c>
      <c r="G670" s="196">
        <v>0</v>
      </c>
    </row>
    <row r="671" spans="1:7" x14ac:dyDescent="0.3">
      <c r="A671" s="198">
        <v>435620</v>
      </c>
      <c r="B671" s="192" t="s">
        <v>767</v>
      </c>
      <c r="C671" s="196">
        <v>0</v>
      </c>
      <c r="D671" s="196">
        <v>193800</v>
      </c>
      <c r="E671" s="196">
        <v>193800</v>
      </c>
      <c r="F671" s="196">
        <v>0</v>
      </c>
      <c r="G671" s="196">
        <v>0</v>
      </c>
    </row>
    <row r="672" spans="1:7" x14ac:dyDescent="0.3">
      <c r="A672" s="198">
        <v>1000310739</v>
      </c>
      <c r="B672" s="192" t="s">
        <v>768</v>
      </c>
      <c r="C672" s="196">
        <v>0</v>
      </c>
      <c r="D672" s="196">
        <v>647000</v>
      </c>
      <c r="E672" s="196">
        <v>646999</v>
      </c>
      <c r="F672" s="196">
        <v>1</v>
      </c>
      <c r="G672" s="196">
        <v>1</v>
      </c>
    </row>
    <row r="673" spans="1:7" x14ac:dyDescent="0.3">
      <c r="A673" s="198">
        <v>1000414113</v>
      </c>
      <c r="B673" s="192" t="s">
        <v>769</v>
      </c>
      <c r="C673" s="196">
        <v>0</v>
      </c>
      <c r="D673" s="196">
        <v>165000</v>
      </c>
      <c r="E673" s="196">
        <v>165000</v>
      </c>
      <c r="F673" s="196">
        <v>0</v>
      </c>
      <c r="G673" s="196">
        <v>0</v>
      </c>
    </row>
    <row r="674" spans="1:7" x14ac:dyDescent="0.3">
      <c r="A674" s="198">
        <v>1017217363</v>
      </c>
      <c r="B674" s="192" t="s">
        <v>770</v>
      </c>
      <c r="C674" s="196">
        <v>0</v>
      </c>
      <c r="D674" s="196">
        <v>683000</v>
      </c>
      <c r="E674" s="196">
        <v>683000</v>
      </c>
      <c r="F674" s="196">
        <v>0</v>
      </c>
      <c r="G674" s="196">
        <v>0</v>
      </c>
    </row>
    <row r="675" spans="1:7" x14ac:dyDescent="0.3">
      <c r="A675" s="198">
        <v>1074187632</v>
      </c>
      <c r="B675" s="192" t="s">
        <v>771</v>
      </c>
      <c r="C675" s="196">
        <v>3000000</v>
      </c>
      <c r="D675" s="196">
        <v>0</v>
      </c>
      <c r="E675" s="196">
        <v>0</v>
      </c>
      <c r="F675" s="196">
        <v>0</v>
      </c>
      <c r="G675" s="196">
        <v>3000000</v>
      </c>
    </row>
    <row r="676" spans="1:7" x14ac:dyDescent="0.3">
      <c r="A676" s="198">
        <v>32256839</v>
      </c>
      <c r="B676" s="192" t="s">
        <v>772</v>
      </c>
      <c r="C676" s="196">
        <v>0</v>
      </c>
      <c r="D676" s="196">
        <v>5938300</v>
      </c>
      <c r="E676" s="196">
        <v>5938300</v>
      </c>
      <c r="F676" s="196">
        <v>0</v>
      </c>
      <c r="G676" s="196">
        <v>0</v>
      </c>
    </row>
    <row r="677" spans="1:7" x14ac:dyDescent="0.3">
      <c r="A677" s="198">
        <v>1128280804</v>
      </c>
      <c r="B677" s="192" t="s">
        <v>773</v>
      </c>
      <c r="C677" s="196">
        <v>0</v>
      </c>
      <c r="D677" s="196">
        <v>3500000</v>
      </c>
      <c r="E677" s="196">
        <v>3500000</v>
      </c>
      <c r="F677" s="196">
        <v>0</v>
      </c>
      <c r="G677" s="196">
        <v>0</v>
      </c>
    </row>
    <row r="678" spans="1:7" x14ac:dyDescent="0.3">
      <c r="A678" s="198">
        <v>42680782</v>
      </c>
      <c r="B678" s="192" t="s">
        <v>774</v>
      </c>
      <c r="C678" s="196">
        <v>1</v>
      </c>
      <c r="D678" s="196">
        <v>50899</v>
      </c>
      <c r="E678" s="196">
        <v>50899</v>
      </c>
      <c r="F678" s="196">
        <v>0</v>
      </c>
      <c r="G678" s="196">
        <v>1</v>
      </c>
    </row>
    <row r="679" spans="1:7" x14ac:dyDescent="0.3">
      <c r="A679" s="198">
        <v>16828608</v>
      </c>
      <c r="B679" s="192" t="s">
        <v>775</v>
      </c>
      <c r="C679" s="196">
        <v>1</v>
      </c>
      <c r="D679" s="196">
        <v>0</v>
      </c>
      <c r="E679" s="196">
        <v>0</v>
      </c>
      <c r="F679" s="196">
        <v>0</v>
      </c>
      <c r="G679" s="196">
        <v>1</v>
      </c>
    </row>
    <row r="680" spans="1:7" x14ac:dyDescent="0.3">
      <c r="A680" s="198">
        <v>561959414</v>
      </c>
      <c r="B680" s="192" t="s">
        <v>776</v>
      </c>
      <c r="C680" s="196">
        <v>0</v>
      </c>
      <c r="D680" s="196">
        <v>260400</v>
      </c>
      <c r="E680" s="196">
        <v>260400</v>
      </c>
      <c r="F680" s="196">
        <v>0</v>
      </c>
      <c r="G680" s="196">
        <v>0</v>
      </c>
    </row>
    <row r="681" spans="1:7" x14ac:dyDescent="0.3">
      <c r="A681" s="198">
        <v>1001035522</v>
      </c>
      <c r="B681" s="192" t="s">
        <v>777</v>
      </c>
      <c r="C681" s="196">
        <v>-4997</v>
      </c>
      <c r="D681" s="196">
        <v>967998</v>
      </c>
      <c r="E681" s="196">
        <v>967998</v>
      </c>
      <c r="F681" s="196">
        <v>0</v>
      </c>
      <c r="G681" s="196">
        <v>-4997</v>
      </c>
    </row>
    <row r="682" spans="1:7" x14ac:dyDescent="0.3">
      <c r="A682" s="198">
        <v>1010968371</v>
      </c>
      <c r="B682" s="192" t="s">
        <v>778</v>
      </c>
      <c r="C682" s="196">
        <v>0</v>
      </c>
      <c r="D682" s="196">
        <v>203600</v>
      </c>
      <c r="E682" s="196">
        <v>203600</v>
      </c>
      <c r="F682" s="196">
        <v>0</v>
      </c>
      <c r="G682" s="196">
        <v>0</v>
      </c>
    </row>
    <row r="683" spans="1:7" x14ac:dyDescent="0.3">
      <c r="A683" s="198">
        <v>1011518285</v>
      </c>
      <c r="B683" s="192" t="s">
        <v>779</v>
      </c>
      <c r="C683" s="196">
        <v>0</v>
      </c>
      <c r="D683" s="196">
        <v>101800</v>
      </c>
      <c r="E683" s="196">
        <v>101800</v>
      </c>
      <c r="F683" s="196">
        <v>0</v>
      </c>
      <c r="G683" s="196">
        <v>0</v>
      </c>
    </row>
    <row r="684" spans="1:7" x14ac:dyDescent="0.3">
      <c r="A684" s="198">
        <v>1035004738</v>
      </c>
      <c r="B684" s="192" t="s">
        <v>780</v>
      </c>
      <c r="C684" s="196">
        <v>50900</v>
      </c>
      <c r="D684" s="196">
        <v>0</v>
      </c>
      <c r="E684" s="196">
        <v>50900</v>
      </c>
      <c r="F684" s="196">
        <v>-50900</v>
      </c>
      <c r="G684" s="196">
        <v>0</v>
      </c>
    </row>
    <row r="685" spans="1:7" x14ac:dyDescent="0.3">
      <c r="A685" s="198">
        <v>1033653761</v>
      </c>
      <c r="B685" s="192" t="s">
        <v>781</v>
      </c>
      <c r="C685" s="196">
        <v>0</v>
      </c>
      <c r="D685" s="196">
        <v>101800</v>
      </c>
      <c r="E685" s="196">
        <v>101800</v>
      </c>
      <c r="F685" s="196">
        <v>0</v>
      </c>
      <c r="G685" s="196">
        <v>0</v>
      </c>
    </row>
    <row r="686" spans="1:7" x14ac:dyDescent="0.3">
      <c r="A686" s="198">
        <v>1035006985</v>
      </c>
      <c r="B686" s="192" t="s">
        <v>782</v>
      </c>
      <c r="C686" s="196">
        <v>0</v>
      </c>
      <c r="D686" s="196">
        <v>108400</v>
      </c>
      <c r="E686" s="196">
        <v>108400</v>
      </c>
      <c r="F686" s="196">
        <v>0</v>
      </c>
      <c r="G686" s="196">
        <v>0</v>
      </c>
    </row>
    <row r="687" spans="1:7" x14ac:dyDescent="0.3">
      <c r="A687" s="198">
        <v>1025642051</v>
      </c>
      <c r="B687" s="192" t="s">
        <v>783</v>
      </c>
      <c r="C687" s="196">
        <v>0</v>
      </c>
      <c r="D687" s="196">
        <v>297000</v>
      </c>
      <c r="E687" s="196">
        <v>297000</v>
      </c>
      <c r="F687" s="196">
        <v>0</v>
      </c>
      <c r="G687" s="196">
        <v>0</v>
      </c>
    </row>
    <row r="688" spans="1:7" x14ac:dyDescent="0.3">
      <c r="A688" s="198">
        <v>1007102030</v>
      </c>
      <c r="B688" s="192" t="s">
        <v>784</v>
      </c>
      <c r="C688" s="196">
        <v>0</v>
      </c>
      <c r="D688" s="196">
        <v>963000</v>
      </c>
      <c r="E688" s="196">
        <v>963000</v>
      </c>
      <c r="F688" s="196">
        <v>0</v>
      </c>
      <c r="G688" s="196">
        <v>0</v>
      </c>
    </row>
    <row r="689" spans="1:7" x14ac:dyDescent="0.3">
      <c r="A689" s="198">
        <v>1092524677</v>
      </c>
      <c r="B689" s="192" t="s">
        <v>785</v>
      </c>
      <c r="C689" s="196">
        <v>0</v>
      </c>
      <c r="D689" s="196">
        <v>1310000</v>
      </c>
      <c r="E689" s="196">
        <v>1310000</v>
      </c>
      <c r="F689" s="196">
        <v>0</v>
      </c>
      <c r="G689" s="196">
        <v>0</v>
      </c>
    </row>
    <row r="690" spans="1:7" x14ac:dyDescent="0.3">
      <c r="A690" s="198">
        <v>569764221</v>
      </c>
      <c r="B690" s="192" t="s">
        <v>786</v>
      </c>
      <c r="C690" s="196">
        <v>0</v>
      </c>
      <c r="D690" s="196">
        <v>420000</v>
      </c>
      <c r="E690" s="196">
        <v>420000</v>
      </c>
      <c r="F690" s="196">
        <v>0</v>
      </c>
      <c r="G690" s="196">
        <v>0</v>
      </c>
    </row>
    <row r="691" spans="1:7" x14ac:dyDescent="0.3">
      <c r="A691" s="198">
        <v>1037622341</v>
      </c>
      <c r="B691" s="192" t="s">
        <v>787</v>
      </c>
      <c r="C691" s="196">
        <v>0</v>
      </c>
      <c r="D691" s="196">
        <v>193800</v>
      </c>
      <c r="E691" s="196">
        <v>193800</v>
      </c>
      <c r="F691" s="196">
        <v>0</v>
      </c>
      <c r="G691" s="196">
        <v>0</v>
      </c>
    </row>
    <row r="692" spans="1:7" x14ac:dyDescent="0.3">
      <c r="A692" s="198">
        <v>1017210637</v>
      </c>
      <c r="B692" s="192" t="s">
        <v>788</v>
      </c>
      <c r="C692" s="196">
        <v>0</v>
      </c>
      <c r="D692" s="196">
        <v>114400</v>
      </c>
      <c r="E692" s="196">
        <v>114400</v>
      </c>
      <c r="F692" s="196">
        <v>0</v>
      </c>
      <c r="G692" s="196">
        <v>0</v>
      </c>
    </row>
    <row r="693" spans="1:7" x14ac:dyDescent="0.3">
      <c r="A693" s="198">
        <v>1046912131</v>
      </c>
      <c r="B693" s="192" t="s">
        <v>789</v>
      </c>
      <c r="C693" s="196">
        <v>0</v>
      </c>
      <c r="D693" s="196">
        <v>445950</v>
      </c>
      <c r="E693" s="196">
        <v>445950</v>
      </c>
      <c r="F693" s="196">
        <v>0</v>
      </c>
      <c r="G693" s="196">
        <v>0</v>
      </c>
    </row>
    <row r="694" spans="1:7" x14ac:dyDescent="0.3">
      <c r="A694" s="198">
        <v>52884070</v>
      </c>
      <c r="B694" s="192" t="s">
        <v>790</v>
      </c>
      <c r="C694" s="196">
        <v>0</v>
      </c>
      <c r="D694" s="196">
        <v>77000</v>
      </c>
      <c r="E694" s="196">
        <v>77000</v>
      </c>
      <c r="F694" s="196">
        <v>0</v>
      </c>
      <c r="G694" s="196">
        <v>0</v>
      </c>
    </row>
    <row r="695" spans="1:7" x14ac:dyDescent="0.3">
      <c r="A695" s="198">
        <v>1152188964</v>
      </c>
      <c r="B695" s="192" t="s">
        <v>791</v>
      </c>
      <c r="C695" s="196">
        <v>0</v>
      </c>
      <c r="D695" s="196">
        <v>963000</v>
      </c>
      <c r="E695" s="196">
        <v>963000</v>
      </c>
      <c r="F695" s="196">
        <v>0</v>
      </c>
      <c r="G695" s="196">
        <v>0</v>
      </c>
    </row>
    <row r="696" spans="1:7" x14ac:dyDescent="0.3">
      <c r="A696" s="198">
        <v>1060657141</v>
      </c>
      <c r="B696" s="192" t="s">
        <v>792</v>
      </c>
      <c r="C696" s="196">
        <v>0</v>
      </c>
      <c r="D696" s="196">
        <v>963000</v>
      </c>
      <c r="E696" s="196">
        <v>963000</v>
      </c>
      <c r="F696" s="196">
        <v>0</v>
      </c>
      <c r="G696" s="196">
        <v>0</v>
      </c>
    </row>
    <row r="697" spans="1:7" x14ac:dyDescent="0.3">
      <c r="A697" s="198">
        <v>98576064</v>
      </c>
      <c r="B697" s="192" t="s">
        <v>793</v>
      </c>
      <c r="C697" s="196">
        <v>0</v>
      </c>
      <c r="D697" s="196">
        <v>73200</v>
      </c>
      <c r="E697" s="196">
        <v>73200</v>
      </c>
      <c r="F697" s="196">
        <v>0</v>
      </c>
      <c r="G697" s="196">
        <v>0</v>
      </c>
    </row>
    <row r="698" spans="1:7" x14ac:dyDescent="0.3">
      <c r="A698" s="198">
        <v>15256346</v>
      </c>
      <c r="B698" s="192" t="s">
        <v>794</v>
      </c>
      <c r="C698" s="196">
        <v>0</v>
      </c>
      <c r="D698" s="196">
        <v>89000</v>
      </c>
      <c r="E698" s="196">
        <v>89000</v>
      </c>
      <c r="F698" s="196">
        <v>0</v>
      </c>
      <c r="G698" s="196">
        <v>0</v>
      </c>
    </row>
    <row r="699" spans="1:7" x14ac:dyDescent="0.3">
      <c r="A699" s="198">
        <v>3524420</v>
      </c>
      <c r="B699" s="192" t="s">
        <v>795</v>
      </c>
      <c r="C699" s="196">
        <v>0</v>
      </c>
      <c r="D699" s="196">
        <v>10308250</v>
      </c>
      <c r="E699" s="196">
        <v>10308250</v>
      </c>
      <c r="F699" s="196">
        <v>0</v>
      </c>
      <c r="G699" s="196">
        <v>0</v>
      </c>
    </row>
    <row r="700" spans="1:7" x14ac:dyDescent="0.3">
      <c r="A700" s="198">
        <v>1039461950</v>
      </c>
      <c r="B700" s="192" t="s">
        <v>796</v>
      </c>
      <c r="C700" s="196">
        <v>0</v>
      </c>
      <c r="D700" s="196">
        <v>74000</v>
      </c>
      <c r="E700" s="196">
        <v>74000</v>
      </c>
      <c r="F700" s="196">
        <v>0</v>
      </c>
      <c r="G700" s="196">
        <v>0</v>
      </c>
    </row>
    <row r="701" spans="1:7" x14ac:dyDescent="0.3">
      <c r="A701" s="198">
        <v>91264063</v>
      </c>
      <c r="B701" s="192" t="s">
        <v>797</v>
      </c>
      <c r="C701" s="196">
        <v>0</v>
      </c>
      <c r="D701" s="196">
        <v>101800</v>
      </c>
      <c r="E701" s="196">
        <v>101800</v>
      </c>
      <c r="F701" s="196">
        <v>0</v>
      </c>
      <c r="G701" s="196">
        <v>0</v>
      </c>
    </row>
    <row r="702" spans="1:7" x14ac:dyDescent="0.3">
      <c r="A702" s="198">
        <v>11705730</v>
      </c>
      <c r="B702" s="192" t="s">
        <v>798</v>
      </c>
      <c r="C702" s="196">
        <v>0</v>
      </c>
      <c r="D702" s="196">
        <v>23216500</v>
      </c>
      <c r="E702" s="196">
        <v>23216500</v>
      </c>
      <c r="F702" s="196">
        <v>0</v>
      </c>
      <c r="G702" s="196">
        <v>0</v>
      </c>
    </row>
    <row r="703" spans="1:7" x14ac:dyDescent="0.3">
      <c r="A703" s="198">
        <v>71625486</v>
      </c>
      <c r="B703" s="192" t="s">
        <v>799</v>
      </c>
      <c r="C703" s="196">
        <v>0</v>
      </c>
      <c r="D703" s="196">
        <v>2046200</v>
      </c>
      <c r="E703" s="196">
        <v>2046200</v>
      </c>
      <c r="F703" s="196">
        <v>0</v>
      </c>
      <c r="G703" s="196">
        <v>0</v>
      </c>
    </row>
    <row r="704" spans="1:7" x14ac:dyDescent="0.3">
      <c r="A704" s="198">
        <v>1026148449</v>
      </c>
      <c r="B704" s="192" t="s">
        <v>800</v>
      </c>
      <c r="C704" s="196">
        <v>0</v>
      </c>
      <c r="D704" s="196">
        <v>3300000</v>
      </c>
      <c r="E704" s="196">
        <v>1300000</v>
      </c>
      <c r="F704" s="196">
        <v>2000000</v>
      </c>
      <c r="G704" s="196">
        <v>2000000</v>
      </c>
    </row>
    <row r="705" spans="1:7" x14ac:dyDescent="0.3">
      <c r="A705" s="198">
        <v>1003949523</v>
      </c>
      <c r="B705" s="192" t="s">
        <v>801</v>
      </c>
      <c r="C705" s="196">
        <v>0</v>
      </c>
      <c r="D705" s="196">
        <v>300000</v>
      </c>
      <c r="E705" s="196">
        <v>300000</v>
      </c>
      <c r="F705" s="196">
        <v>0</v>
      </c>
      <c r="G705" s="196">
        <v>0</v>
      </c>
    </row>
    <row r="706" spans="1:7" x14ac:dyDescent="0.3">
      <c r="A706" s="198">
        <v>622900</v>
      </c>
      <c r="B706" s="192" t="s">
        <v>802</v>
      </c>
      <c r="C706" s="196">
        <v>-0.3</v>
      </c>
      <c r="D706" s="196">
        <v>0</v>
      </c>
      <c r="E706" s="196">
        <v>0</v>
      </c>
      <c r="F706" s="196">
        <v>0</v>
      </c>
      <c r="G706" s="196">
        <v>-0.3</v>
      </c>
    </row>
    <row r="707" spans="1:7" x14ac:dyDescent="0.3">
      <c r="A707" s="198">
        <v>1116247965</v>
      </c>
      <c r="B707" s="192" t="s">
        <v>803</v>
      </c>
      <c r="C707" s="196">
        <v>0</v>
      </c>
      <c r="D707" s="196">
        <v>963000</v>
      </c>
      <c r="E707" s="196">
        <v>963000</v>
      </c>
      <c r="F707" s="196">
        <v>0</v>
      </c>
      <c r="G707" s="196">
        <v>0</v>
      </c>
    </row>
    <row r="708" spans="1:7" x14ac:dyDescent="0.3">
      <c r="A708" s="198">
        <v>8225242</v>
      </c>
      <c r="B708" s="192" t="s">
        <v>804</v>
      </c>
      <c r="C708" s="196">
        <v>0</v>
      </c>
      <c r="D708" s="196">
        <v>76000</v>
      </c>
      <c r="E708" s="196">
        <v>76000</v>
      </c>
      <c r="F708" s="196">
        <v>0</v>
      </c>
      <c r="G708" s="196">
        <v>0</v>
      </c>
    </row>
    <row r="709" spans="1:7" x14ac:dyDescent="0.3">
      <c r="A709" s="198">
        <v>1033097448</v>
      </c>
      <c r="B709" s="192" t="s">
        <v>805</v>
      </c>
      <c r="C709" s="196">
        <v>0</v>
      </c>
      <c r="D709" s="196">
        <v>297000</v>
      </c>
      <c r="E709" s="196">
        <v>297000</v>
      </c>
      <c r="F709" s="196">
        <v>0</v>
      </c>
      <c r="G709" s="196">
        <v>0</v>
      </c>
    </row>
    <row r="710" spans="1:7" x14ac:dyDescent="0.3">
      <c r="A710" s="198">
        <v>80895278</v>
      </c>
      <c r="B710" s="192" t="s">
        <v>806</v>
      </c>
      <c r="C710" s="196">
        <v>0</v>
      </c>
      <c r="D710" s="196">
        <v>101800</v>
      </c>
      <c r="E710" s="196">
        <v>101800</v>
      </c>
      <c r="F710" s="196">
        <v>0</v>
      </c>
      <c r="G710" s="196">
        <v>0</v>
      </c>
    </row>
    <row r="711" spans="1:7" x14ac:dyDescent="0.3">
      <c r="A711" s="198">
        <v>1036399700</v>
      </c>
      <c r="B711" s="192" t="s">
        <v>807</v>
      </c>
      <c r="C711" s="196">
        <v>0</v>
      </c>
      <c r="D711" s="196">
        <v>101800</v>
      </c>
      <c r="E711" s="196">
        <v>101800</v>
      </c>
      <c r="F711" s="196">
        <v>0</v>
      </c>
      <c r="G711" s="196">
        <v>0</v>
      </c>
    </row>
    <row r="712" spans="1:7" x14ac:dyDescent="0.3">
      <c r="A712" s="198">
        <v>1128421206</v>
      </c>
      <c r="B712" s="192" t="s">
        <v>808</v>
      </c>
      <c r="C712" s="196">
        <v>0</v>
      </c>
      <c r="D712" s="196">
        <v>963000</v>
      </c>
      <c r="E712" s="196">
        <v>963000</v>
      </c>
      <c r="F712" s="196">
        <v>0</v>
      </c>
      <c r="G712" s="196">
        <v>0</v>
      </c>
    </row>
    <row r="713" spans="1:7" x14ac:dyDescent="0.3">
      <c r="A713" s="198">
        <v>661249721</v>
      </c>
      <c r="B713" s="192" t="s">
        <v>809</v>
      </c>
      <c r="C713" s="196">
        <v>2190000</v>
      </c>
      <c r="D713" s="196">
        <v>0</v>
      </c>
      <c r="E713" s="196">
        <v>2190000</v>
      </c>
      <c r="F713" s="196">
        <v>-2190000</v>
      </c>
      <c r="G713" s="196">
        <v>0</v>
      </c>
    </row>
    <row r="714" spans="1:7" x14ac:dyDescent="0.3">
      <c r="A714" s="198">
        <v>1037609142</v>
      </c>
      <c r="B714" s="192" t="s">
        <v>810</v>
      </c>
      <c r="C714" s="196">
        <v>0</v>
      </c>
      <c r="D714" s="196">
        <v>963000</v>
      </c>
      <c r="E714" s="196">
        <v>963000</v>
      </c>
      <c r="F714" s="196">
        <v>0</v>
      </c>
      <c r="G714" s="196">
        <v>0</v>
      </c>
    </row>
    <row r="715" spans="1:7" x14ac:dyDescent="0.3">
      <c r="A715" s="198">
        <v>80105728</v>
      </c>
      <c r="B715" s="192" t="s">
        <v>811</v>
      </c>
      <c r="C715" s="196">
        <v>0</v>
      </c>
      <c r="D715" s="196">
        <v>106000</v>
      </c>
      <c r="E715" s="196">
        <v>106000</v>
      </c>
      <c r="F715" s="196">
        <v>0</v>
      </c>
      <c r="G715" s="196">
        <v>0</v>
      </c>
    </row>
    <row r="716" spans="1:7" x14ac:dyDescent="0.3">
      <c r="A716" s="198">
        <v>75094029</v>
      </c>
      <c r="B716" s="192" t="s">
        <v>812</v>
      </c>
      <c r="C716" s="196">
        <v>0</v>
      </c>
      <c r="D716" s="196">
        <v>799000</v>
      </c>
      <c r="E716" s="196">
        <v>799000</v>
      </c>
      <c r="F716" s="196">
        <v>0</v>
      </c>
      <c r="G716" s="196">
        <v>0</v>
      </c>
    </row>
    <row r="717" spans="1:7" x14ac:dyDescent="0.3">
      <c r="A717" s="198">
        <v>3438721</v>
      </c>
      <c r="B717" s="192" t="s">
        <v>813</v>
      </c>
      <c r="C717" s="196">
        <v>0</v>
      </c>
      <c r="D717" s="196">
        <v>193800</v>
      </c>
      <c r="E717" s="196">
        <v>193800</v>
      </c>
      <c r="F717" s="196">
        <v>0</v>
      </c>
      <c r="G717" s="196">
        <v>0</v>
      </c>
    </row>
    <row r="718" spans="1:7" x14ac:dyDescent="0.3">
      <c r="A718" s="198">
        <v>8457415</v>
      </c>
      <c r="B718" s="192" t="s">
        <v>814</v>
      </c>
      <c r="C718" s="196">
        <v>0</v>
      </c>
      <c r="D718" s="196">
        <v>472400</v>
      </c>
      <c r="E718" s="196">
        <v>472400</v>
      </c>
      <c r="F718" s="196">
        <v>0</v>
      </c>
      <c r="G718" s="196">
        <v>0</v>
      </c>
    </row>
    <row r="719" spans="1:7" x14ac:dyDescent="0.3">
      <c r="A719" s="198">
        <v>45764892</v>
      </c>
      <c r="B719" s="192" t="s">
        <v>815</v>
      </c>
      <c r="C719" s="196">
        <v>-6923195</v>
      </c>
      <c r="D719" s="196">
        <v>38846390</v>
      </c>
      <c r="E719" s="196">
        <v>31923195</v>
      </c>
      <c r="F719" s="196">
        <v>6923195</v>
      </c>
      <c r="G719" s="196">
        <v>0</v>
      </c>
    </row>
    <row r="720" spans="1:7" x14ac:dyDescent="0.3">
      <c r="A720" s="198">
        <v>71527531</v>
      </c>
      <c r="B720" s="192" t="s">
        <v>124</v>
      </c>
      <c r="C720" s="196">
        <v>134938711</v>
      </c>
      <c r="D720" s="196">
        <v>318665427</v>
      </c>
      <c r="E720" s="196">
        <v>311921652</v>
      </c>
      <c r="F720" s="196">
        <v>6743775</v>
      </c>
      <c r="G720" s="196">
        <v>141682486</v>
      </c>
    </row>
    <row r="721" spans="1:7" x14ac:dyDescent="0.3">
      <c r="A721" s="198">
        <v>1010076257</v>
      </c>
      <c r="B721" s="192" t="s">
        <v>816</v>
      </c>
      <c r="C721" s="196">
        <v>0</v>
      </c>
      <c r="D721" s="196">
        <v>964200</v>
      </c>
      <c r="E721" s="196">
        <v>964200</v>
      </c>
      <c r="F721" s="196">
        <v>0</v>
      </c>
      <c r="G721" s="196">
        <v>0</v>
      </c>
    </row>
    <row r="722" spans="1:7" x14ac:dyDescent="0.3">
      <c r="A722" s="198">
        <v>1085285184</v>
      </c>
      <c r="B722" s="192" t="s">
        <v>817</v>
      </c>
      <c r="C722" s="196">
        <v>0</v>
      </c>
      <c r="D722" s="196">
        <v>319000</v>
      </c>
      <c r="E722" s="196">
        <v>319000</v>
      </c>
      <c r="F722" s="196">
        <v>0</v>
      </c>
      <c r="G722" s="196">
        <v>0</v>
      </c>
    </row>
    <row r="723" spans="1:7" x14ac:dyDescent="0.3">
      <c r="A723" s="198">
        <v>70557708</v>
      </c>
      <c r="B723" s="192" t="s">
        <v>818</v>
      </c>
      <c r="C723" s="196">
        <v>0</v>
      </c>
      <c r="D723" s="196">
        <v>1838500</v>
      </c>
      <c r="E723" s="196">
        <v>1838500</v>
      </c>
      <c r="F723" s="196">
        <v>0</v>
      </c>
      <c r="G723" s="196">
        <v>0</v>
      </c>
    </row>
    <row r="724" spans="1:7" x14ac:dyDescent="0.3">
      <c r="A724" s="198">
        <v>70079689</v>
      </c>
      <c r="B724" s="192" t="s">
        <v>819</v>
      </c>
      <c r="C724" s="196">
        <v>0</v>
      </c>
      <c r="D724" s="196">
        <v>108400</v>
      </c>
      <c r="E724" s="196">
        <v>108400</v>
      </c>
      <c r="F724" s="196">
        <v>0</v>
      </c>
      <c r="G724" s="196">
        <v>0</v>
      </c>
    </row>
    <row r="725" spans="1:7" x14ac:dyDescent="0.3">
      <c r="A725" s="198">
        <v>98551478</v>
      </c>
      <c r="B725" s="192" t="s">
        <v>820</v>
      </c>
      <c r="C725" s="196">
        <v>0</v>
      </c>
      <c r="D725" s="196">
        <v>114400</v>
      </c>
      <c r="E725" s="196">
        <v>114400</v>
      </c>
      <c r="F725" s="196">
        <v>0</v>
      </c>
      <c r="G725" s="196">
        <v>0</v>
      </c>
    </row>
    <row r="726" spans="1:7" x14ac:dyDescent="0.3">
      <c r="A726" s="198">
        <v>1017157925</v>
      </c>
      <c r="B726" s="192" t="s">
        <v>821</v>
      </c>
      <c r="C726" s="196">
        <v>0</v>
      </c>
      <c r="D726" s="196">
        <v>193000</v>
      </c>
      <c r="E726" s="196">
        <v>193000</v>
      </c>
      <c r="F726" s="196">
        <v>0</v>
      </c>
      <c r="G726" s="196">
        <v>0</v>
      </c>
    </row>
    <row r="727" spans="1:7" x14ac:dyDescent="0.3">
      <c r="A727" s="198">
        <v>89008774</v>
      </c>
      <c r="B727" s="192" t="s">
        <v>822</v>
      </c>
      <c r="C727" s="196">
        <v>0</v>
      </c>
      <c r="D727" s="196">
        <v>114400</v>
      </c>
      <c r="E727" s="196">
        <v>114400</v>
      </c>
      <c r="F727" s="196">
        <v>0</v>
      </c>
      <c r="G727" s="196">
        <v>0</v>
      </c>
    </row>
    <row r="728" spans="1:7" x14ac:dyDescent="0.3">
      <c r="A728" s="198">
        <v>70561277</v>
      </c>
      <c r="B728" s="192" t="s">
        <v>823</v>
      </c>
      <c r="C728" s="196">
        <v>0</v>
      </c>
      <c r="D728" s="196">
        <v>589000</v>
      </c>
      <c r="E728" s="196">
        <v>0</v>
      </c>
      <c r="F728" s="196">
        <v>589000</v>
      </c>
      <c r="G728" s="196">
        <v>589000</v>
      </c>
    </row>
    <row r="729" spans="1:7" x14ac:dyDescent="0.3">
      <c r="A729" s="198">
        <v>1144089498</v>
      </c>
      <c r="B729" s="192" t="s">
        <v>824</v>
      </c>
      <c r="C729" s="196">
        <v>0</v>
      </c>
      <c r="D729" s="196">
        <v>93800</v>
      </c>
      <c r="E729" s="196">
        <v>93800</v>
      </c>
      <c r="F729" s="196">
        <v>0</v>
      </c>
      <c r="G729" s="196">
        <v>0</v>
      </c>
    </row>
    <row r="730" spans="1:7" x14ac:dyDescent="0.3">
      <c r="A730" s="198">
        <v>71758337</v>
      </c>
      <c r="B730" s="192" t="s">
        <v>825</v>
      </c>
      <c r="C730" s="196">
        <v>0</v>
      </c>
      <c r="D730" s="196">
        <v>11138000</v>
      </c>
      <c r="E730" s="196">
        <v>11138000</v>
      </c>
      <c r="F730" s="196">
        <v>0</v>
      </c>
      <c r="G730" s="196">
        <v>0</v>
      </c>
    </row>
    <row r="731" spans="1:7" x14ac:dyDescent="0.3">
      <c r="A731" s="198">
        <v>19066248</v>
      </c>
      <c r="B731" s="192" t="s">
        <v>826</v>
      </c>
      <c r="C731" s="196">
        <v>0</v>
      </c>
      <c r="D731" s="196">
        <v>755000</v>
      </c>
      <c r="E731" s="196">
        <v>755000</v>
      </c>
      <c r="F731" s="196">
        <v>0</v>
      </c>
      <c r="G731" s="196">
        <v>0</v>
      </c>
    </row>
    <row r="732" spans="1:7" x14ac:dyDescent="0.3">
      <c r="A732" s="198">
        <v>70549583</v>
      </c>
      <c r="B732" s="192" t="s">
        <v>827</v>
      </c>
      <c r="C732" s="196">
        <v>0</v>
      </c>
      <c r="D732" s="196">
        <v>114400</v>
      </c>
      <c r="E732" s="196">
        <v>114400</v>
      </c>
      <c r="F732" s="196">
        <v>0</v>
      </c>
      <c r="G732" s="196">
        <v>0</v>
      </c>
    </row>
    <row r="733" spans="1:7" x14ac:dyDescent="0.3">
      <c r="A733" s="198">
        <v>71694698</v>
      </c>
      <c r="B733" s="192" t="s">
        <v>828</v>
      </c>
      <c r="C733" s="196">
        <v>0</v>
      </c>
      <c r="D733" s="196">
        <v>11158000</v>
      </c>
      <c r="E733" s="196">
        <v>11158000</v>
      </c>
      <c r="F733" s="196">
        <v>0</v>
      </c>
      <c r="G733" s="196">
        <v>0</v>
      </c>
    </row>
    <row r="734" spans="1:7" x14ac:dyDescent="0.3">
      <c r="A734" s="198">
        <v>71772279</v>
      </c>
      <c r="B734" s="192" t="s">
        <v>829</v>
      </c>
      <c r="C734" s="196">
        <v>0</v>
      </c>
      <c r="D734" s="196">
        <v>90000</v>
      </c>
      <c r="E734" s="196">
        <v>90000</v>
      </c>
      <c r="F734" s="196">
        <v>0</v>
      </c>
      <c r="G734" s="196">
        <v>0</v>
      </c>
    </row>
    <row r="735" spans="1:7" x14ac:dyDescent="0.3">
      <c r="A735" s="198">
        <v>78688823</v>
      </c>
      <c r="B735" s="192" t="s">
        <v>830</v>
      </c>
      <c r="C735" s="196">
        <v>0</v>
      </c>
      <c r="D735" s="196">
        <v>101800</v>
      </c>
      <c r="E735" s="196">
        <v>101800</v>
      </c>
      <c r="F735" s="196">
        <v>0</v>
      </c>
      <c r="G735" s="196">
        <v>0</v>
      </c>
    </row>
    <row r="736" spans="1:7" x14ac:dyDescent="0.3">
      <c r="A736" s="198">
        <v>179575600</v>
      </c>
      <c r="B736" s="192" t="s">
        <v>831</v>
      </c>
      <c r="C736" s="196">
        <v>0</v>
      </c>
      <c r="D736" s="196">
        <v>963000</v>
      </c>
      <c r="E736" s="196">
        <v>963000</v>
      </c>
      <c r="F736" s="196">
        <v>0</v>
      </c>
      <c r="G736" s="196">
        <v>0</v>
      </c>
    </row>
    <row r="737" spans="1:7" x14ac:dyDescent="0.3">
      <c r="A737" s="198">
        <v>71212302</v>
      </c>
      <c r="B737" s="192" t="s">
        <v>832</v>
      </c>
      <c r="C737" s="196">
        <v>0</v>
      </c>
      <c r="D737" s="196">
        <v>165000</v>
      </c>
      <c r="E737" s="196">
        <v>165000</v>
      </c>
      <c r="F737" s="196">
        <v>0</v>
      </c>
      <c r="G737" s="196">
        <v>0</v>
      </c>
    </row>
    <row r="738" spans="1:7" x14ac:dyDescent="0.3">
      <c r="A738" s="198">
        <v>98561258</v>
      </c>
      <c r="B738" s="192" t="s">
        <v>833</v>
      </c>
      <c r="C738" s="196">
        <v>0</v>
      </c>
      <c r="D738" s="196">
        <v>1218000</v>
      </c>
      <c r="E738" s="196">
        <v>1218000</v>
      </c>
      <c r="F738" s="196">
        <v>0</v>
      </c>
      <c r="G738" s="196">
        <v>0</v>
      </c>
    </row>
    <row r="739" spans="1:7" x14ac:dyDescent="0.3">
      <c r="A739" s="198">
        <v>70062506</v>
      </c>
      <c r="B739" s="192" t="s">
        <v>834</v>
      </c>
      <c r="C739" s="196">
        <v>0</v>
      </c>
      <c r="D739" s="196">
        <v>195600</v>
      </c>
      <c r="E739" s="196">
        <v>195600</v>
      </c>
      <c r="F739" s="196">
        <v>0</v>
      </c>
      <c r="G739" s="196">
        <v>0</v>
      </c>
    </row>
    <row r="740" spans="1:7" x14ac:dyDescent="0.3">
      <c r="A740" s="198">
        <v>80089901</v>
      </c>
      <c r="B740" s="192" t="s">
        <v>835</v>
      </c>
      <c r="C740" s="196">
        <v>0</v>
      </c>
      <c r="D740" s="196">
        <v>304400</v>
      </c>
      <c r="E740" s="196">
        <v>304400</v>
      </c>
      <c r="F740" s="196">
        <v>0</v>
      </c>
      <c r="G740" s="196">
        <v>0</v>
      </c>
    </row>
    <row r="741" spans="1:7" x14ac:dyDescent="0.3">
      <c r="A741" s="198">
        <v>70560144</v>
      </c>
      <c r="B741" s="192" t="s">
        <v>836</v>
      </c>
      <c r="C741" s="196">
        <v>0</v>
      </c>
      <c r="D741" s="196">
        <v>60300</v>
      </c>
      <c r="E741" s="196">
        <v>60300</v>
      </c>
      <c r="F741" s="196">
        <v>0</v>
      </c>
      <c r="G741" s="196">
        <v>0</v>
      </c>
    </row>
    <row r="742" spans="1:7" x14ac:dyDescent="0.3">
      <c r="A742" s="198">
        <v>1065650112</v>
      </c>
      <c r="B742" s="192" t="s">
        <v>837</v>
      </c>
      <c r="C742" s="196">
        <v>0</v>
      </c>
      <c r="D742" s="196">
        <v>359100</v>
      </c>
      <c r="E742" s="196">
        <v>359100</v>
      </c>
      <c r="F742" s="196">
        <v>0</v>
      </c>
      <c r="G742" s="196">
        <v>0</v>
      </c>
    </row>
    <row r="743" spans="1:7" x14ac:dyDescent="0.3">
      <c r="A743" s="198">
        <v>1036838649</v>
      </c>
      <c r="B743" s="192" t="s">
        <v>838</v>
      </c>
      <c r="C743" s="196">
        <v>0</v>
      </c>
      <c r="D743" s="196">
        <v>319000</v>
      </c>
      <c r="E743" s="196">
        <v>319000</v>
      </c>
      <c r="F743" s="196">
        <v>0</v>
      </c>
      <c r="G743" s="196">
        <v>0</v>
      </c>
    </row>
    <row r="744" spans="1:7" x14ac:dyDescent="0.3">
      <c r="A744" s="198">
        <v>1001875917</v>
      </c>
      <c r="B744" s="192" t="s">
        <v>839</v>
      </c>
      <c r="C744" s="196">
        <v>0</v>
      </c>
      <c r="D744" s="196">
        <v>968000</v>
      </c>
      <c r="E744" s="196">
        <v>968000</v>
      </c>
      <c r="F744" s="196">
        <v>0</v>
      </c>
      <c r="G744" s="196">
        <v>0</v>
      </c>
    </row>
    <row r="745" spans="1:7" x14ac:dyDescent="0.3">
      <c r="A745" s="198">
        <v>1013466338</v>
      </c>
      <c r="B745" s="192" t="s">
        <v>840</v>
      </c>
      <c r="C745" s="196">
        <v>0</v>
      </c>
      <c r="D745" s="196">
        <v>101800</v>
      </c>
      <c r="E745" s="196">
        <v>101800</v>
      </c>
      <c r="F745" s="196">
        <v>0</v>
      </c>
      <c r="G745" s="196">
        <v>0</v>
      </c>
    </row>
    <row r="746" spans="1:7" x14ac:dyDescent="0.3">
      <c r="A746" s="198">
        <v>71875120</v>
      </c>
      <c r="B746" s="192" t="s">
        <v>841</v>
      </c>
      <c r="C746" s="196">
        <v>0</v>
      </c>
      <c r="D746" s="196">
        <v>520400</v>
      </c>
      <c r="E746" s="196">
        <v>520400</v>
      </c>
      <c r="F746" s="196">
        <v>0</v>
      </c>
      <c r="G746" s="196">
        <v>0</v>
      </c>
    </row>
    <row r="747" spans="1:7" x14ac:dyDescent="0.3">
      <c r="A747" s="198">
        <v>19169339</v>
      </c>
      <c r="B747" s="192" t="s">
        <v>842</v>
      </c>
      <c r="C747" s="196">
        <v>0</v>
      </c>
      <c r="D747" s="196">
        <v>64000</v>
      </c>
      <c r="E747" s="196">
        <v>64000</v>
      </c>
      <c r="F747" s="196">
        <v>0</v>
      </c>
      <c r="G747" s="196">
        <v>0</v>
      </c>
    </row>
    <row r="748" spans="1:7" x14ac:dyDescent="0.3">
      <c r="A748" s="198">
        <v>9091179</v>
      </c>
      <c r="B748" s="192" t="s">
        <v>843</v>
      </c>
      <c r="C748" s="196">
        <v>0</v>
      </c>
      <c r="D748" s="196">
        <v>92800</v>
      </c>
      <c r="E748" s="196">
        <v>92800</v>
      </c>
      <c r="F748" s="196">
        <v>0</v>
      </c>
      <c r="G748" s="196">
        <v>0</v>
      </c>
    </row>
    <row r="749" spans="1:7" x14ac:dyDescent="0.3">
      <c r="A749" s="198">
        <v>1152223373</v>
      </c>
      <c r="B749" s="192" t="s">
        <v>844</v>
      </c>
      <c r="C749" s="196">
        <v>0</v>
      </c>
      <c r="D749" s="196">
        <v>260400</v>
      </c>
      <c r="E749" s="196">
        <v>260400</v>
      </c>
      <c r="F749" s="196">
        <v>0</v>
      </c>
      <c r="G749" s="196">
        <v>0</v>
      </c>
    </row>
    <row r="750" spans="1:7" x14ac:dyDescent="0.3">
      <c r="A750" s="198">
        <v>98476086</v>
      </c>
      <c r="B750" s="192" t="s">
        <v>845</v>
      </c>
      <c r="C750" s="196">
        <v>0</v>
      </c>
      <c r="D750" s="196">
        <v>253000</v>
      </c>
      <c r="E750" s="196">
        <v>253000</v>
      </c>
      <c r="F750" s="196">
        <v>0</v>
      </c>
      <c r="G750" s="196">
        <v>0</v>
      </c>
    </row>
    <row r="751" spans="1:7" x14ac:dyDescent="0.3">
      <c r="A751" s="198">
        <v>1078013214</v>
      </c>
      <c r="B751" s="192" t="s">
        <v>846</v>
      </c>
      <c r="C751" s="196">
        <v>0</v>
      </c>
      <c r="D751" s="196">
        <v>101800</v>
      </c>
      <c r="E751" s="196">
        <v>101800</v>
      </c>
      <c r="F751" s="196">
        <v>0</v>
      </c>
      <c r="G751" s="196">
        <v>0</v>
      </c>
    </row>
    <row r="752" spans="1:7" x14ac:dyDescent="0.3">
      <c r="A752" s="198">
        <v>8430478</v>
      </c>
      <c r="B752" s="192" t="s">
        <v>847</v>
      </c>
      <c r="C752" s="196">
        <v>3514200</v>
      </c>
      <c r="D752" s="196">
        <v>0</v>
      </c>
      <c r="E752" s="196">
        <v>3514200</v>
      </c>
      <c r="F752" s="196">
        <v>-3514200</v>
      </c>
      <c r="G752" s="196">
        <v>0</v>
      </c>
    </row>
    <row r="753" spans="1:7" x14ac:dyDescent="0.3">
      <c r="A753" s="198">
        <v>1016914822</v>
      </c>
      <c r="B753" s="192" t="s">
        <v>848</v>
      </c>
      <c r="C753" s="196">
        <v>0</v>
      </c>
      <c r="D753" s="196">
        <v>101800</v>
      </c>
      <c r="E753" s="196">
        <v>101800</v>
      </c>
      <c r="F753" s="196">
        <v>0</v>
      </c>
      <c r="G753" s="196">
        <v>0</v>
      </c>
    </row>
    <row r="754" spans="1:7" x14ac:dyDescent="0.3">
      <c r="A754" s="198">
        <v>1035020440</v>
      </c>
      <c r="B754" s="192" t="s">
        <v>849</v>
      </c>
      <c r="C754" s="196">
        <v>0</v>
      </c>
      <c r="D754" s="196">
        <v>101800</v>
      </c>
      <c r="E754" s="196">
        <v>101800</v>
      </c>
      <c r="F754" s="196">
        <v>0</v>
      </c>
      <c r="G754" s="196">
        <v>0</v>
      </c>
    </row>
    <row r="755" spans="1:7" x14ac:dyDescent="0.3">
      <c r="A755" s="198">
        <v>1036682579</v>
      </c>
      <c r="B755" s="192" t="s">
        <v>850</v>
      </c>
      <c r="C755" s="196">
        <v>0</v>
      </c>
      <c r="D755" s="196">
        <v>967000</v>
      </c>
      <c r="E755" s="196">
        <v>967000</v>
      </c>
      <c r="F755" s="196">
        <v>0</v>
      </c>
      <c r="G755" s="196">
        <v>0</v>
      </c>
    </row>
    <row r="756" spans="1:7" x14ac:dyDescent="0.3">
      <c r="A756" s="198">
        <v>8105394</v>
      </c>
      <c r="B756" s="192" t="s">
        <v>851</v>
      </c>
      <c r="C756" s="196">
        <v>0</v>
      </c>
      <c r="D756" s="196">
        <v>101800</v>
      </c>
      <c r="E756" s="196">
        <v>101800</v>
      </c>
      <c r="F756" s="196">
        <v>0</v>
      </c>
      <c r="G756" s="196">
        <v>0</v>
      </c>
    </row>
    <row r="757" spans="1:7" x14ac:dyDescent="0.3">
      <c r="A757" s="198">
        <v>98670572</v>
      </c>
      <c r="B757" s="192" t="s">
        <v>852</v>
      </c>
      <c r="C757" s="196">
        <v>0</v>
      </c>
      <c r="D757" s="196">
        <v>85000</v>
      </c>
      <c r="E757" s="196">
        <v>85000</v>
      </c>
      <c r="F757" s="196">
        <v>0</v>
      </c>
      <c r="G757" s="196">
        <v>0</v>
      </c>
    </row>
    <row r="758" spans="1:7" x14ac:dyDescent="0.3">
      <c r="A758" s="198">
        <v>15667346</v>
      </c>
      <c r="B758" s="192" t="s">
        <v>853</v>
      </c>
      <c r="C758" s="196">
        <v>0</v>
      </c>
      <c r="D758" s="196">
        <v>352200</v>
      </c>
      <c r="E758" s="196">
        <v>352200</v>
      </c>
      <c r="F758" s="196">
        <v>0</v>
      </c>
      <c r="G758" s="196">
        <v>0</v>
      </c>
    </row>
    <row r="759" spans="1:7" x14ac:dyDescent="0.3">
      <c r="A759" s="198">
        <v>1128264965</v>
      </c>
      <c r="B759" s="192" t="s">
        <v>125</v>
      </c>
      <c r="C759" s="196">
        <v>41545000</v>
      </c>
      <c r="D759" s="196">
        <v>47537600</v>
      </c>
      <c r="E759" s="196">
        <v>60000000</v>
      </c>
      <c r="F759" s="196">
        <v>-12462400</v>
      </c>
      <c r="G759" s="196">
        <v>29082600</v>
      </c>
    </row>
    <row r="760" spans="1:7" x14ac:dyDescent="0.3">
      <c r="A760" s="198">
        <v>17900741</v>
      </c>
      <c r="B760" s="192" t="s">
        <v>854</v>
      </c>
      <c r="C760" s="196">
        <v>0</v>
      </c>
      <c r="D760" s="196">
        <v>297000</v>
      </c>
      <c r="E760" s="196">
        <v>297000</v>
      </c>
      <c r="F760" s="196">
        <v>0</v>
      </c>
      <c r="G760" s="196">
        <v>0</v>
      </c>
    </row>
    <row r="761" spans="1:7" x14ac:dyDescent="0.3">
      <c r="A761" s="198">
        <v>71581098</v>
      </c>
      <c r="B761" s="192" t="s">
        <v>855</v>
      </c>
      <c r="C761" s="196">
        <v>0</v>
      </c>
      <c r="D761" s="196">
        <v>5757000</v>
      </c>
      <c r="E761" s="196">
        <v>5757000</v>
      </c>
      <c r="F761" s="196">
        <v>0</v>
      </c>
      <c r="G761" s="196">
        <v>0</v>
      </c>
    </row>
    <row r="762" spans="1:7" x14ac:dyDescent="0.3">
      <c r="A762" s="198">
        <v>98563719</v>
      </c>
      <c r="B762" s="192" t="s">
        <v>856</v>
      </c>
      <c r="C762" s="196">
        <v>0</v>
      </c>
      <c r="D762" s="196">
        <v>383800</v>
      </c>
      <c r="E762" s="196">
        <v>383800</v>
      </c>
      <c r="F762" s="196">
        <v>0</v>
      </c>
      <c r="G762" s="196">
        <v>0</v>
      </c>
    </row>
    <row r="763" spans="1:7" x14ac:dyDescent="0.3">
      <c r="A763" s="198">
        <v>79625484</v>
      </c>
      <c r="B763" s="192" t="s">
        <v>857</v>
      </c>
      <c r="C763" s="196">
        <v>-36000</v>
      </c>
      <c r="D763" s="196">
        <v>0</v>
      </c>
      <c r="E763" s="196">
        <v>0</v>
      </c>
      <c r="F763" s="196">
        <v>0</v>
      </c>
      <c r="G763" s="196">
        <v>-36000</v>
      </c>
    </row>
    <row r="764" spans="1:7" x14ac:dyDescent="0.3">
      <c r="A764" s="198">
        <v>1020128996</v>
      </c>
      <c r="B764" s="192" t="s">
        <v>858</v>
      </c>
      <c r="C764" s="196">
        <v>0</v>
      </c>
      <c r="D764" s="196">
        <v>101800</v>
      </c>
      <c r="E764" s="196">
        <v>101800</v>
      </c>
      <c r="F764" s="196">
        <v>0</v>
      </c>
      <c r="G764" s="196">
        <v>0</v>
      </c>
    </row>
    <row r="765" spans="1:7" x14ac:dyDescent="0.3">
      <c r="A765" s="198">
        <v>1105786985</v>
      </c>
      <c r="B765" s="192" t="s">
        <v>859</v>
      </c>
      <c r="C765" s="196">
        <v>1</v>
      </c>
      <c r="D765" s="196">
        <v>296999</v>
      </c>
      <c r="E765" s="196">
        <v>296999</v>
      </c>
      <c r="F765" s="196">
        <v>0</v>
      </c>
      <c r="G765" s="196">
        <v>1</v>
      </c>
    </row>
    <row r="766" spans="1:7" x14ac:dyDescent="0.3">
      <c r="A766" s="192" t="s">
        <v>860</v>
      </c>
      <c r="B766" s="192" t="s">
        <v>861</v>
      </c>
      <c r="C766" s="196">
        <v>0</v>
      </c>
      <c r="D766" s="196">
        <v>319000</v>
      </c>
      <c r="E766" s="196">
        <v>319000</v>
      </c>
      <c r="F766" s="196">
        <v>0</v>
      </c>
      <c r="G766" s="196">
        <v>0</v>
      </c>
    </row>
    <row r="767" spans="1:7" x14ac:dyDescent="0.3">
      <c r="A767" s="198">
        <v>98517307</v>
      </c>
      <c r="B767" s="192" t="s">
        <v>862</v>
      </c>
      <c r="C767" s="196">
        <v>0</v>
      </c>
      <c r="D767" s="196">
        <v>9800000</v>
      </c>
      <c r="E767" s="196">
        <v>9800000</v>
      </c>
      <c r="F767" s="196">
        <v>0</v>
      </c>
      <c r="G767" s="196">
        <v>0</v>
      </c>
    </row>
    <row r="768" spans="1:7" x14ac:dyDescent="0.3">
      <c r="A768" s="198">
        <v>71750289</v>
      </c>
      <c r="B768" s="192" t="s">
        <v>863</v>
      </c>
      <c r="C768" s="196">
        <v>0</v>
      </c>
      <c r="D768" s="196">
        <v>101800</v>
      </c>
      <c r="E768" s="196">
        <v>101800</v>
      </c>
      <c r="F768" s="196">
        <v>0</v>
      </c>
      <c r="G768" s="196">
        <v>0</v>
      </c>
    </row>
    <row r="769" spans="1:7" x14ac:dyDescent="0.3">
      <c r="A769" s="198">
        <v>71749902</v>
      </c>
      <c r="B769" s="192" t="s">
        <v>864</v>
      </c>
      <c r="C769" s="196">
        <v>0</v>
      </c>
      <c r="D769" s="196">
        <v>114400</v>
      </c>
      <c r="E769" s="196">
        <v>114400</v>
      </c>
      <c r="F769" s="196">
        <v>0</v>
      </c>
      <c r="G769" s="196">
        <v>0</v>
      </c>
    </row>
    <row r="770" spans="1:7" x14ac:dyDescent="0.3">
      <c r="A770" s="198">
        <v>1020445341</v>
      </c>
      <c r="B770" s="192" t="s">
        <v>865</v>
      </c>
      <c r="C770" s="196">
        <v>0</v>
      </c>
      <c r="D770" s="196">
        <v>76800</v>
      </c>
      <c r="E770" s="196">
        <v>76800</v>
      </c>
      <c r="F770" s="196">
        <v>0</v>
      </c>
      <c r="G770" s="196">
        <v>0</v>
      </c>
    </row>
    <row r="771" spans="1:7" x14ac:dyDescent="0.3">
      <c r="A771" s="198">
        <v>98563455</v>
      </c>
      <c r="B771" s="192" t="s">
        <v>866</v>
      </c>
      <c r="C771" s="196">
        <v>0</v>
      </c>
      <c r="D771" s="196">
        <v>168200</v>
      </c>
      <c r="E771" s="196">
        <v>168200</v>
      </c>
      <c r="F771" s="196">
        <v>0</v>
      </c>
      <c r="G771" s="196">
        <v>0</v>
      </c>
    </row>
    <row r="772" spans="1:7" x14ac:dyDescent="0.3">
      <c r="A772" s="198">
        <v>1036656212</v>
      </c>
      <c r="B772" s="192" t="s">
        <v>867</v>
      </c>
      <c r="C772" s="196">
        <v>0</v>
      </c>
      <c r="D772" s="196">
        <v>963000</v>
      </c>
      <c r="E772" s="196">
        <v>963000</v>
      </c>
      <c r="F772" s="196">
        <v>0</v>
      </c>
      <c r="G772" s="196">
        <v>0</v>
      </c>
    </row>
    <row r="773" spans="1:7" x14ac:dyDescent="0.3">
      <c r="A773" s="198">
        <v>98670648</v>
      </c>
      <c r="B773" s="192" t="s">
        <v>868</v>
      </c>
      <c r="C773" s="196">
        <v>0</v>
      </c>
      <c r="D773" s="196">
        <v>101800</v>
      </c>
      <c r="E773" s="196">
        <v>101800</v>
      </c>
      <c r="F773" s="196">
        <v>0</v>
      </c>
      <c r="G773" s="196">
        <v>0</v>
      </c>
    </row>
    <row r="774" spans="1:7" x14ac:dyDescent="0.3">
      <c r="A774" s="198">
        <v>1035911057</v>
      </c>
      <c r="B774" s="192" t="s">
        <v>869</v>
      </c>
      <c r="C774" s="196">
        <v>3827000</v>
      </c>
      <c r="D774" s="196">
        <v>0</v>
      </c>
      <c r="E774" s="196">
        <v>3827000</v>
      </c>
      <c r="F774" s="196">
        <v>-3827000</v>
      </c>
      <c r="G774" s="196">
        <v>0</v>
      </c>
    </row>
    <row r="775" spans="1:7" x14ac:dyDescent="0.3">
      <c r="A775" s="198">
        <v>1037667077</v>
      </c>
      <c r="B775" s="192" t="s">
        <v>870</v>
      </c>
      <c r="C775" s="196">
        <v>0</v>
      </c>
      <c r="D775" s="196">
        <v>194000</v>
      </c>
      <c r="E775" s="196">
        <v>194000</v>
      </c>
      <c r="F775" s="196">
        <v>0</v>
      </c>
      <c r="G775" s="196">
        <v>0</v>
      </c>
    </row>
    <row r="776" spans="1:7" x14ac:dyDescent="0.3">
      <c r="A776" s="198">
        <v>8460619</v>
      </c>
      <c r="B776" s="192" t="s">
        <v>871</v>
      </c>
      <c r="C776" s="196">
        <v>0</v>
      </c>
      <c r="D776" s="196">
        <v>165000</v>
      </c>
      <c r="E776" s="196">
        <v>165000</v>
      </c>
      <c r="F776" s="196">
        <v>0</v>
      </c>
      <c r="G776" s="196">
        <v>0</v>
      </c>
    </row>
    <row r="777" spans="1:7" x14ac:dyDescent="0.3">
      <c r="A777" s="198">
        <v>1017272654</v>
      </c>
      <c r="B777" s="192" t="s">
        <v>872</v>
      </c>
      <c r="C777" s="196">
        <v>0</v>
      </c>
      <c r="D777" s="196">
        <v>85000</v>
      </c>
      <c r="E777" s="196">
        <v>85000</v>
      </c>
      <c r="F777" s="196">
        <v>0</v>
      </c>
      <c r="G777" s="196">
        <v>0</v>
      </c>
    </row>
    <row r="778" spans="1:7" x14ac:dyDescent="0.3">
      <c r="A778" s="198">
        <v>1127233083</v>
      </c>
      <c r="B778" s="192" t="s">
        <v>873</v>
      </c>
      <c r="C778" s="196">
        <v>0</v>
      </c>
      <c r="D778" s="196">
        <v>266800</v>
      </c>
      <c r="E778" s="196">
        <v>266800</v>
      </c>
      <c r="F778" s="196">
        <v>0</v>
      </c>
      <c r="G778" s="196">
        <v>0</v>
      </c>
    </row>
    <row r="779" spans="1:7" x14ac:dyDescent="0.3">
      <c r="A779" s="198">
        <v>3664264</v>
      </c>
      <c r="B779" s="192" t="s">
        <v>874</v>
      </c>
      <c r="C779" s="196">
        <v>0</v>
      </c>
      <c r="D779" s="196">
        <v>152000</v>
      </c>
      <c r="E779" s="196">
        <v>152000</v>
      </c>
      <c r="F779" s="196">
        <v>0</v>
      </c>
      <c r="G779" s="196">
        <v>0</v>
      </c>
    </row>
    <row r="780" spans="1:7" x14ac:dyDescent="0.3">
      <c r="A780" s="198">
        <v>71611722</v>
      </c>
      <c r="B780" s="192" t="s">
        <v>875</v>
      </c>
      <c r="C780" s="196">
        <v>0</v>
      </c>
      <c r="D780" s="196">
        <v>57800</v>
      </c>
      <c r="E780" s="196">
        <v>57800</v>
      </c>
      <c r="F780" s="196">
        <v>0</v>
      </c>
      <c r="G780" s="196">
        <v>0</v>
      </c>
    </row>
    <row r="781" spans="1:7" x14ac:dyDescent="0.3">
      <c r="A781" s="198">
        <v>8125247</v>
      </c>
      <c r="B781" s="192" t="s">
        <v>876</v>
      </c>
      <c r="C781" s="196">
        <v>0</v>
      </c>
      <c r="D781" s="196">
        <v>203600</v>
      </c>
      <c r="E781" s="196">
        <v>203600</v>
      </c>
      <c r="F781" s="196">
        <v>0</v>
      </c>
      <c r="G781" s="196">
        <v>0</v>
      </c>
    </row>
    <row r="782" spans="1:7" x14ac:dyDescent="0.3">
      <c r="A782" s="198">
        <v>8301519</v>
      </c>
      <c r="B782" s="192" t="s">
        <v>877</v>
      </c>
      <c r="C782" s="196">
        <v>0</v>
      </c>
      <c r="D782" s="196">
        <v>101800</v>
      </c>
      <c r="E782" s="196">
        <v>101800</v>
      </c>
      <c r="F782" s="196">
        <v>0</v>
      </c>
      <c r="G782" s="196">
        <v>0</v>
      </c>
    </row>
    <row r="783" spans="1:7" x14ac:dyDescent="0.3">
      <c r="A783" s="198">
        <v>8299511</v>
      </c>
      <c r="B783" s="192" t="s">
        <v>878</v>
      </c>
      <c r="C783" s="196">
        <v>0</v>
      </c>
      <c r="D783" s="196">
        <v>412000</v>
      </c>
      <c r="E783" s="196">
        <v>412000</v>
      </c>
      <c r="F783" s="196">
        <v>0</v>
      </c>
      <c r="G783" s="196">
        <v>0</v>
      </c>
    </row>
    <row r="784" spans="1:7" x14ac:dyDescent="0.3">
      <c r="A784" s="198">
        <v>1038409805</v>
      </c>
      <c r="B784" s="192" t="s">
        <v>879</v>
      </c>
      <c r="C784" s="196">
        <v>0</v>
      </c>
      <c r="D784" s="196">
        <v>963000</v>
      </c>
      <c r="E784" s="196">
        <v>963000</v>
      </c>
      <c r="F784" s="196">
        <v>0</v>
      </c>
      <c r="G784" s="196">
        <v>0</v>
      </c>
    </row>
    <row r="785" spans="1:7" x14ac:dyDescent="0.3">
      <c r="A785" s="198">
        <v>10018112</v>
      </c>
      <c r="B785" s="192" t="s">
        <v>880</v>
      </c>
      <c r="C785" s="196">
        <v>0</v>
      </c>
      <c r="D785" s="196">
        <v>55600</v>
      </c>
      <c r="E785" s="196">
        <v>55600</v>
      </c>
      <c r="F785" s="196">
        <v>0</v>
      </c>
      <c r="G785" s="196">
        <v>0</v>
      </c>
    </row>
    <row r="786" spans="1:7" x14ac:dyDescent="0.3">
      <c r="A786" s="198">
        <v>1036669883</v>
      </c>
      <c r="B786" s="192" t="s">
        <v>881</v>
      </c>
      <c r="C786" s="196">
        <v>0</v>
      </c>
      <c r="D786" s="196">
        <v>101800</v>
      </c>
      <c r="E786" s="196">
        <v>101800</v>
      </c>
      <c r="F786" s="196">
        <v>0</v>
      </c>
      <c r="G786" s="196">
        <v>0</v>
      </c>
    </row>
    <row r="787" spans="1:7" x14ac:dyDescent="0.3">
      <c r="A787" s="198">
        <v>1078005051</v>
      </c>
      <c r="B787" s="192" t="s">
        <v>882</v>
      </c>
      <c r="C787" s="196">
        <v>0</v>
      </c>
      <c r="D787" s="196">
        <v>297000</v>
      </c>
      <c r="E787" s="196">
        <v>297000</v>
      </c>
      <c r="F787" s="196">
        <v>0</v>
      </c>
      <c r="G787" s="196">
        <v>0</v>
      </c>
    </row>
    <row r="788" spans="1:7" x14ac:dyDescent="0.3">
      <c r="A788" s="198">
        <v>1010021538</v>
      </c>
      <c r="B788" s="192" t="s">
        <v>883</v>
      </c>
      <c r="C788" s="196">
        <v>0</v>
      </c>
      <c r="D788" s="196">
        <v>5000</v>
      </c>
      <c r="E788" s="196">
        <v>5000</v>
      </c>
      <c r="F788" s="196">
        <v>0</v>
      </c>
      <c r="G788" s="196">
        <v>0</v>
      </c>
    </row>
    <row r="789" spans="1:7" x14ac:dyDescent="0.3">
      <c r="A789" s="198">
        <v>1033271442</v>
      </c>
      <c r="B789" s="192" t="s">
        <v>884</v>
      </c>
      <c r="C789" s="196">
        <v>0</v>
      </c>
      <c r="D789" s="196">
        <v>101800</v>
      </c>
      <c r="E789" s="196">
        <v>101800</v>
      </c>
      <c r="F789" s="196">
        <v>0</v>
      </c>
      <c r="G789" s="196">
        <v>0</v>
      </c>
    </row>
    <row r="790" spans="1:7" x14ac:dyDescent="0.3">
      <c r="A790" s="198">
        <v>1037666607</v>
      </c>
      <c r="B790" s="192" t="s">
        <v>885</v>
      </c>
      <c r="C790" s="196">
        <v>0</v>
      </c>
      <c r="D790" s="196">
        <v>101800</v>
      </c>
      <c r="E790" s="196">
        <v>101800</v>
      </c>
      <c r="F790" s="196">
        <v>0</v>
      </c>
      <c r="G790" s="196">
        <v>0</v>
      </c>
    </row>
    <row r="791" spans="1:7" x14ac:dyDescent="0.3">
      <c r="A791" s="198">
        <v>1089620650</v>
      </c>
      <c r="B791" s="192" t="s">
        <v>886</v>
      </c>
      <c r="C791" s="196">
        <v>0</v>
      </c>
      <c r="D791" s="196">
        <v>70000</v>
      </c>
      <c r="E791" s="196">
        <v>70000</v>
      </c>
      <c r="F791" s="196">
        <v>0</v>
      </c>
      <c r="G791" s="196">
        <v>0</v>
      </c>
    </row>
    <row r="792" spans="1:7" x14ac:dyDescent="0.3">
      <c r="A792" s="198">
        <v>1031942817</v>
      </c>
      <c r="B792" s="192" t="s">
        <v>887</v>
      </c>
      <c r="C792" s="196">
        <v>0</v>
      </c>
      <c r="D792" s="196">
        <v>114400</v>
      </c>
      <c r="E792" s="196">
        <v>114400</v>
      </c>
      <c r="F792" s="196">
        <v>0</v>
      </c>
      <c r="G792" s="196">
        <v>0</v>
      </c>
    </row>
    <row r="793" spans="1:7" x14ac:dyDescent="0.3">
      <c r="A793" s="198">
        <v>1037593984</v>
      </c>
      <c r="B793" s="192" t="s">
        <v>888</v>
      </c>
      <c r="C793" s="196">
        <v>0</v>
      </c>
      <c r="D793" s="196">
        <v>260200</v>
      </c>
      <c r="E793" s="196">
        <v>260200</v>
      </c>
      <c r="F793" s="196">
        <v>0</v>
      </c>
      <c r="G793" s="196">
        <v>0</v>
      </c>
    </row>
    <row r="794" spans="1:7" x14ac:dyDescent="0.3">
      <c r="A794" s="198">
        <v>1088300941</v>
      </c>
      <c r="B794" s="192" t="s">
        <v>889</v>
      </c>
      <c r="C794" s="196">
        <v>0</v>
      </c>
      <c r="D794" s="196">
        <v>1852200</v>
      </c>
      <c r="E794" s="196">
        <v>1852200</v>
      </c>
      <c r="F794" s="196">
        <v>0</v>
      </c>
      <c r="G794" s="196">
        <v>0</v>
      </c>
    </row>
    <row r="795" spans="1:7" x14ac:dyDescent="0.3">
      <c r="A795" s="198">
        <v>70563049</v>
      </c>
      <c r="B795" s="192" t="s">
        <v>890</v>
      </c>
      <c r="C795" s="196">
        <v>0</v>
      </c>
      <c r="D795" s="196">
        <v>195600</v>
      </c>
      <c r="E795" s="196">
        <v>195600</v>
      </c>
      <c r="F795" s="196">
        <v>0</v>
      </c>
      <c r="G795" s="196">
        <v>0</v>
      </c>
    </row>
    <row r="796" spans="1:7" x14ac:dyDescent="0.3">
      <c r="A796" s="198">
        <v>1022095808</v>
      </c>
      <c r="B796" s="192" t="s">
        <v>891</v>
      </c>
      <c r="C796" s="196">
        <v>0</v>
      </c>
      <c r="D796" s="196">
        <v>101800</v>
      </c>
      <c r="E796" s="196">
        <v>101800</v>
      </c>
      <c r="F796" s="196">
        <v>0</v>
      </c>
      <c r="G796" s="196">
        <v>0</v>
      </c>
    </row>
    <row r="797" spans="1:7" x14ac:dyDescent="0.3">
      <c r="A797" s="198">
        <v>1001367308</v>
      </c>
      <c r="B797" s="192" t="s">
        <v>892</v>
      </c>
      <c r="C797" s="196">
        <v>0</v>
      </c>
      <c r="D797" s="196">
        <v>101800</v>
      </c>
      <c r="E797" s="196">
        <v>101800</v>
      </c>
      <c r="F797" s="196">
        <v>0</v>
      </c>
      <c r="G797" s="196">
        <v>0</v>
      </c>
    </row>
    <row r="798" spans="1:7" x14ac:dyDescent="0.3">
      <c r="A798" s="198">
        <v>1037624353</v>
      </c>
      <c r="B798" s="192" t="s">
        <v>893</v>
      </c>
      <c r="C798" s="196">
        <v>0</v>
      </c>
      <c r="D798" s="196">
        <v>101800</v>
      </c>
      <c r="E798" s="196">
        <v>101800</v>
      </c>
      <c r="F798" s="196">
        <v>0</v>
      </c>
      <c r="G798" s="196">
        <v>0</v>
      </c>
    </row>
    <row r="799" spans="1:7" x14ac:dyDescent="0.3">
      <c r="A799" s="198">
        <v>1239490100</v>
      </c>
      <c r="B799" s="192" t="s">
        <v>894</v>
      </c>
      <c r="C799" s="196">
        <v>0</v>
      </c>
      <c r="D799" s="196">
        <v>101800</v>
      </c>
      <c r="E799" s="196">
        <v>101800</v>
      </c>
      <c r="F799" s="196">
        <v>0</v>
      </c>
      <c r="G799" s="196">
        <v>0</v>
      </c>
    </row>
    <row r="800" spans="1:7" x14ac:dyDescent="0.3">
      <c r="A800" s="198">
        <v>1017926973</v>
      </c>
      <c r="B800" s="192" t="s">
        <v>895</v>
      </c>
      <c r="C800" s="196">
        <v>0</v>
      </c>
      <c r="D800" s="196">
        <v>1068400</v>
      </c>
      <c r="E800" s="196">
        <v>1068400</v>
      </c>
      <c r="F800" s="196">
        <v>0</v>
      </c>
      <c r="G800" s="196">
        <v>0</v>
      </c>
    </row>
    <row r="801" spans="1:7" x14ac:dyDescent="0.3">
      <c r="A801" s="198">
        <v>1021923042</v>
      </c>
      <c r="B801" s="192" t="s">
        <v>896</v>
      </c>
      <c r="C801" s="196">
        <v>0</v>
      </c>
      <c r="D801" s="196">
        <v>2253000</v>
      </c>
      <c r="E801" s="196">
        <v>2253000</v>
      </c>
      <c r="F801" s="196">
        <v>0</v>
      </c>
      <c r="G801" s="196">
        <v>0</v>
      </c>
    </row>
    <row r="802" spans="1:7" x14ac:dyDescent="0.3">
      <c r="A802" s="198">
        <v>1000180186</v>
      </c>
      <c r="B802" s="192" t="s">
        <v>897</v>
      </c>
      <c r="C802" s="196">
        <v>0</v>
      </c>
      <c r="D802" s="196">
        <v>59400</v>
      </c>
      <c r="E802" s="196">
        <v>59400</v>
      </c>
      <c r="F802" s="196">
        <v>0</v>
      </c>
      <c r="G802" s="196">
        <v>0</v>
      </c>
    </row>
    <row r="803" spans="1:7" x14ac:dyDescent="0.3">
      <c r="A803" s="198">
        <v>1050718887</v>
      </c>
      <c r="B803" s="192" t="s">
        <v>898</v>
      </c>
      <c r="C803" s="196">
        <v>0</v>
      </c>
      <c r="D803" s="196">
        <v>1336400</v>
      </c>
      <c r="E803" s="196">
        <v>1336400</v>
      </c>
      <c r="F803" s="196">
        <v>0</v>
      </c>
      <c r="G803" s="196">
        <v>0</v>
      </c>
    </row>
    <row r="804" spans="1:7" x14ac:dyDescent="0.3">
      <c r="A804" s="198">
        <v>1001367591</v>
      </c>
      <c r="B804" s="192" t="s">
        <v>899</v>
      </c>
      <c r="C804" s="196">
        <v>0</v>
      </c>
      <c r="D804" s="196">
        <v>87800</v>
      </c>
      <c r="E804" s="196">
        <v>87800</v>
      </c>
      <c r="F804" s="196">
        <v>0</v>
      </c>
      <c r="G804" s="196">
        <v>0</v>
      </c>
    </row>
    <row r="805" spans="1:7" x14ac:dyDescent="0.3">
      <c r="A805" s="192" t="s">
        <v>900</v>
      </c>
      <c r="B805" s="192" t="s">
        <v>901</v>
      </c>
      <c r="C805" s="196">
        <v>0</v>
      </c>
      <c r="D805" s="196">
        <v>1926000</v>
      </c>
      <c r="E805" s="196">
        <v>1926000</v>
      </c>
      <c r="F805" s="196">
        <v>0</v>
      </c>
      <c r="G805" s="196">
        <v>0</v>
      </c>
    </row>
    <row r="806" spans="1:7" x14ac:dyDescent="0.3">
      <c r="A806" s="198">
        <v>70500849</v>
      </c>
      <c r="B806" s="192" t="s">
        <v>902</v>
      </c>
      <c r="C806" s="196">
        <v>0</v>
      </c>
      <c r="D806" s="196">
        <v>554000</v>
      </c>
      <c r="E806" s="196">
        <v>554000</v>
      </c>
      <c r="F806" s="196">
        <v>0</v>
      </c>
      <c r="G806" s="196">
        <v>0</v>
      </c>
    </row>
    <row r="807" spans="1:7" x14ac:dyDescent="0.3">
      <c r="A807" s="198">
        <v>8277225</v>
      </c>
      <c r="B807" s="192" t="s">
        <v>903</v>
      </c>
      <c r="C807" s="196">
        <v>0</v>
      </c>
      <c r="D807" s="196">
        <v>297000</v>
      </c>
      <c r="E807" s="196">
        <v>297000</v>
      </c>
      <c r="F807" s="196">
        <v>0</v>
      </c>
      <c r="G807" s="196">
        <v>0</v>
      </c>
    </row>
    <row r="808" spans="1:7" x14ac:dyDescent="0.3">
      <c r="A808" s="198">
        <v>1040754418</v>
      </c>
      <c r="B808" s="192" t="s">
        <v>904</v>
      </c>
      <c r="C808" s="196">
        <v>0</v>
      </c>
      <c r="D808" s="196">
        <v>203600</v>
      </c>
      <c r="E808" s="196">
        <v>203600</v>
      </c>
      <c r="F808" s="196">
        <v>0</v>
      </c>
      <c r="G808" s="196">
        <v>0</v>
      </c>
    </row>
    <row r="809" spans="1:7" x14ac:dyDescent="0.3">
      <c r="A809" s="198">
        <v>1019081259</v>
      </c>
      <c r="B809" s="192" t="s">
        <v>905</v>
      </c>
      <c r="C809" s="196">
        <v>0</v>
      </c>
      <c r="D809" s="196">
        <v>92800</v>
      </c>
      <c r="E809" s="196">
        <v>92800</v>
      </c>
      <c r="F809" s="196">
        <v>0</v>
      </c>
      <c r="G809" s="196">
        <v>0</v>
      </c>
    </row>
    <row r="810" spans="1:7" x14ac:dyDescent="0.3">
      <c r="A810" s="198">
        <v>1017249380</v>
      </c>
      <c r="B810" s="192" t="s">
        <v>906</v>
      </c>
      <c r="C810" s="196">
        <v>0</v>
      </c>
      <c r="D810" s="196">
        <v>98000</v>
      </c>
      <c r="E810" s="196">
        <v>98000</v>
      </c>
      <c r="F810" s="196">
        <v>0</v>
      </c>
      <c r="G810" s="196">
        <v>0</v>
      </c>
    </row>
    <row r="811" spans="1:7" x14ac:dyDescent="0.3">
      <c r="A811" s="198">
        <v>15515377</v>
      </c>
      <c r="B811" s="192" t="s">
        <v>907</v>
      </c>
      <c r="C811" s="196">
        <v>0</v>
      </c>
      <c r="D811" s="196">
        <v>193800</v>
      </c>
      <c r="E811" s="196">
        <v>193800</v>
      </c>
      <c r="F811" s="196">
        <v>0</v>
      </c>
      <c r="G811" s="196">
        <v>0</v>
      </c>
    </row>
    <row r="812" spans="1:7" x14ac:dyDescent="0.3">
      <c r="A812" s="198">
        <v>1022008356</v>
      </c>
      <c r="B812" s="192" t="s">
        <v>908</v>
      </c>
      <c r="C812" s="196">
        <v>1</v>
      </c>
      <c r="D812" s="196">
        <v>0</v>
      </c>
      <c r="E812" s="196">
        <v>0</v>
      </c>
      <c r="F812" s="196">
        <v>0</v>
      </c>
      <c r="G812" s="196">
        <v>1</v>
      </c>
    </row>
    <row r="813" spans="1:7" x14ac:dyDescent="0.3">
      <c r="A813" s="198">
        <v>1034989219</v>
      </c>
      <c r="B813" s="192" t="s">
        <v>909</v>
      </c>
      <c r="C813" s="196">
        <v>-200000</v>
      </c>
      <c r="D813" s="196">
        <v>0</v>
      </c>
      <c r="E813" s="196">
        <v>0</v>
      </c>
      <c r="F813" s="196">
        <v>0</v>
      </c>
      <c r="G813" s="196">
        <v>-200000</v>
      </c>
    </row>
    <row r="814" spans="1:7" x14ac:dyDescent="0.3">
      <c r="A814" s="198">
        <v>1040883413</v>
      </c>
      <c r="B814" s="192" t="s">
        <v>910</v>
      </c>
      <c r="C814" s="196">
        <v>1</v>
      </c>
      <c r="D814" s="196">
        <v>0</v>
      </c>
      <c r="E814" s="196">
        <v>0</v>
      </c>
      <c r="F814" s="196">
        <v>0</v>
      </c>
      <c r="G814" s="196">
        <v>1</v>
      </c>
    </row>
    <row r="815" spans="1:7" x14ac:dyDescent="0.3">
      <c r="A815" s="198">
        <v>1017928567</v>
      </c>
      <c r="B815" s="192" t="s">
        <v>911</v>
      </c>
      <c r="C815" s="196">
        <v>0</v>
      </c>
      <c r="D815" s="196">
        <v>101800</v>
      </c>
      <c r="E815" s="196">
        <v>101800</v>
      </c>
      <c r="F815" s="196">
        <v>0</v>
      </c>
      <c r="G815" s="196">
        <v>0</v>
      </c>
    </row>
    <row r="816" spans="1:7" x14ac:dyDescent="0.3">
      <c r="A816" s="198">
        <v>21364896</v>
      </c>
      <c r="B816" s="192" t="s">
        <v>912</v>
      </c>
      <c r="C816" s="196">
        <v>0</v>
      </c>
      <c r="D816" s="196">
        <v>297000</v>
      </c>
      <c r="E816" s="196">
        <v>297000</v>
      </c>
      <c r="F816" s="196">
        <v>0</v>
      </c>
      <c r="G816" s="196">
        <v>0</v>
      </c>
    </row>
    <row r="817" spans="1:7" x14ac:dyDescent="0.3">
      <c r="A817" s="198">
        <v>1045675691</v>
      </c>
      <c r="B817" s="192" t="s">
        <v>913</v>
      </c>
      <c r="C817" s="196">
        <v>46100</v>
      </c>
      <c r="D817" s="196">
        <v>0</v>
      </c>
      <c r="E817" s="196">
        <v>0</v>
      </c>
      <c r="F817" s="196">
        <v>0</v>
      </c>
      <c r="G817" s="196">
        <v>46100</v>
      </c>
    </row>
    <row r="818" spans="1:7" x14ac:dyDescent="0.3">
      <c r="A818" s="198">
        <v>1128270495</v>
      </c>
      <c r="B818" s="192" t="s">
        <v>914</v>
      </c>
      <c r="C818" s="196">
        <v>0</v>
      </c>
      <c r="D818" s="196">
        <v>108400</v>
      </c>
      <c r="E818" s="196">
        <v>108400</v>
      </c>
      <c r="F818" s="196">
        <v>0</v>
      </c>
      <c r="G818" s="196">
        <v>0</v>
      </c>
    </row>
    <row r="819" spans="1:7" x14ac:dyDescent="0.3">
      <c r="A819" s="198">
        <v>1035017608</v>
      </c>
      <c r="B819" s="192" t="s">
        <v>915</v>
      </c>
      <c r="C819" s="196">
        <v>0</v>
      </c>
      <c r="D819" s="196">
        <v>101800</v>
      </c>
      <c r="E819" s="196">
        <v>101800</v>
      </c>
      <c r="F819" s="196">
        <v>0</v>
      </c>
      <c r="G819" s="196">
        <v>0</v>
      </c>
    </row>
    <row r="820" spans="1:7" x14ac:dyDescent="0.3">
      <c r="A820" s="198">
        <v>1020305203</v>
      </c>
      <c r="B820" s="192" t="s">
        <v>916</v>
      </c>
      <c r="C820" s="196">
        <v>3500000</v>
      </c>
      <c r="D820" s="196">
        <v>0</v>
      </c>
      <c r="E820" s="196">
        <v>3500000</v>
      </c>
      <c r="F820" s="196">
        <v>-3500000</v>
      </c>
      <c r="G820" s="196">
        <v>0</v>
      </c>
    </row>
    <row r="821" spans="1:7" x14ac:dyDescent="0.3">
      <c r="A821" s="198">
        <v>1126906736</v>
      </c>
      <c r="B821" s="192" t="s">
        <v>917</v>
      </c>
      <c r="C821" s="196">
        <v>0</v>
      </c>
      <c r="D821" s="196">
        <v>148500</v>
      </c>
      <c r="E821" s="196">
        <v>148500</v>
      </c>
      <c r="F821" s="196">
        <v>0</v>
      </c>
      <c r="G821" s="196">
        <v>0</v>
      </c>
    </row>
    <row r="822" spans="1:7" x14ac:dyDescent="0.3">
      <c r="A822" s="198">
        <v>1128464685</v>
      </c>
      <c r="B822" s="192" t="s">
        <v>918</v>
      </c>
      <c r="C822" s="196">
        <v>0</v>
      </c>
      <c r="D822" s="196">
        <v>175600</v>
      </c>
      <c r="E822" s="196">
        <v>175600</v>
      </c>
      <c r="F822" s="196">
        <v>0</v>
      </c>
      <c r="G822" s="196">
        <v>0</v>
      </c>
    </row>
    <row r="823" spans="1:7" x14ac:dyDescent="0.3">
      <c r="A823" s="198">
        <v>1041631765</v>
      </c>
      <c r="B823" s="192" t="s">
        <v>919</v>
      </c>
      <c r="C823" s="196">
        <v>0</v>
      </c>
      <c r="D823" s="196">
        <v>3500000</v>
      </c>
      <c r="E823" s="196">
        <v>3500000</v>
      </c>
      <c r="F823" s="196">
        <v>0</v>
      </c>
      <c r="G823" s="196">
        <v>0</v>
      </c>
    </row>
    <row r="824" spans="1:7" x14ac:dyDescent="0.3">
      <c r="A824" s="198">
        <v>98666184</v>
      </c>
      <c r="B824" s="192" t="s">
        <v>920</v>
      </c>
      <c r="C824" s="196">
        <v>0</v>
      </c>
      <c r="D824" s="196">
        <v>272000</v>
      </c>
      <c r="E824" s="196">
        <v>272000</v>
      </c>
      <c r="F824" s="196">
        <v>0</v>
      </c>
      <c r="G824" s="196">
        <v>0</v>
      </c>
    </row>
    <row r="825" spans="1:7" x14ac:dyDescent="0.3">
      <c r="A825" s="198">
        <v>43976510</v>
      </c>
      <c r="B825" s="192" t="s">
        <v>921</v>
      </c>
      <c r="C825" s="196">
        <v>0</v>
      </c>
      <c r="D825" s="196">
        <v>101800</v>
      </c>
      <c r="E825" s="196">
        <v>101800</v>
      </c>
      <c r="F825" s="196">
        <v>0</v>
      </c>
      <c r="G825" s="196">
        <v>0</v>
      </c>
    </row>
    <row r="826" spans="1:7" x14ac:dyDescent="0.3">
      <c r="A826" s="198">
        <v>1152202782</v>
      </c>
      <c r="B826" s="192" t="s">
        <v>922</v>
      </c>
      <c r="C826" s="196">
        <v>0</v>
      </c>
      <c r="D826" s="196">
        <v>101800</v>
      </c>
      <c r="E826" s="196">
        <v>101800</v>
      </c>
      <c r="F826" s="196">
        <v>0</v>
      </c>
      <c r="G826" s="196">
        <v>0</v>
      </c>
    </row>
    <row r="827" spans="1:7" x14ac:dyDescent="0.3">
      <c r="A827" s="198">
        <v>1152443124</v>
      </c>
      <c r="B827" s="192" t="s">
        <v>923</v>
      </c>
      <c r="C827" s="196">
        <v>0</v>
      </c>
      <c r="D827" s="196">
        <v>101800</v>
      </c>
      <c r="E827" s="196">
        <v>101800</v>
      </c>
      <c r="F827" s="196">
        <v>0</v>
      </c>
      <c r="G827" s="196">
        <v>0</v>
      </c>
    </row>
    <row r="828" spans="1:7" x14ac:dyDescent="0.3">
      <c r="A828" s="198">
        <v>43878628</v>
      </c>
      <c r="B828" s="192" t="s">
        <v>924</v>
      </c>
      <c r="C828" s="196">
        <v>0</v>
      </c>
      <c r="D828" s="196">
        <v>101800</v>
      </c>
      <c r="E828" s="196">
        <v>101800</v>
      </c>
      <c r="F828" s="196">
        <v>0</v>
      </c>
      <c r="G828" s="196">
        <v>0</v>
      </c>
    </row>
    <row r="829" spans="1:7" x14ac:dyDescent="0.3">
      <c r="A829" s="198">
        <v>1017145637</v>
      </c>
      <c r="B829" s="192" t="s">
        <v>925</v>
      </c>
      <c r="C829" s="196">
        <v>0</v>
      </c>
      <c r="D829" s="196">
        <v>203600</v>
      </c>
      <c r="E829" s="196">
        <v>203600</v>
      </c>
      <c r="F829" s="196">
        <v>0</v>
      </c>
      <c r="G829" s="196">
        <v>0</v>
      </c>
    </row>
    <row r="830" spans="1:7" x14ac:dyDescent="0.3">
      <c r="A830" s="198">
        <v>43877078</v>
      </c>
      <c r="B830" s="192" t="s">
        <v>926</v>
      </c>
      <c r="C830" s="196">
        <v>0</v>
      </c>
      <c r="D830" s="196">
        <v>2046200</v>
      </c>
      <c r="E830" s="196">
        <v>2046200</v>
      </c>
      <c r="F830" s="196">
        <v>0</v>
      </c>
      <c r="G830" s="196">
        <v>0</v>
      </c>
    </row>
    <row r="831" spans="1:7" x14ac:dyDescent="0.3">
      <c r="A831" s="198">
        <v>21527954</v>
      </c>
      <c r="B831" s="192" t="s">
        <v>927</v>
      </c>
      <c r="C831" s="196">
        <v>0</v>
      </c>
      <c r="D831" s="196">
        <v>101800</v>
      </c>
      <c r="E831" s="196">
        <v>101800</v>
      </c>
      <c r="F831" s="196">
        <v>0</v>
      </c>
      <c r="G831" s="196">
        <v>0</v>
      </c>
    </row>
    <row r="832" spans="1:7" x14ac:dyDescent="0.3">
      <c r="A832" s="198">
        <v>1018255824</v>
      </c>
      <c r="B832" s="192" t="s">
        <v>928</v>
      </c>
      <c r="C832" s="196">
        <v>4</v>
      </c>
      <c r="D832" s="196">
        <v>0</v>
      </c>
      <c r="E832" s="196">
        <v>0</v>
      </c>
      <c r="F832" s="196">
        <v>0</v>
      </c>
      <c r="G832" s="196">
        <v>4</v>
      </c>
    </row>
    <row r="833" spans="1:7" x14ac:dyDescent="0.3">
      <c r="A833" s="198">
        <v>1020240628</v>
      </c>
      <c r="B833" s="192" t="s">
        <v>929</v>
      </c>
      <c r="C833" s="196">
        <v>0</v>
      </c>
      <c r="D833" s="196">
        <v>119000</v>
      </c>
      <c r="E833" s="196">
        <v>119000</v>
      </c>
      <c r="F833" s="196">
        <v>0</v>
      </c>
      <c r="G833" s="196">
        <v>0</v>
      </c>
    </row>
    <row r="834" spans="1:7" x14ac:dyDescent="0.3">
      <c r="A834" s="198">
        <v>1035026350</v>
      </c>
      <c r="B834" s="192" t="s">
        <v>930</v>
      </c>
      <c r="C834" s="196">
        <v>0</v>
      </c>
      <c r="D834" s="196">
        <v>101800</v>
      </c>
      <c r="E834" s="196">
        <v>101800</v>
      </c>
      <c r="F834" s="196">
        <v>0</v>
      </c>
      <c r="G834" s="196">
        <v>0</v>
      </c>
    </row>
    <row r="835" spans="1:7" x14ac:dyDescent="0.3">
      <c r="A835" s="198">
        <v>71626064</v>
      </c>
      <c r="B835" s="192" t="s">
        <v>931</v>
      </c>
      <c r="C835" s="196">
        <v>0</v>
      </c>
      <c r="D835" s="196">
        <v>74000</v>
      </c>
      <c r="E835" s="196">
        <v>74000</v>
      </c>
      <c r="F835" s="196">
        <v>0</v>
      </c>
      <c r="G835" s="196">
        <v>0</v>
      </c>
    </row>
    <row r="836" spans="1:7" x14ac:dyDescent="0.3">
      <c r="A836" s="198">
        <v>70695365</v>
      </c>
      <c r="B836" s="192" t="s">
        <v>932</v>
      </c>
      <c r="C836" s="196">
        <v>0</v>
      </c>
      <c r="D836" s="196">
        <v>297000</v>
      </c>
      <c r="E836" s="196">
        <v>297000</v>
      </c>
      <c r="F836" s="196">
        <v>0</v>
      </c>
      <c r="G836" s="196">
        <v>0</v>
      </c>
    </row>
    <row r="837" spans="1:7" x14ac:dyDescent="0.3">
      <c r="A837" s="198">
        <v>566012150</v>
      </c>
      <c r="B837" s="192" t="s">
        <v>933</v>
      </c>
      <c r="C837" s="196">
        <v>0</v>
      </c>
      <c r="D837" s="196">
        <v>409000</v>
      </c>
      <c r="E837" s="196">
        <v>409000</v>
      </c>
      <c r="F837" s="196">
        <v>0</v>
      </c>
      <c r="G837" s="196">
        <v>0</v>
      </c>
    </row>
    <row r="838" spans="1:7" x14ac:dyDescent="0.3">
      <c r="A838" s="198">
        <v>35896636</v>
      </c>
      <c r="B838" s="192" t="s">
        <v>934</v>
      </c>
      <c r="C838" s="196">
        <v>0</v>
      </c>
      <c r="D838" s="196">
        <v>101800</v>
      </c>
      <c r="E838" s="196">
        <v>101800</v>
      </c>
      <c r="F838" s="196">
        <v>0</v>
      </c>
      <c r="G838" s="196">
        <v>0</v>
      </c>
    </row>
    <row r="839" spans="1:7" x14ac:dyDescent="0.3">
      <c r="A839" s="198">
        <v>1020476494</v>
      </c>
      <c r="B839" s="192" t="s">
        <v>935</v>
      </c>
      <c r="C839" s="196">
        <v>0</v>
      </c>
      <c r="D839" s="196">
        <v>57800</v>
      </c>
      <c r="E839" s="196">
        <v>57800</v>
      </c>
      <c r="F839" s="196">
        <v>0</v>
      </c>
      <c r="G839" s="196">
        <v>0</v>
      </c>
    </row>
    <row r="840" spans="1:7" x14ac:dyDescent="0.3">
      <c r="A840" s="198">
        <v>1036650381</v>
      </c>
      <c r="B840" s="192" t="s">
        <v>936</v>
      </c>
      <c r="C840" s="196">
        <v>0</v>
      </c>
      <c r="D840" s="196">
        <v>101800</v>
      </c>
      <c r="E840" s="196">
        <v>101800</v>
      </c>
      <c r="F840" s="196">
        <v>0</v>
      </c>
      <c r="G840" s="196">
        <v>0</v>
      </c>
    </row>
    <row r="841" spans="1:7" x14ac:dyDescent="0.3">
      <c r="A841" s="198">
        <v>157175277</v>
      </c>
      <c r="B841" s="192" t="s">
        <v>937</v>
      </c>
      <c r="C841" s="196">
        <v>0</v>
      </c>
      <c r="D841" s="196">
        <v>101800</v>
      </c>
      <c r="E841" s="196">
        <v>101800</v>
      </c>
      <c r="F841" s="196">
        <v>0</v>
      </c>
      <c r="G841" s="196">
        <v>0</v>
      </c>
    </row>
    <row r="842" spans="1:7" x14ac:dyDescent="0.3">
      <c r="A842" s="198">
        <v>41104421</v>
      </c>
      <c r="B842" s="192" t="s">
        <v>938</v>
      </c>
      <c r="C842" s="196">
        <v>0</v>
      </c>
      <c r="D842" s="196">
        <v>101800</v>
      </c>
      <c r="E842" s="196">
        <v>101800</v>
      </c>
      <c r="F842" s="196">
        <v>0</v>
      </c>
      <c r="G842" s="196">
        <v>0</v>
      </c>
    </row>
    <row r="843" spans="1:7" x14ac:dyDescent="0.3">
      <c r="A843" s="198">
        <v>43927792</v>
      </c>
      <c r="B843" s="192" t="s">
        <v>939</v>
      </c>
      <c r="C843" s="196">
        <v>0</v>
      </c>
      <c r="D843" s="196">
        <v>207900</v>
      </c>
      <c r="E843" s="196">
        <v>207900</v>
      </c>
      <c r="F843" s="196">
        <v>0</v>
      </c>
      <c r="G843" s="196">
        <v>0</v>
      </c>
    </row>
    <row r="844" spans="1:7" x14ac:dyDescent="0.3">
      <c r="A844" s="198">
        <v>1035871475</v>
      </c>
      <c r="B844" s="192" t="s">
        <v>940</v>
      </c>
      <c r="C844" s="196">
        <v>0</v>
      </c>
      <c r="D844" s="196">
        <v>297000</v>
      </c>
      <c r="E844" s="196">
        <v>0</v>
      </c>
      <c r="F844" s="196">
        <v>297000</v>
      </c>
      <c r="G844" s="196">
        <v>297000</v>
      </c>
    </row>
    <row r="845" spans="1:7" x14ac:dyDescent="0.3">
      <c r="A845" s="198">
        <v>43163536</v>
      </c>
      <c r="B845" s="192" t="s">
        <v>941</v>
      </c>
      <c r="C845" s="196">
        <v>0</v>
      </c>
      <c r="D845" s="196">
        <v>101800</v>
      </c>
      <c r="E845" s="196">
        <v>101800</v>
      </c>
      <c r="F845" s="196">
        <v>0</v>
      </c>
      <c r="G845" s="196">
        <v>0</v>
      </c>
    </row>
    <row r="846" spans="1:7" x14ac:dyDescent="0.3">
      <c r="A846" s="198">
        <v>1075021357</v>
      </c>
      <c r="B846" s="192" t="s">
        <v>942</v>
      </c>
      <c r="C846" s="196">
        <v>0</v>
      </c>
      <c r="D846" s="196">
        <v>319000</v>
      </c>
      <c r="E846" s="196">
        <v>319000</v>
      </c>
      <c r="F846" s="196">
        <v>0</v>
      </c>
      <c r="G846" s="196">
        <v>0</v>
      </c>
    </row>
    <row r="847" spans="1:7" x14ac:dyDescent="0.3">
      <c r="A847" s="198">
        <v>1017283327</v>
      </c>
      <c r="B847" s="192" t="s">
        <v>943</v>
      </c>
      <c r="C847" s="196">
        <v>0</v>
      </c>
      <c r="D847" s="196">
        <v>101800</v>
      </c>
      <c r="E847" s="196">
        <v>101800</v>
      </c>
      <c r="F847" s="196">
        <v>0</v>
      </c>
      <c r="G847" s="196">
        <v>0</v>
      </c>
    </row>
    <row r="848" spans="1:7" x14ac:dyDescent="0.3">
      <c r="A848" s="198">
        <v>1035232838</v>
      </c>
      <c r="B848" s="192" t="s">
        <v>944</v>
      </c>
      <c r="C848" s="196">
        <v>0</v>
      </c>
      <c r="D848" s="196">
        <v>963000</v>
      </c>
      <c r="E848" s="196">
        <v>963000</v>
      </c>
      <c r="F848" s="196">
        <v>0</v>
      </c>
      <c r="G848" s="196">
        <v>0</v>
      </c>
    </row>
    <row r="849" spans="1:7" x14ac:dyDescent="0.3">
      <c r="A849" s="192" t="s">
        <v>945</v>
      </c>
      <c r="B849" s="192" t="s">
        <v>946</v>
      </c>
      <c r="C849" s="196">
        <v>0</v>
      </c>
      <c r="D849" s="196">
        <v>4644000</v>
      </c>
      <c r="E849" s="196">
        <v>4644000</v>
      </c>
      <c r="F849" s="196">
        <v>0</v>
      </c>
      <c r="G849" s="196">
        <v>0</v>
      </c>
    </row>
    <row r="850" spans="1:7" x14ac:dyDescent="0.3">
      <c r="A850" s="198">
        <v>43187858</v>
      </c>
      <c r="B850" s="192" t="s">
        <v>947</v>
      </c>
      <c r="C850" s="196">
        <v>0</v>
      </c>
      <c r="D850" s="196">
        <v>3300000</v>
      </c>
      <c r="E850" s="196">
        <v>3300000</v>
      </c>
      <c r="F850" s="196">
        <v>0</v>
      </c>
      <c r="G850" s="196">
        <v>0</v>
      </c>
    </row>
    <row r="851" spans="1:7" x14ac:dyDescent="0.3">
      <c r="A851" s="198">
        <v>1017150881</v>
      </c>
      <c r="B851" s="192" t="s">
        <v>948</v>
      </c>
      <c r="C851" s="196">
        <v>0</v>
      </c>
      <c r="D851" s="196">
        <v>968000</v>
      </c>
      <c r="E851" s="196">
        <v>968000</v>
      </c>
      <c r="F851" s="196">
        <v>0</v>
      </c>
      <c r="G851" s="196">
        <v>0</v>
      </c>
    </row>
    <row r="852" spans="1:7" x14ac:dyDescent="0.3">
      <c r="A852" s="198">
        <v>43188900</v>
      </c>
      <c r="B852" s="192" t="s">
        <v>949</v>
      </c>
      <c r="C852" s="196">
        <v>0</v>
      </c>
      <c r="D852" s="196">
        <v>193800</v>
      </c>
      <c r="E852" s="196">
        <v>193800</v>
      </c>
      <c r="F852" s="196">
        <v>0</v>
      </c>
      <c r="G852" s="196">
        <v>0</v>
      </c>
    </row>
    <row r="853" spans="1:7" x14ac:dyDescent="0.3">
      <c r="A853" s="198">
        <v>52087141</v>
      </c>
      <c r="B853" s="192" t="s">
        <v>950</v>
      </c>
      <c r="C853" s="196">
        <v>0</v>
      </c>
      <c r="D853" s="196">
        <v>93600</v>
      </c>
      <c r="E853" s="196">
        <v>93600</v>
      </c>
      <c r="F853" s="196">
        <v>0</v>
      </c>
      <c r="G853" s="196">
        <v>0</v>
      </c>
    </row>
    <row r="854" spans="1:7" x14ac:dyDescent="0.3">
      <c r="A854" s="198">
        <v>1037603539</v>
      </c>
      <c r="B854" s="192" t="s">
        <v>951</v>
      </c>
      <c r="C854" s="196">
        <v>0</v>
      </c>
      <c r="D854" s="196">
        <v>272700</v>
      </c>
      <c r="E854" s="196">
        <v>272700</v>
      </c>
      <c r="F854" s="196">
        <v>0</v>
      </c>
      <c r="G854" s="196">
        <v>0</v>
      </c>
    </row>
    <row r="855" spans="1:7" x14ac:dyDescent="0.3">
      <c r="A855" s="198">
        <v>1036966280</v>
      </c>
      <c r="B855" s="192" t="s">
        <v>952</v>
      </c>
      <c r="C855" s="196">
        <v>0</v>
      </c>
      <c r="D855" s="196">
        <v>1625000</v>
      </c>
      <c r="E855" s="196">
        <v>1625000</v>
      </c>
      <c r="F855" s="196">
        <v>0</v>
      </c>
      <c r="G855" s="196">
        <v>0</v>
      </c>
    </row>
    <row r="856" spans="1:7" x14ac:dyDescent="0.3">
      <c r="A856" s="198">
        <v>1036403312</v>
      </c>
      <c r="B856" s="192" t="s">
        <v>953</v>
      </c>
      <c r="C856" s="196">
        <v>0</v>
      </c>
      <c r="D856" s="196">
        <v>963000</v>
      </c>
      <c r="E856" s="196">
        <v>963000</v>
      </c>
      <c r="F856" s="196">
        <v>0</v>
      </c>
      <c r="G856" s="196">
        <v>0</v>
      </c>
    </row>
    <row r="857" spans="1:7" x14ac:dyDescent="0.3">
      <c r="A857" s="198">
        <v>1032461709</v>
      </c>
      <c r="B857" s="192" t="s">
        <v>954</v>
      </c>
      <c r="C857" s="196">
        <v>0</v>
      </c>
      <c r="D857" s="196">
        <v>98000</v>
      </c>
      <c r="E857" s="196">
        <v>98000</v>
      </c>
      <c r="F857" s="196">
        <v>0</v>
      </c>
      <c r="G857" s="196">
        <v>0</v>
      </c>
    </row>
    <row r="858" spans="1:7" x14ac:dyDescent="0.3">
      <c r="A858" s="198">
        <v>1037582710</v>
      </c>
      <c r="B858" s="192" t="s">
        <v>955</v>
      </c>
      <c r="C858" s="196">
        <v>0</v>
      </c>
      <c r="D858" s="196">
        <v>101800</v>
      </c>
      <c r="E858" s="196">
        <v>101800</v>
      </c>
      <c r="F858" s="196">
        <v>0</v>
      </c>
      <c r="G858" s="196">
        <v>0</v>
      </c>
    </row>
    <row r="859" spans="1:7" x14ac:dyDescent="0.3">
      <c r="A859" s="198">
        <v>32298608</v>
      </c>
      <c r="B859" s="192" t="s">
        <v>956</v>
      </c>
      <c r="C859" s="196">
        <v>0</v>
      </c>
      <c r="D859" s="196">
        <v>172800</v>
      </c>
      <c r="E859" s="196">
        <v>172800</v>
      </c>
      <c r="F859" s="196">
        <v>0</v>
      </c>
      <c r="G859" s="196">
        <v>0</v>
      </c>
    </row>
    <row r="860" spans="1:7" x14ac:dyDescent="0.3">
      <c r="A860" s="198">
        <v>1036604392</v>
      </c>
      <c r="B860" s="192" t="s">
        <v>957</v>
      </c>
      <c r="C860" s="196">
        <v>0</v>
      </c>
      <c r="D860" s="196">
        <v>268400</v>
      </c>
      <c r="E860" s="196">
        <v>268400</v>
      </c>
      <c r="F860" s="196">
        <v>0</v>
      </c>
      <c r="G860" s="196">
        <v>0</v>
      </c>
    </row>
    <row r="861" spans="1:7" x14ac:dyDescent="0.3">
      <c r="A861" s="198">
        <v>22087221</v>
      </c>
      <c r="B861" s="192" t="s">
        <v>958</v>
      </c>
      <c r="C861" s="196">
        <v>0</v>
      </c>
      <c r="D861" s="196">
        <v>11008000</v>
      </c>
      <c r="E861" s="196">
        <v>11008000</v>
      </c>
      <c r="F861" s="196">
        <v>0</v>
      </c>
      <c r="G861" s="196">
        <v>0</v>
      </c>
    </row>
    <row r="862" spans="1:7" x14ac:dyDescent="0.3">
      <c r="A862" s="198">
        <v>1032939832</v>
      </c>
      <c r="B862" s="192" t="s">
        <v>959</v>
      </c>
      <c r="C862" s="196">
        <v>0</v>
      </c>
      <c r="D862" s="196">
        <v>101800</v>
      </c>
      <c r="E862" s="196">
        <v>101800</v>
      </c>
      <c r="F862" s="196">
        <v>0</v>
      </c>
      <c r="G862" s="196">
        <v>0</v>
      </c>
    </row>
    <row r="863" spans="1:7" x14ac:dyDescent="0.3">
      <c r="A863" s="198">
        <v>1020810838</v>
      </c>
      <c r="B863" s="192" t="s">
        <v>960</v>
      </c>
      <c r="C863" s="196">
        <v>0</v>
      </c>
      <c r="D863" s="196">
        <v>101800</v>
      </c>
      <c r="E863" s="196">
        <v>101800</v>
      </c>
      <c r="F863" s="196">
        <v>0</v>
      </c>
      <c r="G863" s="196">
        <v>0</v>
      </c>
    </row>
    <row r="864" spans="1:7" x14ac:dyDescent="0.3">
      <c r="A864" s="198">
        <v>1010011686</v>
      </c>
      <c r="B864" s="192" t="s">
        <v>961</v>
      </c>
      <c r="C864" s="196">
        <v>0</v>
      </c>
      <c r="D864" s="196">
        <v>53000</v>
      </c>
      <c r="E864" s="196">
        <v>53000</v>
      </c>
      <c r="F864" s="196">
        <v>0</v>
      </c>
      <c r="G864" s="196">
        <v>0</v>
      </c>
    </row>
    <row r="865" spans="1:7" x14ac:dyDescent="0.3">
      <c r="A865" s="198">
        <v>1128446432</v>
      </c>
      <c r="B865" s="192" t="s">
        <v>962</v>
      </c>
      <c r="C865" s="196">
        <v>0</v>
      </c>
      <c r="D865" s="196">
        <v>319000</v>
      </c>
      <c r="E865" s="196">
        <v>319000</v>
      </c>
      <c r="F865" s="196">
        <v>0</v>
      </c>
      <c r="G865" s="196">
        <v>0</v>
      </c>
    </row>
    <row r="866" spans="1:7" x14ac:dyDescent="0.3">
      <c r="A866" s="198">
        <v>1077451212</v>
      </c>
      <c r="B866" s="192" t="s">
        <v>963</v>
      </c>
      <c r="C866" s="196">
        <v>0</v>
      </c>
      <c r="D866" s="196">
        <v>963000</v>
      </c>
      <c r="E866" s="196">
        <v>963000</v>
      </c>
      <c r="F866" s="196">
        <v>0</v>
      </c>
      <c r="G866" s="196">
        <v>0</v>
      </c>
    </row>
    <row r="867" spans="1:7" x14ac:dyDescent="0.3">
      <c r="A867" s="198">
        <v>43927237</v>
      </c>
      <c r="B867" s="192" t="s">
        <v>964</v>
      </c>
      <c r="C867" s="196">
        <v>0</v>
      </c>
      <c r="D867" s="196">
        <v>963000</v>
      </c>
      <c r="E867" s="196">
        <v>963000</v>
      </c>
      <c r="F867" s="196">
        <v>0</v>
      </c>
      <c r="G867" s="196">
        <v>0</v>
      </c>
    </row>
    <row r="868" spans="1:7" x14ac:dyDescent="0.3">
      <c r="A868" s="198">
        <v>43988713</v>
      </c>
      <c r="B868" s="192" t="s">
        <v>965</v>
      </c>
      <c r="C868" s="196">
        <v>0</v>
      </c>
      <c r="D868" s="196">
        <v>297000</v>
      </c>
      <c r="E868" s="196">
        <v>297000</v>
      </c>
      <c r="F868" s="196">
        <v>0</v>
      </c>
      <c r="G868" s="196">
        <v>0</v>
      </c>
    </row>
    <row r="869" spans="1:7" x14ac:dyDescent="0.3">
      <c r="A869" s="198">
        <v>1152456259</v>
      </c>
      <c r="B869" s="192" t="s">
        <v>966</v>
      </c>
      <c r="C869" s="196">
        <v>0</v>
      </c>
      <c r="D869" s="196">
        <v>4310000</v>
      </c>
      <c r="E869" s="196">
        <v>4310000</v>
      </c>
      <c r="F869" s="196">
        <v>0</v>
      </c>
      <c r="G869" s="196">
        <v>0</v>
      </c>
    </row>
    <row r="870" spans="1:7" x14ac:dyDescent="0.3">
      <c r="A870" s="198">
        <v>1033343006</v>
      </c>
      <c r="B870" s="192" t="s">
        <v>967</v>
      </c>
      <c r="C870" s="196">
        <v>0</v>
      </c>
      <c r="D870" s="196">
        <v>963000</v>
      </c>
      <c r="E870" s="196">
        <v>963000</v>
      </c>
      <c r="F870" s="196">
        <v>0</v>
      </c>
      <c r="G870" s="196">
        <v>0</v>
      </c>
    </row>
    <row r="871" spans="1:7" x14ac:dyDescent="0.3">
      <c r="A871" s="198">
        <v>1094887145</v>
      </c>
      <c r="B871" s="192" t="s">
        <v>968</v>
      </c>
      <c r="C871" s="196">
        <v>0</v>
      </c>
      <c r="D871" s="196">
        <v>1800000</v>
      </c>
      <c r="E871" s="196">
        <v>1800000</v>
      </c>
      <c r="F871" s="196">
        <v>0</v>
      </c>
      <c r="G871" s="196">
        <v>0</v>
      </c>
    </row>
    <row r="872" spans="1:7" x14ac:dyDescent="0.3">
      <c r="A872" s="198">
        <v>1045016406</v>
      </c>
      <c r="B872" s="192" t="s">
        <v>969</v>
      </c>
      <c r="C872" s="196">
        <v>0</v>
      </c>
      <c r="D872" s="196">
        <v>8726000</v>
      </c>
      <c r="E872" s="196">
        <v>8726000</v>
      </c>
      <c r="F872" s="196">
        <v>0</v>
      </c>
      <c r="G872" s="196">
        <v>0</v>
      </c>
    </row>
    <row r="873" spans="1:7" x14ac:dyDescent="0.3">
      <c r="A873" s="198">
        <v>1128445015</v>
      </c>
      <c r="B873" s="192" t="s">
        <v>970</v>
      </c>
      <c r="C873" s="196">
        <v>1</v>
      </c>
      <c r="D873" s="196">
        <v>0</v>
      </c>
      <c r="E873" s="196">
        <v>0</v>
      </c>
      <c r="F873" s="196">
        <v>0</v>
      </c>
      <c r="G873" s="196">
        <v>1</v>
      </c>
    </row>
    <row r="874" spans="1:7" x14ac:dyDescent="0.3">
      <c r="A874" s="198">
        <v>1002755173</v>
      </c>
      <c r="B874" s="192" t="s">
        <v>971</v>
      </c>
      <c r="C874" s="196">
        <v>1</v>
      </c>
      <c r="D874" s="196">
        <v>0</v>
      </c>
      <c r="E874" s="196">
        <v>0</v>
      </c>
      <c r="F874" s="196">
        <v>0</v>
      </c>
      <c r="G874" s="196">
        <v>1</v>
      </c>
    </row>
    <row r="875" spans="1:7" x14ac:dyDescent="0.3">
      <c r="A875" s="198">
        <v>1026142506</v>
      </c>
      <c r="B875" s="192" t="s">
        <v>972</v>
      </c>
      <c r="C875" s="196">
        <v>0</v>
      </c>
      <c r="D875" s="196">
        <v>297000</v>
      </c>
      <c r="E875" s="196">
        <v>297000</v>
      </c>
      <c r="F875" s="196">
        <v>0</v>
      </c>
      <c r="G875" s="196">
        <v>0</v>
      </c>
    </row>
    <row r="876" spans="1:7" x14ac:dyDescent="0.3">
      <c r="A876" s="198">
        <v>1239490571</v>
      </c>
      <c r="B876" s="192" t="s">
        <v>973</v>
      </c>
      <c r="C876" s="196">
        <v>0</v>
      </c>
      <c r="D876" s="196">
        <v>101800</v>
      </c>
      <c r="E876" s="196">
        <v>101800</v>
      </c>
      <c r="F876" s="196">
        <v>0</v>
      </c>
      <c r="G876" s="196">
        <v>0</v>
      </c>
    </row>
    <row r="877" spans="1:7" x14ac:dyDescent="0.3">
      <c r="A877" s="198">
        <v>32496983</v>
      </c>
      <c r="B877" s="192" t="s">
        <v>974</v>
      </c>
      <c r="C877" s="196">
        <v>0</v>
      </c>
      <c r="D877" s="196">
        <v>59400</v>
      </c>
      <c r="E877" s="196">
        <v>59400</v>
      </c>
      <c r="F877" s="196">
        <v>0</v>
      </c>
      <c r="G877" s="196">
        <v>0</v>
      </c>
    </row>
    <row r="878" spans="1:7" x14ac:dyDescent="0.3">
      <c r="A878" s="198">
        <v>1020395957</v>
      </c>
      <c r="B878" s="192" t="s">
        <v>975</v>
      </c>
      <c r="C878" s="196">
        <v>0</v>
      </c>
      <c r="D878" s="196">
        <v>3260200</v>
      </c>
      <c r="E878" s="196">
        <v>3260200</v>
      </c>
      <c r="F878" s="196">
        <v>0</v>
      </c>
      <c r="G878" s="196">
        <v>0</v>
      </c>
    </row>
    <row r="879" spans="1:7" x14ac:dyDescent="0.3">
      <c r="A879" s="198">
        <v>21911590</v>
      </c>
      <c r="B879" s="192" t="s">
        <v>976</v>
      </c>
      <c r="C879" s="196">
        <v>0</v>
      </c>
      <c r="D879" s="196">
        <v>101800</v>
      </c>
      <c r="E879" s="196">
        <v>101800</v>
      </c>
      <c r="F879" s="196">
        <v>0</v>
      </c>
      <c r="G879" s="196">
        <v>0</v>
      </c>
    </row>
    <row r="880" spans="1:7" x14ac:dyDescent="0.3">
      <c r="A880" s="198">
        <v>1220477632</v>
      </c>
      <c r="B880" s="192" t="s">
        <v>977</v>
      </c>
      <c r="C880" s="196">
        <v>1</v>
      </c>
      <c r="D880" s="196">
        <v>0</v>
      </c>
      <c r="E880" s="196">
        <v>0</v>
      </c>
      <c r="F880" s="196">
        <v>0</v>
      </c>
      <c r="G880" s="196">
        <v>1</v>
      </c>
    </row>
    <row r="881" spans="1:7" x14ac:dyDescent="0.3">
      <c r="A881" s="198">
        <v>3581995</v>
      </c>
      <c r="B881" s="192" t="s">
        <v>978</v>
      </c>
      <c r="C881" s="196">
        <v>0</v>
      </c>
      <c r="D881" s="196">
        <v>654000</v>
      </c>
      <c r="E881" s="196">
        <v>654000</v>
      </c>
      <c r="F881" s="196">
        <v>0</v>
      </c>
      <c r="G881" s="196">
        <v>0</v>
      </c>
    </row>
    <row r="882" spans="1:7" x14ac:dyDescent="0.3">
      <c r="A882" s="198">
        <v>41599461</v>
      </c>
      <c r="B882" s="192" t="s">
        <v>979</v>
      </c>
      <c r="C882" s="196">
        <v>0</v>
      </c>
      <c r="D882" s="196">
        <v>98000</v>
      </c>
      <c r="E882" s="196">
        <v>98000</v>
      </c>
      <c r="F882" s="196">
        <v>0</v>
      </c>
      <c r="G882" s="196">
        <v>0</v>
      </c>
    </row>
    <row r="883" spans="1:7" x14ac:dyDescent="0.3">
      <c r="A883" s="192" t="s">
        <v>980</v>
      </c>
      <c r="B883" s="192" t="s">
        <v>981</v>
      </c>
      <c r="C883" s="196">
        <v>0</v>
      </c>
      <c r="D883" s="196">
        <v>340000</v>
      </c>
      <c r="E883" s="196">
        <v>340000</v>
      </c>
      <c r="F883" s="196">
        <v>0</v>
      </c>
      <c r="G883" s="196">
        <v>0</v>
      </c>
    </row>
    <row r="884" spans="1:7" x14ac:dyDescent="0.3">
      <c r="A884" s="198">
        <v>52508043</v>
      </c>
      <c r="B884" s="192" t="s">
        <v>982</v>
      </c>
      <c r="C884" s="196">
        <v>0</v>
      </c>
      <c r="D884" s="196">
        <v>963000</v>
      </c>
      <c r="E884" s="196">
        <v>963000</v>
      </c>
      <c r="F884" s="196">
        <v>0</v>
      </c>
      <c r="G884" s="196">
        <v>0</v>
      </c>
    </row>
    <row r="885" spans="1:7" x14ac:dyDescent="0.3">
      <c r="A885" s="198">
        <v>1088271746</v>
      </c>
      <c r="B885" s="192" t="s">
        <v>983</v>
      </c>
      <c r="C885" s="196">
        <v>0</v>
      </c>
      <c r="D885" s="196">
        <v>101800</v>
      </c>
      <c r="E885" s="196">
        <v>101800</v>
      </c>
      <c r="F885" s="196">
        <v>0</v>
      </c>
      <c r="G885" s="196">
        <v>0</v>
      </c>
    </row>
    <row r="886" spans="1:7" x14ac:dyDescent="0.3">
      <c r="A886" s="198">
        <v>21954245</v>
      </c>
      <c r="B886" s="192" t="s">
        <v>984</v>
      </c>
      <c r="C886" s="196">
        <v>0</v>
      </c>
      <c r="D886" s="196">
        <v>100000</v>
      </c>
      <c r="E886" s="196">
        <v>100000</v>
      </c>
      <c r="F886" s="196">
        <v>0</v>
      </c>
      <c r="G886" s="196">
        <v>0</v>
      </c>
    </row>
    <row r="887" spans="1:7" x14ac:dyDescent="0.3">
      <c r="A887" s="198">
        <v>43578324</v>
      </c>
      <c r="B887" s="192" t="s">
        <v>985</v>
      </c>
      <c r="C887" s="196">
        <v>0</v>
      </c>
      <c r="D887" s="196">
        <v>101800</v>
      </c>
      <c r="E887" s="196">
        <v>101800</v>
      </c>
      <c r="F887" s="196">
        <v>0</v>
      </c>
      <c r="G887" s="196">
        <v>0</v>
      </c>
    </row>
    <row r="888" spans="1:7" x14ac:dyDescent="0.3">
      <c r="A888" s="198">
        <v>43758292</v>
      </c>
      <c r="B888" s="192" t="s">
        <v>986</v>
      </c>
      <c r="C888" s="196">
        <v>0</v>
      </c>
      <c r="D888" s="196">
        <v>203600</v>
      </c>
      <c r="E888" s="196">
        <v>203600</v>
      </c>
      <c r="F888" s="196">
        <v>0</v>
      </c>
      <c r="G888" s="196">
        <v>0</v>
      </c>
    </row>
    <row r="889" spans="1:7" x14ac:dyDescent="0.3">
      <c r="A889" s="198">
        <v>22025720</v>
      </c>
      <c r="B889" s="192" t="s">
        <v>987</v>
      </c>
      <c r="C889" s="196">
        <v>0</v>
      </c>
      <c r="D889" s="196">
        <v>285000</v>
      </c>
      <c r="E889" s="196">
        <v>285000</v>
      </c>
      <c r="F889" s="196">
        <v>0</v>
      </c>
      <c r="G889" s="196">
        <v>0</v>
      </c>
    </row>
    <row r="890" spans="1:7" x14ac:dyDescent="0.3">
      <c r="A890" s="198">
        <v>43635963</v>
      </c>
      <c r="B890" s="192" t="s">
        <v>988</v>
      </c>
      <c r="C890" s="196">
        <v>0</v>
      </c>
      <c r="D890" s="196">
        <v>538400</v>
      </c>
      <c r="E890" s="196">
        <v>538400</v>
      </c>
      <c r="F890" s="196">
        <v>0</v>
      </c>
      <c r="G890" s="196">
        <v>0</v>
      </c>
    </row>
    <row r="891" spans="1:7" x14ac:dyDescent="0.3">
      <c r="A891" s="198">
        <v>44004940</v>
      </c>
      <c r="B891" s="192" t="s">
        <v>989</v>
      </c>
      <c r="C891" s="196">
        <v>0</v>
      </c>
      <c r="D891" s="196">
        <v>683000</v>
      </c>
      <c r="E891" s="196">
        <v>683000</v>
      </c>
      <c r="F891" s="196">
        <v>0</v>
      </c>
      <c r="G891" s="196">
        <v>0</v>
      </c>
    </row>
    <row r="892" spans="1:7" x14ac:dyDescent="0.3">
      <c r="A892" s="198">
        <v>43977628</v>
      </c>
      <c r="B892" s="192" t="s">
        <v>990</v>
      </c>
      <c r="C892" s="196">
        <v>0</v>
      </c>
      <c r="D892" s="196">
        <v>108400</v>
      </c>
      <c r="E892" s="196">
        <v>108400</v>
      </c>
      <c r="F892" s="196">
        <v>0</v>
      </c>
      <c r="G892" s="196">
        <v>0</v>
      </c>
    </row>
    <row r="893" spans="1:7" x14ac:dyDescent="0.3">
      <c r="A893" s="198">
        <v>43151695</v>
      </c>
      <c r="B893" s="192" t="s">
        <v>991</v>
      </c>
      <c r="C893" s="196">
        <v>0</v>
      </c>
      <c r="D893" s="196">
        <v>319000</v>
      </c>
      <c r="E893" s="196">
        <v>319000</v>
      </c>
      <c r="F893" s="196">
        <v>0</v>
      </c>
      <c r="G893" s="196">
        <v>0</v>
      </c>
    </row>
    <row r="894" spans="1:7" x14ac:dyDescent="0.3">
      <c r="A894" s="198">
        <v>1128455563</v>
      </c>
      <c r="B894" s="192" t="s">
        <v>992</v>
      </c>
      <c r="C894" s="196">
        <v>0</v>
      </c>
      <c r="D894" s="196">
        <v>1800000</v>
      </c>
      <c r="E894" s="196">
        <v>1800000</v>
      </c>
      <c r="F894" s="196">
        <v>0</v>
      </c>
      <c r="G894" s="196">
        <v>0</v>
      </c>
    </row>
    <row r="895" spans="1:7" x14ac:dyDescent="0.3">
      <c r="A895" s="198">
        <v>1218465024</v>
      </c>
      <c r="B895" s="192" t="s">
        <v>993</v>
      </c>
      <c r="C895" s="196">
        <v>0</v>
      </c>
      <c r="D895" s="196">
        <v>319000</v>
      </c>
      <c r="E895" s="196">
        <v>319000</v>
      </c>
      <c r="F895" s="196">
        <v>0</v>
      </c>
      <c r="G895" s="196">
        <v>0</v>
      </c>
    </row>
    <row r="896" spans="1:7" x14ac:dyDescent="0.3">
      <c r="A896" s="198">
        <v>32445964</v>
      </c>
      <c r="B896" s="192" t="s">
        <v>994</v>
      </c>
      <c r="C896" s="196">
        <v>-1501499</v>
      </c>
      <c r="D896" s="196">
        <v>0</v>
      </c>
      <c r="E896" s="196">
        <v>0</v>
      </c>
      <c r="F896" s="196">
        <v>0</v>
      </c>
      <c r="G896" s="196">
        <v>-1501499</v>
      </c>
    </row>
    <row r="897" spans="1:7" x14ac:dyDescent="0.3">
      <c r="A897" s="198">
        <v>1038333310</v>
      </c>
      <c r="B897" s="192" t="s">
        <v>995</v>
      </c>
      <c r="C897" s="196">
        <v>0</v>
      </c>
      <c r="D897" s="196">
        <v>166600</v>
      </c>
      <c r="E897" s="196">
        <v>166600</v>
      </c>
      <c r="F897" s="196">
        <v>0</v>
      </c>
      <c r="G897" s="196">
        <v>0</v>
      </c>
    </row>
    <row r="898" spans="1:7" x14ac:dyDescent="0.3">
      <c r="A898" s="198">
        <v>31177958</v>
      </c>
      <c r="B898" s="192" t="s">
        <v>996</v>
      </c>
      <c r="C898" s="196">
        <v>0</v>
      </c>
      <c r="D898" s="196">
        <v>114400</v>
      </c>
      <c r="E898" s="196">
        <v>114400</v>
      </c>
      <c r="F898" s="196">
        <v>0</v>
      </c>
      <c r="G898" s="196">
        <v>0</v>
      </c>
    </row>
    <row r="899" spans="1:7" x14ac:dyDescent="0.3">
      <c r="A899" s="198">
        <v>43896089</v>
      </c>
      <c r="B899" s="192" t="s">
        <v>997</v>
      </c>
      <c r="C899" s="196">
        <v>0</v>
      </c>
      <c r="D899" s="196">
        <v>198000</v>
      </c>
      <c r="E899" s="196">
        <v>198000</v>
      </c>
      <c r="F899" s="196">
        <v>0</v>
      </c>
      <c r="G899" s="196">
        <v>0</v>
      </c>
    </row>
    <row r="900" spans="1:7" x14ac:dyDescent="0.3">
      <c r="A900" s="198">
        <v>1035862006</v>
      </c>
      <c r="B900" s="192" t="s">
        <v>998</v>
      </c>
      <c r="C900" s="196">
        <v>0</v>
      </c>
      <c r="D900" s="196">
        <v>963000</v>
      </c>
      <c r="E900" s="196">
        <v>963000</v>
      </c>
      <c r="F900" s="196">
        <v>0</v>
      </c>
      <c r="G900" s="196">
        <v>0</v>
      </c>
    </row>
    <row r="901" spans="1:7" x14ac:dyDescent="0.3">
      <c r="A901" s="198">
        <v>42799886</v>
      </c>
      <c r="B901" s="192" t="s">
        <v>999</v>
      </c>
      <c r="C901" s="196">
        <v>0</v>
      </c>
      <c r="D901" s="196">
        <v>300000</v>
      </c>
      <c r="E901" s="196">
        <v>300000</v>
      </c>
      <c r="F901" s="196">
        <v>0</v>
      </c>
      <c r="G901" s="196">
        <v>0</v>
      </c>
    </row>
    <row r="902" spans="1:7" x14ac:dyDescent="0.3">
      <c r="A902" s="198">
        <v>711885</v>
      </c>
      <c r="B902" s="192" t="s">
        <v>1000</v>
      </c>
      <c r="C902" s="196">
        <v>0</v>
      </c>
      <c r="D902" s="196">
        <v>84000</v>
      </c>
      <c r="E902" s="196">
        <v>84000</v>
      </c>
      <c r="F902" s="196">
        <v>0</v>
      </c>
      <c r="G902" s="196">
        <v>0</v>
      </c>
    </row>
    <row r="903" spans="1:7" x14ac:dyDescent="0.3">
      <c r="A903" s="198">
        <v>43973507</v>
      </c>
      <c r="B903" s="192" t="s">
        <v>1001</v>
      </c>
      <c r="C903" s="196">
        <v>0</v>
      </c>
      <c r="D903" s="196">
        <v>114400</v>
      </c>
      <c r="E903" s="196">
        <v>114400</v>
      </c>
      <c r="F903" s="196">
        <v>0</v>
      </c>
      <c r="G903" s="196">
        <v>0</v>
      </c>
    </row>
    <row r="904" spans="1:7" x14ac:dyDescent="0.3">
      <c r="A904" s="198">
        <v>1035026093</v>
      </c>
      <c r="B904" s="192" t="s">
        <v>1002</v>
      </c>
      <c r="C904" s="196">
        <v>0</v>
      </c>
      <c r="D904" s="196">
        <v>101800</v>
      </c>
      <c r="E904" s="196">
        <v>101800</v>
      </c>
      <c r="F904" s="196">
        <v>0</v>
      </c>
      <c r="G904" s="196">
        <v>0</v>
      </c>
    </row>
    <row r="905" spans="1:7" x14ac:dyDescent="0.3">
      <c r="A905" s="198">
        <v>1037676773</v>
      </c>
      <c r="B905" s="192" t="s">
        <v>1003</v>
      </c>
      <c r="C905" s="196">
        <v>0</v>
      </c>
      <c r="D905" s="196">
        <v>82800</v>
      </c>
      <c r="E905" s="196">
        <v>82800</v>
      </c>
      <c r="F905" s="196">
        <v>0</v>
      </c>
      <c r="G905" s="196">
        <v>0</v>
      </c>
    </row>
    <row r="906" spans="1:7" x14ac:dyDescent="0.3">
      <c r="A906" s="198">
        <v>1193038769</v>
      </c>
      <c r="B906" s="192" t="s">
        <v>129</v>
      </c>
      <c r="C906" s="196">
        <v>0</v>
      </c>
      <c r="D906" s="196">
        <v>1843000</v>
      </c>
      <c r="E906" s="196">
        <v>1843000</v>
      </c>
      <c r="F906" s="196">
        <v>0</v>
      </c>
      <c r="G906" s="196">
        <v>0</v>
      </c>
    </row>
    <row r="907" spans="1:7" x14ac:dyDescent="0.3">
      <c r="A907" s="198">
        <v>1035010863</v>
      </c>
      <c r="B907" s="192" t="s">
        <v>1004</v>
      </c>
      <c r="C907" s="196">
        <v>0</v>
      </c>
      <c r="D907" s="196">
        <v>114400</v>
      </c>
      <c r="E907" s="196">
        <v>114400</v>
      </c>
      <c r="F907" s="196">
        <v>0</v>
      </c>
      <c r="G907" s="196">
        <v>0</v>
      </c>
    </row>
    <row r="908" spans="1:7" x14ac:dyDescent="0.3">
      <c r="A908" s="198">
        <v>1059785009</v>
      </c>
      <c r="B908" s="192" t="s">
        <v>1005</v>
      </c>
      <c r="C908" s="196">
        <v>0</v>
      </c>
      <c r="D908" s="196">
        <v>193800</v>
      </c>
      <c r="E908" s="196">
        <v>193800</v>
      </c>
      <c r="F908" s="196">
        <v>0</v>
      </c>
      <c r="G908" s="196">
        <v>0</v>
      </c>
    </row>
    <row r="909" spans="1:7" x14ac:dyDescent="0.3">
      <c r="A909" s="198">
        <v>42873634</v>
      </c>
      <c r="B909" s="192" t="s">
        <v>1006</v>
      </c>
      <c r="C909" s="196">
        <v>0</v>
      </c>
      <c r="D909" s="196">
        <v>192600</v>
      </c>
      <c r="E909" s="196">
        <v>192600</v>
      </c>
      <c r="F909" s="196">
        <v>0</v>
      </c>
      <c r="G909" s="196">
        <v>0</v>
      </c>
    </row>
    <row r="910" spans="1:7" x14ac:dyDescent="0.3">
      <c r="A910" s="198">
        <v>1003233130</v>
      </c>
      <c r="B910" s="192" t="s">
        <v>1007</v>
      </c>
      <c r="C910" s="196">
        <v>0</v>
      </c>
      <c r="D910" s="196">
        <v>884000</v>
      </c>
      <c r="E910" s="196">
        <v>884000</v>
      </c>
      <c r="F910" s="196">
        <v>0</v>
      </c>
      <c r="G910" s="196">
        <v>0</v>
      </c>
    </row>
    <row r="911" spans="1:7" x14ac:dyDescent="0.3">
      <c r="A911" s="198">
        <v>1035004251</v>
      </c>
      <c r="B911" s="192" t="s">
        <v>1008</v>
      </c>
      <c r="C911" s="196">
        <v>0</v>
      </c>
      <c r="D911" s="196">
        <v>101800</v>
      </c>
      <c r="E911" s="196">
        <v>101800</v>
      </c>
      <c r="F911" s="196">
        <v>0</v>
      </c>
      <c r="G911" s="196">
        <v>0</v>
      </c>
    </row>
    <row r="912" spans="1:7" x14ac:dyDescent="0.3">
      <c r="A912" s="198">
        <v>1034992690</v>
      </c>
      <c r="B912" s="192" t="s">
        <v>1009</v>
      </c>
      <c r="C912" s="196">
        <v>0</v>
      </c>
      <c r="D912" s="196">
        <v>159300</v>
      </c>
      <c r="E912" s="196">
        <v>159299</v>
      </c>
      <c r="F912" s="196">
        <v>1</v>
      </c>
      <c r="G912" s="196">
        <v>1</v>
      </c>
    </row>
    <row r="913" spans="1:7" x14ac:dyDescent="0.3">
      <c r="A913" s="198">
        <v>1034995403</v>
      </c>
      <c r="B913" s="192" t="s">
        <v>1010</v>
      </c>
      <c r="C913" s="196">
        <v>0</v>
      </c>
      <c r="D913" s="196">
        <v>101800</v>
      </c>
      <c r="E913" s="196">
        <v>101800</v>
      </c>
      <c r="F913" s="196">
        <v>0</v>
      </c>
      <c r="G913" s="196">
        <v>0</v>
      </c>
    </row>
    <row r="914" spans="1:7" x14ac:dyDescent="0.3">
      <c r="A914" s="198">
        <v>1020238909</v>
      </c>
      <c r="B914" s="192" t="s">
        <v>1011</v>
      </c>
      <c r="C914" s="196">
        <v>0</v>
      </c>
      <c r="D914" s="196">
        <v>43000</v>
      </c>
      <c r="E914" s="196">
        <v>43000</v>
      </c>
      <c r="F914" s="196">
        <v>0</v>
      </c>
      <c r="G914" s="196">
        <v>0</v>
      </c>
    </row>
    <row r="915" spans="1:7" x14ac:dyDescent="0.3">
      <c r="A915" s="198">
        <v>1035007044</v>
      </c>
      <c r="B915" s="192" t="s">
        <v>1012</v>
      </c>
      <c r="C915" s="196">
        <v>0</v>
      </c>
      <c r="D915" s="196">
        <v>101800</v>
      </c>
      <c r="E915" s="196">
        <v>101800</v>
      </c>
      <c r="F915" s="196">
        <v>0</v>
      </c>
      <c r="G915" s="196">
        <v>0</v>
      </c>
    </row>
    <row r="916" spans="1:7" x14ac:dyDescent="0.3">
      <c r="A916" s="198">
        <v>1035024679</v>
      </c>
      <c r="B916" s="192" t="s">
        <v>1013</v>
      </c>
      <c r="C916" s="196">
        <v>0</v>
      </c>
      <c r="D916" s="196">
        <v>101800</v>
      </c>
      <c r="E916" s="196">
        <v>101800</v>
      </c>
      <c r="F916" s="196">
        <v>0</v>
      </c>
      <c r="G916" s="196">
        <v>0</v>
      </c>
    </row>
    <row r="917" spans="1:7" x14ac:dyDescent="0.3">
      <c r="A917" s="198">
        <v>1035025159</v>
      </c>
      <c r="B917" s="192" t="s">
        <v>1014</v>
      </c>
      <c r="C917" s="196">
        <v>0</v>
      </c>
      <c r="D917" s="196">
        <v>101800</v>
      </c>
      <c r="E917" s="196">
        <v>101800</v>
      </c>
      <c r="F917" s="196">
        <v>0</v>
      </c>
      <c r="G917" s="196">
        <v>0</v>
      </c>
    </row>
    <row r="918" spans="1:7" x14ac:dyDescent="0.3">
      <c r="A918" s="198">
        <v>1015079813</v>
      </c>
      <c r="B918" s="192" t="s">
        <v>1015</v>
      </c>
      <c r="C918" s="196">
        <v>0</v>
      </c>
      <c r="D918" s="196">
        <v>101800</v>
      </c>
      <c r="E918" s="196">
        <v>101800</v>
      </c>
      <c r="F918" s="196">
        <v>0</v>
      </c>
      <c r="G918" s="196">
        <v>0</v>
      </c>
    </row>
    <row r="919" spans="1:7" x14ac:dyDescent="0.3">
      <c r="A919" s="198">
        <v>38144500</v>
      </c>
      <c r="B919" s="192" t="s">
        <v>1016</v>
      </c>
      <c r="C919" s="196">
        <v>0</v>
      </c>
      <c r="D919" s="196">
        <v>87800</v>
      </c>
      <c r="E919" s="196">
        <v>87800</v>
      </c>
      <c r="F919" s="196">
        <v>0</v>
      </c>
      <c r="G919" s="196">
        <v>0</v>
      </c>
    </row>
    <row r="920" spans="1:7" x14ac:dyDescent="0.3">
      <c r="A920" s="198">
        <v>34544897</v>
      </c>
      <c r="B920" s="192" t="s">
        <v>1017</v>
      </c>
      <c r="C920" s="196">
        <v>0</v>
      </c>
      <c r="D920" s="196">
        <v>2743000</v>
      </c>
      <c r="E920" s="196">
        <v>2743000</v>
      </c>
      <c r="F920" s="196">
        <v>0</v>
      </c>
      <c r="G920" s="196">
        <v>0</v>
      </c>
    </row>
    <row r="921" spans="1:7" x14ac:dyDescent="0.3">
      <c r="A921" s="198">
        <v>1037482799</v>
      </c>
      <c r="B921" s="192" t="s">
        <v>1018</v>
      </c>
      <c r="C921" s="196">
        <v>0</v>
      </c>
      <c r="D921" s="196">
        <v>54000</v>
      </c>
      <c r="E921" s="196">
        <v>54000</v>
      </c>
      <c r="F921" s="196">
        <v>0</v>
      </c>
      <c r="G921" s="196">
        <v>0</v>
      </c>
    </row>
    <row r="922" spans="1:7" x14ac:dyDescent="0.3">
      <c r="A922" s="198">
        <v>13104846</v>
      </c>
      <c r="B922" s="192" t="s">
        <v>1019</v>
      </c>
      <c r="C922" s="196">
        <v>0</v>
      </c>
      <c r="D922" s="196">
        <v>795000</v>
      </c>
      <c r="E922" s="196">
        <v>795000</v>
      </c>
      <c r="F922" s="196">
        <v>0</v>
      </c>
      <c r="G922" s="196">
        <v>0</v>
      </c>
    </row>
    <row r="923" spans="1:7" x14ac:dyDescent="0.3">
      <c r="A923" s="198">
        <v>330336</v>
      </c>
      <c r="B923" s="192" t="s">
        <v>1020</v>
      </c>
      <c r="C923" s="196">
        <v>0</v>
      </c>
      <c r="D923" s="196">
        <v>101800</v>
      </c>
      <c r="E923" s="196">
        <v>101800</v>
      </c>
      <c r="F923" s="196">
        <v>0</v>
      </c>
      <c r="G923" s="196">
        <v>0</v>
      </c>
    </row>
    <row r="924" spans="1:7" x14ac:dyDescent="0.3">
      <c r="A924" s="198">
        <v>2000028533</v>
      </c>
      <c r="B924" s="192" t="s">
        <v>1021</v>
      </c>
      <c r="C924" s="196">
        <v>0</v>
      </c>
      <c r="D924" s="196">
        <v>87800</v>
      </c>
      <c r="E924" s="196">
        <v>87800</v>
      </c>
      <c r="F924" s="196">
        <v>0</v>
      </c>
      <c r="G924" s="196">
        <v>0</v>
      </c>
    </row>
    <row r="925" spans="1:7" x14ac:dyDescent="0.3">
      <c r="A925" s="198">
        <v>70698495</v>
      </c>
      <c r="B925" s="192" t="s">
        <v>1022</v>
      </c>
      <c r="C925" s="196">
        <v>0</v>
      </c>
      <c r="D925" s="196">
        <v>297000</v>
      </c>
      <c r="E925" s="196">
        <v>297000</v>
      </c>
      <c r="F925" s="196">
        <v>0</v>
      </c>
      <c r="G925" s="196">
        <v>0</v>
      </c>
    </row>
    <row r="926" spans="1:7" x14ac:dyDescent="0.3">
      <c r="A926" s="198">
        <v>98461887</v>
      </c>
      <c r="B926" s="192" t="s">
        <v>1023</v>
      </c>
      <c r="C926" s="196">
        <v>0</v>
      </c>
      <c r="D926" s="196">
        <v>168800</v>
      </c>
      <c r="E926" s="196">
        <v>168800</v>
      </c>
      <c r="F926" s="196">
        <v>0</v>
      </c>
      <c r="G926" s="196">
        <v>0</v>
      </c>
    </row>
    <row r="927" spans="1:7" x14ac:dyDescent="0.3">
      <c r="A927" s="198">
        <v>71624832</v>
      </c>
      <c r="B927" s="192" t="s">
        <v>1024</v>
      </c>
      <c r="C927" s="196">
        <v>0</v>
      </c>
      <c r="D927" s="196">
        <v>101800</v>
      </c>
      <c r="E927" s="196">
        <v>101800</v>
      </c>
      <c r="F927" s="196">
        <v>0</v>
      </c>
      <c r="G927" s="196">
        <v>0</v>
      </c>
    </row>
    <row r="928" spans="1:7" x14ac:dyDescent="0.3">
      <c r="A928" s="198">
        <v>1037828242</v>
      </c>
      <c r="B928" s="192" t="s">
        <v>1025</v>
      </c>
      <c r="C928" s="196">
        <v>1164400</v>
      </c>
      <c r="D928" s="196">
        <v>0</v>
      </c>
      <c r="E928" s="196">
        <v>1164400</v>
      </c>
      <c r="F928" s="196">
        <v>-1164400</v>
      </c>
      <c r="G928" s="196">
        <v>0</v>
      </c>
    </row>
    <row r="929" spans="1:7" x14ac:dyDescent="0.3">
      <c r="A929" s="198">
        <v>98591742</v>
      </c>
      <c r="B929" s="192" t="s">
        <v>1026</v>
      </c>
      <c r="C929" s="196">
        <v>-200</v>
      </c>
      <c r="D929" s="196">
        <v>0</v>
      </c>
      <c r="E929" s="196">
        <v>0</v>
      </c>
      <c r="F929" s="196">
        <v>0</v>
      </c>
      <c r="G929" s="196">
        <v>-200</v>
      </c>
    </row>
    <row r="930" spans="1:7" x14ac:dyDescent="0.3">
      <c r="A930" s="198">
        <v>71747420</v>
      </c>
      <c r="B930" s="192" t="s">
        <v>1027</v>
      </c>
      <c r="C930" s="196">
        <v>0</v>
      </c>
      <c r="D930" s="196">
        <v>114400</v>
      </c>
      <c r="E930" s="196">
        <v>114400</v>
      </c>
      <c r="F930" s="196">
        <v>0</v>
      </c>
      <c r="G930" s="196">
        <v>0</v>
      </c>
    </row>
    <row r="931" spans="1:7" x14ac:dyDescent="0.3">
      <c r="A931" s="198">
        <v>2000031010</v>
      </c>
      <c r="B931" s="192" t="s">
        <v>1028</v>
      </c>
      <c r="C931" s="196">
        <v>0</v>
      </c>
      <c r="D931" s="196">
        <v>101800</v>
      </c>
      <c r="E931" s="196">
        <v>101800</v>
      </c>
      <c r="F931" s="196">
        <v>0</v>
      </c>
      <c r="G931" s="196">
        <v>0</v>
      </c>
    </row>
    <row r="932" spans="1:7" x14ac:dyDescent="0.3">
      <c r="A932" s="198">
        <v>12973190</v>
      </c>
      <c r="B932" s="192" t="s">
        <v>1029</v>
      </c>
      <c r="C932" s="196">
        <v>0</v>
      </c>
      <c r="D932" s="196">
        <v>3818000</v>
      </c>
      <c r="E932" s="196">
        <v>3818000</v>
      </c>
      <c r="F932" s="196">
        <v>0</v>
      </c>
      <c r="G932" s="196">
        <v>0</v>
      </c>
    </row>
    <row r="933" spans="1:7" x14ac:dyDescent="0.3">
      <c r="A933" s="198">
        <v>900784595</v>
      </c>
      <c r="B933" s="192" t="s">
        <v>1030</v>
      </c>
      <c r="C933" s="196">
        <v>4309200</v>
      </c>
      <c r="D933" s="196">
        <v>0</v>
      </c>
      <c r="E933" s="196">
        <v>4309200</v>
      </c>
      <c r="F933" s="196">
        <v>-4309200</v>
      </c>
      <c r="G933" s="196">
        <v>0</v>
      </c>
    </row>
    <row r="934" spans="1:7" x14ac:dyDescent="0.3">
      <c r="A934" s="198">
        <v>1037587786</v>
      </c>
      <c r="B934" s="192" t="s">
        <v>1031</v>
      </c>
      <c r="C934" s="196">
        <v>0</v>
      </c>
      <c r="D934" s="196">
        <v>101800</v>
      </c>
      <c r="E934" s="196">
        <v>101800</v>
      </c>
      <c r="F934" s="196">
        <v>0</v>
      </c>
      <c r="G934" s="196">
        <v>0</v>
      </c>
    </row>
    <row r="935" spans="1:7" x14ac:dyDescent="0.3">
      <c r="A935" s="198">
        <v>1128416015</v>
      </c>
      <c r="B935" s="192" t="s">
        <v>1032</v>
      </c>
      <c r="C935" s="196">
        <v>0</v>
      </c>
      <c r="D935" s="196">
        <v>101800</v>
      </c>
      <c r="E935" s="196">
        <v>101800</v>
      </c>
      <c r="F935" s="196">
        <v>0</v>
      </c>
      <c r="G935" s="196">
        <v>0</v>
      </c>
    </row>
    <row r="936" spans="1:7" x14ac:dyDescent="0.3">
      <c r="A936" s="198">
        <v>43627841</v>
      </c>
      <c r="B936" s="192" t="s">
        <v>1033</v>
      </c>
      <c r="C936" s="196">
        <v>0</v>
      </c>
      <c r="D936" s="196">
        <v>87800</v>
      </c>
      <c r="E936" s="196">
        <v>87800</v>
      </c>
      <c r="F936" s="196">
        <v>0</v>
      </c>
      <c r="G936" s="196">
        <v>0</v>
      </c>
    </row>
    <row r="937" spans="1:7" x14ac:dyDescent="0.3">
      <c r="A937" s="198">
        <v>30233033</v>
      </c>
      <c r="B937" s="192" t="s">
        <v>1034</v>
      </c>
      <c r="C937" s="196">
        <v>0</v>
      </c>
      <c r="D937" s="196">
        <v>203600</v>
      </c>
      <c r="E937" s="196">
        <v>203600</v>
      </c>
      <c r="F937" s="196">
        <v>0</v>
      </c>
      <c r="G937" s="196">
        <v>0</v>
      </c>
    </row>
    <row r="938" spans="1:7" x14ac:dyDescent="0.3">
      <c r="A938" s="198">
        <v>1036939580</v>
      </c>
      <c r="B938" s="192" t="s">
        <v>1035</v>
      </c>
      <c r="C938" s="196">
        <v>0</v>
      </c>
      <c r="D938" s="196">
        <v>85000</v>
      </c>
      <c r="E938" s="196">
        <v>85000</v>
      </c>
      <c r="F938" s="196">
        <v>0</v>
      </c>
      <c r="G938" s="196">
        <v>0</v>
      </c>
    </row>
    <row r="939" spans="1:7" x14ac:dyDescent="0.3">
      <c r="A939" s="198">
        <v>1007560888</v>
      </c>
      <c r="B939" s="192" t="s">
        <v>1036</v>
      </c>
      <c r="C939" s="196">
        <v>0</v>
      </c>
      <c r="D939" s="196">
        <v>963000</v>
      </c>
      <c r="E939" s="196">
        <v>963000</v>
      </c>
      <c r="F939" s="196">
        <v>0</v>
      </c>
      <c r="G939" s="196">
        <v>0</v>
      </c>
    </row>
    <row r="940" spans="1:7" x14ac:dyDescent="0.3">
      <c r="A940" s="198">
        <v>1232392651</v>
      </c>
      <c r="B940" s="192" t="s">
        <v>1037</v>
      </c>
      <c r="C940" s="196">
        <v>0</v>
      </c>
      <c r="D940" s="196">
        <v>101800</v>
      </c>
      <c r="E940" s="196">
        <v>101800</v>
      </c>
      <c r="F940" s="196">
        <v>0</v>
      </c>
      <c r="G940" s="196">
        <v>0</v>
      </c>
    </row>
    <row r="941" spans="1:7" x14ac:dyDescent="0.3">
      <c r="A941" s="198">
        <v>1061698686</v>
      </c>
      <c r="B941" s="192" t="s">
        <v>1038</v>
      </c>
      <c r="C941" s="196">
        <v>0</v>
      </c>
      <c r="D941" s="196">
        <v>31831215</v>
      </c>
      <c r="E941" s="196">
        <v>31015030</v>
      </c>
      <c r="F941" s="196">
        <v>816185</v>
      </c>
      <c r="G941" s="196">
        <v>816185</v>
      </c>
    </row>
    <row r="942" spans="1:7" x14ac:dyDescent="0.3">
      <c r="A942" s="198">
        <v>1026140853</v>
      </c>
      <c r="B942" s="192" t="s">
        <v>1039</v>
      </c>
      <c r="C942" s="196">
        <v>0</v>
      </c>
      <c r="D942" s="196">
        <v>1800000</v>
      </c>
      <c r="E942" s="196">
        <v>1800000</v>
      </c>
      <c r="F942" s="196">
        <v>0</v>
      </c>
      <c r="G942" s="196">
        <v>0</v>
      </c>
    </row>
    <row r="943" spans="1:7" x14ac:dyDescent="0.3">
      <c r="A943" s="198">
        <v>1036457616</v>
      </c>
      <c r="B943" s="192" t="s">
        <v>1040</v>
      </c>
      <c r="C943" s="196">
        <v>0</v>
      </c>
      <c r="D943" s="196">
        <v>101800</v>
      </c>
      <c r="E943" s="196">
        <v>101800</v>
      </c>
      <c r="F943" s="196">
        <v>0</v>
      </c>
      <c r="G943" s="196">
        <v>0</v>
      </c>
    </row>
    <row r="944" spans="1:7" x14ac:dyDescent="0.3">
      <c r="A944" s="198">
        <v>57423123</v>
      </c>
      <c r="B944" s="192" t="s">
        <v>1041</v>
      </c>
      <c r="C944" s="196">
        <v>0</v>
      </c>
      <c r="D944" s="196">
        <v>276800</v>
      </c>
      <c r="E944" s="196">
        <v>276800</v>
      </c>
      <c r="F944" s="196">
        <v>0</v>
      </c>
      <c r="G944" s="196">
        <v>0</v>
      </c>
    </row>
    <row r="945" spans="1:7" x14ac:dyDescent="0.3">
      <c r="A945" s="198">
        <v>32309262</v>
      </c>
      <c r="B945" s="192" t="s">
        <v>1042</v>
      </c>
      <c r="C945" s="196">
        <v>0</v>
      </c>
      <c r="D945" s="196">
        <v>4133000</v>
      </c>
      <c r="E945" s="196">
        <v>4133000</v>
      </c>
      <c r="F945" s="196">
        <v>0</v>
      </c>
      <c r="G945" s="196">
        <v>0</v>
      </c>
    </row>
    <row r="946" spans="1:7" x14ac:dyDescent="0.3">
      <c r="A946" s="198">
        <v>1023625891</v>
      </c>
      <c r="B946" s="192" t="s">
        <v>1043</v>
      </c>
      <c r="C946" s="196">
        <v>0</v>
      </c>
      <c r="D946" s="196">
        <v>364000</v>
      </c>
      <c r="E946" s="196">
        <v>364000</v>
      </c>
      <c r="F946" s="196">
        <v>0</v>
      </c>
      <c r="G946" s="196">
        <v>0</v>
      </c>
    </row>
    <row r="947" spans="1:7" x14ac:dyDescent="0.3">
      <c r="A947" s="198">
        <v>43094703</v>
      </c>
      <c r="B947" s="192" t="s">
        <v>1044</v>
      </c>
      <c r="C947" s="196">
        <v>0</v>
      </c>
      <c r="D947" s="196">
        <v>877300</v>
      </c>
      <c r="E947" s="196">
        <v>877300</v>
      </c>
      <c r="F947" s="196">
        <v>0</v>
      </c>
      <c r="G947" s="196">
        <v>0</v>
      </c>
    </row>
    <row r="948" spans="1:7" x14ac:dyDescent="0.3">
      <c r="A948" s="198">
        <v>21830934</v>
      </c>
      <c r="B948" s="192" t="s">
        <v>1045</v>
      </c>
      <c r="C948" s="196">
        <v>0</v>
      </c>
      <c r="D948" s="196">
        <v>1900000</v>
      </c>
      <c r="E948" s="196">
        <v>1900000</v>
      </c>
      <c r="F948" s="196">
        <v>0</v>
      </c>
      <c r="G948" s="196">
        <v>0</v>
      </c>
    </row>
    <row r="949" spans="1:7" x14ac:dyDescent="0.3">
      <c r="A949" s="198">
        <v>39164680</v>
      </c>
      <c r="B949" s="192" t="s">
        <v>1046</v>
      </c>
      <c r="C949" s="196">
        <v>0</v>
      </c>
      <c r="D949" s="196">
        <v>114400</v>
      </c>
      <c r="E949" s="196">
        <v>114400</v>
      </c>
      <c r="F949" s="196">
        <v>0</v>
      </c>
      <c r="G949" s="196">
        <v>0</v>
      </c>
    </row>
    <row r="950" spans="1:7" x14ac:dyDescent="0.3">
      <c r="A950" s="198">
        <v>1036404478</v>
      </c>
      <c r="B950" s="192" t="s">
        <v>1047</v>
      </c>
      <c r="C950" s="196">
        <v>1261400</v>
      </c>
      <c r="D950" s="196">
        <v>0</v>
      </c>
      <c r="E950" s="196">
        <v>1261397</v>
      </c>
      <c r="F950" s="196">
        <v>-1261397</v>
      </c>
      <c r="G950" s="196">
        <v>3</v>
      </c>
    </row>
    <row r="951" spans="1:7" x14ac:dyDescent="0.3">
      <c r="A951" s="198">
        <v>21998987</v>
      </c>
      <c r="B951" s="192" t="s">
        <v>1048</v>
      </c>
      <c r="C951" s="196">
        <v>1</v>
      </c>
      <c r="D951" s="196">
        <v>214200</v>
      </c>
      <c r="E951" s="196">
        <v>214200</v>
      </c>
      <c r="F951" s="196">
        <v>0</v>
      </c>
      <c r="G951" s="196">
        <v>1</v>
      </c>
    </row>
    <row r="952" spans="1:7" x14ac:dyDescent="0.3">
      <c r="A952" s="198">
        <v>42879321</v>
      </c>
      <c r="B952" s="192" t="s">
        <v>1049</v>
      </c>
      <c r="C952" s="196">
        <v>0</v>
      </c>
      <c r="D952" s="196">
        <v>7767400</v>
      </c>
      <c r="E952" s="196">
        <v>7767400</v>
      </c>
      <c r="F952" s="196">
        <v>0</v>
      </c>
      <c r="G952" s="196">
        <v>0</v>
      </c>
    </row>
    <row r="953" spans="1:7" x14ac:dyDescent="0.3">
      <c r="A953" s="198">
        <v>32397574</v>
      </c>
      <c r="B953" s="192" t="s">
        <v>1050</v>
      </c>
      <c r="C953" s="196">
        <v>2</v>
      </c>
      <c r="D953" s="196">
        <v>0</v>
      </c>
      <c r="E953" s="196">
        <v>0</v>
      </c>
      <c r="F953" s="196">
        <v>0</v>
      </c>
      <c r="G953" s="196">
        <v>2</v>
      </c>
    </row>
    <row r="954" spans="1:7" x14ac:dyDescent="0.3">
      <c r="A954" s="198">
        <v>51729535</v>
      </c>
      <c r="B954" s="192" t="s">
        <v>1051</v>
      </c>
      <c r="C954" s="196">
        <v>0</v>
      </c>
      <c r="D954" s="196">
        <v>319000</v>
      </c>
      <c r="E954" s="196">
        <v>319000</v>
      </c>
      <c r="F954" s="196">
        <v>0</v>
      </c>
      <c r="G954" s="196">
        <v>0</v>
      </c>
    </row>
    <row r="955" spans="1:7" x14ac:dyDescent="0.3">
      <c r="A955" s="198">
        <v>32435126</v>
      </c>
      <c r="B955" s="192" t="s">
        <v>1052</v>
      </c>
      <c r="C955" s="196">
        <v>0</v>
      </c>
      <c r="D955" s="196">
        <v>383800</v>
      </c>
      <c r="E955" s="196">
        <v>383800</v>
      </c>
      <c r="F955" s="196">
        <v>0</v>
      </c>
      <c r="G955" s="196">
        <v>0</v>
      </c>
    </row>
    <row r="956" spans="1:7" x14ac:dyDescent="0.3">
      <c r="A956" s="198">
        <v>42899001</v>
      </c>
      <c r="B956" s="192" t="s">
        <v>1053</v>
      </c>
      <c r="C956" s="196">
        <v>0</v>
      </c>
      <c r="D956" s="196">
        <v>8000000</v>
      </c>
      <c r="E956" s="196">
        <v>8000000</v>
      </c>
      <c r="F956" s="196">
        <v>0</v>
      </c>
      <c r="G956" s="196">
        <v>0</v>
      </c>
    </row>
    <row r="957" spans="1:7" x14ac:dyDescent="0.3">
      <c r="A957" s="198">
        <v>22229760</v>
      </c>
      <c r="B957" s="192" t="s">
        <v>1054</v>
      </c>
      <c r="C957" s="196">
        <v>0</v>
      </c>
      <c r="D957" s="196">
        <v>140000</v>
      </c>
      <c r="E957" s="196">
        <v>140000</v>
      </c>
      <c r="F957" s="196">
        <v>0</v>
      </c>
      <c r="G957" s="196">
        <v>0</v>
      </c>
    </row>
    <row r="958" spans="1:7" x14ac:dyDescent="0.3">
      <c r="A958" s="198">
        <v>32461055</v>
      </c>
      <c r="B958" s="192" t="s">
        <v>1055</v>
      </c>
      <c r="C958" s="196">
        <v>0</v>
      </c>
      <c r="D958" s="196">
        <v>94000</v>
      </c>
      <c r="E958" s="196">
        <v>94000</v>
      </c>
      <c r="F958" s="196">
        <v>0</v>
      </c>
      <c r="G958" s="196">
        <v>0</v>
      </c>
    </row>
    <row r="959" spans="1:7" x14ac:dyDescent="0.3">
      <c r="A959" s="198">
        <v>32430224</v>
      </c>
      <c r="B959" s="192" t="s">
        <v>1056</v>
      </c>
      <c r="C959" s="196">
        <v>0</v>
      </c>
      <c r="D959" s="196">
        <v>10227200</v>
      </c>
      <c r="E959" s="196">
        <v>10227200</v>
      </c>
      <c r="F959" s="196">
        <v>0</v>
      </c>
      <c r="G959" s="196">
        <v>0</v>
      </c>
    </row>
    <row r="960" spans="1:7" x14ac:dyDescent="0.3">
      <c r="A960" s="198">
        <v>43054434</v>
      </c>
      <c r="B960" s="192" t="s">
        <v>1057</v>
      </c>
      <c r="C960" s="196">
        <v>0</v>
      </c>
      <c r="D960" s="196">
        <v>6569250</v>
      </c>
      <c r="E960" s="196">
        <v>6569250</v>
      </c>
      <c r="F960" s="196">
        <v>0</v>
      </c>
      <c r="G960" s="196">
        <v>0</v>
      </c>
    </row>
    <row r="961" spans="1:7" x14ac:dyDescent="0.3">
      <c r="A961" s="198">
        <v>43507216</v>
      </c>
      <c r="B961" s="192" t="s">
        <v>1058</v>
      </c>
      <c r="C961" s="196">
        <v>0</v>
      </c>
      <c r="D961" s="196">
        <v>168200</v>
      </c>
      <c r="E961" s="196">
        <v>168200</v>
      </c>
      <c r="F961" s="196">
        <v>0</v>
      </c>
      <c r="G961" s="196">
        <v>0</v>
      </c>
    </row>
    <row r="962" spans="1:7" x14ac:dyDescent="0.3">
      <c r="A962" s="198">
        <v>43437610</v>
      </c>
      <c r="B962" s="192" t="s">
        <v>1059</v>
      </c>
      <c r="C962" s="196">
        <v>0</v>
      </c>
      <c r="D962" s="196">
        <v>114400</v>
      </c>
      <c r="E962" s="196">
        <v>114400</v>
      </c>
      <c r="F962" s="196">
        <v>0</v>
      </c>
      <c r="G962" s="196">
        <v>0</v>
      </c>
    </row>
    <row r="963" spans="1:7" x14ac:dyDescent="0.3">
      <c r="A963" s="198">
        <v>32275584</v>
      </c>
      <c r="B963" s="192" t="s">
        <v>1060</v>
      </c>
      <c r="C963" s="196">
        <v>0</v>
      </c>
      <c r="D963" s="196">
        <v>119000</v>
      </c>
      <c r="E963" s="196">
        <v>119000</v>
      </c>
      <c r="F963" s="196">
        <v>0</v>
      </c>
      <c r="G963" s="196">
        <v>0</v>
      </c>
    </row>
    <row r="964" spans="1:7" x14ac:dyDescent="0.3">
      <c r="A964" s="198">
        <v>42748761</v>
      </c>
      <c r="B964" s="192" t="s">
        <v>1061</v>
      </c>
      <c r="C964" s="196">
        <v>0</v>
      </c>
      <c r="D964" s="196">
        <v>100000</v>
      </c>
      <c r="E964" s="196">
        <v>100000</v>
      </c>
      <c r="F964" s="196">
        <v>0</v>
      </c>
      <c r="G964" s="196">
        <v>0</v>
      </c>
    </row>
    <row r="965" spans="1:7" x14ac:dyDescent="0.3">
      <c r="A965" s="198">
        <v>1045748648</v>
      </c>
      <c r="B965" s="192" t="s">
        <v>1062</v>
      </c>
      <c r="C965" s="196">
        <v>0</v>
      </c>
      <c r="D965" s="196">
        <v>425200</v>
      </c>
      <c r="E965" s="196">
        <v>425200</v>
      </c>
      <c r="F965" s="196">
        <v>0</v>
      </c>
      <c r="G965" s="196">
        <v>0</v>
      </c>
    </row>
    <row r="966" spans="1:7" x14ac:dyDescent="0.3">
      <c r="A966" s="198">
        <v>32257083</v>
      </c>
      <c r="B966" s="192" t="s">
        <v>1063</v>
      </c>
      <c r="C966" s="196">
        <v>0</v>
      </c>
      <c r="D966" s="196">
        <v>3828200</v>
      </c>
      <c r="E966" s="196">
        <v>3828200</v>
      </c>
      <c r="F966" s="196">
        <v>0</v>
      </c>
      <c r="G966" s="196">
        <v>0</v>
      </c>
    </row>
    <row r="967" spans="1:7" x14ac:dyDescent="0.3">
      <c r="A967" s="198">
        <v>1035019504</v>
      </c>
      <c r="B967" s="192" t="s">
        <v>1064</v>
      </c>
      <c r="C967" s="196">
        <v>0</v>
      </c>
      <c r="D967" s="196">
        <v>101800</v>
      </c>
      <c r="E967" s="196">
        <v>101800</v>
      </c>
      <c r="F967" s="196">
        <v>0</v>
      </c>
      <c r="G967" s="196">
        <v>0</v>
      </c>
    </row>
    <row r="968" spans="1:7" x14ac:dyDescent="0.3">
      <c r="A968" s="198">
        <v>1022007927</v>
      </c>
      <c r="B968" s="192" t="s">
        <v>1065</v>
      </c>
      <c r="C968" s="196">
        <v>0</v>
      </c>
      <c r="D968" s="196">
        <v>101800</v>
      </c>
      <c r="E968" s="196">
        <v>101800</v>
      </c>
      <c r="F968" s="196">
        <v>0</v>
      </c>
      <c r="G968" s="196">
        <v>0</v>
      </c>
    </row>
    <row r="969" spans="1:7" x14ac:dyDescent="0.3">
      <c r="A969" s="198">
        <v>1035026198</v>
      </c>
      <c r="B969" s="192" t="s">
        <v>1066</v>
      </c>
      <c r="C969" s="196">
        <v>0</v>
      </c>
      <c r="D969" s="196">
        <v>101800</v>
      </c>
      <c r="E969" s="196">
        <v>101800</v>
      </c>
      <c r="F969" s="196">
        <v>0</v>
      </c>
      <c r="G969" s="196">
        <v>0</v>
      </c>
    </row>
    <row r="970" spans="1:7" x14ac:dyDescent="0.3">
      <c r="A970" s="198">
        <v>1003286661</v>
      </c>
      <c r="B970" s="192" t="s">
        <v>1067</v>
      </c>
      <c r="C970" s="196">
        <v>0</v>
      </c>
      <c r="D970" s="196">
        <v>4689500</v>
      </c>
      <c r="E970" s="196">
        <v>4689500</v>
      </c>
      <c r="F970" s="196">
        <v>0</v>
      </c>
      <c r="G970" s="196">
        <v>0</v>
      </c>
    </row>
    <row r="971" spans="1:7" x14ac:dyDescent="0.3">
      <c r="A971" s="198">
        <v>43653406</v>
      </c>
      <c r="B971" s="192" t="s">
        <v>1068</v>
      </c>
      <c r="C971" s="196">
        <v>0</v>
      </c>
      <c r="D971" s="196">
        <v>101800</v>
      </c>
      <c r="E971" s="196">
        <v>101800</v>
      </c>
      <c r="F971" s="196">
        <v>0</v>
      </c>
      <c r="G971" s="196">
        <v>0</v>
      </c>
    </row>
    <row r="972" spans="1:7" x14ac:dyDescent="0.3">
      <c r="A972" s="198">
        <v>42901095</v>
      </c>
      <c r="B972" s="192" t="s">
        <v>1069</v>
      </c>
      <c r="C972" s="196">
        <v>6184000</v>
      </c>
      <c r="D972" s="196">
        <v>0</v>
      </c>
      <c r="E972" s="196">
        <v>6184000</v>
      </c>
      <c r="F972" s="196">
        <v>-6184000</v>
      </c>
      <c r="G972" s="196">
        <v>0</v>
      </c>
    </row>
    <row r="973" spans="1:7" x14ac:dyDescent="0.3">
      <c r="A973" s="198">
        <v>16223656</v>
      </c>
      <c r="B973" s="192" t="s">
        <v>1070</v>
      </c>
      <c r="C973" s="196">
        <v>0</v>
      </c>
      <c r="D973" s="196">
        <v>319000</v>
      </c>
      <c r="E973" s="196">
        <v>319000</v>
      </c>
      <c r="F973" s="196">
        <v>0</v>
      </c>
      <c r="G973" s="196">
        <v>0</v>
      </c>
    </row>
    <row r="974" spans="1:7" x14ac:dyDescent="0.3">
      <c r="A974" s="198">
        <v>1034992773</v>
      </c>
      <c r="B974" s="192" t="s">
        <v>1071</v>
      </c>
      <c r="C974" s="196">
        <v>0</v>
      </c>
      <c r="D974" s="196">
        <v>101800</v>
      </c>
      <c r="E974" s="196">
        <v>101800</v>
      </c>
      <c r="F974" s="196">
        <v>0</v>
      </c>
      <c r="G974" s="196">
        <v>0</v>
      </c>
    </row>
    <row r="975" spans="1:7" x14ac:dyDescent="0.3">
      <c r="A975" s="198">
        <v>1069462232</v>
      </c>
      <c r="B975" s="192" t="s">
        <v>1072</v>
      </c>
      <c r="C975" s="196">
        <v>0</v>
      </c>
      <c r="D975" s="196">
        <v>223300</v>
      </c>
      <c r="E975" s="196">
        <v>223300</v>
      </c>
      <c r="F975" s="196">
        <v>0</v>
      </c>
      <c r="G975" s="196">
        <v>0</v>
      </c>
    </row>
    <row r="976" spans="1:7" x14ac:dyDescent="0.3">
      <c r="A976" s="198">
        <v>1000549403</v>
      </c>
      <c r="B976" s="192" t="s">
        <v>1073</v>
      </c>
      <c r="C976" s="196">
        <v>0</v>
      </c>
      <c r="D976" s="196">
        <v>1310000</v>
      </c>
      <c r="E976" s="196">
        <v>1310000</v>
      </c>
      <c r="F976" s="196">
        <v>0</v>
      </c>
      <c r="G976" s="196">
        <v>0</v>
      </c>
    </row>
    <row r="977" spans="1:7" x14ac:dyDescent="0.3">
      <c r="A977" s="198">
        <v>1038540158</v>
      </c>
      <c r="B977" s="192" t="s">
        <v>1074</v>
      </c>
      <c r="C977" s="196">
        <v>1500000</v>
      </c>
      <c r="D977" s="196">
        <v>0</v>
      </c>
      <c r="E977" s="196">
        <v>1500000</v>
      </c>
      <c r="F977" s="196">
        <v>-1500000</v>
      </c>
      <c r="G977" s="196">
        <v>0</v>
      </c>
    </row>
    <row r="978" spans="1:7" x14ac:dyDescent="0.3">
      <c r="A978" s="198">
        <v>1037669245</v>
      </c>
      <c r="B978" s="192" t="s">
        <v>1075</v>
      </c>
      <c r="C978" s="196">
        <v>0</v>
      </c>
      <c r="D978" s="196">
        <v>963000</v>
      </c>
      <c r="E978" s="196">
        <v>963000</v>
      </c>
      <c r="F978" s="196">
        <v>0</v>
      </c>
      <c r="G978" s="196">
        <v>0</v>
      </c>
    </row>
    <row r="979" spans="1:7" x14ac:dyDescent="0.3">
      <c r="A979" s="198">
        <v>1018350214</v>
      </c>
      <c r="B979" s="192" t="s">
        <v>1076</v>
      </c>
      <c r="C979" s="196">
        <v>0</v>
      </c>
      <c r="D979" s="196">
        <v>101800</v>
      </c>
      <c r="E979" s="196">
        <v>101800</v>
      </c>
      <c r="F979" s="196">
        <v>0</v>
      </c>
      <c r="G979" s="196">
        <v>0</v>
      </c>
    </row>
    <row r="980" spans="1:7" x14ac:dyDescent="0.3">
      <c r="A980" s="198">
        <v>1152221728</v>
      </c>
      <c r="B980" s="192" t="s">
        <v>1077</v>
      </c>
      <c r="C980" s="196">
        <v>0</v>
      </c>
      <c r="D980" s="196">
        <v>963000</v>
      </c>
      <c r="E980" s="196">
        <v>963000</v>
      </c>
      <c r="F980" s="196">
        <v>0</v>
      </c>
      <c r="G980" s="196">
        <v>0</v>
      </c>
    </row>
    <row r="981" spans="1:7" x14ac:dyDescent="0.3">
      <c r="A981" s="198">
        <v>1020478617</v>
      </c>
      <c r="B981" s="192" t="s">
        <v>1078</v>
      </c>
      <c r="C981" s="196">
        <v>1</v>
      </c>
      <c r="D981" s="196">
        <v>0</v>
      </c>
      <c r="E981" s="196">
        <v>0</v>
      </c>
      <c r="F981" s="196">
        <v>0</v>
      </c>
      <c r="G981" s="196">
        <v>1</v>
      </c>
    </row>
    <row r="982" spans="1:7" x14ac:dyDescent="0.3">
      <c r="A982" s="198">
        <v>1036667015</v>
      </c>
      <c r="B982" s="192" t="s">
        <v>1079</v>
      </c>
      <c r="C982" s="196">
        <v>0</v>
      </c>
      <c r="D982" s="196">
        <v>380000</v>
      </c>
      <c r="E982" s="196">
        <v>380000</v>
      </c>
      <c r="F982" s="196">
        <v>0</v>
      </c>
      <c r="G982" s="196">
        <v>0</v>
      </c>
    </row>
    <row r="983" spans="1:7" x14ac:dyDescent="0.3">
      <c r="A983" s="198">
        <v>43188823</v>
      </c>
      <c r="B983" s="192" t="s">
        <v>1080</v>
      </c>
      <c r="C983" s="196">
        <v>0</v>
      </c>
      <c r="D983" s="196">
        <v>9545000</v>
      </c>
      <c r="E983" s="196">
        <v>9545000</v>
      </c>
      <c r="F983" s="196">
        <v>0</v>
      </c>
      <c r="G983" s="196">
        <v>0</v>
      </c>
    </row>
    <row r="984" spans="1:7" x14ac:dyDescent="0.3">
      <c r="A984" s="198">
        <v>43866085</v>
      </c>
      <c r="B984" s="192" t="s">
        <v>1081</v>
      </c>
      <c r="C984" s="196">
        <v>0</v>
      </c>
      <c r="D984" s="196">
        <v>101800</v>
      </c>
      <c r="E984" s="196">
        <v>101800</v>
      </c>
      <c r="F984" s="196">
        <v>0</v>
      </c>
      <c r="G984" s="196">
        <v>0</v>
      </c>
    </row>
    <row r="985" spans="1:7" x14ac:dyDescent="0.3">
      <c r="A985" s="198">
        <v>1128268826</v>
      </c>
      <c r="B985" s="192" t="s">
        <v>1082</v>
      </c>
      <c r="C985" s="196">
        <v>0</v>
      </c>
      <c r="D985" s="196">
        <v>425400</v>
      </c>
      <c r="E985" s="196">
        <v>425400</v>
      </c>
      <c r="F985" s="196">
        <v>0</v>
      </c>
      <c r="G985" s="196">
        <v>0</v>
      </c>
    </row>
    <row r="986" spans="1:7" x14ac:dyDescent="0.3">
      <c r="A986" s="198">
        <v>1036644422</v>
      </c>
      <c r="B986" s="192" t="s">
        <v>1083</v>
      </c>
      <c r="C986" s="196">
        <v>0</v>
      </c>
      <c r="D986" s="196">
        <v>5035000</v>
      </c>
      <c r="E986" s="196">
        <v>5035000</v>
      </c>
      <c r="F986" s="196">
        <v>0</v>
      </c>
      <c r="G986" s="196">
        <v>0</v>
      </c>
    </row>
    <row r="987" spans="1:7" x14ac:dyDescent="0.3">
      <c r="A987" s="198">
        <v>22189003</v>
      </c>
      <c r="B987" s="192" t="s">
        <v>1084</v>
      </c>
      <c r="C987" s="196">
        <v>0</v>
      </c>
      <c r="D987" s="196">
        <v>158600</v>
      </c>
      <c r="E987" s="196">
        <v>158600</v>
      </c>
      <c r="F987" s="196">
        <v>0</v>
      </c>
      <c r="G987" s="196">
        <v>0</v>
      </c>
    </row>
    <row r="988" spans="1:7" x14ac:dyDescent="0.3">
      <c r="A988" s="192" t="s">
        <v>1085</v>
      </c>
      <c r="B988" s="192" t="s">
        <v>1086</v>
      </c>
      <c r="C988" s="196">
        <v>0</v>
      </c>
      <c r="D988" s="196">
        <v>76800</v>
      </c>
      <c r="E988" s="196">
        <v>76800</v>
      </c>
      <c r="F988" s="196">
        <v>0</v>
      </c>
      <c r="G988" s="196">
        <v>0</v>
      </c>
    </row>
    <row r="989" spans="1:7" x14ac:dyDescent="0.3">
      <c r="A989" s="198">
        <v>8200882</v>
      </c>
      <c r="B989" s="192" t="s">
        <v>1087</v>
      </c>
      <c r="C989" s="196">
        <v>0</v>
      </c>
      <c r="D989" s="196">
        <v>119000</v>
      </c>
      <c r="E989" s="196">
        <v>119000</v>
      </c>
      <c r="F989" s="196">
        <v>0</v>
      </c>
      <c r="G989" s="196">
        <v>0</v>
      </c>
    </row>
    <row r="990" spans="1:7" x14ac:dyDescent="0.3">
      <c r="A990" s="198">
        <v>71374062</v>
      </c>
      <c r="B990" s="192" t="s">
        <v>1088</v>
      </c>
      <c r="C990" s="196">
        <v>0</v>
      </c>
      <c r="D990" s="196">
        <v>101800</v>
      </c>
      <c r="E990" s="196">
        <v>101800</v>
      </c>
      <c r="F990" s="196">
        <v>0</v>
      </c>
      <c r="G990" s="196">
        <v>0</v>
      </c>
    </row>
    <row r="991" spans="1:7" x14ac:dyDescent="0.3">
      <c r="A991" s="198">
        <v>1037620870</v>
      </c>
      <c r="B991" s="192" t="s">
        <v>1089</v>
      </c>
      <c r="C991" s="196">
        <v>0</v>
      </c>
      <c r="D991" s="196">
        <v>101800</v>
      </c>
      <c r="E991" s="196">
        <v>101800</v>
      </c>
      <c r="F991" s="196">
        <v>0</v>
      </c>
      <c r="G991" s="196">
        <v>0</v>
      </c>
    </row>
    <row r="992" spans="1:7" x14ac:dyDescent="0.3">
      <c r="A992" s="198">
        <v>32489725</v>
      </c>
      <c r="B992" s="192" t="s">
        <v>1090</v>
      </c>
      <c r="C992" s="196">
        <v>0</v>
      </c>
      <c r="D992" s="196">
        <v>396000</v>
      </c>
      <c r="E992" s="196">
        <v>396000</v>
      </c>
      <c r="F992" s="196">
        <v>0</v>
      </c>
      <c r="G992" s="196">
        <v>0</v>
      </c>
    </row>
    <row r="993" spans="1:7" x14ac:dyDescent="0.3">
      <c r="A993" s="192" t="s">
        <v>1091</v>
      </c>
      <c r="B993" s="192" t="s">
        <v>1092</v>
      </c>
      <c r="C993" s="196">
        <v>50900</v>
      </c>
      <c r="D993" s="196">
        <v>0</v>
      </c>
      <c r="E993" s="196">
        <v>50900</v>
      </c>
      <c r="F993" s="196">
        <v>-50900</v>
      </c>
      <c r="G993" s="196">
        <v>0</v>
      </c>
    </row>
    <row r="994" spans="1:7" x14ac:dyDescent="0.3">
      <c r="A994" s="198">
        <v>56074997</v>
      </c>
      <c r="B994" s="192" t="s">
        <v>1093</v>
      </c>
      <c r="C994" s="196">
        <v>0</v>
      </c>
      <c r="D994" s="196">
        <v>201800</v>
      </c>
      <c r="E994" s="196">
        <v>201800</v>
      </c>
      <c r="F994" s="196">
        <v>0</v>
      </c>
      <c r="G994" s="196">
        <v>0</v>
      </c>
    </row>
    <row r="995" spans="1:7" x14ac:dyDescent="0.3">
      <c r="A995" s="198">
        <v>32103303</v>
      </c>
      <c r="B995" s="192" t="s">
        <v>1094</v>
      </c>
      <c r="C995" s="196">
        <v>0</v>
      </c>
      <c r="D995" s="196">
        <v>587900</v>
      </c>
      <c r="E995" s="196">
        <v>587899</v>
      </c>
      <c r="F995" s="196">
        <v>1</v>
      </c>
      <c r="G995" s="196">
        <v>1</v>
      </c>
    </row>
    <row r="996" spans="1:7" x14ac:dyDescent="0.3">
      <c r="A996" s="198">
        <v>43007446</v>
      </c>
      <c r="B996" s="192" t="s">
        <v>1095</v>
      </c>
      <c r="C996" s="196">
        <v>0</v>
      </c>
      <c r="D996" s="196">
        <v>117300</v>
      </c>
      <c r="E996" s="196">
        <v>117299</v>
      </c>
      <c r="F996" s="196">
        <v>1</v>
      </c>
      <c r="G996" s="196">
        <v>1</v>
      </c>
    </row>
    <row r="997" spans="1:7" x14ac:dyDescent="0.3">
      <c r="A997" s="198">
        <v>1037575368</v>
      </c>
      <c r="B997" s="192" t="s">
        <v>1096</v>
      </c>
      <c r="C997" s="196">
        <v>0</v>
      </c>
      <c r="D997" s="196">
        <v>227100</v>
      </c>
      <c r="E997" s="196">
        <v>227100</v>
      </c>
      <c r="F997" s="196">
        <v>0</v>
      </c>
      <c r="G997" s="196">
        <v>0</v>
      </c>
    </row>
    <row r="998" spans="1:7" x14ac:dyDescent="0.3">
      <c r="A998" s="198">
        <v>30395946</v>
      </c>
      <c r="B998" s="192" t="s">
        <v>1097</v>
      </c>
      <c r="C998" s="196">
        <v>0</v>
      </c>
      <c r="D998" s="196">
        <v>1270000</v>
      </c>
      <c r="E998" s="196">
        <v>1270000</v>
      </c>
      <c r="F998" s="196">
        <v>0</v>
      </c>
      <c r="G998" s="196">
        <v>0</v>
      </c>
    </row>
    <row r="999" spans="1:7" x14ac:dyDescent="0.3">
      <c r="A999" s="198">
        <v>1128422599</v>
      </c>
      <c r="B999" s="192" t="s">
        <v>1098</v>
      </c>
      <c r="C999" s="196">
        <v>0</v>
      </c>
      <c r="D999" s="196">
        <v>101800</v>
      </c>
      <c r="E999" s="196">
        <v>101800</v>
      </c>
      <c r="F999" s="196">
        <v>0</v>
      </c>
      <c r="G999" s="196">
        <v>0</v>
      </c>
    </row>
    <row r="1000" spans="1:7" x14ac:dyDescent="0.3">
      <c r="A1000" s="198">
        <v>21514441</v>
      </c>
      <c r="B1000" s="192" t="s">
        <v>1099</v>
      </c>
      <c r="C1000" s="196">
        <v>0</v>
      </c>
      <c r="D1000" s="196">
        <v>3071200</v>
      </c>
      <c r="E1000" s="196">
        <v>3071200</v>
      </c>
      <c r="F1000" s="196">
        <v>0</v>
      </c>
      <c r="G1000" s="196">
        <v>0</v>
      </c>
    </row>
    <row r="1001" spans="1:7" x14ac:dyDescent="0.3">
      <c r="A1001" s="198">
        <v>24324065</v>
      </c>
      <c r="B1001" s="192" t="s">
        <v>1100</v>
      </c>
      <c r="C1001" s="196">
        <v>0</v>
      </c>
      <c r="D1001" s="196">
        <v>114400</v>
      </c>
      <c r="E1001" s="196">
        <v>114400</v>
      </c>
      <c r="F1001" s="196">
        <v>0</v>
      </c>
      <c r="G1001" s="196">
        <v>0</v>
      </c>
    </row>
    <row r="1002" spans="1:7" x14ac:dyDescent="0.3">
      <c r="A1002" s="198">
        <v>1128416031</v>
      </c>
      <c r="B1002" s="192" t="s">
        <v>1101</v>
      </c>
      <c r="C1002" s="196">
        <v>0</v>
      </c>
      <c r="D1002" s="196">
        <v>203600</v>
      </c>
      <c r="E1002" s="196">
        <v>203600</v>
      </c>
      <c r="F1002" s="196">
        <v>0</v>
      </c>
      <c r="G1002" s="196">
        <v>0</v>
      </c>
    </row>
    <row r="1003" spans="1:7" x14ac:dyDescent="0.3">
      <c r="A1003" s="198">
        <v>1037623046</v>
      </c>
      <c r="B1003" s="192" t="s">
        <v>1102</v>
      </c>
      <c r="C1003" s="196">
        <v>0</v>
      </c>
      <c r="D1003" s="196">
        <v>82800</v>
      </c>
      <c r="E1003" s="196">
        <v>82800</v>
      </c>
      <c r="F1003" s="196">
        <v>0</v>
      </c>
      <c r="G1003" s="196">
        <v>0</v>
      </c>
    </row>
    <row r="1004" spans="1:7" x14ac:dyDescent="0.3">
      <c r="A1004" s="198">
        <v>1001447524</v>
      </c>
      <c r="B1004" s="192" t="s">
        <v>1103</v>
      </c>
      <c r="C1004" s="196">
        <v>0</v>
      </c>
      <c r="D1004" s="196">
        <v>5000</v>
      </c>
      <c r="E1004" s="196">
        <v>5000</v>
      </c>
      <c r="F1004" s="196">
        <v>0</v>
      </c>
      <c r="G1004" s="196">
        <v>0</v>
      </c>
    </row>
    <row r="1005" spans="1:7" x14ac:dyDescent="0.3">
      <c r="A1005" s="198">
        <v>1037572728</v>
      </c>
      <c r="B1005" s="192" t="s">
        <v>1104</v>
      </c>
      <c r="C1005" s="196">
        <v>0</v>
      </c>
      <c r="D1005" s="196">
        <v>193800</v>
      </c>
      <c r="E1005" s="196">
        <v>193800</v>
      </c>
      <c r="F1005" s="196">
        <v>0</v>
      </c>
      <c r="G1005" s="196">
        <v>0</v>
      </c>
    </row>
    <row r="1006" spans="1:7" x14ac:dyDescent="0.3">
      <c r="A1006" s="198">
        <v>1045528401</v>
      </c>
      <c r="B1006" s="192" t="s">
        <v>1105</v>
      </c>
      <c r="C1006" s="196">
        <v>0</v>
      </c>
      <c r="D1006" s="196">
        <v>968000</v>
      </c>
      <c r="E1006" s="196">
        <v>968000</v>
      </c>
      <c r="F1006" s="196">
        <v>0</v>
      </c>
      <c r="G1006" s="196">
        <v>0</v>
      </c>
    </row>
    <row r="1007" spans="1:7" x14ac:dyDescent="0.3">
      <c r="A1007" s="198">
        <v>1019907455</v>
      </c>
      <c r="B1007" s="192" t="s">
        <v>1106</v>
      </c>
      <c r="C1007" s="196">
        <v>0</v>
      </c>
      <c r="D1007" s="196">
        <v>101800</v>
      </c>
      <c r="E1007" s="196">
        <v>101800</v>
      </c>
      <c r="F1007" s="196">
        <v>0</v>
      </c>
      <c r="G1007" s="196">
        <v>0</v>
      </c>
    </row>
    <row r="1008" spans="1:7" x14ac:dyDescent="0.3">
      <c r="A1008" s="198">
        <v>1039472958</v>
      </c>
      <c r="B1008" s="192" t="s">
        <v>1107</v>
      </c>
      <c r="C1008" s="196">
        <v>0</v>
      </c>
      <c r="D1008" s="196">
        <v>73200</v>
      </c>
      <c r="E1008" s="196">
        <v>73200</v>
      </c>
      <c r="F1008" s="196">
        <v>0</v>
      </c>
      <c r="G1008" s="196">
        <v>0</v>
      </c>
    </row>
    <row r="1009" spans="1:7" x14ac:dyDescent="0.3">
      <c r="A1009" s="198">
        <v>1234988980</v>
      </c>
      <c r="B1009" s="192" t="s">
        <v>1108</v>
      </c>
      <c r="C1009" s="196">
        <v>0</v>
      </c>
      <c r="D1009" s="196">
        <v>1931000</v>
      </c>
      <c r="E1009" s="196">
        <v>1931000</v>
      </c>
      <c r="F1009" s="196">
        <v>0</v>
      </c>
      <c r="G1009" s="196">
        <v>0</v>
      </c>
    </row>
    <row r="1010" spans="1:7" x14ac:dyDescent="0.3">
      <c r="A1010" s="198">
        <v>1017145171</v>
      </c>
      <c r="B1010" s="192" t="s">
        <v>1109</v>
      </c>
      <c r="C1010" s="196">
        <v>0</v>
      </c>
      <c r="D1010" s="196">
        <v>101800</v>
      </c>
      <c r="E1010" s="196">
        <v>101800</v>
      </c>
      <c r="F1010" s="196">
        <v>0</v>
      </c>
      <c r="G1010" s="196">
        <v>0</v>
      </c>
    </row>
    <row r="1011" spans="1:7" x14ac:dyDescent="0.3">
      <c r="A1011" s="192" t="s">
        <v>1110</v>
      </c>
      <c r="B1011" s="192" t="s">
        <v>1111</v>
      </c>
      <c r="C1011" s="196">
        <v>0</v>
      </c>
      <c r="D1011" s="196">
        <v>25887200</v>
      </c>
      <c r="E1011" s="196">
        <v>25887200</v>
      </c>
      <c r="F1011" s="196">
        <v>0</v>
      </c>
      <c r="G1011" s="196">
        <v>0</v>
      </c>
    </row>
    <row r="1012" spans="1:7" x14ac:dyDescent="0.3">
      <c r="A1012" s="198">
        <v>21823038</v>
      </c>
      <c r="B1012" s="192" t="s">
        <v>1112</v>
      </c>
      <c r="C1012" s="196">
        <v>1</v>
      </c>
      <c r="D1012" s="196">
        <v>0</v>
      </c>
      <c r="E1012" s="196">
        <v>0</v>
      </c>
      <c r="F1012" s="196">
        <v>0</v>
      </c>
      <c r="G1012" s="196">
        <v>1</v>
      </c>
    </row>
    <row r="1013" spans="1:7" x14ac:dyDescent="0.3">
      <c r="A1013" s="198">
        <v>63393643</v>
      </c>
      <c r="B1013" s="192" t="s">
        <v>1113</v>
      </c>
      <c r="C1013" s="196">
        <v>0</v>
      </c>
      <c r="D1013" s="196">
        <v>175800</v>
      </c>
      <c r="E1013" s="196">
        <v>175800</v>
      </c>
      <c r="F1013" s="196">
        <v>0</v>
      </c>
      <c r="G1013" s="196">
        <v>0</v>
      </c>
    </row>
    <row r="1014" spans="1:7" x14ac:dyDescent="0.3">
      <c r="A1014" s="198">
        <v>1000549443</v>
      </c>
      <c r="B1014" s="192" t="s">
        <v>1114</v>
      </c>
      <c r="C1014" s="196">
        <v>0</v>
      </c>
      <c r="D1014" s="196">
        <v>108400</v>
      </c>
      <c r="E1014" s="196">
        <v>108400</v>
      </c>
      <c r="F1014" s="196">
        <v>0</v>
      </c>
      <c r="G1014" s="196">
        <v>0</v>
      </c>
    </row>
    <row r="1015" spans="1:7" x14ac:dyDescent="0.3">
      <c r="A1015" s="198">
        <v>1000639623</v>
      </c>
      <c r="B1015" s="192" t="s">
        <v>1115</v>
      </c>
      <c r="C1015" s="196">
        <v>0</v>
      </c>
      <c r="D1015" s="196">
        <v>190000</v>
      </c>
      <c r="E1015" s="196">
        <v>190000</v>
      </c>
      <c r="F1015" s="196">
        <v>0</v>
      </c>
      <c r="G1015" s="196">
        <v>0</v>
      </c>
    </row>
    <row r="1016" spans="1:7" x14ac:dyDescent="0.3">
      <c r="A1016" s="198">
        <v>1001420013</v>
      </c>
      <c r="B1016" s="192" t="s">
        <v>1116</v>
      </c>
      <c r="C1016" s="196">
        <v>0</v>
      </c>
      <c r="D1016" s="196">
        <v>23227000</v>
      </c>
      <c r="E1016" s="196">
        <v>23227000</v>
      </c>
      <c r="F1016" s="196">
        <v>0</v>
      </c>
      <c r="G1016" s="196">
        <v>0</v>
      </c>
    </row>
    <row r="1017" spans="1:7" x14ac:dyDescent="0.3">
      <c r="A1017" s="198">
        <v>43209723</v>
      </c>
      <c r="B1017" s="192" t="s">
        <v>1117</v>
      </c>
      <c r="C1017" s="196">
        <v>0</v>
      </c>
      <c r="D1017" s="196">
        <v>194000</v>
      </c>
      <c r="E1017" s="196">
        <v>194000</v>
      </c>
      <c r="F1017" s="196">
        <v>0</v>
      </c>
      <c r="G1017" s="196">
        <v>0</v>
      </c>
    </row>
    <row r="1018" spans="1:7" x14ac:dyDescent="0.3">
      <c r="A1018" s="198">
        <v>1031943683</v>
      </c>
      <c r="B1018" s="192" t="s">
        <v>1118</v>
      </c>
      <c r="C1018" s="196">
        <v>0</v>
      </c>
      <c r="D1018" s="196">
        <v>114400</v>
      </c>
      <c r="E1018" s="196">
        <v>114400</v>
      </c>
      <c r="F1018" s="196">
        <v>0</v>
      </c>
      <c r="G1018" s="196">
        <v>0</v>
      </c>
    </row>
    <row r="1019" spans="1:7" x14ac:dyDescent="0.3">
      <c r="A1019" s="198">
        <v>1017149668</v>
      </c>
      <c r="B1019" s="192" t="s">
        <v>1119</v>
      </c>
      <c r="C1019" s="196">
        <v>0</v>
      </c>
      <c r="D1019" s="196">
        <v>101800</v>
      </c>
      <c r="E1019" s="196">
        <v>101800</v>
      </c>
      <c r="F1019" s="196">
        <v>0</v>
      </c>
      <c r="G1019" s="196">
        <v>0</v>
      </c>
    </row>
    <row r="1020" spans="1:7" x14ac:dyDescent="0.3">
      <c r="A1020" s="198">
        <v>1003076672</v>
      </c>
      <c r="B1020" s="192" t="s">
        <v>1120</v>
      </c>
      <c r="C1020" s="196">
        <v>0</v>
      </c>
      <c r="D1020" s="196">
        <v>968000</v>
      </c>
      <c r="E1020" s="196">
        <v>968000</v>
      </c>
      <c r="F1020" s="196">
        <v>0</v>
      </c>
      <c r="G1020" s="196">
        <v>0</v>
      </c>
    </row>
    <row r="1021" spans="1:7" x14ac:dyDescent="0.3">
      <c r="A1021" s="198">
        <v>1041440035</v>
      </c>
      <c r="B1021" s="192" t="s">
        <v>1121</v>
      </c>
      <c r="C1021" s="196">
        <v>0</v>
      </c>
      <c r="D1021" s="196">
        <v>2018000</v>
      </c>
      <c r="E1021" s="196">
        <v>2018000</v>
      </c>
      <c r="F1021" s="196">
        <v>0</v>
      </c>
      <c r="G1021" s="196">
        <v>0</v>
      </c>
    </row>
    <row r="1022" spans="1:7" x14ac:dyDescent="0.3">
      <c r="A1022" s="198">
        <v>1000100909</v>
      </c>
      <c r="B1022" s="192" t="s">
        <v>1122</v>
      </c>
      <c r="C1022" s="196">
        <v>0</v>
      </c>
      <c r="D1022" s="196">
        <v>968000</v>
      </c>
      <c r="E1022" s="196">
        <v>968000</v>
      </c>
      <c r="F1022" s="196">
        <v>0</v>
      </c>
      <c r="G1022" s="196">
        <v>0</v>
      </c>
    </row>
    <row r="1023" spans="1:7" x14ac:dyDescent="0.3">
      <c r="A1023" s="198">
        <v>1019115308</v>
      </c>
      <c r="B1023" s="192" t="s">
        <v>1123</v>
      </c>
      <c r="C1023" s="196">
        <v>232050</v>
      </c>
      <c r="D1023" s="196">
        <v>0</v>
      </c>
      <c r="E1023" s="196">
        <v>0</v>
      </c>
      <c r="F1023" s="196">
        <v>0</v>
      </c>
      <c r="G1023" s="196">
        <v>232050</v>
      </c>
    </row>
    <row r="1024" spans="1:7" x14ac:dyDescent="0.3">
      <c r="A1024" s="198">
        <v>1037611822</v>
      </c>
      <c r="B1024" s="192" t="s">
        <v>1124</v>
      </c>
      <c r="C1024" s="196">
        <v>0</v>
      </c>
      <c r="D1024" s="196">
        <v>319000</v>
      </c>
      <c r="E1024" s="196">
        <v>319000</v>
      </c>
      <c r="F1024" s="196">
        <v>0</v>
      </c>
      <c r="G1024" s="196">
        <v>0</v>
      </c>
    </row>
    <row r="1025" spans="1:7" x14ac:dyDescent="0.3">
      <c r="A1025" s="198">
        <v>1001368377</v>
      </c>
      <c r="B1025" s="192" t="s">
        <v>1125</v>
      </c>
      <c r="C1025" s="196">
        <v>0</v>
      </c>
      <c r="D1025" s="196">
        <v>114400</v>
      </c>
      <c r="E1025" s="196">
        <v>114400</v>
      </c>
      <c r="F1025" s="196">
        <v>0</v>
      </c>
      <c r="G1025" s="196">
        <v>0</v>
      </c>
    </row>
    <row r="1026" spans="1:7" x14ac:dyDescent="0.3">
      <c r="A1026" s="198">
        <v>43613445</v>
      </c>
      <c r="B1026" s="192" t="s">
        <v>1126</v>
      </c>
      <c r="C1026" s="196">
        <v>0</v>
      </c>
      <c r="D1026" s="196">
        <v>101800</v>
      </c>
      <c r="E1026" s="196">
        <v>101800</v>
      </c>
      <c r="F1026" s="196">
        <v>0</v>
      </c>
      <c r="G1026" s="196">
        <v>0</v>
      </c>
    </row>
    <row r="1027" spans="1:7" x14ac:dyDescent="0.3">
      <c r="A1027" s="198">
        <v>43436837</v>
      </c>
      <c r="B1027" s="192" t="s">
        <v>1127</v>
      </c>
      <c r="C1027" s="196">
        <v>0</v>
      </c>
      <c r="D1027" s="196">
        <v>297000</v>
      </c>
      <c r="E1027" s="196">
        <v>297000</v>
      </c>
      <c r="F1027" s="196">
        <v>0</v>
      </c>
      <c r="G1027" s="196">
        <v>0</v>
      </c>
    </row>
    <row r="1028" spans="1:7" x14ac:dyDescent="0.3">
      <c r="A1028" s="198">
        <v>23196136</v>
      </c>
      <c r="B1028" s="192" t="s">
        <v>1128</v>
      </c>
      <c r="C1028" s="196">
        <v>0</v>
      </c>
      <c r="D1028" s="196">
        <v>4553950</v>
      </c>
      <c r="E1028" s="196">
        <v>4553950</v>
      </c>
      <c r="F1028" s="196">
        <v>0</v>
      </c>
      <c r="G1028" s="196">
        <v>0</v>
      </c>
    </row>
    <row r="1029" spans="1:7" x14ac:dyDescent="0.3">
      <c r="A1029" s="198">
        <v>32468608</v>
      </c>
      <c r="B1029" s="192" t="s">
        <v>1129</v>
      </c>
      <c r="C1029" s="196">
        <v>0</v>
      </c>
      <c r="D1029" s="196">
        <v>644600</v>
      </c>
      <c r="E1029" s="196">
        <v>644599</v>
      </c>
      <c r="F1029" s="196">
        <v>1</v>
      </c>
      <c r="G1029" s="196">
        <v>1</v>
      </c>
    </row>
    <row r="1030" spans="1:7" x14ac:dyDescent="0.3">
      <c r="A1030" s="198">
        <v>52197027</v>
      </c>
      <c r="B1030" s="192" t="s">
        <v>1130</v>
      </c>
      <c r="C1030" s="196">
        <v>0</v>
      </c>
      <c r="D1030" s="196">
        <v>87800</v>
      </c>
      <c r="E1030" s="196">
        <v>87800</v>
      </c>
      <c r="F1030" s="196">
        <v>0</v>
      </c>
      <c r="G1030" s="196">
        <v>0</v>
      </c>
    </row>
    <row r="1031" spans="1:7" x14ac:dyDescent="0.3">
      <c r="A1031" s="198">
        <v>39451318</v>
      </c>
      <c r="B1031" s="192" t="s">
        <v>1131</v>
      </c>
      <c r="C1031" s="196">
        <v>0</v>
      </c>
      <c r="D1031" s="196">
        <v>101800</v>
      </c>
      <c r="E1031" s="196">
        <v>101800</v>
      </c>
      <c r="F1031" s="196">
        <v>0</v>
      </c>
      <c r="G1031" s="196">
        <v>0</v>
      </c>
    </row>
    <row r="1032" spans="1:7" x14ac:dyDescent="0.3">
      <c r="A1032" s="198">
        <v>31221246</v>
      </c>
      <c r="B1032" s="192" t="s">
        <v>1132</v>
      </c>
      <c r="C1032" s="196">
        <v>0</v>
      </c>
      <c r="D1032" s="196">
        <v>59400</v>
      </c>
      <c r="E1032" s="196">
        <v>59400</v>
      </c>
      <c r="F1032" s="196">
        <v>0</v>
      </c>
      <c r="G1032" s="196">
        <v>0</v>
      </c>
    </row>
    <row r="1033" spans="1:7" x14ac:dyDescent="0.3">
      <c r="A1033" s="198">
        <v>38958393</v>
      </c>
      <c r="B1033" s="192" t="s">
        <v>1133</v>
      </c>
      <c r="C1033" s="196">
        <v>0</v>
      </c>
      <c r="D1033" s="196">
        <v>98000</v>
      </c>
      <c r="E1033" s="196">
        <v>98000</v>
      </c>
      <c r="F1033" s="196">
        <v>0</v>
      </c>
      <c r="G1033" s="196">
        <v>0</v>
      </c>
    </row>
    <row r="1034" spans="1:7" x14ac:dyDescent="0.3">
      <c r="A1034" s="198">
        <v>21929400</v>
      </c>
      <c r="B1034" s="192" t="s">
        <v>1134</v>
      </c>
      <c r="C1034" s="196">
        <v>0</v>
      </c>
      <c r="D1034" s="196">
        <v>4314200</v>
      </c>
      <c r="E1034" s="196">
        <v>4314200</v>
      </c>
      <c r="F1034" s="196">
        <v>0</v>
      </c>
      <c r="G1034" s="196">
        <v>0</v>
      </c>
    </row>
    <row r="1035" spans="1:7" x14ac:dyDescent="0.3">
      <c r="A1035" s="198">
        <v>22115821</v>
      </c>
      <c r="B1035" s="192" t="s">
        <v>1135</v>
      </c>
      <c r="C1035" s="196">
        <v>0</v>
      </c>
      <c r="D1035" s="196">
        <v>101800</v>
      </c>
      <c r="E1035" s="196">
        <v>101800</v>
      </c>
      <c r="F1035" s="196">
        <v>0</v>
      </c>
      <c r="G1035" s="196">
        <v>0</v>
      </c>
    </row>
    <row r="1036" spans="1:7" x14ac:dyDescent="0.3">
      <c r="A1036" s="198">
        <v>32461352</v>
      </c>
      <c r="B1036" s="192" t="s">
        <v>1136</v>
      </c>
      <c r="C1036" s="196">
        <v>0</v>
      </c>
      <c r="D1036" s="196">
        <v>57200</v>
      </c>
      <c r="E1036" s="196">
        <v>57200</v>
      </c>
      <c r="F1036" s="196">
        <v>0</v>
      </c>
      <c r="G1036" s="196">
        <v>0</v>
      </c>
    </row>
    <row r="1037" spans="1:7" x14ac:dyDescent="0.3">
      <c r="A1037" s="198">
        <v>42876460</v>
      </c>
      <c r="B1037" s="192" t="s">
        <v>1137</v>
      </c>
      <c r="C1037" s="196">
        <v>0</v>
      </c>
      <c r="D1037" s="196">
        <v>101800</v>
      </c>
      <c r="E1037" s="196">
        <v>101800</v>
      </c>
      <c r="F1037" s="196">
        <v>0</v>
      </c>
      <c r="G1037" s="196">
        <v>0</v>
      </c>
    </row>
    <row r="1038" spans="1:7" x14ac:dyDescent="0.3">
      <c r="A1038" s="198">
        <v>32336151</v>
      </c>
      <c r="B1038" s="192" t="s">
        <v>1138</v>
      </c>
      <c r="C1038" s="196">
        <v>0</v>
      </c>
      <c r="D1038" s="196">
        <v>2500000</v>
      </c>
      <c r="E1038" s="196">
        <v>2500000</v>
      </c>
      <c r="F1038" s="196">
        <v>0</v>
      </c>
      <c r="G1038" s="196">
        <v>0</v>
      </c>
    </row>
    <row r="1039" spans="1:7" x14ac:dyDescent="0.3">
      <c r="A1039" s="198">
        <v>32441670</v>
      </c>
      <c r="B1039" s="192" t="s">
        <v>1139</v>
      </c>
      <c r="C1039" s="196">
        <v>0</v>
      </c>
      <c r="D1039" s="196">
        <v>119000</v>
      </c>
      <c r="E1039" s="196">
        <v>119000</v>
      </c>
      <c r="F1039" s="196">
        <v>0</v>
      </c>
      <c r="G1039" s="196">
        <v>0</v>
      </c>
    </row>
    <row r="1040" spans="1:7" x14ac:dyDescent="0.3">
      <c r="A1040" s="198">
        <v>42745460</v>
      </c>
      <c r="B1040" s="192" t="s">
        <v>1140</v>
      </c>
      <c r="C1040" s="196">
        <v>0</v>
      </c>
      <c r="D1040" s="196">
        <v>133500</v>
      </c>
      <c r="E1040" s="196">
        <v>133500</v>
      </c>
      <c r="F1040" s="196">
        <v>0</v>
      </c>
      <c r="G1040" s="196">
        <v>0</v>
      </c>
    </row>
    <row r="1041" spans="1:7" x14ac:dyDescent="0.3">
      <c r="A1041" s="198">
        <v>32503737</v>
      </c>
      <c r="B1041" s="192" t="s">
        <v>1141</v>
      </c>
      <c r="C1041" s="196">
        <v>0</v>
      </c>
      <c r="D1041" s="196">
        <v>4900000</v>
      </c>
      <c r="E1041" s="196">
        <v>4900000</v>
      </c>
      <c r="F1041" s="196">
        <v>0</v>
      </c>
      <c r="G1041" s="196">
        <v>0</v>
      </c>
    </row>
    <row r="1042" spans="1:7" x14ac:dyDescent="0.3">
      <c r="A1042" s="198">
        <v>43807604</v>
      </c>
      <c r="B1042" s="192" t="s">
        <v>1142</v>
      </c>
      <c r="C1042" s="196">
        <v>0</v>
      </c>
      <c r="D1042" s="196">
        <v>184000</v>
      </c>
      <c r="E1042" s="196">
        <v>184000</v>
      </c>
      <c r="F1042" s="196">
        <v>0</v>
      </c>
      <c r="G1042" s="196">
        <v>0</v>
      </c>
    </row>
    <row r="1043" spans="1:7" x14ac:dyDescent="0.3">
      <c r="A1043" s="198">
        <v>51570259</v>
      </c>
      <c r="B1043" s="192" t="s">
        <v>1143</v>
      </c>
      <c r="C1043" s="196">
        <v>788000</v>
      </c>
      <c r="D1043" s="196">
        <v>0</v>
      </c>
      <c r="E1043" s="196">
        <v>788000</v>
      </c>
      <c r="F1043" s="196">
        <v>-788000</v>
      </c>
      <c r="G1043" s="196">
        <v>0</v>
      </c>
    </row>
    <row r="1044" spans="1:7" x14ac:dyDescent="0.3">
      <c r="A1044" s="198">
        <v>42784632</v>
      </c>
      <c r="B1044" s="192" t="s">
        <v>1144</v>
      </c>
      <c r="C1044" s="196">
        <v>0</v>
      </c>
      <c r="D1044" s="196">
        <v>1914600</v>
      </c>
      <c r="E1044" s="196">
        <v>1914600</v>
      </c>
      <c r="F1044" s="196">
        <v>0</v>
      </c>
      <c r="G1044" s="196">
        <v>0</v>
      </c>
    </row>
    <row r="1045" spans="1:7" x14ac:dyDescent="0.3">
      <c r="A1045" s="198">
        <v>1004921666</v>
      </c>
      <c r="B1045" s="192" t="s">
        <v>1145</v>
      </c>
      <c r="C1045" s="196">
        <v>0</v>
      </c>
      <c r="D1045" s="196">
        <v>295800</v>
      </c>
      <c r="E1045" s="196">
        <v>295800</v>
      </c>
      <c r="F1045" s="196">
        <v>0</v>
      </c>
      <c r="G1045" s="196">
        <v>0</v>
      </c>
    </row>
    <row r="1046" spans="1:7" x14ac:dyDescent="0.3">
      <c r="A1046" s="198">
        <v>1018240433</v>
      </c>
      <c r="B1046" s="192" t="s">
        <v>1146</v>
      </c>
      <c r="C1046" s="196">
        <v>0</v>
      </c>
      <c r="D1046" s="196">
        <v>968000</v>
      </c>
      <c r="E1046" s="196">
        <v>968000</v>
      </c>
      <c r="F1046" s="196">
        <v>0</v>
      </c>
      <c r="G1046" s="196">
        <v>0</v>
      </c>
    </row>
    <row r="1047" spans="1:7" x14ac:dyDescent="0.3">
      <c r="A1047" s="198">
        <v>1035017393</v>
      </c>
      <c r="B1047" s="192" t="s">
        <v>1147</v>
      </c>
      <c r="C1047" s="196">
        <v>0</v>
      </c>
      <c r="D1047" s="196">
        <v>181400</v>
      </c>
      <c r="E1047" s="196">
        <v>181400</v>
      </c>
      <c r="F1047" s="196">
        <v>0</v>
      </c>
      <c r="G1047" s="196">
        <v>0</v>
      </c>
    </row>
    <row r="1048" spans="1:7" x14ac:dyDescent="0.3">
      <c r="A1048" s="198">
        <v>1017187023</v>
      </c>
      <c r="B1048" s="192" t="s">
        <v>1148</v>
      </c>
      <c r="C1048" s="196">
        <v>0</v>
      </c>
      <c r="D1048" s="196">
        <v>193800</v>
      </c>
      <c r="E1048" s="196">
        <v>193800</v>
      </c>
      <c r="F1048" s="196">
        <v>0</v>
      </c>
      <c r="G1048" s="196">
        <v>0</v>
      </c>
    </row>
    <row r="1049" spans="1:7" x14ac:dyDescent="0.3">
      <c r="A1049" s="198">
        <v>1007676550</v>
      </c>
      <c r="B1049" s="192" t="s">
        <v>1149</v>
      </c>
      <c r="C1049" s="196">
        <v>0</v>
      </c>
      <c r="D1049" s="196">
        <v>963000</v>
      </c>
      <c r="E1049" s="196">
        <v>963000</v>
      </c>
      <c r="F1049" s="196">
        <v>0</v>
      </c>
      <c r="G1049" s="196">
        <v>0</v>
      </c>
    </row>
    <row r="1050" spans="1:7" x14ac:dyDescent="0.3">
      <c r="A1050" s="198">
        <v>21926012</v>
      </c>
      <c r="B1050" s="192" t="s">
        <v>1150</v>
      </c>
      <c r="C1050" s="196">
        <v>0</v>
      </c>
      <c r="D1050" s="196">
        <v>757000</v>
      </c>
      <c r="E1050" s="196">
        <v>757000</v>
      </c>
      <c r="F1050" s="196">
        <v>0</v>
      </c>
      <c r="G1050" s="196">
        <v>0</v>
      </c>
    </row>
    <row r="1051" spans="1:7" x14ac:dyDescent="0.3">
      <c r="A1051" s="198">
        <v>43527032</v>
      </c>
      <c r="B1051" s="192" t="s">
        <v>1151</v>
      </c>
      <c r="C1051" s="196">
        <v>0</v>
      </c>
      <c r="D1051" s="196">
        <v>448600</v>
      </c>
      <c r="E1051" s="196">
        <v>448600</v>
      </c>
      <c r="F1051" s="196">
        <v>0</v>
      </c>
      <c r="G1051" s="196">
        <v>0</v>
      </c>
    </row>
    <row r="1052" spans="1:7" x14ac:dyDescent="0.3">
      <c r="A1052" s="198">
        <v>21374036</v>
      </c>
      <c r="B1052" s="192" t="s">
        <v>1152</v>
      </c>
      <c r="C1052" s="196">
        <v>0</v>
      </c>
      <c r="D1052" s="196">
        <v>165000</v>
      </c>
      <c r="E1052" s="196">
        <v>165000</v>
      </c>
      <c r="F1052" s="196">
        <v>0</v>
      </c>
      <c r="G1052" s="196">
        <v>0</v>
      </c>
    </row>
    <row r="1053" spans="1:7" x14ac:dyDescent="0.3">
      <c r="A1053" s="198">
        <v>42872942</v>
      </c>
      <c r="B1053" s="192" t="s">
        <v>1153</v>
      </c>
      <c r="C1053" s="196">
        <v>0</v>
      </c>
      <c r="D1053" s="196">
        <v>1430000</v>
      </c>
      <c r="E1053" s="196">
        <v>1430000</v>
      </c>
      <c r="F1053" s="196">
        <v>0</v>
      </c>
      <c r="G1053" s="196">
        <v>0</v>
      </c>
    </row>
    <row r="1054" spans="1:7" x14ac:dyDescent="0.3">
      <c r="A1054" s="198">
        <v>1037629660</v>
      </c>
      <c r="B1054" s="192" t="s">
        <v>1154</v>
      </c>
      <c r="C1054" s="196">
        <v>0</v>
      </c>
      <c r="D1054" s="196">
        <v>108400</v>
      </c>
      <c r="E1054" s="196">
        <v>108400</v>
      </c>
      <c r="F1054" s="196">
        <v>0</v>
      </c>
      <c r="G1054" s="196">
        <v>0</v>
      </c>
    </row>
    <row r="1055" spans="1:7" x14ac:dyDescent="0.3">
      <c r="A1055" s="198">
        <v>1002327199</v>
      </c>
      <c r="B1055" s="192" t="s">
        <v>1155</v>
      </c>
      <c r="C1055" s="196">
        <v>0</v>
      </c>
      <c r="D1055" s="196">
        <v>319000</v>
      </c>
      <c r="E1055" s="196">
        <v>319000</v>
      </c>
      <c r="F1055" s="196">
        <v>0</v>
      </c>
      <c r="G1055" s="196">
        <v>0</v>
      </c>
    </row>
    <row r="1056" spans="1:7" x14ac:dyDescent="0.3">
      <c r="A1056" s="198">
        <v>43735841</v>
      </c>
      <c r="B1056" s="192" t="s">
        <v>1156</v>
      </c>
      <c r="C1056" s="196">
        <v>0</v>
      </c>
      <c r="D1056" s="196">
        <v>101800</v>
      </c>
      <c r="E1056" s="196">
        <v>101800</v>
      </c>
      <c r="F1056" s="196">
        <v>0</v>
      </c>
      <c r="G1056" s="196">
        <v>0</v>
      </c>
    </row>
    <row r="1057" spans="1:7" x14ac:dyDescent="0.3">
      <c r="A1057" s="198">
        <v>1000099024</v>
      </c>
      <c r="B1057" s="192" t="s">
        <v>1157</v>
      </c>
      <c r="C1057" s="196">
        <v>0</v>
      </c>
      <c r="D1057" s="196">
        <v>968000</v>
      </c>
      <c r="E1057" s="196">
        <v>968000</v>
      </c>
      <c r="F1057" s="196">
        <v>0</v>
      </c>
      <c r="G1057" s="196">
        <v>0</v>
      </c>
    </row>
    <row r="1058" spans="1:7" x14ac:dyDescent="0.3">
      <c r="A1058" s="198">
        <v>1005755050</v>
      </c>
      <c r="B1058" s="192" t="s">
        <v>1158</v>
      </c>
      <c r="C1058" s="196">
        <v>0</v>
      </c>
      <c r="D1058" s="196">
        <v>82800</v>
      </c>
      <c r="E1058" s="196">
        <v>82800</v>
      </c>
      <c r="F1058" s="196">
        <v>0</v>
      </c>
      <c r="G1058" s="196">
        <v>0</v>
      </c>
    </row>
    <row r="1059" spans="1:7" x14ac:dyDescent="0.3">
      <c r="A1059" s="198">
        <v>1032941800</v>
      </c>
      <c r="B1059" s="192" t="s">
        <v>1159</v>
      </c>
      <c r="C1059" s="196">
        <v>0</v>
      </c>
      <c r="D1059" s="196">
        <v>101800</v>
      </c>
      <c r="E1059" s="196">
        <v>101800</v>
      </c>
      <c r="F1059" s="196">
        <v>0</v>
      </c>
      <c r="G1059" s="196">
        <v>0</v>
      </c>
    </row>
    <row r="1060" spans="1:7" x14ac:dyDescent="0.3">
      <c r="A1060" s="198">
        <v>1095843402</v>
      </c>
      <c r="B1060" s="192" t="s">
        <v>1160</v>
      </c>
      <c r="C1060" s="196">
        <v>0</v>
      </c>
      <c r="D1060" s="196">
        <v>3000000</v>
      </c>
      <c r="E1060" s="196">
        <v>2500000</v>
      </c>
      <c r="F1060" s="196">
        <v>500000</v>
      </c>
      <c r="G1060" s="196">
        <v>500000</v>
      </c>
    </row>
    <row r="1061" spans="1:7" x14ac:dyDescent="0.3">
      <c r="A1061" s="198">
        <v>43031109</v>
      </c>
      <c r="B1061" s="192" t="s">
        <v>1161</v>
      </c>
      <c r="C1061" s="196">
        <v>0</v>
      </c>
      <c r="D1061" s="196">
        <v>319000</v>
      </c>
      <c r="E1061" s="196">
        <v>319000</v>
      </c>
      <c r="F1061" s="196">
        <v>0</v>
      </c>
      <c r="G1061" s="196">
        <v>0</v>
      </c>
    </row>
    <row r="1062" spans="1:7" x14ac:dyDescent="0.3">
      <c r="A1062" s="198">
        <v>1033273255</v>
      </c>
      <c r="B1062" s="192" t="s">
        <v>1162</v>
      </c>
      <c r="C1062" s="196">
        <v>0</v>
      </c>
      <c r="D1062" s="196">
        <v>50000</v>
      </c>
      <c r="E1062" s="196">
        <v>50000</v>
      </c>
      <c r="F1062" s="196">
        <v>0</v>
      </c>
      <c r="G1062" s="196">
        <v>0</v>
      </c>
    </row>
    <row r="1063" spans="1:7" x14ac:dyDescent="0.3">
      <c r="A1063" s="198">
        <v>39165428</v>
      </c>
      <c r="B1063" s="192" t="s">
        <v>1163</v>
      </c>
      <c r="C1063" s="196">
        <v>1</v>
      </c>
      <c r="D1063" s="196">
        <v>50899</v>
      </c>
      <c r="E1063" s="196">
        <v>50899</v>
      </c>
      <c r="F1063" s="196">
        <v>0</v>
      </c>
      <c r="G1063" s="196">
        <v>1</v>
      </c>
    </row>
    <row r="1064" spans="1:7" x14ac:dyDescent="0.3">
      <c r="A1064" s="198">
        <v>39328978</v>
      </c>
      <c r="B1064" s="192" t="s">
        <v>1164</v>
      </c>
      <c r="C1064" s="196">
        <v>0</v>
      </c>
      <c r="D1064" s="196">
        <v>247000</v>
      </c>
      <c r="E1064" s="196">
        <v>247000</v>
      </c>
      <c r="F1064" s="196">
        <v>0</v>
      </c>
      <c r="G1064" s="196">
        <v>0</v>
      </c>
    </row>
    <row r="1065" spans="1:7" x14ac:dyDescent="0.3">
      <c r="A1065" s="198">
        <v>21846628</v>
      </c>
      <c r="B1065" s="192" t="s">
        <v>1165</v>
      </c>
      <c r="C1065" s="196">
        <v>0</v>
      </c>
      <c r="D1065" s="196">
        <v>297000</v>
      </c>
      <c r="E1065" s="196">
        <v>297000</v>
      </c>
      <c r="F1065" s="196">
        <v>0</v>
      </c>
      <c r="G1065" s="196">
        <v>0</v>
      </c>
    </row>
    <row r="1066" spans="1:7" x14ac:dyDescent="0.3">
      <c r="A1066" s="198">
        <v>55152606</v>
      </c>
      <c r="B1066" s="192" t="s">
        <v>1166</v>
      </c>
      <c r="C1066" s="196">
        <v>0</v>
      </c>
      <c r="D1066" s="196">
        <v>260200</v>
      </c>
      <c r="E1066" s="196">
        <v>260200</v>
      </c>
      <c r="F1066" s="196">
        <v>0</v>
      </c>
      <c r="G1066" s="196">
        <v>0</v>
      </c>
    </row>
    <row r="1067" spans="1:7" x14ac:dyDescent="0.3">
      <c r="A1067" s="198">
        <v>66752160</v>
      </c>
      <c r="B1067" s="192" t="s">
        <v>1167</v>
      </c>
      <c r="C1067" s="196">
        <v>0</v>
      </c>
      <c r="D1067" s="196">
        <v>1864200</v>
      </c>
      <c r="E1067" s="196">
        <v>1864200</v>
      </c>
      <c r="F1067" s="196">
        <v>0</v>
      </c>
      <c r="G1067" s="196">
        <v>0</v>
      </c>
    </row>
    <row r="1068" spans="1:7" x14ac:dyDescent="0.3">
      <c r="A1068" s="198">
        <v>42882239</v>
      </c>
      <c r="B1068" s="192" t="s">
        <v>1168</v>
      </c>
      <c r="C1068" s="196">
        <v>0</v>
      </c>
      <c r="D1068" s="196">
        <v>14680200</v>
      </c>
      <c r="E1068" s="196">
        <v>14680200</v>
      </c>
      <c r="F1068" s="196">
        <v>0</v>
      </c>
      <c r="G1068" s="196">
        <v>0</v>
      </c>
    </row>
    <row r="1069" spans="1:7" x14ac:dyDescent="0.3">
      <c r="A1069" s="198">
        <v>21827792</v>
      </c>
      <c r="B1069" s="192" t="s">
        <v>1169</v>
      </c>
      <c r="C1069" s="196">
        <v>0</v>
      </c>
      <c r="D1069" s="196">
        <v>207900</v>
      </c>
      <c r="E1069" s="196">
        <v>207900</v>
      </c>
      <c r="F1069" s="196">
        <v>0</v>
      </c>
      <c r="G1069" s="196">
        <v>0</v>
      </c>
    </row>
    <row r="1070" spans="1:7" x14ac:dyDescent="0.3">
      <c r="A1070" s="198">
        <v>43032096</v>
      </c>
      <c r="B1070" s="192" t="s">
        <v>1170</v>
      </c>
      <c r="C1070" s="196">
        <v>0</v>
      </c>
      <c r="D1070" s="196">
        <v>5000000</v>
      </c>
      <c r="E1070" s="196">
        <v>5000000</v>
      </c>
      <c r="F1070" s="196">
        <v>0</v>
      </c>
      <c r="G1070" s="196">
        <v>0</v>
      </c>
    </row>
    <row r="1071" spans="1:7" x14ac:dyDescent="0.3">
      <c r="A1071" s="198">
        <v>32515596</v>
      </c>
      <c r="B1071" s="192" t="s">
        <v>1171</v>
      </c>
      <c r="C1071" s="196">
        <v>0</v>
      </c>
      <c r="D1071" s="196">
        <v>114400</v>
      </c>
      <c r="E1071" s="196">
        <v>114400</v>
      </c>
      <c r="F1071" s="196">
        <v>0</v>
      </c>
      <c r="G1071" s="196">
        <v>0</v>
      </c>
    </row>
    <row r="1072" spans="1:7" x14ac:dyDescent="0.3">
      <c r="A1072" s="198">
        <v>1035016165</v>
      </c>
      <c r="B1072" s="192" t="s">
        <v>1172</v>
      </c>
      <c r="C1072" s="196">
        <v>0</v>
      </c>
      <c r="D1072" s="196">
        <v>101800</v>
      </c>
      <c r="E1072" s="196">
        <v>101800</v>
      </c>
      <c r="F1072" s="196">
        <v>0</v>
      </c>
      <c r="G1072" s="196">
        <v>0</v>
      </c>
    </row>
    <row r="1073" spans="1:7" x14ac:dyDescent="0.3">
      <c r="A1073" s="198">
        <v>21395075</v>
      </c>
      <c r="B1073" s="192" t="s">
        <v>1173</v>
      </c>
      <c r="C1073" s="196">
        <v>0</v>
      </c>
      <c r="D1073" s="196">
        <v>66400</v>
      </c>
      <c r="E1073" s="196">
        <v>66400</v>
      </c>
      <c r="F1073" s="196">
        <v>0</v>
      </c>
      <c r="G1073" s="196">
        <v>0</v>
      </c>
    </row>
    <row r="1074" spans="1:7" x14ac:dyDescent="0.3">
      <c r="A1074" s="198">
        <v>41330362</v>
      </c>
      <c r="B1074" s="192" t="s">
        <v>1174</v>
      </c>
      <c r="C1074" s="196">
        <v>0</v>
      </c>
      <c r="D1074" s="196">
        <v>76800</v>
      </c>
      <c r="E1074" s="196">
        <v>76800</v>
      </c>
      <c r="F1074" s="196">
        <v>0</v>
      </c>
      <c r="G1074" s="196">
        <v>0</v>
      </c>
    </row>
    <row r="1075" spans="1:7" x14ac:dyDescent="0.3">
      <c r="A1075" s="198">
        <v>32328447</v>
      </c>
      <c r="B1075" s="192" t="s">
        <v>1175</v>
      </c>
      <c r="C1075" s="196">
        <v>0</v>
      </c>
      <c r="D1075" s="196">
        <v>1375000</v>
      </c>
      <c r="E1075" s="196">
        <v>1375000</v>
      </c>
      <c r="F1075" s="196">
        <v>0</v>
      </c>
      <c r="G1075" s="196">
        <v>0</v>
      </c>
    </row>
    <row r="1076" spans="1:7" x14ac:dyDescent="0.3">
      <c r="A1076" s="198">
        <v>32328657</v>
      </c>
      <c r="B1076" s="192" t="s">
        <v>1176</v>
      </c>
      <c r="C1076" s="196">
        <v>0</v>
      </c>
      <c r="D1076" s="196">
        <v>223300</v>
      </c>
      <c r="E1076" s="196">
        <v>223300</v>
      </c>
      <c r="F1076" s="196">
        <v>0</v>
      </c>
      <c r="G1076" s="196">
        <v>0</v>
      </c>
    </row>
    <row r="1077" spans="1:7" x14ac:dyDescent="0.3">
      <c r="A1077" s="198">
        <v>1035012081</v>
      </c>
      <c r="B1077" s="192" t="s">
        <v>1177</v>
      </c>
      <c r="C1077" s="196">
        <v>0</v>
      </c>
      <c r="D1077" s="196">
        <v>101800</v>
      </c>
      <c r="E1077" s="196">
        <v>101800</v>
      </c>
      <c r="F1077" s="196">
        <v>0</v>
      </c>
      <c r="G1077" s="196">
        <v>0</v>
      </c>
    </row>
    <row r="1078" spans="1:7" x14ac:dyDescent="0.3">
      <c r="A1078" s="198">
        <v>1155714020</v>
      </c>
      <c r="B1078" s="192" t="s">
        <v>1178</v>
      </c>
      <c r="C1078" s="196">
        <v>0</v>
      </c>
      <c r="D1078" s="196">
        <v>101800</v>
      </c>
      <c r="E1078" s="196">
        <v>101800</v>
      </c>
      <c r="F1078" s="196">
        <v>0</v>
      </c>
      <c r="G1078" s="196">
        <v>0</v>
      </c>
    </row>
    <row r="1079" spans="1:7" x14ac:dyDescent="0.3">
      <c r="A1079" s="198">
        <v>32522672</v>
      </c>
      <c r="B1079" s="192" t="s">
        <v>1179</v>
      </c>
      <c r="C1079" s="196">
        <v>5065600</v>
      </c>
      <c r="D1079" s="196">
        <v>0</v>
      </c>
      <c r="E1079" s="196">
        <v>5065600</v>
      </c>
      <c r="F1079" s="196">
        <v>-5065600</v>
      </c>
      <c r="G1079" s="196">
        <v>0</v>
      </c>
    </row>
    <row r="1080" spans="1:7" x14ac:dyDescent="0.3">
      <c r="A1080" s="198">
        <v>32432362</v>
      </c>
      <c r="B1080" s="192" t="s">
        <v>1180</v>
      </c>
      <c r="C1080" s="196">
        <v>-57200</v>
      </c>
      <c r="D1080" s="196">
        <v>1900000</v>
      </c>
      <c r="E1080" s="196">
        <v>1900000</v>
      </c>
      <c r="F1080" s="196">
        <v>0</v>
      </c>
      <c r="G1080" s="196">
        <v>-57200</v>
      </c>
    </row>
    <row r="1081" spans="1:7" x14ac:dyDescent="0.3">
      <c r="A1081" s="198">
        <v>21292670</v>
      </c>
      <c r="B1081" s="192" t="s">
        <v>1181</v>
      </c>
      <c r="C1081" s="196">
        <v>1</v>
      </c>
      <c r="D1081" s="196">
        <v>0</v>
      </c>
      <c r="E1081" s="196">
        <v>0</v>
      </c>
      <c r="F1081" s="196">
        <v>0</v>
      </c>
      <c r="G1081" s="196">
        <v>1</v>
      </c>
    </row>
    <row r="1082" spans="1:7" x14ac:dyDescent="0.3">
      <c r="A1082" s="198">
        <v>1033202337</v>
      </c>
      <c r="B1082" s="192" t="s">
        <v>1182</v>
      </c>
      <c r="C1082" s="196">
        <v>0</v>
      </c>
      <c r="D1082" s="196">
        <v>260200</v>
      </c>
      <c r="E1082" s="196">
        <v>260200</v>
      </c>
      <c r="F1082" s="196">
        <v>0</v>
      </c>
      <c r="G1082" s="196">
        <v>0</v>
      </c>
    </row>
    <row r="1083" spans="1:7" x14ac:dyDescent="0.3">
      <c r="A1083" s="198">
        <v>42878119</v>
      </c>
      <c r="B1083" s="192" t="s">
        <v>1183</v>
      </c>
      <c r="C1083" s="196">
        <v>0</v>
      </c>
      <c r="D1083" s="196">
        <v>159500</v>
      </c>
      <c r="E1083" s="196">
        <v>159500</v>
      </c>
      <c r="F1083" s="196">
        <v>0</v>
      </c>
      <c r="G1083" s="196">
        <v>0</v>
      </c>
    </row>
    <row r="1084" spans="1:7" x14ac:dyDescent="0.3">
      <c r="A1084" s="198">
        <v>42967780</v>
      </c>
      <c r="B1084" s="192" t="s">
        <v>1184</v>
      </c>
      <c r="C1084" s="196">
        <v>0</v>
      </c>
      <c r="D1084" s="196">
        <v>1511400</v>
      </c>
      <c r="E1084" s="196">
        <v>1511400</v>
      </c>
      <c r="F1084" s="196">
        <v>0</v>
      </c>
      <c r="G1084" s="196">
        <v>0</v>
      </c>
    </row>
    <row r="1085" spans="1:7" x14ac:dyDescent="0.3">
      <c r="A1085" s="198">
        <v>1000393037</v>
      </c>
      <c r="B1085" s="192" t="s">
        <v>1185</v>
      </c>
      <c r="C1085" s="196">
        <v>0</v>
      </c>
      <c r="D1085" s="196">
        <v>194000</v>
      </c>
      <c r="E1085" s="196">
        <v>194000</v>
      </c>
      <c r="F1085" s="196">
        <v>0</v>
      </c>
      <c r="G1085" s="196">
        <v>0</v>
      </c>
    </row>
    <row r="1086" spans="1:7" x14ac:dyDescent="0.3">
      <c r="A1086" s="198">
        <v>32509314</v>
      </c>
      <c r="B1086" s="192" t="s">
        <v>1186</v>
      </c>
      <c r="C1086" s="196">
        <v>0</v>
      </c>
      <c r="D1086" s="196">
        <v>380000</v>
      </c>
      <c r="E1086" s="196">
        <v>380000</v>
      </c>
      <c r="F1086" s="196">
        <v>0</v>
      </c>
      <c r="G1086" s="196">
        <v>0</v>
      </c>
    </row>
    <row r="1087" spans="1:7" x14ac:dyDescent="0.3">
      <c r="A1087" s="198">
        <v>43634940</v>
      </c>
      <c r="B1087" s="192" t="s">
        <v>1187</v>
      </c>
      <c r="C1087" s="196">
        <v>3500000</v>
      </c>
      <c r="D1087" s="196">
        <v>0</v>
      </c>
      <c r="E1087" s="196">
        <v>3500000</v>
      </c>
      <c r="F1087" s="196">
        <v>-3500000</v>
      </c>
      <c r="G1087" s="196">
        <v>0</v>
      </c>
    </row>
    <row r="1088" spans="1:7" x14ac:dyDescent="0.3">
      <c r="A1088" s="198">
        <v>1038406632</v>
      </c>
      <c r="B1088" s="192" t="s">
        <v>1188</v>
      </c>
      <c r="C1088" s="196">
        <v>2155000</v>
      </c>
      <c r="D1088" s="196">
        <v>0</v>
      </c>
      <c r="E1088" s="196">
        <v>2155000</v>
      </c>
      <c r="F1088" s="196">
        <v>-2155000</v>
      </c>
      <c r="G1088" s="196">
        <v>0</v>
      </c>
    </row>
    <row r="1089" spans="1:7" x14ac:dyDescent="0.3">
      <c r="A1089" s="198">
        <v>21335332</v>
      </c>
      <c r="B1089" s="192" t="s">
        <v>1189</v>
      </c>
      <c r="C1089" s="196">
        <v>0</v>
      </c>
      <c r="D1089" s="196">
        <v>412000</v>
      </c>
      <c r="E1089" s="196">
        <v>412000</v>
      </c>
      <c r="F1089" s="196">
        <v>0</v>
      </c>
      <c r="G1089" s="196">
        <v>0</v>
      </c>
    </row>
    <row r="1090" spans="1:7" x14ac:dyDescent="0.3">
      <c r="A1090" s="198">
        <v>32419962</v>
      </c>
      <c r="B1090" s="192" t="s">
        <v>1190</v>
      </c>
      <c r="C1090" s="196">
        <v>0</v>
      </c>
      <c r="D1090" s="196">
        <v>688000</v>
      </c>
      <c r="E1090" s="196">
        <v>688000</v>
      </c>
      <c r="F1090" s="196">
        <v>0</v>
      </c>
      <c r="G1090" s="196">
        <v>0</v>
      </c>
    </row>
    <row r="1091" spans="1:7" x14ac:dyDescent="0.3">
      <c r="A1091" s="198">
        <v>1020324465</v>
      </c>
      <c r="B1091" s="192" t="s">
        <v>1191</v>
      </c>
      <c r="C1091" s="196">
        <v>0</v>
      </c>
      <c r="D1091" s="196">
        <v>108400</v>
      </c>
      <c r="E1091" s="196">
        <v>108400</v>
      </c>
      <c r="F1091" s="196">
        <v>0</v>
      </c>
      <c r="G1091" s="196">
        <v>0</v>
      </c>
    </row>
    <row r="1092" spans="1:7" x14ac:dyDescent="0.3">
      <c r="A1092" s="198">
        <v>27075301</v>
      </c>
      <c r="B1092" s="192" t="s">
        <v>1192</v>
      </c>
      <c r="C1092" s="196">
        <v>0</v>
      </c>
      <c r="D1092" s="196">
        <v>920000</v>
      </c>
      <c r="E1092" s="196">
        <v>920000</v>
      </c>
      <c r="F1092" s="196">
        <v>0</v>
      </c>
      <c r="G1092" s="196">
        <v>0</v>
      </c>
    </row>
    <row r="1093" spans="1:7" x14ac:dyDescent="0.3">
      <c r="A1093" s="198">
        <v>1027886553</v>
      </c>
      <c r="B1093" s="192" t="s">
        <v>1193</v>
      </c>
      <c r="C1093" s="196">
        <v>0</v>
      </c>
      <c r="D1093" s="196">
        <v>344600</v>
      </c>
      <c r="E1093" s="196">
        <v>344600</v>
      </c>
      <c r="F1093" s="196">
        <v>0</v>
      </c>
      <c r="G1093" s="196">
        <v>0</v>
      </c>
    </row>
    <row r="1094" spans="1:7" x14ac:dyDescent="0.3">
      <c r="A1094" s="198">
        <v>1007433504</v>
      </c>
      <c r="B1094" s="192" t="s">
        <v>1194</v>
      </c>
      <c r="C1094" s="196">
        <v>0</v>
      </c>
      <c r="D1094" s="196">
        <v>968000</v>
      </c>
      <c r="E1094" s="196">
        <v>968000</v>
      </c>
      <c r="F1094" s="196">
        <v>0</v>
      </c>
      <c r="G1094" s="196">
        <v>0</v>
      </c>
    </row>
    <row r="1095" spans="1:7" x14ac:dyDescent="0.3">
      <c r="A1095" s="198">
        <v>1126593504</v>
      </c>
      <c r="B1095" s="192" t="s">
        <v>1195</v>
      </c>
      <c r="C1095" s="196">
        <v>0</v>
      </c>
      <c r="D1095" s="196">
        <v>297000</v>
      </c>
      <c r="E1095" s="196">
        <v>297000</v>
      </c>
      <c r="F1095" s="196">
        <v>0</v>
      </c>
      <c r="G1095" s="196">
        <v>0</v>
      </c>
    </row>
    <row r="1096" spans="1:7" x14ac:dyDescent="0.3">
      <c r="A1096" s="198">
        <v>1031941805</v>
      </c>
      <c r="B1096" s="192" t="s">
        <v>1196</v>
      </c>
      <c r="C1096" s="196">
        <v>0</v>
      </c>
      <c r="D1096" s="196">
        <v>101800</v>
      </c>
      <c r="E1096" s="196">
        <v>101800</v>
      </c>
      <c r="F1096" s="196">
        <v>0</v>
      </c>
      <c r="G1096" s="196">
        <v>0</v>
      </c>
    </row>
    <row r="1097" spans="1:7" x14ac:dyDescent="0.3">
      <c r="A1097" s="198">
        <v>1038421680</v>
      </c>
      <c r="B1097" s="192" t="s">
        <v>1197</v>
      </c>
      <c r="C1097" s="196">
        <v>0</v>
      </c>
      <c r="D1097" s="196">
        <v>21950</v>
      </c>
      <c r="E1097" s="196">
        <v>21950</v>
      </c>
      <c r="F1097" s="196">
        <v>0</v>
      </c>
      <c r="G1097" s="196">
        <v>0</v>
      </c>
    </row>
    <row r="1098" spans="1:7" x14ac:dyDescent="0.3">
      <c r="A1098" s="198">
        <v>32427140</v>
      </c>
      <c r="B1098" s="192" t="s">
        <v>1198</v>
      </c>
      <c r="C1098" s="196">
        <v>0</v>
      </c>
      <c r="D1098" s="196">
        <v>6295000</v>
      </c>
      <c r="E1098" s="196">
        <v>6295000</v>
      </c>
      <c r="F1098" s="196">
        <v>0</v>
      </c>
      <c r="G1098" s="196">
        <v>0</v>
      </c>
    </row>
    <row r="1099" spans="1:7" x14ac:dyDescent="0.3">
      <c r="A1099" s="192" t="s">
        <v>1199</v>
      </c>
      <c r="B1099" s="192" t="s">
        <v>1200</v>
      </c>
      <c r="C1099" s="196">
        <v>0</v>
      </c>
      <c r="D1099" s="196">
        <v>3264000</v>
      </c>
      <c r="E1099" s="196">
        <v>3264000</v>
      </c>
      <c r="F1099" s="196">
        <v>0</v>
      </c>
      <c r="G1099" s="196">
        <v>0</v>
      </c>
    </row>
    <row r="1100" spans="1:7" x14ac:dyDescent="0.3">
      <c r="A1100" s="198">
        <v>43265814</v>
      </c>
      <c r="B1100" s="192" t="s">
        <v>1201</v>
      </c>
      <c r="C1100" s="196">
        <v>0</v>
      </c>
      <c r="D1100" s="196">
        <v>101800</v>
      </c>
      <c r="E1100" s="196">
        <v>101800</v>
      </c>
      <c r="F1100" s="196">
        <v>0</v>
      </c>
      <c r="G1100" s="196">
        <v>0</v>
      </c>
    </row>
    <row r="1101" spans="1:7" x14ac:dyDescent="0.3">
      <c r="A1101" s="198">
        <v>1036614032</v>
      </c>
      <c r="B1101" s="192" t="s">
        <v>1202</v>
      </c>
      <c r="C1101" s="196">
        <v>0</v>
      </c>
      <c r="D1101" s="196">
        <v>195600</v>
      </c>
      <c r="E1101" s="196">
        <v>195600</v>
      </c>
      <c r="F1101" s="196">
        <v>0</v>
      </c>
      <c r="G1101" s="196">
        <v>0</v>
      </c>
    </row>
    <row r="1102" spans="1:7" x14ac:dyDescent="0.3">
      <c r="A1102" s="198">
        <v>1128466020</v>
      </c>
      <c r="B1102" s="192" t="s">
        <v>1203</v>
      </c>
      <c r="C1102" s="196">
        <v>0</v>
      </c>
      <c r="D1102" s="196">
        <v>394650</v>
      </c>
      <c r="E1102" s="196">
        <v>394649</v>
      </c>
      <c r="F1102" s="196">
        <v>1</v>
      </c>
      <c r="G1102" s="196">
        <v>1</v>
      </c>
    </row>
    <row r="1103" spans="1:7" x14ac:dyDescent="0.3">
      <c r="A1103" s="198">
        <v>16138038</v>
      </c>
      <c r="B1103" s="192" t="s">
        <v>1204</v>
      </c>
      <c r="C1103" s="196">
        <v>1</v>
      </c>
      <c r="D1103" s="196">
        <v>0</v>
      </c>
      <c r="E1103" s="196">
        <v>0</v>
      </c>
      <c r="F1103" s="196">
        <v>0</v>
      </c>
      <c r="G1103" s="196">
        <v>1</v>
      </c>
    </row>
    <row r="1104" spans="1:7" x14ac:dyDescent="0.3">
      <c r="A1104" s="198">
        <v>59673463</v>
      </c>
      <c r="B1104" s="192" t="s">
        <v>1205</v>
      </c>
      <c r="C1104" s="196">
        <v>1</v>
      </c>
      <c r="D1104" s="196">
        <v>0</v>
      </c>
      <c r="E1104" s="196">
        <v>0</v>
      </c>
      <c r="F1104" s="196">
        <v>0</v>
      </c>
      <c r="G1104" s="196">
        <v>1</v>
      </c>
    </row>
    <row r="1105" spans="1:7" x14ac:dyDescent="0.3">
      <c r="A1105" s="198">
        <v>1017183582</v>
      </c>
      <c r="B1105" s="192" t="s">
        <v>1206</v>
      </c>
      <c r="C1105" s="196">
        <v>0</v>
      </c>
      <c r="D1105" s="196">
        <v>108400</v>
      </c>
      <c r="E1105" s="196">
        <v>108400</v>
      </c>
      <c r="F1105" s="196">
        <v>0</v>
      </c>
      <c r="G1105" s="196">
        <v>0</v>
      </c>
    </row>
    <row r="1106" spans="1:7" x14ac:dyDescent="0.3">
      <c r="A1106" s="198">
        <v>1110498900</v>
      </c>
      <c r="B1106" s="192" t="s">
        <v>1207</v>
      </c>
      <c r="C1106" s="196">
        <v>0</v>
      </c>
      <c r="D1106" s="196">
        <v>85000</v>
      </c>
      <c r="E1106" s="196">
        <v>85000</v>
      </c>
      <c r="F1106" s="196">
        <v>0</v>
      </c>
      <c r="G1106" s="196">
        <v>0</v>
      </c>
    </row>
    <row r="1107" spans="1:7" x14ac:dyDescent="0.3">
      <c r="A1107" s="198">
        <v>43751973</v>
      </c>
      <c r="B1107" s="192" t="s">
        <v>1208</v>
      </c>
      <c r="C1107" s="196">
        <v>0</v>
      </c>
      <c r="D1107" s="196">
        <v>101000</v>
      </c>
      <c r="E1107" s="196">
        <v>101000</v>
      </c>
      <c r="F1107" s="196">
        <v>0</v>
      </c>
      <c r="G1107" s="196">
        <v>0</v>
      </c>
    </row>
    <row r="1108" spans="1:7" x14ac:dyDescent="0.3">
      <c r="A1108" s="192" t="s">
        <v>1209</v>
      </c>
      <c r="B1108" s="192" t="s">
        <v>1210</v>
      </c>
      <c r="C1108" s="196">
        <v>1396000</v>
      </c>
      <c r="D1108" s="196">
        <v>0</v>
      </c>
      <c r="E1108" s="196">
        <v>1396000</v>
      </c>
      <c r="F1108" s="196">
        <v>-1396000</v>
      </c>
      <c r="G1108" s="196">
        <v>0</v>
      </c>
    </row>
    <row r="1109" spans="1:7" x14ac:dyDescent="0.3">
      <c r="A1109" s="198">
        <v>1025645394</v>
      </c>
      <c r="B1109" s="192" t="s">
        <v>1211</v>
      </c>
      <c r="C1109" s="196">
        <v>0</v>
      </c>
      <c r="D1109" s="196">
        <v>968000</v>
      </c>
      <c r="E1109" s="196">
        <v>968000</v>
      </c>
      <c r="F1109" s="196">
        <v>0</v>
      </c>
      <c r="G1109" s="196">
        <v>0</v>
      </c>
    </row>
    <row r="1110" spans="1:7" x14ac:dyDescent="0.3">
      <c r="A1110" s="198">
        <v>43555876</v>
      </c>
      <c r="B1110" s="192" t="s">
        <v>1212</v>
      </c>
      <c r="C1110" s="196">
        <v>0</v>
      </c>
      <c r="D1110" s="196">
        <v>297000</v>
      </c>
      <c r="E1110" s="196">
        <v>297000</v>
      </c>
      <c r="F1110" s="196">
        <v>0</v>
      </c>
      <c r="G1110" s="196">
        <v>0</v>
      </c>
    </row>
    <row r="1111" spans="1:7" x14ac:dyDescent="0.3">
      <c r="A1111" s="198">
        <v>43584622</v>
      </c>
      <c r="B1111" s="192" t="s">
        <v>1213</v>
      </c>
      <c r="C1111" s="196">
        <v>0</v>
      </c>
      <c r="D1111" s="196">
        <v>163900</v>
      </c>
      <c r="E1111" s="196">
        <v>163900</v>
      </c>
      <c r="F1111" s="196">
        <v>0</v>
      </c>
      <c r="G1111" s="196">
        <v>0</v>
      </c>
    </row>
    <row r="1112" spans="1:7" x14ac:dyDescent="0.3">
      <c r="A1112" s="198">
        <v>21700928</v>
      </c>
      <c r="B1112" s="192" t="s">
        <v>1214</v>
      </c>
      <c r="C1112" s="196">
        <v>0</v>
      </c>
      <c r="D1112" s="196">
        <v>357000</v>
      </c>
      <c r="E1112" s="196">
        <v>357000</v>
      </c>
      <c r="F1112" s="196">
        <v>0</v>
      </c>
      <c r="G1112" s="196">
        <v>0</v>
      </c>
    </row>
    <row r="1113" spans="1:7" x14ac:dyDescent="0.3">
      <c r="A1113" s="198">
        <v>43468711</v>
      </c>
      <c r="B1113" s="192" t="s">
        <v>1215</v>
      </c>
      <c r="C1113" s="196">
        <v>0</v>
      </c>
      <c r="D1113" s="196">
        <v>535500</v>
      </c>
      <c r="E1113" s="196">
        <v>535500</v>
      </c>
      <c r="F1113" s="196">
        <v>0</v>
      </c>
      <c r="G1113" s="196">
        <v>0</v>
      </c>
    </row>
    <row r="1114" spans="1:7" x14ac:dyDescent="0.3">
      <c r="A1114" s="198">
        <v>37934561</v>
      </c>
      <c r="B1114" s="192" t="s">
        <v>1216</v>
      </c>
      <c r="C1114" s="196">
        <v>0</v>
      </c>
      <c r="D1114" s="196">
        <v>82800</v>
      </c>
      <c r="E1114" s="196">
        <v>82800</v>
      </c>
      <c r="F1114" s="196">
        <v>0</v>
      </c>
      <c r="G1114" s="196">
        <v>0</v>
      </c>
    </row>
    <row r="1115" spans="1:7" x14ac:dyDescent="0.3">
      <c r="A1115" s="198">
        <v>24601616</v>
      </c>
      <c r="B1115" s="192" t="s">
        <v>1217</v>
      </c>
      <c r="C1115" s="196">
        <v>0</v>
      </c>
      <c r="D1115" s="196">
        <v>290000</v>
      </c>
      <c r="E1115" s="196">
        <v>290000</v>
      </c>
      <c r="F1115" s="196">
        <v>0</v>
      </c>
      <c r="G1115" s="196">
        <v>0</v>
      </c>
    </row>
    <row r="1116" spans="1:7" x14ac:dyDescent="0.3">
      <c r="A1116" s="198">
        <v>32079919</v>
      </c>
      <c r="B1116" s="192" t="s">
        <v>1218</v>
      </c>
      <c r="C1116" s="196">
        <v>0</v>
      </c>
      <c r="D1116" s="196">
        <v>218400</v>
      </c>
      <c r="E1116" s="196">
        <v>218400</v>
      </c>
      <c r="F1116" s="196">
        <v>0</v>
      </c>
      <c r="G1116" s="196">
        <v>0</v>
      </c>
    </row>
    <row r="1117" spans="1:7" x14ac:dyDescent="0.3">
      <c r="A1117" s="198">
        <v>32453643</v>
      </c>
      <c r="B1117" s="192" t="s">
        <v>1219</v>
      </c>
      <c r="C1117" s="196">
        <v>0</v>
      </c>
      <c r="D1117" s="196">
        <v>114400</v>
      </c>
      <c r="E1117" s="196">
        <v>114400</v>
      </c>
      <c r="F1117" s="196">
        <v>0</v>
      </c>
      <c r="G1117" s="196">
        <v>0</v>
      </c>
    </row>
    <row r="1118" spans="1:7" x14ac:dyDescent="0.3">
      <c r="A1118" s="198">
        <v>43072147</v>
      </c>
      <c r="B1118" s="192" t="s">
        <v>1220</v>
      </c>
      <c r="C1118" s="196">
        <v>0</v>
      </c>
      <c r="D1118" s="196">
        <v>4551200</v>
      </c>
      <c r="E1118" s="196">
        <v>4551200</v>
      </c>
      <c r="F1118" s="196">
        <v>0</v>
      </c>
      <c r="G1118" s="196">
        <v>0</v>
      </c>
    </row>
    <row r="1119" spans="1:7" x14ac:dyDescent="0.3">
      <c r="A1119" s="198">
        <v>42891583</v>
      </c>
      <c r="B1119" s="192" t="s">
        <v>1221</v>
      </c>
      <c r="C1119" s="196">
        <v>0</v>
      </c>
      <c r="D1119" s="196">
        <v>6620000</v>
      </c>
      <c r="E1119" s="196">
        <v>6620000</v>
      </c>
      <c r="F1119" s="196">
        <v>0</v>
      </c>
      <c r="G1119" s="196">
        <v>0</v>
      </c>
    </row>
    <row r="1120" spans="1:7" x14ac:dyDescent="0.3">
      <c r="A1120" s="198">
        <v>21862570</v>
      </c>
      <c r="B1120" s="192" t="s">
        <v>1222</v>
      </c>
      <c r="C1120" s="196">
        <v>0</v>
      </c>
      <c r="D1120" s="196">
        <v>297000</v>
      </c>
      <c r="E1120" s="196">
        <v>297000</v>
      </c>
      <c r="F1120" s="196">
        <v>0</v>
      </c>
      <c r="G1120" s="196">
        <v>0</v>
      </c>
    </row>
    <row r="1121" spans="1:7" x14ac:dyDescent="0.3">
      <c r="A1121" s="198">
        <v>60325631</v>
      </c>
      <c r="B1121" s="192" t="s">
        <v>1223</v>
      </c>
      <c r="C1121" s="196">
        <v>0</v>
      </c>
      <c r="D1121" s="196">
        <v>5614200</v>
      </c>
      <c r="E1121" s="196">
        <v>5614200</v>
      </c>
      <c r="F1121" s="196">
        <v>0</v>
      </c>
      <c r="G1121" s="196">
        <v>0</v>
      </c>
    </row>
    <row r="1122" spans="1:7" x14ac:dyDescent="0.3">
      <c r="A1122" s="198">
        <v>1035022431</v>
      </c>
      <c r="B1122" s="192" t="s">
        <v>1224</v>
      </c>
      <c r="C1122" s="196">
        <v>0</v>
      </c>
      <c r="D1122" s="196">
        <v>101800</v>
      </c>
      <c r="E1122" s="196">
        <v>101800</v>
      </c>
      <c r="F1122" s="196">
        <v>0</v>
      </c>
      <c r="G1122" s="196">
        <v>0</v>
      </c>
    </row>
    <row r="1123" spans="1:7" x14ac:dyDescent="0.3">
      <c r="A1123" s="198">
        <v>1034998300</v>
      </c>
      <c r="B1123" s="192" t="s">
        <v>1225</v>
      </c>
      <c r="C1123" s="196">
        <v>0</v>
      </c>
      <c r="D1123" s="196">
        <v>101800</v>
      </c>
      <c r="E1123" s="196">
        <v>101800</v>
      </c>
      <c r="F1123" s="196">
        <v>0</v>
      </c>
      <c r="G1123" s="196">
        <v>0</v>
      </c>
    </row>
    <row r="1124" spans="1:7" x14ac:dyDescent="0.3">
      <c r="A1124" s="198">
        <v>1035026123</v>
      </c>
      <c r="B1124" s="192" t="s">
        <v>1226</v>
      </c>
      <c r="C1124" s="196">
        <v>0</v>
      </c>
      <c r="D1124" s="196">
        <v>101800</v>
      </c>
      <c r="E1124" s="196">
        <v>101800</v>
      </c>
      <c r="F1124" s="196">
        <v>0</v>
      </c>
      <c r="G1124" s="196">
        <v>0</v>
      </c>
    </row>
    <row r="1125" spans="1:7" x14ac:dyDescent="0.3">
      <c r="A1125" s="192" t="s">
        <v>1227</v>
      </c>
      <c r="B1125" s="192" t="s">
        <v>1228</v>
      </c>
      <c r="C1125" s="196">
        <v>0</v>
      </c>
      <c r="D1125" s="196">
        <v>420000</v>
      </c>
      <c r="E1125" s="196">
        <v>420000</v>
      </c>
      <c r="F1125" s="196">
        <v>0</v>
      </c>
      <c r="G1125" s="196">
        <v>0</v>
      </c>
    </row>
    <row r="1126" spans="1:7" x14ac:dyDescent="0.3">
      <c r="A1126" s="198">
        <v>22028098</v>
      </c>
      <c r="B1126" s="192" t="s">
        <v>1229</v>
      </c>
      <c r="C1126" s="196">
        <v>0</v>
      </c>
      <c r="D1126" s="196">
        <v>76800</v>
      </c>
      <c r="E1126" s="196">
        <v>76800</v>
      </c>
      <c r="F1126" s="196">
        <v>0</v>
      </c>
      <c r="G1126" s="196">
        <v>0</v>
      </c>
    </row>
    <row r="1127" spans="1:7" x14ac:dyDescent="0.3">
      <c r="A1127" s="198">
        <v>43610929</v>
      </c>
      <c r="B1127" s="192" t="s">
        <v>1230</v>
      </c>
      <c r="C1127" s="196">
        <v>12</v>
      </c>
      <c r="D1127" s="196">
        <v>0</v>
      </c>
      <c r="E1127" s="196">
        <v>0</v>
      </c>
      <c r="F1127" s="196">
        <v>0</v>
      </c>
      <c r="G1127" s="196">
        <v>12</v>
      </c>
    </row>
    <row r="1128" spans="1:7" x14ac:dyDescent="0.3">
      <c r="A1128" s="198">
        <v>43872437</v>
      </c>
      <c r="B1128" s="192" t="s">
        <v>1231</v>
      </c>
      <c r="C1128" s="196">
        <v>0</v>
      </c>
      <c r="D1128" s="196">
        <v>180000</v>
      </c>
      <c r="E1128" s="196">
        <v>180000</v>
      </c>
      <c r="F1128" s="196">
        <v>0</v>
      </c>
      <c r="G1128" s="196">
        <v>0</v>
      </c>
    </row>
    <row r="1129" spans="1:7" x14ac:dyDescent="0.3">
      <c r="A1129" s="198">
        <v>43108729</v>
      </c>
      <c r="B1129" s="192" t="s">
        <v>1232</v>
      </c>
      <c r="C1129" s="196">
        <v>0</v>
      </c>
      <c r="D1129" s="196">
        <v>4314200</v>
      </c>
      <c r="E1129" s="196">
        <v>4314200</v>
      </c>
      <c r="F1129" s="196">
        <v>0</v>
      </c>
      <c r="G1129" s="196">
        <v>0</v>
      </c>
    </row>
    <row r="1130" spans="1:7" x14ac:dyDescent="0.3">
      <c r="A1130" s="198">
        <v>1034996891</v>
      </c>
      <c r="B1130" s="192" t="s">
        <v>1233</v>
      </c>
      <c r="C1130" s="196">
        <v>0</v>
      </c>
      <c r="D1130" s="196">
        <v>159300</v>
      </c>
      <c r="E1130" s="196">
        <v>159299</v>
      </c>
      <c r="F1130" s="196">
        <v>1</v>
      </c>
      <c r="G1130" s="196">
        <v>1</v>
      </c>
    </row>
    <row r="1131" spans="1:7" x14ac:dyDescent="0.3">
      <c r="A1131" s="198">
        <v>1035020589</v>
      </c>
      <c r="B1131" s="192" t="s">
        <v>1234</v>
      </c>
      <c r="C1131" s="196">
        <v>0</v>
      </c>
      <c r="D1131" s="196">
        <v>101800</v>
      </c>
      <c r="E1131" s="196">
        <v>101800</v>
      </c>
      <c r="F1131" s="196">
        <v>0</v>
      </c>
      <c r="G1131" s="196">
        <v>0</v>
      </c>
    </row>
    <row r="1132" spans="1:7" x14ac:dyDescent="0.3">
      <c r="A1132" s="198">
        <v>1015485039</v>
      </c>
      <c r="B1132" s="192" t="s">
        <v>1235</v>
      </c>
      <c r="C1132" s="196">
        <v>0</v>
      </c>
      <c r="D1132" s="196">
        <v>69600</v>
      </c>
      <c r="E1132" s="196">
        <v>69600</v>
      </c>
      <c r="F1132" s="196">
        <v>0</v>
      </c>
      <c r="G1132" s="196">
        <v>0</v>
      </c>
    </row>
    <row r="1133" spans="1:7" x14ac:dyDescent="0.3">
      <c r="A1133" s="198">
        <v>1002901310</v>
      </c>
      <c r="B1133" s="192" t="s">
        <v>1236</v>
      </c>
      <c r="C1133" s="196">
        <v>0</v>
      </c>
      <c r="D1133" s="196">
        <v>542600</v>
      </c>
      <c r="E1133" s="196">
        <v>542600</v>
      </c>
      <c r="F1133" s="196">
        <v>0</v>
      </c>
      <c r="G1133" s="196">
        <v>0</v>
      </c>
    </row>
    <row r="1134" spans="1:7" x14ac:dyDescent="0.3">
      <c r="A1134" s="198">
        <v>1239490184</v>
      </c>
      <c r="B1134" s="192" t="s">
        <v>1237</v>
      </c>
      <c r="C1134" s="196">
        <v>0</v>
      </c>
      <c r="D1134" s="196">
        <v>101800</v>
      </c>
      <c r="E1134" s="196">
        <v>101800</v>
      </c>
      <c r="F1134" s="196">
        <v>0</v>
      </c>
      <c r="G1134" s="196">
        <v>0</v>
      </c>
    </row>
    <row r="1135" spans="1:7" x14ac:dyDescent="0.3">
      <c r="A1135" s="198">
        <v>1036636165</v>
      </c>
      <c r="B1135" s="192" t="s">
        <v>1238</v>
      </c>
      <c r="C1135" s="196">
        <v>0</v>
      </c>
      <c r="D1135" s="196">
        <v>101800</v>
      </c>
      <c r="E1135" s="196">
        <v>101800</v>
      </c>
      <c r="F1135" s="196">
        <v>0</v>
      </c>
      <c r="G1135" s="196">
        <v>0</v>
      </c>
    </row>
    <row r="1136" spans="1:7" x14ac:dyDescent="0.3">
      <c r="A1136" s="198">
        <v>1035008387</v>
      </c>
      <c r="B1136" s="192" t="s">
        <v>1239</v>
      </c>
      <c r="C1136" s="196">
        <v>0</v>
      </c>
      <c r="D1136" s="196">
        <v>101800</v>
      </c>
      <c r="E1136" s="196">
        <v>101800</v>
      </c>
      <c r="F1136" s="196">
        <v>0</v>
      </c>
      <c r="G1136" s="196">
        <v>0</v>
      </c>
    </row>
    <row r="1137" spans="1:7" x14ac:dyDescent="0.3">
      <c r="A1137" s="198">
        <v>1025897655</v>
      </c>
      <c r="B1137" s="192" t="s">
        <v>1240</v>
      </c>
      <c r="C1137" s="196">
        <v>0</v>
      </c>
      <c r="D1137" s="196">
        <v>101800</v>
      </c>
      <c r="E1137" s="196">
        <v>101800</v>
      </c>
      <c r="F1137" s="196">
        <v>0</v>
      </c>
      <c r="G1137" s="196">
        <v>0</v>
      </c>
    </row>
    <row r="1138" spans="1:7" x14ac:dyDescent="0.3">
      <c r="A1138" s="198">
        <v>1035021061</v>
      </c>
      <c r="B1138" s="192" t="s">
        <v>1241</v>
      </c>
      <c r="C1138" s="196">
        <v>0</v>
      </c>
      <c r="D1138" s="196">
        <v>170800</v>
      </c>
      <c r="E1138" s="196">
        <v>170800</v>
      </c>
      <c r="F1138" s="196">
        <v>0</v>
      </c>
      <c r="G1138" s="196">
        <v>0</v>
      </c>
    </row>
    <row r="1139" spans="1:7" x14ac:dyDescent="0.3">
      <c r="A1139" s="198">
        <v>1017931432</v>
      </c>
      <c r="B1139" s="192" t="s">
        <v>1242</v>
      </c>
      <c r="C1139" s="196">
        <v>0</v>
      </c>
      <c r="D1139" s="196">
        <v>94000</v>
      </c>
      <c r="E1139" s="196">
        <v>94000</v>
      </c>
      <c r="F1139" s="196">
        <v>0</v>
      </c>
      <c r="G1139" s="196">
        <v>0</v>
      </c>
    </row>
    <row r="1140" spans="1:7" x14ac:dyDescent="0.3">
      <c r="A1140" s="198">
        <v>1034998639</v>
      </c>
      <c r="B1140" s="192" t="s">
        <v>1243</v>
      </c>
      <c r="C1140" s="196">
        <v>0</v>
      </c>
      <c r="D1140" s="196">
        <v>101800</v>
      </c>
      <c r="E1140" s="196">
        <v>101800</v>
      </c>
      <c r="F1140" s="196">
        <v>0</v>
      </c>
      <c r="G1140" s="196">
        <v>0</v>
      </c>
    </row>
    <row r="1141" spans="1:7" x14ac:dyDescent="0.3">
      <c r="A1141" s="198">
        <v>1013355706</v>
      </c>
      <c r="B1141" s="192" t="s">
        <v>1244</v>
      </c>
      <c r="C1141" s="196">
        <v>0</v>
      </c>
      <c r="D1141" s="196">
        <v>340000</v>
      </c>
      <c r="E1141" s="196">
        <v>340000</v>
      </c>
      <c r="F1141" s="196">
        <v>0</v>
      </c>
      <c r="G1141" s="196">
        <v>0</v>
      </c>
    </row>
    <row r="1142" spans="1:7" x14ac:dyDescent="0.3">
      <c r="A1142" s="198">
        <v>1035022004</v>
      </c>
      <c r="B1142" s="192" t="s">
        <v>1245</v>
      </c>
      <c r="C1142" s="196">
        <v>0</v>
      </c>
      <c r="D1142" s="196">
        <v>108400</v>
      </c>
      <c r="E1142" s="196">
        <v>108400</v>
      </c>
      <c r="F1142" s="196">
        <v>0</v>
      </c>
      <c r="G1142" s="196">
        <v>0</v>
      </c>
    </row>
    <row r="1143" spans="1:7" x14ac:dyDescent="0.3">
      <c r="A1143" s="192" t="s">
        <v>1246</v>
      </c>
      <c r="B1143" s="192" t="s">
        <v>1247</v>
      </c>
      <c r="C1143" s="196">
        <v>0</v>
      </c>
      <c r="D1143" s="196">
        <v>1001000</v>
      </c>
      <c r="E1143" s="196">
        <v>1001000</v>
      </c>
      <c r="F1143" s="196">
        <v>0</v>
      </c>
      <c r="G1143" s="196">
        <v>0</v>
      </c>
    </row>
    <row r="1144" spans="1:7" x14ac:dyDescent="0.3">
      <c r="A1144" s="198">
        <v>1040527263</v>
      </c>
      <c r="B1144" s="192" t="s">
        <v>1248</v>
      </c>
      <c r="C1144" s="196">
        <v>0</v>
      </c>
      <c r="D1144" s="196">
        <v>49600</v>
      </c>
      <c r="E1144" s="196">
        <v>49600</v>
      </c>
      <c r="F1144" s="196">
        <v>0</v>
      </c>
      <c r="G1144" s="196">
        <v>0</v>
      </c>
    </row>
    <row r="1145" spans="1:7" x14ac:dyDescent="0.3">
      <c r="A1145" s="198">
        <v>19165393</v>
      </c>
      <c r="B1145" s="192" t="s">
        <v>1249</v>
      </c>
      <c r="C1145" s="196">
        <v>0</v>
      </c>
      <c r="D1145" s="196">
        <v>352200</v>
      </c>
      <c r="E1145" s="196">
        <v>352200</v>
      </c>
      <c r="F1145" s="196">
        <v>0</v>
      </c>
      <c r="G1145" s="196">
        <v>0</v>
      </c>
    </row>
    <row r="1146" spans="1:7" x14ac:dyDescent="0.3">
      <c r="A1146" s="198">
        <v>79836914</v>
      </c>
      <c r="B1146" s="192" t="s">
        <v>1250</v>
      </c>
      <c r="C1146" s="196">
        <v>0</v>
      </c>
      <c r="D1146" s="196">
        <v>62100</v>
      </c>
      <c r="E1146" s="196">
        <v>62100</v>
      </c>
      <c r="F1146" s="196">
        <v>0</v>
      </c>
      <c r="G1146" s="196">
        <v>0</v>
      </c>
    </row>
    <row r="1147" spans="1:7" x14ac:dyDescent="0.3">
      <c r="A1147" s="198">
        <v>79410125</v>
      </c>
      <c r="B1147" s="192" t="s">
        <v>1251</v>
      </c>
      <c r="C1147" s="196">
        <v>0</v>
      </c>
      <c r="D1147" s="196">
        <v>101800</v>
      </c>
      <c r="E1147" s="196">
        <v>101800</v>
      </c>
      <c r="F1147" s="196">
        <v>0</v>
      </c>
      <c r="G1147" s="196">
        <v>0</v>
      </c>
    </row>
    <row r="1148" spans="1:7" x14ac:dyDescent="0.3">
      <c r="A1148" s="198">
        <v>1023573957</v>
      </c>
      <c r="B1148" s="192" t="s">
        <v>1252</v>
      </c>
      <c r="C1148" s="196">
        <v>0</v>
      </c>
      <c r="D1148" s="196">
        <v>340000</v>
      </c>
      <c r="E1148" s="196">
        <v>340000</v>
      </c>
      <c r="F1148" s="196">
        <v>0</v>
      </c>
      <c r="G1148" s="196">
        <v>0</v>
      </c>
    </row>
    <row r="1149" spans="1:7" x14ac:dyDescent="0.3">
      <c r="A1149" s="198">
        <v>1020241011</v>
      </c>
      <c r="B1149" s="192" t="s">
        <v>1253</v>
      </c>
      <c r="C1149" s="196">
        <v>0</v>
      </c>
      <c r="D1149" s="196">
        <v>101800</v>
      </c>
      <c r="E1149" s="196">
        <v>101800</v>
      </c>
      <c r="F1149" s="196">
        <v>0</v>
      </c>
      <c r="G1149" s="196">
        <v>0</v>
      </c>
    </row>
    <row r="1150" spans="1:7" x14ac:dyDescent="0.3">
      <c r="A1150" s="198">
        <v>1038267772</v>
      </c>
      <c r="B1150" s="192" t="s">
        <v>1254</v>
      </c>
      <c r="C1150" s="196">
        <v>0</v>
      </c>
      <c r="D1150" s="196">
        <v>170000</v>
      </c>
      <c r="E1150" s="196">
        <v>170000</v>
      </c>
      <c r="F1150" s="196">
        <v>0</v>
      </c>
      <c r="G1150" s="196">
        <v>0</v>
      </c>
    </row>
    <row r="1151" spans="1:7" x14ac:dyDescent="0.3">
      <c r="A1151" s="198">
        <v>1033272851</v>
      </c>
      <c r="B1151" s="192" t="s">
        <v>1255</v>
      </c>
      <c r="C1151" s="196">
        <v>0</v>
      </c>
      <c r="D1151" s="196">
        <v>340000</v>
      </c>
      <c r="E1151" s="196">
        <v>340000</v>
      </c>
      <c r="F1151" s="196">
        <v>0</v>
      </c>
      <c r="G1151" s="196">
        <v>0</v>
      </c>
    </row>
    <row r="1152" spans="1:7" x14ac:dyDescent="0.3">
      <c r="A1152" s="192" t="s">
        <v>1256</v>
      </c>
      <c r="B1152" s="192" t="s">
        <v>1257</v>
      </c>
      <c r="C1152" s="196">
        <v>0</v>
      </c>
      <c r="D1152" s="196">
        <v>7900000</v>
      </c>
      <c r="E1152" s="196">
        <v>7900000</v>
      </c>
      <c r="F1152" s="196">
        <v>0</v>
      </c>
      <c r="G1152" s="196">
        <v>0</v>
      </c>
    </row>
    <row r="1153" spans="1:7" x14ac:dyDescent="0.3">
      <c r="A1153" s="198">
        <v>901226955</v>
      </c>
      <c r="B1153" s="192" t="s">
        <v>137</v>
      </c>
      <c r="C1153" s="196">
        <v>5208200</v>
      </c>
      <c r="D1153" s="196">
        <v>6704200</v>
      </c>
      <c r="E1153" s="196">
        <v>10758900</v>
      </c>
      <c r="F1153" s="196">
        <v>-4054700</v>
      </c>
      <c r="G1153" s="196">
        <v>1153500</v>
      </c>
    </row>
    <row r="1154" spans="1:7" x14ac:dyDescent="0.3">
      <c r="A1154" s="198">
        <v>901746122</v>
      </c>
      <c r="B1154" s="192" t="s">
        <v>1258</v>
      </c>
      <c r="C1154" s="196">
        <v>11880</v>
      </c>
      <c r="D1154" s="196">
        <v>0</v>
      </c>
      <c r="E1154" s="196">
        <v>11880</v>
      </c>
      <c r="F1154" s="196">
        <v>-11880</v>
      </c>
      <c r="G1154" s="196">
        <v>0</v>
      </c>
    </row>
    <row r="1155" spans="1:7" x14ac:dyDescent="0.3">
      <c r="A1155" s="198">
        <v>900178724</v>
      </c>
      <c r="B1155" s="192" t="s">
        <v>1259</v>
      </c>
      <c r="C1155" s="196">
        <v>139919967.16</v>
      </c>
      <c r="D1155" s="196">
        <v>98117437</v>
      </c>
      <c r="E1155" s="196">
        <v>147166953.74000001</v>
      </c>
      <c r="F1155" s="196">
        <v>-49049516.740000002</v>
      </c>
      <c r="G1155" s="196">
        <v>90870450.420000002</v>
      </c>
    </row>
    <row r="1156" spans="1:7" x14ac:dyDescent="0.3">
      <c r="A1156" s="198">
        <v>681379535</v>
      </c>
      <c r="B1156" s="192" t="s">
        <v>1260</v>
      </c>
      <c r="C1156" s="196">
        <v>0</v>
      </c>
      <c r="D1156" s="196">
        <v>347000</v>
      </c>
      <c r="E1156" s="196">
        <v>347000</v>
      </c>
      <c r="F1156" s="196">
        <v>0</v>
      </c>
      <c r="G1156" s="196">
        <v>0</v>
      </c>
    </row>
    <row r="1157" spans="1:7" x14ac:dyDescent="0.3">
      <c r="A1157" s="198">
        <v>1036651210</v>
      </c>
      <c r="B1157" s="192" t="s">
        <v>1261</v>
      </c>
      <c r="C1157" s="196">
        <v>0</v>
      </c>
      <c r="D1157" s="196">
        <v>968000</v>
      </c>
      <c r="E1157" s="196">
        <v>968000</v>
      </c>
      <c r="F1157" s="196">
        <v>0</v>
      </c>
      <c r="G1157" s="196">
        <v>0</v>
      </c>
    </row>
    <row r="1158" spans="1:7" x14ac:dyDescent="0.3">
      <c r="A1158" s="198">
        <v>1020485666</v>
      </c>
      <c r="B1158" s="192" t="s">
        <v>1262</v>
      </c>
      <c r="C1158" s="196">
        <v>0</v>
      </c>
      <c r="D1158" s="196">
        <v>963000</v>
      </c>
      <c r="E1158" s="196">
        <v>963000</v>
      </c>
      <c r="F1158" s="196">
        <v>0</v>
      </c>
      <c r="G1158" s="196">
        <v>0</v>
      </c>
    </row>
    <row r="1159" spans="1:7" x14ac:dyDescent="0.3">
      <c r="A1159" s="198">
        <v>1214732908</v>
      </c>
      <c r="B1159" s="192" t="s">
        <v>1263</v>
      </c>
      <c r="C1159" s="196">
        <v>0</v>
      </c>
      <c r="D1159" s="196">
        <v>148500</v>
      </c>
      <c r="E1159" s="196">
        <v>148500</v>
      </c>
      <c r="F1159" s="196">
        <v>0</v>
      </c>
      <c r="G1159" s="196">
        <v>0</v>
      </c>
    </row>
    <row r="1160" spans="1:7" x14ac:dyDescent="0.3">
      <c r="A1160" s="198">
        <v>1001709660</v>
      </c>
      <c r="B1160" s="192" t="s">
        <v>1264</v>
      </c>
      <c r="C1160" s="196">
        <v>0</v>
      </c>
      <c r="D1160" s="196">
        <v>345200</v>
      </c>
      <c r="E1160" s="196">
        <v>345200</v>
      </c>
      <c r="F1160" s="196">
        <v>0</v>
      </c>
      <c r="G1160" s="196">
        <v>0</v>
      </c>
    </row>
    <row r="1161" spans="1:7" x14ac:dyDescent="0.3">
      <c r="A1161" s="198">
        <v>1077469089</v>
      </c>
      <c r="B1161" s="192" t="s">
        <v>1265</v>
      </c>
      <c r="C1161" s="196">
        <v>2900000</v>
      </c>
      <c r="D1161" s="196">
        <v>0</v>
      </c>
      <c r="E1161" s="196">
        <v>2900000</v>
      </c>
      <c r="F1161" s="196">
        <v>-2900000</v>
      </c>
      <c r="G1161" s="196">
        <v>0</v>
      </c>
    </row>
    <row r="1162" spans="1:7" x14ac:dyDescent="0.3">
      <c r="A1162" s="192" t="s">
        <v>1266</v>
      </c>
      <c r="B1162" s="192" t="s">
        <v>1267</v>
      </c>
      <c r="C1162" s="196">
        <v>1500000</v>
      </c>
      <c r="D1162" s="196">
        <v>0</v>
      </c>
      <c r="E1162" s="196">
        <v>1500000</v>
      </c>
      <c r="F1162" s="196">
        <v>-1500000</v>
      </c>
      <c r="G1162" s="196">
        <v>0</v>
      </c>
    </row>
    <row r="1163" spans="1:7" x14ac:dyDescent="0.3">
      <c r="A1163" s="198">
        <v>1035022935</v>
      </c>
      <c r="B1163" s="192" t="s">
        <v>1268</v>
      </c>
      <c r="C1163" s="196">
        <v>0</v>
      </c>
      <c r="D1163" s="196">
        <v>101800</v>
      </c>
      <c r="E1163" s="196">
        <v>101800</v>
      </c>
      <c r="F1163" s="196">
        <v>0</v>
      </c>
      <c r="G1163" s="196">
        <v>0</v>
      </c>
    </row>
    <row r="1164" spans="1:7" x14ac:dyDescent="0.3">
      <c r="A1164" s="198">
        <v>1034928352</v>
      </c>
      <c r="B1164" s="192" t="s">
        <v>1269</v>
      </c>
      <c r="C1164" s="196">
        <v>0</v>
      </c>
      <c r="D1164" s="196">
        <v>340000</v>
      </c>
      <c r="E1164" s="196">
        <v>340000</v>
      </c>
      <c r="F1164" s="196">
        <v>0</v>
      </c>
      <c r="G1164" s="196">
        <v>0</v>
      </c>
    </row>
    <row r="1165" spans="1:7" x14ac:dyDescent="0.3">
      <c r="A1165" s="192" t="s">
        <v>1270</v>
      </c>
      <c r="B1165" s="192" t="s">
        <v>1271</v>
      </c>
      <c r="C1165" s="196">
        <v>0</v>
      </c>
      <c r="D1165" s="196">
        <v>409000</v>
      </c>
      <c r="E1165" s="196">
        <v>409000</v>
      </c>
      <c r="F1165" s="196">
        <v>0</v>
      </c>
      <c r="G1165" s="196">
        <v>0</v>
      </c>
    </row>
    <row r="1166" spans="1:7" x14ac:dyDescent="0.3">
      <c r="A1166" s="198">
        <v>1094961271</v>
      </c>
      <c r="B1166" s="192" t="s">
        <v>1272</v>
      </c>
      <c r="C1166" s="196">
        <v>0</v>
      </c>
      <c r="D1166" s="196">
        <v>963000</v>
      </c>
      <c r="E1166" s="196">
        <v>963000</v>
      </c>
      <c r="F1166" s="196">
        <v>0</v>
      </c>
      <c r="G1166" s="196">
        <v>0</v>
      </c>
    </row>
    <row r="1167" spans="1:7" x14ac:dyDescent="0.3">
      <c r="A1167" s="198">
        <v>1018236820</v>
      </c>
      <c r="B1167" s="192" t="s">
        <v>1273</v>
      </c>
      <c r="C1167" s="196">
        <v>0</v>
      </c>
      <c r="D1167" s="196">
        <v>108400</v>
      </c>
      <c r="E1167" s="196">
        <v>108400</v>
      </c>
      <c r="F1167" s="196">
        <v>0</v>
      </c>
      <c r="G1167" s="196">
        <v>0</v>
      </c>
    </row>
    <row r="1168" spans="1:7" x14ac:dyDescent="0.3">
      <c r="A1168" s="198">
        <v>1127941794</v>
      </c>
      <c r="B1168" s="192" t="s">
        <v>1274</v>
      </c>
      <c r="C1168" s="196">
        <v>1</v>
      </c>
      <c r="D1168" s="196">
        <v>380000</v>
      </c>
      <c r="E1168" s="196">
        <v>380000</v>
      </c>
      <c r="F1168" s="196">
        <v>0</v>
      </c>
      <c r="G1168" s="196">
        <v>1</v>
      </c>
    </row>
    <row r="1169" spans="1:7" x14ac:dyDescent="0.3">
      <c r="A1169" s="198">
        <v>70129416</v>
      </c>
      <c r="B1169" s="192" t="s">
        <v>1275</v>
      </c>
      <c r="C1169" s="196">
        <v>0</v>
      </c>
      <c r="D1169" s="196">
        <v>101800</v>
      </c>
      <c r="E1169" s="196">
        <v>101800</v>
      </c>
      <c r="F1169" s="196">
        <v>0</v>
      </c>
      <c r="G1169" s="196">
        <v>0</v>
      </c>
    </row>
    <row r="1170" spans="1:7" x14ac:dyDescent="0.3">
      <c r="A1170" s="198">
        <v>79280241</v>
      </c>
      <c r="B1170" s="192" t="s">
        <v>1276</v>
      </c>
      <c r="C1170" s="196">
        <v>0</v>
      </c>
      <c r="D1170" s="196">
        <v>98000</v>
      </c>
      <c r="E1170" s="196">
        <v>98000</v>
      </c>
      <c r="F1170" s="196">
        <v>0</v>
      </c>
      <c r="G1170" s="196">
        <v>0</v>
      </c>
    </row>
    <row r="1171" spans="1:7" x14ac:dyDescent="0.3">
      <c r="A1171" s="198">
        <v>1025906615</v>
      </c>
      <c r="B1171" s="192" t="s">
        <v>1277</v>
      </c>
      <c r="C1171" s="196">
        <v>0</v>
      </c>
      <c r="D1171" s="196">
        <v>101800</v>
      </c>
      <c r="E1171" s="196">
        <v>101800</v>
      </c>
      <c r="F1171" s="196">
        <v>0</v>
      </c>
      <c r="G1171" s="196">
        <v>0</v>
      </c>
    </row>
    <row r="1172" spans="1:7" x14ac:dyDescent="0.3">
      <c r="A1172" s="192" t="s">
        <v>1278</v>
      </c>
      <c r="B1172" s="192" t="s">
        <v>1279</v>
      </c>
      <c r="C1172" s="196">
        <v>0</v>
      </c>
      <c r="D1172" s="196">
        <v>24947200</v>
      </c>
      <c r="E1172" s="196">
        <v>24947200</v>
      </c>
      <c r="F1172" s="196">
        <v>0</v>
      </c>
      <c r="G1172" s="196">
        <v>0</v>
      </c>
    </row>
    <row r="1173" spans="1:7" x14ac:dyDescent="0.3">
      <c r="A1173" s="198">
        <v>1144636015</v>
      </c>
      <c r="B1173" s="192" t="s">
        <v>1280</v>
      </c>
      <c r="C1173" s="196">
        <v>0</v>
      </c>
      <c r="D1173" s="196">
        <v>101800</v>
      </c>
      <c r="E1173" s="196">
        <v>101800</v>
      </c>
      <c r="F1173" s="196">
        <v>0</v>
      </c>
      <c r="G1173" s="196">
        <v>0</v>
      </c>
    </row>
    <row r="1174" spans="1:7" x14ac:dyDescent="0.3">
      <c r="A1174" s="198">
        <v>1110577361</v>
      </c>
      <c r="B1174" s="192" t="s">
        <v>1281</v>
      </c>
      <c r="C1174" s="196">
        <v>0</v>
      </c>
      <c r="D1174" s="196">
        <v>319000</v>
      </c>
      <c r="E1174" s="196">
        <v>319000</v>
      </c>
      <c r="F1174" s="196">
        <v>0</v>
      </c>
      <c r="G1174" s="196">
        <v>0</v>
      </c>
    </row>
    <row r="1175" spans="1:7" x14ac:dyDescent="0.3">
      <c r="A1175" s="198">
        <v>43035613</v>
      </c>
      <c r="B1175" s="192" t="s">
        <v>1282</v>
      </c>
      <c r="C1175" s="196">
        <v>0</v>
      </c>
      <c r="D1175" s="196">
        <v>101800</v>
      </c>
      <c r="E1175" s="196">
        <v>101800</v>
      </c>
      <c r="F1175" s="196">
        <v>0</v>
      </c>
      <c r="G1175" s="196">
        <v>0</v>
      </c>
    </row>
    <row r="1176" spans="1:7" x14ac:dyDescent="0.3">
      <c r="A1176" s="198">
        <v>21400419</v>
      </c>
      <c r="B1176" s="192" t="s">
        <v>1283</v>
      </c>
      <c r="C1176" s="196">
        <v>0</v>
      </c>
      <c r="D1176" s="196">
        <v>114400</v>
      </c>
      <c r="E1176" s="196">
        <v>114400</v>
      </c>
      <c r="F1176" s="196">
        <v>0</v>
      </c>
      <c r="G1176" s="196">
        <v>0</v>
      </c>
    </row>
    <row r="1177" spans="1:7" x14ac:dyDescent="0.3">
      <c r="A1177" s="198">
        <v>43723842</v>
      </c>
      <c r="B1177" s="192" t="s">
        <v>1284</v>
      </c>
      <c r="C1177" s="196">
        <v>0</v>
      </c>
      <c r="D1177" s="196">
        <v>114400</v>
      </c>
      <c r="E1177" s="196">
        <v>114400</v>
      </c>
      <c r="F1177" s="196">
        <v>0</v>
      </c>
      <c r="G1177" s="196">
        <v>0</v>
      </c>
    </row>
    <row r="1178" spans="1:7" x14ac:dyDescent="0.3">
      <c r="A1178" s="198">
        <v>32240584</v>
      </c>
      <c r="B1178" s="192" t="s">
        <v>1285</v>
      </c>
      <c r="C1178" s="196">
        <v>0</v>
      </c>
      <c r="D1178" s="196">
        <v>106000</v>
      </c>
      <c r="E1178" s="196">
        <v>106000</v>
      </c>
      <c r="F1178" s="196">
        <v>0</v>
      </c>
      <c r="G1178" s="196">
        <v>0</v>
      </c>
    </row>
    <row r="1179" spans="1:7" x14ac:dyDescent="0.3">
      <c r="A1179" s="198">
        <v>66776407</v>
      </c>
      <c r="B1179" s="192" t="s">
        <v>1286</v>
      </c>
      <c r="C1179" s="196">
        <v>17951100</v>
      </c>
      <c r="D1179" s="196">
        <v>0</v>
      </c>
      <c r="E1179" s="196">
        <v>0</v>
      </c>
      <c r="F1179" s="196">
        <v>0</v>
      </c>
      <c r="G1179" s="196">
        <v>17951100</v>
      </c>
    </row>
    <row r="1180" spans="1:7" x14ac:dyDescent="0.3">
      <c r="A1180" s="198">
        <v>1035012305</v>
      </c>
      <c r="B1180" s="192" t="s">
        <v>1287</v>
      </c>
      <c r="C1180" s="196">
        <v>0</v>
      </c>
      <c r="D1180" s="196">
        <v>101800</v>
      </c>
      <c r="E1180" s="196">
        <v>101800</v>
      </c>
      <c r="F1180" s="196">
        <v>0</v>
      </c>
      <c r="G1180" s="196">
        <v>0</v>
      </c>
    </row>
    <row r="1181" spans="1:7" x14ac:dyDescent="0.3">
      <c r="A1181" s="198">
        <v>1015198362</v>
      </c>
      <c r="B1181" s="192" t="s">
        <v>1288</v>
      </c>
      <c r="C1181" s="196">
        <v>0</v>
      </c>
      <c r="D1181" s="196">
        <v>102400</v>
      </c>
      <c r="E1181" s="196">
        <v>102400</v>
      </c>
      <c r="F1181" s="196">
        <v>0</v>
      </c>
      <c r="G1181" s="196">
        <v>0</v>
      </c>
    </row>
    <row r="1182" spans="1:7" x14ac:dyDescent="0.3">
      <c r="A1182" s="198">
        <v>32242070</v>
      </c>
      <c r="B1182" s="192" t="s">
        <v>1289</v>
      </c>
      <c r="C1182" s="196">
        <v>0</v>
      </c>
      <c r="D1182" s="196">
        <v>165000</v>
      </c>
      <c r="E1182" s="196">
        <v>165000</v>
      </c>
      <c r="F1182" s="196">
        <v>0</v>
      </c>
      <c r="G1182" s="196">
        <v>0</v>
      </c>
    </row>
    <row r="1183" spans="1:7" x14ac:dyDescent="0.3">
      <c r="A1183" s="198">
        <v>1037601014</v>
      </c>
      <c r="B1183" s="192" t="s">
        <v>1290</v>
      </c>
      <c r="C1183" s="196">
        <v>0</v>
      </c>
      <c r="D1183" s="196">
        <v>3000000</v>
      </c>
      <c r="E1183" s="196">
        <v>1000000</v>
      </c>
      <c r="F1183" s="196">
        <v>2000000</v>
      </c>
      <c r="G1183" s="196">
        <v>2000000</v>
      </c>
    </row>
    <row r="1184" spans="1:7" x14ac:dyDescent="0.3">
      <c r="A1184" s="198">
        <v>40332845</v>
      </c>
      <c r="B1184" s="192" t="s">
        <v>140</v>
      </c>
      <c r="C1184" s="196">
        <v>0</v>
      </c>
      <c r="D1184" s="196">
        <v>1843000</v>
      </c>
      <c r="E1184" s="196">
        <v>1843000</v>
      </c>
      <c r="F1184" s="196">
        <v>0</v>
      </c>
      <c r="G1184" s="196">
        <v>0</v>
      </c>
    </row>
    <row r="1185" spans="1:7" x14ac:dyDescent="0.3">
      <c r="A1185" s="198">
        <v>43600849</v>
      </c>
      <c r="B1185" s="192" t="s">
        <v>1291</v>
      </c>
      <c r="C1185" s="196">
        <v>0</v>
      </c>
      <c r="D1185" s="196">
        <v>362000</v>
      </c>
      <c r="E1185" s="196">
        <v>362000</v>
      </c>
      <c r="F1185" s="196">
        <v>0</v>
      </c>
      <c r="G1185" s="196">
        <v>0</v>
      </c>
    </row>
    <row r="1186" spans="1:7" x14ac:dyDescent="0.3">
      <c r="A1186" s="198">
        <v>41671782</v>
      </c>
      <c r="B1186" s="192" t="s">
        <v>1292</v>
      </c>
      <c r="C1186" s="196">
        <v>0</v>
      </c>
      <c r="D1186" s="196">
        <v>101800</v>
      </c>
      <c r="E1186" s="196">
        <v>101800</v>
      </c>
      <c r="F1186" s="196">
        <v>0</v>
      </c>
      <c r="G1186" s="196">
        <v>0</v>
      </c>
    </row>
    <row r="1187" spans="1:7" x14ac:dyDescent="0.3">
      <c r="A1187" s="198">
        <v>31247760</v>
      </c>
      <c r="B1187" s="192" t="s">
        <v>1293</v>
      </c>
      <c r="C1187" s="196">
        <v>0</v>
      </c>
      <c r="D1187" s="196">
        <v>686000</v>
      </c>
      <c r="E1187" s="196">
        <v>686000</v>
      </c>
      <c r="F1187" s="196">
        <v>0</v>
      </c>
      <c r="G1187" s="196">
        <v>0</v>
      </c>
    </row>
    <row r="1188" spans="1:7" x14ac:dyDescent="0.3">
      <c r="A1188" s="198">
        <v>43875641</v>
      </c>
      <c r="B1188" s="192" t="s">
        <v>1294</v>
      </c>
      <c r="C1188" s="196">
        <v>0</v>
      </c>
      <c r="D1188" s="196">
        <v>266800</v>
      </c>
      <c r="E1188" s="196">
        <v>266800</v>
      </c>
      <c r="F1188" s="196">
        <v>0</v>
      </c>
      <c r="G1188" s="196">
        <v>0</v>
      </c>
    </row>
    <row r="1189" spans="1:7" x14ac:dyDescent="0.3">
      <c r="A1189" s="198">
        <v>43876872</v>
      </c>
      <c r="B1189" s="192" t="s">
        <v>1295</v>
      </c>
      <c r="C1189" s="196">
        <v>0</v>
      </c>
      <c r="D1189" s="196">
        <v>114400</v>
      </c>
      <c r="E1189" s="196">
        <v>114400</v>
      </c>
      <c r="F1189" s="196">
        <v>0</v>
      </c>
      <c r="G1189" s="196">
        <v>0</v>
      </c>
    </row>
    <row r="1190" spans="1:7" x14ac:dyDescent="0.3">
      <c r="A1190" s="198">
        <v>43828968</v>
      </c>
      <c r="B1190" s="192" t="s">
        <v>1296</v>
      </c>
      <c r="C1190" s="196">
        <v>0</v>
      </c>
      <c r="D1190" s="196">
        <v>76800</v>
      </c>
      <c r="E1190" s="196">
        <v>76800</v>
      </c>
      <c r="F1190" s="196">
        <v>0</v>
      </c>
      <c r="G1190" s="196">
        <v>0</v>
      </c>
    </row>
    <row r="1191" spans="1:7" x14ac:dyDescent="0.3">
      <c r="A1191" s="198">
        <v>21527009</v>
      </c>
      <c r="B1191" s="192" t="s">
        <v>1297</v>
      </c>
      <c r="C1191" s="196">
        <v>0</v>
      </c>
      <c r="D1191" s="196">
        <v>101800</v>
      </c>
      <c r="E1191" s="196">
        <v>101800</v>
      </c>
      <c r="F1191" s="196">
        <v>0</v>
      </c>
      <c r="G1191" s="196">
        <v>0</v>
      </c>
    </row>
    <row r="1192" spans="1:7" x14ac:dyDescent="0.3">
      <c r="A1192" s="198">
        <v>1001808958</v>
      </c>
      <c r="B1192" s="192" t="s">
        <v>1298</v>
      </c>
      <c r="C1192" s="196">
        <v>0</v>
      </c>
      <c r="D1192" s="196">
        <v>3300000</v>
      </c>
      <c r="E1192" s="196">
        <v>3300000</v>
      </c>
      <c r="F1192" s="196">
        <v>0</v>
      </c>
      <c r="G1192" s="196">
        <v>0</v>
      </c>
    </row>
    <row r="1193" spans="1:7" x14ac:dyDescent="0.3">
      <c r="A1193" s="198">
        <v>53080154</v>
      </c>
      <c r="B1193" s="192" t="s">
        <v>1299</v>
      </c>
      <c r="C1193" s="196">
        <v>0</v>
      </c>
      <c r="D1193" s="196">
        <v>94000</v>
      </c>
      <c r="E1193" s="196">
        <v>94000</v>
      </c>
      <c r="F1193" s="196">
        <v>0</v>
      </c>
      <c r="G1193" s="196">
        <v>0</v>
      </c>
    </row>
    <row r="1194" spans="1:7" x14ac:dyDescent="0.3">
      <c r="A1194" s="198">
        <v>1012439795</v>
      </c>
      <c r="B1194" s="192" t="s">
        <v>1300</v>
      </c>
      <c r="C1194" s="196">
        <v>0</v>
      </c>
      <c r="D1194" s="196">
        <v>175800</v>
      </c>
      <c r="E1194" s="196">
        <v>175800</v>
      </c>
      <c r="F1194" s="196">
        <v>0</v>
      </c>
      <c r="G1194" s="196">
        <v>0</v>
      </c>
    </row>
    <row r="1195" spans="1:7" x14ac:dyDescent="0.3">
      <c r="A1195" s="198">
        <v>43753225</v>
      </c>
      <c r="B1195" s="192" t="s">
        <v>1301</v>
      </c>
      <c r="C1195" s="196">
        <v>0</v>
      </c>
      <c r="D1195" s="196">
        <v>235400</v>
      </c>
      <c r="E1195" s="196">
        <v>235400</v>
      </c>
      <c r="F1195" s="196">
        <v>0</v>
      </c>
      <c r="G1195" s="196">
        <v>0</v>
      </c>
    </row>
    <row r="1196" spans="1:7" x14ac:dyDescent="0.3">
      <c r="A1196" s="198">
        <v>1128415385</v>
      </c>
      <c r="B1196" s="192" t="s">
        <v>1302</v>
      </c>
      <c r="C1196" s="196">
        <v>0</v>
      </c>
      <c r="D1196" s="196">
        <v>114400</v>
      </c>
      <c r="E1196" s="196">
        <v>114400</v>
      </c>
      <c r="F1196" s="196">
        <v>0</v>
      </c>
      <c r="G1196" s="196">
        <v>0</v>
      </c>
    </row>
    <row r="1197" spans="1:7" x14ac:dyDescent="0.3">
      <c r="A1197" s="198">
        <v>7501529</v>
      </c>
      <c r="B1197" s="192" t="s">
        <v>1303</v>
      </c>
      <c r="C1197" s="196">
        <v>0</v>
      </c>
      <c r="D1197" s="196">
        <v>101800</v>
      </c>
      <c r="E1197" s="196">
        <v>101800</v>
      </c>
      <c r="F1197" s="196">
        <v>0</v>
      </c>
      <c r="G1197" s="196">
        <v>0</v>
      </c>
    </row>
    <row r="1198" spans="1:7" x14ac:dyDescent="0.3">
      <c r="A1198" s="198">
        <v>40781265</v>
      </c>
      <c r="B1198" s="192" t="s">
        <v>1304</v>
      </c>
      <c r="C1198" s="196">
        <v>0</v>
      </c>
      <c r="D1198" s="196">
        <v>60000</v>
      </c>
      <c r="E1198" s="196">
        <v>60000</v>
      </c>
      <c r="F1198" s="196">
        <v>0</v>
      </c>
      <c r="G1198" s="196">
        <v>0</v>
      </c>
    </row>
    <row r="1199" spans="1:7" x14ac:dyDescent="0.3">
      <c r="A1199" s="198">
        <v>1020482757</v>
      </c>
      <c r="B1199" s="192" t="s">
        <v>1305</v>
      </c>
      <c r="C1199" s="196">
        <v>0</v>
      </c>
      <c r="D1199" s="196">
        <v>141600</v>
      </c>
      <c r="E1199" s="196">
        <v>141600</v>
      </c>
      <c r="F1199" s="196">
        <v>0</v>
      </c>
      <c r="G1199" s="196">
        <v>0</v>
      </c>
    </row>
    <row r="1200" spans="1:7" x14ac:dyDescent="0.3">
      <c r="A1200" s="198">
        <v>178064202</v>
      </c>
      <c r="B1200" s="192" t="s">
        <v>1306</v>
      </c>
      <c r="C1200" s="196">
        <v>0</v>
      </c>
      <c r="D1200" s="196">
        <v>355000</v>
      </c>
      <c r="E1200" s="196">
        <v>355000</v>
      </c>
      <c r="F1200" s="196">
        <v>0</v>
      </c>
      <c r="G1200" s="196">
        <v>0</v>
      </c>
    </row>
    <row r="1201" spans="1:7" x14ac:dyDescent="0.3">
      <c r="A1201" s="198">
        <v>71791802</v>
      </c>
      <c r="B1201" s="192" t="s">
        <v>1307</v>
      </c>
      <c r="C1201" s="196">
        <v>0</v>
      </c>
      <c r="D1201" s="196">
        <v>59400</v>
      </c>
      <c r="E1201" s="196">
        <v>59400</v>
      </c>
      <c r="F1201" s="196">
        <v>0</v>
      </c>
      <c r="G1201" s="196">
        <v>0</v>
      </c>
    </row>
    <row r="1202" spans="1:7" x14ac:dyDescent="0.3">
      <c r="A1202" s="198">
        <v>98698905</v>
      </c>
      <c r="B1202" s="192" t="s">
        <v>1308</v>
      </c>
      <c r="C1202" s="196">
        <v>0</v>
      </c>
      <c r="D1202" s="196">
        <v>101800</v>
      </c>
      <c r="E1202" s="196">
        <v>101800</v>
      </c>
      <c r="F1202" s="196">
        <v>0</v>
      </c>
      <c r="G1202" s="196">
        <v>0</v>
      </c>
    </row>
    <row r="1203" spans="1:7" x14ac:dyDescent="0.3">
      <c r="A1203" s="198">
        <v>79490168</v>
      </c>
      <c r="B1203" s="192" t="s">
        <v>1309</v>
      </c>
      <c r="C1203" s="196">
        <v>0</v>
      </c>
      <c r="D1203" s="196">
        <v>101800</v>
      </c>
      <c r="E1203" s="196">
        <v>101800</v>
      </c>
      <c r="F1203" s="196">
        <v>0</v>
      </c>
      <c r="G1203" s="196">
        <v>0</v>
      </c>
    </row>
    <row r="1204" spans="1:7" x14ac:dyDescent="0.3">
      <c r="A1204" s="198">
        <v>3585179</v>
      </c>
      <c r="B1204" s="192" t="s">
        <v>1310</v>
      </c>
      <c r="C1204" s="196">
        <v>0</v>
      </c>
      <c r="D1204" s="196">
        <v>319000</v>
      </c>
      <c r="E1204" s="196">
        <v>319000</v>
      </c>
      <c r="F1204" s="196">
        <v>0</v>
      </c>
      <c r="G1204" s="196">
        <v>0</v>
      </c>
    </row>
    <row r="1205" spans="1:7" x14ac:dyDescent="0.3">
      <c r="A1205" s="198">
        <v>900699359</v>
      </c>
      <c r="B1205" s="192" t="s">
        <v>1311</v>
      </c>
      <c r="C1205" s="196">
        <v>7387999.9900000002</v>
      </c>
      <c r="D1205" s="196">
        <v>2601000</v>
      </c>
      <c r="E1205" s="196">
        <v>0</v>
      </c>
      <c r="F1205" s="196">
        <v>2601000</v>
      </c>
      <c r="G1205" s="196">
        <v>9988999.9900000002</v>
      </c>
    </row>
    <row r="1206" spans="1:7" x14ac:dyDescent="0.3">
      <c r="A1206" s="198">
        <v>66806924</v>
      </c>
      <c r="B1206" s="192" t="s">
        <v>1312</v>
      </c>
      <c r="C1206" s="196">
        <v>0</v>
      </c>
      <c r="D1206" s="196">
        <v>8614000</v>
      </c>
      <c r="E1206" s="196">
        <v>8614000</v>
      </c>
      <c r="F1206" s="196">
        <v>0</v>
      </c>
      <c r="G1206" s="196">
        <v>0</v>
      </c>
    </row>
    <row r="1207" spans="1:7" x14ac:dyDescent="0.3">
      <c r="A1207" s="198">
        <v>1099205849</v>
      </c>
      <c r="B1207" s="192" t="s">
        <v>1313</v>
      </c>
      <c r="C1207" s="196">
        <v>3500999</v>
      </c>
      <c r="D1207" s="196">
        <v>0</v>
      </c>
      <c r="E1207" s="196">
        <v>3500999</v>
      </c>
      <c r="F1207" s="196">
        <v>-3500999</v>
      </c>
      <c r="G1207" s="196">
        <v>0</v>
      </c>
    </row>
    <row r="1208" spans="1:7" x14ac:dyDescent="0.3">
      <c r="A1208" s="192" t="s">
        <v>1314</v>
      </c>
      <c r="B1208" s="192" t="s">
        <v>1315</v>
      </c>
      <c r="C1208" s="196">
        <v>5</v>
      </c>
      <c r="D1208" s="196">
        <v>0</v>
      </c>
      <c r="E1208" s="196">
        <v>0</v>
      </c>
      <c r="F1208" s="196">
        <v>0</v>
      </c>
      <c r="G1208" s="196">
        <v>5</v>
      </c>
    </row>
    <row r="1209" spans="1:7" x14ac:dyDescent="0.3">
      <c r="A1209" s="198">
        <v>98489219</v>
      </c>
      <c r="B1209" s="192" t="s">
        <v>1316</v>
      </c>
      <c r="C1209" s="196">
        <v>1</v>
      </c>
      <c r="D1209" s="196">
        <v>0</v>
      </c>
      <c r="E1209" s="196">
        <v>0</v>
      </c>
      <c r="F1209" s="196">
        <v>0</v>
      </c>
      <c r="G1209" s="196">
        <v>1</v>
      </c>
    </row>
    <row r="1210" spans="1:7" x14ac:dyDescent="0.3">
      <c r="A1210" s="198">
        <v>1020124873</v>
      </c>
      <c r="B1210" s="192" t="s">
        <v>1317</v>
      </c>
      <c r="C1210" s="196">
        <v>0</v>
      </c>
      <c r="D1210" s="196">
        <v>101800</v>
      </c>
      <c r="E1210" s="196">
        <v>101800</v>
      </c>
      <c r="F1210" s="196">
        <v>0</v>
      </c>
      <c r="G1210" s="196">
        <v>0</v>
      </c>
    </row>
    <row r="1211" spans="1:7" x14ac:dyDescent="0.3">
      <c r="A1211" s="198">
        <v>1038267432</v>
      </c>
      <c r="B1211" s="192" t="s">
        <v>1318</v>
      </c>
      <c r="C1211" s="196">
        <v>0</v>
      </c>
      <c r="D1211" s="196">
        <v>101800</v>
      </c>
      <c r="E1211" s="196">
        <v>101800</v>
      </c>
      <c r="F1211" s="196">
        <v>0</v>
      </c>
      <c r="G1211" s="196">
        <v>0</v>
      </c>
    </row>
    <row r="1212" spans="1:7" x14ac:dyDescent="0.3">
      <c r="A1212" s="198">
        <v>597358201</v>
      </c>
      <c r="B1212" s="192" t="s">
        <v>1319</v>
      </c>
      <c r="C1212" s="196">
        <v>0</v>
      </c>
      <c r="D1212" s="196">
        <v>74000</v>
      </c>
      <c r="E1212" s="196">
        <v>74000</v>
      </c>
      <c r="F1212" s="196">
        <v>0</v>
      </c>
      <c r="G1212" s="196">
        <v>0</v>
      </c>
    </row>
    <row r="1213" spans="1:7" x14ac:dyDescent="0.3">
      <c r="A1213" s="192" t="s">
        <v>1320</v>
      </c>
      <c r="B1213" s="192" t="s">
        <v>1321</v>
      </c>
      <c r="C1213" s="196">
        <v>0</v>
      </c>
      <c r="D1213" s="196">
        <v>968000</v>
      </c>
      <c r="E1213" s="196">
        <v>968000</v>
      </c>
      <c r="F1213" s="196">
        <v>0</v>
      </c>
      <c r="G1213" s="196">
        <v>0</v>
      </c>
    </row>
    <row r="1214" spans="1:7" x14ac:dyDescent="0.3">
      <c r="A1214" s="198">
        <v>1001186539</v>
      </c>
      <c r="B1214" s="192" t="s">
        <v>1322</v>
      </c>
      <c r="C1214" s="196">
        <v>0</v>
      </c>
      <c r="D1214" s="196">
        <v>1068400</v>
      </c>
      <c r="E1214" s="196">
        <v>1068400</v>
      </c>
      <c r="F1214" s="196">
        <v>0</v>
      </c>
      <c r="G1214" s="196">
        <v>0</v>
      </c>
    </row>
    <row r="1215" spans="1:7" x14ac:dyDescent="0.3">
      <c r="A1215" s="198">
        <v>24940050</v>
      </c>
      <c r="B1215" s="192" t="s">
        <v>1323</v>
      </c>
      <c r="C1215" s="196">
        <v>0</v>
      </c>
      <c r="D1215" s="196">
        <v>954000</v>
      </c>
      <c r="E1215" s="196">
        <v>954000</v>
      </c>
      <c r="F1215" s="196">
        <v>0</v>
      </c>
      <c r="G1215" s="196">
        <v>0</v>
      </c>
    </row>
    <row r="1216" spans="1:7" x14ac:dyDescent="0.3">
      <c r="A1216" s="198">
        <v>43049739</v>
      </c>
      <c r="B1216" s="192" t="s">
        <v>1324</v>
      </c>
      <c r="C1216" s="196">
        <v>0</v>
      </c>
      <c r="D1216" s="196">
        <v>101800</v>
      </c>
      <c r="E1216" s="196">
        <v>101800</v>
      </c>
      <c r="F1216" s="196">
        <v>0</v>
      </c>
      <c r="G1216" s="196">
        <v>0</v>
      </c>
    </row>
    <row r="1217" spans="1:7" x14ac:dyDescent="0.3">
      <c r="A1217" s="198">
        <v>42975694</v>
      </c>
      <c r="B1217" s="192" t="s">
        <v>1325</v>
      </c>
      <c r="C1217" s="196">
        <v>0</v>
      </c>
      <c r="D1217" s="196">
        <v>101800</v>
      </c>
      <c r="E1217" s="196">
        <v>101800</v>
      </c>
      <c r="F1217" s="196">
        <v>0</v>
      </c>
      <c r="G1217" s="196">
        <v>0</v>
      </c>
    </row>
    <row r="1218" spans="1:7" x14ac:dyDescent="0.3">
      <c r="A1218" s="198">
        <v>43603644</v>
      </c>
      <c r="B1218" s="192" t="s">
        <v>1326</v>
      </c>
      <c r="C1218" s="196">
        <v>0</v>
      </c>
      <c r="D1218" s="196">
        <v>120000</v>
      </c>
      <c r="E1218" s="196">
        <v>120000</v>
      </c>
      <c r="F1218" s="196">
        <v>0</v>
      </c>
      <c r="G1218" s="196">
        <v>0</v>
      </c>
    </row>
    <row r="1219" spans="1:7" x14ac:dyDescent="0.3">
      <c r="A1219" s="198">
        <v>1017264636</v>
      </c>
      <c r="B1219" s="192" t="s">
        <v>1327</v>
      </c>
      <c r="C1219" s="196">
        <v>0</v>
      </c>
      <c r="D1219" s="196">
        <v>1156000</v>
      </c>
      <c r="E1219" s="196">
        <v>1156000</v>
      </c>
      <c r="F1219" s="196">
        <v>0</v>
      </c>
      <c r="G1219" s="196">
        <v>0</v>
      </c>
    </row>
    <row r="1220" spans="1:7" x14ac:dyDescent="0.3">
      <c r="A1220" s="192" t="s">
        <v>1328</v>
      </c>
      <c r="B1220" s="192" t="s">
        <v>1329</v>
      </c>
      <c r="C1220" s="196">
        <v>0</v>
      </c>
      <c r="D1220" s="196">
        <v>2136200</v>
      </c>
      <c r="E1220" s="196">
        <v>2136200</v>
      </c>
      <c r="F1220" s="196">
        <v>0</v>
      </c>
      <c r="G1220" s="196">
        <v>0</v>
      </c>
    </row>
    <row r="1221" spans="1:7" x14ac:dyDescent="0.3">
      <c r="A1221" s="198">
        <v>900776128</v>
      </c>
      <c r="B1221" s="192" t="s">
        <v>1330</v>
      </c>
      <c r="C1221" s="196">
        <v>0</v>
      </c>
      <c r="D1221" s="196">
        <v>8618400</v>
      </c>
      <c r="E1221" s="196">
        <v>8618400</v>
      </c>
      <c r="F1221" s="196">
        <v>0</v>
      </c>
      <c r="G1221" s="196">
        <v>0</v>
      </c>
    </row>
    <row r="1222" spans="1:7" x14ac:dyDescent="0.3">
      <c r="A1222" s="198">
        <v>43569730</v>
      </c>
      <c r="B1222" s="192" t="s">
        <v>1331</v>
      </c>
      <c r="C1222" s="196">
        <v>0</v>
      </c>
      <c r="D1222" s="196">
        <v>59400</v>
      </c>
      <c r="E1222" s="196">
        <v>59400</v>
      </c>
      <c r="F1222" s="196">
        <v>0</v>
      </c>
      <c r="G1222" s="196">
        <v>0</v>
      </c>
    </row>
    <row r="1223" spans="1:7" x14ac:dyDescent="0.3">
      <c r="A1223" s="198">
        <v>21943456</v>
      </c>
      <c r="B1223" s="192" t="s">
        <v>1332</v>
      </c>
      <c r="C1223" s="196">
        <v>0</v>
      </c>
      <c r="D1223" s="196">
        <v>11552400</v>
      </c>
      <c r="E1223" s="196">
        <v>11376200</v>
      </c>
      <c r="F1223" s="196">
        <v>176200</v>
      </c>
      <c r="G1223" s="196">
        <v>176200</v>
      </c>
    </row>
    <row r="1224" spans="1:7" x14ac:dyDescent="0.3">
      <c r="A1224" s="198">
        <v>42886027</v>
      </c>
      <c r="B1224" s="192" t="s">
        <v>1333</v>
      </c>
      <c r="C1224" s="196">
        <v>0</v>
      </c>
      <c r="D1224" s="196">
        <v>101800</v>
      </c>
      <c r="E1224" s="196">
        <v>101800</v>
      </c>
      <c r="F1224" s="196">
        <v>0</v>
      </c>
      <c r="G1224" s="196">
        <v>0</v>
      </c>
    </row>
    <row r="1225" spans="1:7" x14ac:dyDescent="0.3">
      <c r="A1225" s="198">
        <v>32333546</v>
      </c>
      <c r="B1225" s="192" t="s">
        <v>1334</v>
      </c>
      <c r="C1225" s="196">
        <v>1</v>
      </c>
      <c r="D1225" s="196">
        <v>0</v>
      </c>
      <c r="E1225" s="196">
        <v>0</v>
      </c>
      <c r="F1225" s="196">
        <v>0</v>
      </c>
      <c r="G1225" s="196">
        <v>1</v>
      </c>
    </row>
    <row r="1226" spans="1:7" x14ac:dyDescent="0.3">
      <c r="A1226" s="198">
        <v>32469856</v>
      </c>
      <c r="B1226" s="192" t="s">
        <v>1335</v>
      </c>
      <c r="C1226" s="196">
        <v>0</v>
      </c>
      <c r="D1226" s="196">
        <v>114400</v>
      </c>
      <c r="E1226" s="196">
        <v>114400</v>
      </c>
      <c r="F1226" s="196">
        <v>0</v>
      </c>
      <c r="G1226" s="196">
        <v>0</v>
      </c>
    </row>
    <row r="1227" spans="1:7" x14ac:dyDescent="0.3">
      <c r="A1227" s="198">
        <v>30573653</v>
      </c>
      <c r="B1227" s="192" t="s">
        <v>1336</v>
      </c>
      <c r="C1227" s="196">
        <v>0</v>
      </c>
      <c r="D1227" s="196">
        <v>3182200</v>
      </c>
      <c r="E1227" s="196">
        <v>3182200</v>
      </c>
      <c r="F1227" s="196">
        <v>0</v>
      </c>
      <c r="G1227" s="196">
        <v>0</v>
      </c>
    </row>
    <row r="1228" spans="1:7" x14ac:dyDescent="0.3">
      <c r="A1228" s="198">
        <v>42882587</v>
      </c>
      <c r="B1228" s="192" t="s">
        <v>1337</v>
      </c>
      <c r="C1228" s="196">
        <v>0</v>
      </c>
      <c r="D1228" s="196">
        <v>295600</v>
      </c>
      <c r="E1228" s="196">
        <v>295600</v>
      </c>
      <c r="F1228" s="196">
        <v>0</v>
      </c>
      <c r="G1228" s="196">
        <v>0</v>
      </c>
    </row>
    <row r="1229" spans="1:7" x14ac:dyDescent="0.3">
      <c r="A1229" s="198">
        <v>32336622</v>
      </c>
      <c r="B1229" s="192" t="s">
        <v>1338</v>
      </c>
      <c r="C1229" s="196">
        <v>-1</v>
      </c>
      <c r="D1229" s="196">
        <v>0</v>
      </c>
      <c r="E1229" s="196">
        <v>0</v>
      </c>
      <c r="F1229" s="196">
        <v>0</v>
      </c>
      <c r="G1229" s="196">
        <v>-1</v>
      </c>
    </row>
    <row r="1230" spans="1:7" x14ac:dyDescent="0.3">
      <c r="A1230" s="198">
        <v>1035026160</v>
      </c>
      <c r="B1230" s="192" t="s">
        <v>1339</v>
      </c>
      <c r="C1230" s="196">
        <v>0</v>
      </c>
      <c r="D1230" s="196">
        <v>101800</v>
      </c>
      <c r="E1230" s="196">
        <v>101800</v>
      </c>
      <c r="F1230" s="196">
        <v>0</v>
      </c>
      <c r="G1230" s="196">
        <v>0</v>
      </c>
    </row>
    <row r="1231" spans="1:7" x14ac:dyDescent="0.3">
      <c r="A1231" s="198">
        <v>1035026665</v>
      </c>
      <c r="B1231" s="192" t="s">
        <v>1340</v>
      </c>
      <c r="C1231" s="196">
        <v>0</v>
      </c>
      <c r="D1231" s="196">
        <v>101800</v>
      </c>
      <c r="E1231" s="196">
        <v>101800</v>
      </c>
      <c r="F1231" s="196">
        <v>0</v>
      </c>
      <c r="G1231" s="196">
        <v>0</v>
      </c>
    </row>
    <row r="1232" spans="1:7" x14ac:dyDescent="0.3">
      <c r="A1232" s="198">
        <v>1035009919</v>
      </c>
      <c r="B1232" s="192" t="s">
        <v>1341</v>
      </c>
      <c r="C1232" s="196">
        <v>0</v>
      </c>
      <c r="D1232" s="196">
        <v>101800</v>
      </c>
      <c r="E1232" s="196">
        <v>101800</v>
      </c>
      <c r="F1232" s="196">
        <v>0</v>
      </c>
      <c r="G1232" s="196">
        <v>0</v>
      </c>
    </row>
    <row r="1233" spans="1:7" x14ac:dyDescent="0.3">
      <c r="A1233" s="198">
        <v>1023596625</v>
      </c>
      <c r="B1233" s="192" t="s">
        <v>1342</v>
      </c>
      <c r="C1233" s="196">
        <v>0</v>
      </c>
      <c r="D1233" s="196">
        <v>101800</v>
      </c>
      <c r="E1233" s="196">
        <v>101800</v>
      </c>
      <c r="F1233" s="196">
        <v>0</v>
      </c>
      <c r="G1233" s="196">
        <v>0</v>
      </c>
    </row>
    <row r="1234" spans="1:7" x14ac:dyDescent="0.3">
      <c r="A1234" s="198">
        <v>27294803</v>
      </c>
      <c r="B1234" s="192" t="s">
        <v>1343</v>
      </c>
      <c r="C1234" s="196">
        <v>0</v>
      </c>
      <c r="D1234" s="196">
        <v>3071200</v>
      </c>
      <c r="E1234" s="196">
        <v>3071200</v>
      </c>
      <c r="F1234" s="196">
        <v>0</v>
      </c>
      <c r="G1234" s="196">
        <v>0</v>
      </c>
    </row>
    <row r="1235" spans="1:7" x14ac:dyDescent="0.3">
      <c r="A1235" s="198">
        <v>1193572461</v>
      </c>
      <c r="B1235" s="192" t="s">
        <v>1344</v>
      </c>
      <c r="C1235" s="196">
        <v>0</v>
      </c>
      <c r="D1235" s="196">
        <v>709100</v>
      </c>
      <c r="E1235" s="196">
        <v>709100</v>
      </c>
      <c r="F1235" s="196">
        <v>0</v>
      </c>
      <c r="G1235" s="196">
        <v>0</v>
      </c>
    </row>
    <row r="1236" spans="1:7" x14ac:dyDescent="0.3">
      <c r="A1236" s="198">
        <v>8405418</v>
      </c>
      <c r="B1236" s="192" t="s">
        <v>1345</v>
      </c>
      <c r="C1236" s="196">
        <v>0</v>
      </c>
      <c r="D1236" s="196">
        <v>101800</v>
      </c>
      <c r="E1236" s="196">
        <v>101800</v>
      </c>
      <c r="F1236" s="196">
        <v>0</v>
      </c>
      <c r="G1236" s="196">
        <v>0</v>
      </c>
    </row>
    <row r="1237" spans="1:7" x14ac:dyDescent="0.3">
      <c r="A1237" s="198">
        <v>71983028</v>
      </c>
      <c r="B1237" s="192" t="s">
        <v>1346</v>
      </c>
      <c r="C1237" s="196">
        <v>1</v>
      </c>
      <c r="D1237" s="196">
        <v>0</v>
      </c>
      <c r="E1237" s="196">
        <v>0</v>
      </c>
      <c r="F1237" s="196">
        <v>0</v>
      </c>
      <c r="G1237" s="196">
        <v>1</v>
      </c>
    </row>
    <row r="1238" spans="1:7" x14ac:dyDescent="0.3">
      <c r="A1238" s="198">
        <v>32018361</v>
      </c>
      <c r="B1238" s="192" t="s">
        <v>1347</v>
      </c>
      <c r="C1238" s="196">
        <v>7794000</v>
      </c>
      <c r="D1238" s="196">
        <v>0</v>
      </c>
      <c r="E1238" s="196">
        <v>0</v>
      </c>
      <c r="F1238" s="196">
        <v>0</v>
      </c>
      <c r="G1238" s="196">
        <v>7794000</v>
      </c>
    </row>
    <row r="1239" spans="1:7" x14ac:dyDescent="0.3">
      <c r="A1239" s="198">
        <v>8313639</v>
      </c>
      <c r="B1239" s="192" t="s">
        <v>1348</v>
      </c>
      <c r="C1239" s="196">
        <v>0</v>
      </c>
      <c r="D1239" s="196">
        <v>285600</v>
      </c>
      <c r="E1239" s="196">
        <v>285600</v>
      </c>
      <c r="F1239" s="196">
        <v>0</v>
      </c>
      <c r="G1239" s="196">
        <v>0</v>
      </c>
    </row>
    <row r="1240" spans="1:7" x14ac:dyDescent="0.3">
      <c r="A1240" s="198">
        <v>71575366</v>
      </c>
      <c r="B1240" s="192" t="s">
        <v>1349</v>
      </c>
      <c r="C1240" s="196">
        <v>10000000</v>
      </c>
      <c r="D1240" s="196">
        <v>0</v>
      </c>
      <c r="E1240" s="196">
        <v>10000000</v>
      </c>
      <c r="F1240" s="196">
        <v>-10000000</v>
      </c>
      <c r="G1240" s="196">
        <v>0</v>
      </c>
    </row>
    <row r="1241" spans="1:7" x14ac:dyDescent="0.3">
      <c r="A1241" s="198">
        <v>8345531</v>
      </c>
      <c r="B1241" s="192" t="s">
        <v>1350</v>
      </c>
      <c r="C1241" s="196">
        <v>0</v>
      </c>
      <c r="D1241" s="196">
        <v>2920000</v>
      </c>
      <c r="E1241" s="196">
        <v>2920000</v>
      </c>
      <c r="F1241" s="196">
        <v>0</v>
      </c>
      <c r="G1241" s="196">
        <v>0</v>
      </c>
    </row>
    <row r="1242" spans="1:7" x14ac:dyDescent="0.3">
      <c r="A1242" s="198">
        <v>80795366</v>
      </c>
      <c r="B1242" s="192" t="s">
        <v>1351</v>
      </c>
      <c r="C1242" s="196">
        <v>0</v>
      </c>
      <c r="D1242" s="196">
        <v>101800</v>
      </c>
      <c r="E1242" s="196">
        <v>101800</v>
      </c>
      <c r="F1242" s="196">
        <v>0</v>
      </c>
      <c r="G1242" s="196">
        <v>0</v>
      </c>
    </row>
    <row r="1243" spans="1:7" x14ac:dyDescent="0.3">
      <c r="A1243" s="198">
        <v>12263001</v>
      </c>
      <c r="B1243" s="192" t="s">
        <v>1352</v>
      </c>
      <c r="C1243" s="196">
        <v>0</v>
      </c>
      <c r="D1243" s="196">
        <v>420000</v>
      </c>
      <c r="E1243" s="196">
        <v>420000</v>
      </c>
      <c r="F1243" s="196">
        <v>0</v>
      </c>
      <c r="G1243" s="196">
        <v>0</v>
      </c>
    </row>
    <row r="1244" spans="1:7" x14ac:dyDescent="0.3">
      <c r="A1244" s="198">
        <v>1018424206</v>
      </c>
      <c r="B1244" s="192" t="s">
        <v>1353</v>
      </c>
      <c r="C1244" s="196">
        <v>0</v>
      </c>
      <c r="D1244" s="196">
        <v>87800</v>
      </c>
      <c r="E1244" s="196">
        <v>87800</v>
      </c>
      <c r="F1244" s="196">
        <v>0</v>
      </c>
      <c r="G1244" s="196">
        <v>0</v>
      </c>
    </row>
    <row r="1245" spans="1:7" x14ac:dyDescent="0.3">
      <c r="A1245" s="198">
        <v>98541560</v>
      </c>
      <c r="B1245" s="192" t="s">
        <v>1354</v>
      </c>
      <c r="C1245" s="196">
        <v>0</v>
      </c>
      <c r="D1245" s="196">
        <v>292000</v>
      </c>
      <c r="E1245" s="196">
        <v>292000</v>
      </c>
      <c r="F1245" s="196">
        <v>0</v>
      </c>
      <c r="G1245" s="196">
        <v>0</v>
      </c>
    </row>
    <row r="1246" spans="1:7" x14ac:dyDescent="0.3">
      <c r="A1246" s="198">
        <v>71291256</v>
      </c>
      <c r="B1246" s="192" t="s">
        <v>1355</v>
      </c>
      <c r="C1246" s="196">
        <v>0</v>
      </c>
      <c r="D1246" s="196">
        <v>549800</v>
      </c>
      <c r="E1246" s="196">
        <v>549800</v>
      </c>
      <c r="F1246" s="196">
        <v>0</v>
      </c>
      <c r="G1246" s="196">
        <v>0</v>
      </c>
    </row>
    <row r="1247" spans="1:7" x14ac:dyDescent="0.3">
      <c r="A1247" s="198">
        <v>1035027021</v>
      </c>
      <c r="B1247" s="192" t="s">
        <v>1356</v>
      </c>
      <c r="C1247" s="196">
        <v>0</v>
      </c>
      <c r="D1247" s="196">
        <v>101800</v>
      </c>
      <c r="E1247" s="196">
        <v>101800</v>
      </c>
      <c r="F1247" s="196">
        <v>0</v>
      </c>
      <c r="G1247" s="196">
        <v>0</v>
      </c>
    </row>
    <row r="1248" spans="1:7" x14ac:dyDescent="0.3">
      <c r="A1248" s="198">
        <v>1152471172</v>
      </c>
      <c r="B1248" s="192" t="s">
        <v>1357</v>
      </c>
      <c r="C1248" s="196">
        <v>0</v>
      </c>
      <c r="D1248" s="196">
        <v>94000</v>
      </c>
      <c r="E1248" s="196">
        <v>94000</v>
      </c>
      <c r="F1248" s="196">
        <v>0</v>
      </c>
      <c r="G1248" s="196">
        <v>0</v>
      </c>
    </row>
    <row r="1249" spans="1:7" x14ac:dyDescent="0.3">
      <c r="A1249" s="198">
        <v>1152190301</v>
      </c>
      <c r="B1249" s="192" t="s">
        <v>1358</v>
      </c>
      <c r="C1249" s="196">
        <v>0</v>
      </c>
      <c r="D1249" s="196">
        <v>101800</v>
      </c>
      <c r="E1249" s="196">
        <v>101800</v>
      </c>
      <c r="F1249" s="196">
        <v>0</v>
      </c>
      <c r="G1249" s="196">
        <v>0</v>
      </c>
    </row>
    <row r="1250" spans="1:7" x14ac:dyDescent="0.3">
      <c r="A1250" s="198">
        <v>31712890</v>
      </c>
      <c r="B1250" s="192" t="s">
        <v>1359</v>
      </c>
      <c r="C1250" s="196">
        <v>0</v>
      </c>
      <c r="D1250" s="196">
        <v>6295000</v>
      </c>
      <c r="E1250" s="196">
        <v>6295000</v>
      </c>
      <c r="F1250" s="196">
        <v>0</v>
      </c>
      <c r="G1250" s="196">
        <v>0</v>
      </c>
    </row>
    <row r="1251" spans="1:7" x14ac:dyDescent="0.3">
      <c r="A1251" s="198">
        <v>43843440</v>
      </c>
      <c r="B1251" s="192" t="s">
        <v>1360</v>
      </c>
      <c r="C1251" s="196">
        <v>0</v>
      </c>
      <c r="D1251" s="196">
        <v>114400</v>
      </c>
      <c r="E1251" s="196">
        <v>114400</v>
      </c>
      <c r="F1251" s="196">
        <v>0</v>
      </c>
      <c r="G1251" s="196">
        <v>0</v>
      </c>
    </row>
    <row r="1252" spans="1:7" x14ac:dyDescent="0.3">
      <c r="A1252" s="198">
        <v>1038104753</v>
      </c>
      <c r="B1252" s="192" t="s">
        <v>1361</v>
      </c>
      <c r="C1252" s="196">
        <v>0</v>
      </c>
      <c r="D1252" s="196">
        <v>300000</v>
      </c>
      <c r="E1252" s="196">
        <v>300000</v>
      </c>
      <c r="F1252" s="196">
        <v>0</v>
      </c>
      <c r="G1252" s="196">
        <v>0</v>
      </c>
    </row>
    <row r="1253" spans="1:7" x14ac:dyDescent="0.3">
      <c r="A1253" s="198">
        <v>43518079</v>
      </c>
      <c r="B1253" s="192" t="s">
        <v>1362</v>
      </c>
      <c r="C1253" s="196">
        <v>1</v>
      </c>
      <c r="D1253" s="196">
        <v>971999</v>
      </c>
      <c r="E1253" s="196">
        <v>971999</v>
      </c>
      <c r="F1253" s="196">
        <v>0</v>
      </c>
      <c r="G1253" s="196">
        <v>1</v>
      </c>
    </row>
    <row r="1254" spans="1:7" x14ac:dyDescent="0.3">
      <c r="A1254" s="198">
        <v>26026995</v>
      </c>
      <c r="B1254" s="192" t="s">
        <v>1363</v>
      </c>
      <c r="C1254" s="196">
        <v>0</v>
      </c>
      <c r="D1254" s="196">
        <v>439200</v>
      </c>
      <c r="E1254" s="196">
        <v>439200</v>
      </c>
      <c r="F1254" s="196">
        <v>0</v>
      </c>
      <c r="G1254" s="196">
        <v>0</v>
      </c>
    </row>
    <row r="1255" spans="1:7" x14ac:dyDescent="0.3">
      <c r="A1255" s="198">
        <v>42781777</v>
      </c>
      <c r="B1255" s="192" t="s">
        <v>1364</v>
      </c>
      <c r="C1255" s="196">
        <v>0</v>
      </c>
      <c r="D1255" s="196">
        <v>730200</v>
      </c>
      <c r="E1255" s="196">
        <v>730200</v>
      </c>
      <c r="F1255" s="196">
        <v>0</v>
      </c>
      <c r="G1255" s="196">
        <v>0</v>
      </c>
    </row>
    <row r="1256" spans="1:7" x14ac:dyDescent="0.3">
      <c r="A1256" s="198">
        <v>43612135</v>
      </c>
      <c r="B1256" s="192" t="s">
        <v>1365</v>
      </c>
      <c r="C1256" s="196">
        <v>0</v>
      </c>
      <c r="D1256" s="196">
        <v>5110200</v>
      </c>
      <c r="E1256" s="196">
        <v>5110200</v>
      </c>
      <c r="F1256" s="196">
        <v>0</v>
      </c>
      <c r="G1256" s="196">
        <v>0</v>
      </c>
    </row>
    <row r="1257" spans="1:7" x14ac:dyDescent="0.3">
      <c r="A1257" s="192" t="s">
        <v>1366</v>
      </c>
      <c r="B1257" s="192" t="s">
        <v>1367</v>
      </c>
      <c r="C1257" s="196">
        <v>550000</v>
      </c>
      <c r="D1257" s="196">
        <v>0</v>
      </c>
      <c r="E1257" s="196">
        <v>550000</v>
      </c>
      <c r="F1257" s="196">
        <v>-550000</v>
      </c>
      <c r="G1257" s="196">
        <v>0</v>
      </c>
    </row>
    <row r="1258" spans="1:7" x14ac:dyDescent="0.3">
      <c r="A1258" s="198">
        <v>42825703</v>
      </c>
      <c r="B1258" s="192" t="s">
        <v>1368</v>
      </c>
      <c r="C1258" s="196">
        <v>1393000</v>
      </c>
      <c r="D1258" s="196">
        <v>0</v>
      </c>
      <c r="E1258" s="196">
        <v>1393000</v>
      </c>
      <c r="F1258" s="196">
        <v>-1393000</v>
      </c>
      <c r="G1258" s="196">
        <v>0</v>
      </c>
    </row>
    <row r="1259" spans="1:7" x14ac:dyDescent="0.3">
      <c r="A1259" s="198">
        <v>1017184299</v>
      </c>
      <c r="B1259" s="192" t="s">
        <v>1369</v>
      </c>
      <c r="C1259" s="196">
        <v>0</v>
      </c>
      <c r="D1259" s="196">
        <v>158600</v>
      </c>
      <c r="E1259" s="196">
        <v>158600</v>
      </c>
      <c r="F1259" s="196">
        <v>0</v>
      </c>
      <c r="G1259" s="196">
        <v>0</v>
      </c>
    </row>
    <row r="1260" spans="1:7" x14ac:dyDescent="0.3">
      <c r="A1260" s="198">
        <v>1036957613</v>
      </c>
      <c r="B1260" s="192" t="s">
        <v>1370</v>
      </c>
      <c r="C1260" s="196">
        <v>0</v>
      </c>
      <c r="D1260" s="196">
        <v>963000</v>
      </c>
      <c r="E1260" s="196">
        <v>963000</v>
      </c>
      <c r="F1260" s="196">
        <v>0</v>
      </c>
      <c r="G1260" s="196">
        <v>0</v>
      </c>
    </row>
    <row r="1261" spans="1:7" x14ac:dyDescent="0.3">
      <c r="A1261" s="198">
        <v>24347172</v>
      </c>
      <c r="B1261" s="192" t="s">
        <v>1371</v>
      </c>
      <c r="C1261" s="196">
        <v>0</v>
      </c>
      <c r="D1261" s="196">
        <v>963000</v>
      </c>
      <c r="E1261" s="196">
        <v>963000</v>
      </c>
      <c r="F1261" s="196">
        <v>0</v>
      </c>
      <c r="G1261" s="196">
        <v>0</v>
      </c>
    </row>
    <row r="1262" spans="1:7" x14ac:dyDescent="0.3">
      <c r="A1262" s="198">
        <v>32242589</v>
      </c>
      <c r="B1262" s="192" t="s">
        <v>1372</v>
      </c>
      <c r="C1262" s="196">
        <v>0</v>
      </c>
      <c r="D1262" s="196">
        <v>101800</v>
      </c>
      <c r="E1262" s="196">
        <v>101800</v>
      </c>
      <c r="F1262" s="196">
        <v>0</v>
      </c>
      <c r="G1262" s="196">
        <v>0</v>
      </c>
    </row>
    <row r="1263" spans="1:7" x14ac:dyDescent="0.3">
      <c r="A1263" s="198">
        <v>1007986933</v>
      </c>
      <c r="B1263" s="192" t="s">
        <v>1373</v>
      </c>
      <c r="C1263" s="196">
        <v>0</v>
      </c>
      <c r="D1263" s="196">
        <v>967000</v>
      </c>
      <c r="E1263" s="196">
        <v>967000</v>
      </c>
      <c r="F1263" s="196">
        <v>0</v>
      </c>
      <c r="G1263" s="196">
        <v>0</v>
      </c>
    </row>
    <row r="1264" spans="1:7" x14ac:dyDescent="0.3">
      <c r="A1264" s="198">
        <v>1001243940</v>
      </c>
      <c r="B1264" s="192" t="s">
        <v>1374</v>
      </c>
      <c r="C1264" s="196">
        <v>0</v>
      </c>
      <c r="D1264" s="196">
        <v>963000</v>
      </c>
      <c r="E1264" s="196">
        <v>963000</v>
      </c>
      <c r="F1264" s="196">
        <v>0</v>
      </c>
      <c r="G1264" s="196">
        <v>0</v>
      </c>
    </row>
    <row r="1265" spans="1:7" x14ac:dyDescent="0.3">
      <c r="A1265" s="198">
        <v>1007121886</v>
      </c>
      <c r="B1265" s="192" t="s">
        <v>1375</v>
      </c>
      <c r="C1265" s="196">
        <v>0</v>
      </c>
      <c r="D1265" s="196">
        <v>963000</v>
      </c>
      <c r="E1265" s="196">
        <v>963000</v>
      </c>
      <c r="F1265" s="196">
        <v>0</v>
      </c>
      <c r="G1265" s="196">
        <v>0</v>
      </c>
    </row>
    <row r="1266" spans="1:7" x14ac:dyDescent="0.3">
      <c r="A1266" s="198">
        <v>1019919126</v>
      </c>
      <c r="B1266" s="192" t="s">
        <v>1376</v>
      </c>
      <c r="C1266" s="196">
        <v>0</v>
      </c>
      <c r="D1266" s="196">
        <v>101800</v>
      </c>
      <c r="E1266" s="196">
        <v>101800</v>
      </c>
      <c r="F1266" s="196">
        <v>0</v>
      </c>
      <c r="G1266" s="196">
        <v>0</v>
      </c>
    </row>
    <row r="1267" spans="1:7" x14ac:dyDescent="0.3">
      <c r="A1267" s="198">
        <v>14325117</v>
      </c>
      <c r="B1267" s="192" t="s">
        <v>1377</v>
      </c>
      <c r="C1267" s="196">
        <v>0</v>
      </c>
      <c r="D1267" s="196">
        <v>82800</v>
      </c>
      <c r="E1267" s="196">
        <v>82800</v>
      </c>
      <c r="F1267" s="196">
        <v>0</v>
      </c>
      <c r="G1267" s="196">
        <v>0</v>
      </c>
    </row>
    <row r="1268" spans="1:7" x14ac:dyDescent="0.3">
      <c r="A1268" s="198">
        <v>1000409845</v>
      </c>
      <c r="B1268" s="192" t="s">
        <v>1378</v>
      </c>
      <c r="C1268" s="196">
        <v>0</v>
      </c>
      <c r="D1268" s="196">
        <v>101800</v>
      </c>
      <c r="E1268" s="196">
        <v>101800</v>
      </c>
      <c r="F1268" s="196">
        <v>0</v>
      </c>
      <c r="G1268" s="196">
        <v>0</v>
      </c>
    </row>
    <row r="1269" spans="1:7" x14ac:dyDescent="0.3">
      <c r="A1269" s="198">
        <v>1035016845</v>
      </c>
      <c r="B1269" s="192" t="s">
        <v>1379</v>
      </c>
      <c r="C1269" s="196">
        <v>0</v>
      </c>
      <c r="D1269" s="196">
        <v>101800</v>
      </c>
      <c r="E1269" s="196">
        <v>101800</v>
      </c>
      <c r="F1269" s="196">
        <v>0</v>
      </c>
      <c r="G1269" s="196">
        <v>0</v>
      </c>
    </row>
    <row r="1270" spans="1:7" x14ac:dyDescent="0.3">
      <c r="A1270" s="198">
        <v>1035025368</v>
      </c>
      <c r="B1270" s="192" t="s">
        <v>1380</v>
      </c>
      <c r="C1270" s="196">
        <v>0</v>
      </c>
      <c r="D1270" s="196">
        <v>101800</v>
      </c>
      <c r="E1270" s="196">
        <v>101800</v>
      </c>
      <c r="F1270" s="196">
        <v>0</v>
      </c>
      <c r="G1270" s="196">
        <v>0</v>
      </c>
    </row>
    <row r="1271" spans="1:7" x14ac:dyDescent="0.3">
      <c r="A1271" s="198">
        <v>352383</v>
      </c>
      <c r="B1271" s="192" t="s">
        <v>1381</v>
      </c>
      <c r="C1271" s="196">
        <v>4</v>
      </c>
      <c r="D1271" s="196">
        <v>0</v>
      </c>
      <c r="E1271" s="196">
        <v>0</v>
      </c>
      <c r="F1271" s="196">
        <v>0</v>
      </c>
      <c r="G1271" s="196">
        <v>4</v>
      </c>
    </row>
    <row r="1272" spans="1:7" x14ac:dyDescent="0.3">
      <c r="A1272" s="198">
        <v>22385085</v>
      </c>
      <c r="B1272" s="192" t="s">
        <v>1382</v>
      </c>
      <c r="C1272" s="196">
        <v>0</v>
      </c>
      <c r="D1272" s="196">
        <v>282000</v>
      </c>
      <c r="E1272" s="196">
        <v>282000</v>
      </c>
      <c r="F1272" s="196">
        <v>0</v>
      </c>
      <c r="G1272" s="196">
        <v>0</v>
      </c>
    </row>
    <row r="1273" spans="1:7" x14ac:dyDescent="0.3">
      <c r="A1273" s="198">
        <v>4891570</v>
      </c>
      <c r="B1273" s="192" t="s">
        <v>1383</v>
      </c>
      <c r="C1273" s="196">
        <v>0</v>
      </c>
      <c r="D1273" s="196">
        <v>247000</v>
      </c>
      <c r="E1273" s="196">
        <v>247000</v>
      </c>
      <c r="F1273" s="196">
        <v>0</v>
      </c>
      <c r="G1273" s="196">
        <v>0</v>
      </c>
    </row>
    <row r="1274" spans="1:7" x14ac:dyDescent="0.3">
      <c r="A1274" s="198">
        <v>6695218</v>
      </c>
      <c r="B1274" s="192" t="s">
        <v>1384</v>
      </c>
      <c r="C1274" s="196">
        <v>0</v>
      </c>
      <c r="D1274" s="196">
        <v>8914200</v>
      </c>
      <c r="E1274" s="196">
        <v>8914200</v>
      </c>
      <c r="F1274" s="196">
        <v>0</v>
      </c>
      <c r="G1274" s="196">
        <v>0</v>
      </c>
    </row>
    <row r="1275" spans="1:7" x14ac:dyDescent="0.3">
      <c r="A1275" s="198">
        <v>11814571</v>
      </c>
      <c r="B1275" s="192" t="s">
        <v>1385</v>
      </c>
      <c r="C1275" s="196">
        <v>1</v>
      </c>
      <c r="D1275" s="196">
        <v>0</v>
      </c>
      <c r="E1275" s="196">
        <v>0</v>
      </c>
      <c r="F1275" s="196">
        <v>0</v>
      </c>
      <c r="G1275" s="196">
        <v>1</v>
      </c>
    </row>
    <row r="1276" spans="1:7" x14ac:dyDescent="0.3">
      <c r="A1276" s="198">
        <v>8255029</v>
      </c>
      <c r="B1276" s="192" t="s">
        <v>1386</v>
      </c>
      <c r="C1276" s="196">
        <v>0</v>
      </c>
      <c r="D1276" s="196">
        <v>2310000</v>
      </c>
      <c r="E1276" s="196">
        <v>2310000</v>
      </c>
      <c r="F1276" s="196">
        <v>0</v>
      </c>
      <c r="G1276" s="196">
        <v>0</v>
      </c>
    </row>
    <row r="1277" spans="1:7" x14ac:dyDescent="0.3">
      <c r="A1277" s="198">
        <v>1036641211</v>
      </c>
      <c r="B1277" s="192" t="s">
        <v>1387</v>
      </c>
      <c r="C1277" s="196">
        <v>0</v>
      </c>
      <c r="D1277" s="196">
        <v>377000</v>
      </c>
      <c r="E1277" s="196">
        <v>377000</v>
      </c>
      <c r="F1277" s="196">
        <v>0</v>
      </c>
      <c r="G1277" s="196">
        <v>0</v>
      </c>
    </row>
    <row r="1278" spans="1:7" x14ac:dyDescent="0.3">
      <c r="A1278" s="198">
        <v>70810340</v>
      </c>
      <c r="B1278" s="192" t="s">
        <v>1388</v>
      </c>
      <c r="C1278" s="196">
        <v>0</v>
      </c>
      <c r="D1278" s="196">
        <v>472400</v>
      </c>
      <c r="E1278" s="196">
        <v>472400</v>
      </c>
      <c r="F1278" s="196">
        <v>0</v>
      </c>
      <c r="G1278" s="196">
        <v>0</v>
      </c>
    </row>
    <row r="1279" spans="1:7" x14ac:dyDescent="0.3">
      <c r="A1279" s="198">
        <v>548454915</v>
      </c>
      <c r="B1279" s="192" t="s">
        <v>1389</v>
      </c>
      <c r="C1279" s="196">
        <v>0</v>
      </c>
      <c r="D1279" s="196">
        <v>297000</v>
      </c>
      <c r="E1279" s="196">
        <v>297000</v>
      </c>
      <c r="F1279" s="196">
        <v>0</v>
      </c>
      <c r="G1279" s="196">
        <v>0</v>
      </c>
    </row>
    <row r="1280" spans="1:7" x14ac:dyDescent="0.3">
      <c r="A1280" s="198">
        <v>70552313</v>
      </c>
      <c r="B1280" s="192" t="s">
        <v>1390</v>
      </c>
      <c r="C1280" s="196">
        <v>0</v>
      </c>
      <c r="D1280" s="196">
        <v>101800</v>
      </c>
      <c r="E1280" s="196">
        <v>101800</v>
      </c>
      <c r="F1280" s="196">
        <v>0</v>
      </c>
      <c r="G1280" s="196">
        <v>0</v>
      </c>
    </row>
    <row r="1281" spans="1:7" x14ac:dyDescent="0.3">
      <c r="A1281" s="192" t="s">
        <v>1391</v>
      </c>
      <c r="B1281" s="192" t="s">
        <v>1392</v>
      </c>
      <c r="C1281" s="196">
        <v>0</v>
      </c>
      <c r="D1281" s="196">
        <v>420000</v>
      </c>
      <c r="E1281" s="196">
        <v>420000</v>
      </c>
      <c r="F1281" s="196">
        <v>0</v>
      </c>
      <c r="G1281" s="196">
        <v>0</v>
      </c>
    </row>
    <row r="1282" spans="1:7" x14ac:dyDescent="0.3">
      <c r="A1282" s="198">
        <v>8224809</v>
      </c>
      <c r="B1282" s="192" t="s">
        <v>1393</v>
      </c>
      <c r="C1282" s="196">
        <v>0</v>
      </c>
      <c r="D1282" s="196">
        <v>82800</v>
      </c>
      <c r="E1282" s="196">
        <v>82800</v>
      </c>
      <c r="F1282" s="196">
        <v>0</v>
      </c>
      <c r="G1282" s="196">
        <v>0</v>
      </c>
    </row>
    <row r="1283" spans="1:7" x14ac:dyDescent="0.3">
      <c r="A1283" s="198">
        <v>37820644</v>
      </c>
      <c r="B1283" s="192" t="s">
        <v>1394</v>
      </c>
      <c r="C1283" s="196">
        <v>0</v>
      </c>
      <c r="D1283" s="196">
        <v>207900</v>
      </c>
      <c r="E1283" s="196">
        <v>207900</v>
      </c>
      <c r="F1283" s="196">
        <v>0</v>
      </c>
      <c r="G1283" s="196">
        <v>0</v>
      </c>
    </row>
    <row r="1284" spans="1:7" x14ac:dyDescent="0.3">
      <c r="A1284" s="198">
        <v>1035003736</v>
      </c>
      <c r="B1284" s="192" t="s">
        <v>1395</v>
      </c>
      <c r="C1284" s="196">
        <v>0</v>
      </c>
      <c r="D1284" s="196">
        <v>88000</v>
      </c>
      <c r="E1284" s="196">
        <v>88000</v>
      </c>
      <c r="F1284" s="196">
        <v>0</v>
      </c>
      <c r="G1284" s="196">
        <v>0</v>
      </c>
    </row>
    <row r="1285" spans="1:7" x14ac:dyDescent="0.3">
      <c r="A1285" s="198">
        <v>1021809873</v>
      </c>
      <c r="B1285" s="192" t="s">
        <v>1396</v>
      </c>
      <c r="C1285" s="196">
        <v>0</v>
      </c>
      <c r="D1285" s="196">
        <v>335000</v>
      </c>
      <c r="E1285" s="196">
        <v>334999</v>
      </c>
      <c r="F1285" s="196">
        <v>1</v>
      </c>
      <c r="G1285" s="196">
        <v>1</v>
      </c>
    </row>
    <row r="1286" spans="1:7" x14ac:dyDescent="0.3">
      <c r="A1286" s="198">
        <v>35745085</v>
      </c>
      <c r="B1286" s="192" t="s">
        <v>1397</v>
      </c>
      <c r="C1286" s="196">
        <v>0</v>
      </c>
      <c r="D1286" s="196">
        <v>223300</v>
      </c>
      <c r="E1286" s="196">
        <v>223300</v>
      </c>
      <c r="F1286" s="196">
        <v>0</v>
      </c>
      <c r="G1286" s="196">
        <v>0</v>
      </c>
    </row>
    <row r="1287" spans="1:7" x14ac:dyDescent="0.3">
      <c r="A1287" s="198">
        <v>32484957</v>
      </c>
      <c r="B1287" s="192" t="s">
        <v>1398</v>
      </c>
      <c r="C1287" s="196">
        <v>0</v>
      </c>
      <c r="D1287" s="196">
        <v>297000</v>
      </c>
      <c r="E1287" s="196">
        <v>297000</v>
      </c>
      <c r="F1287" s="196">
        <v>0</v>
      </c>
      <c r="G1287" s="196">
        <v>0</v>
      </c>
    </row>
    <row r="1288" spans="1:7" x14ac:dyDescent="0.3">
      <c r="A1288" s="198">
        <v>79387476</v>
      </c>
      <c r="B1288" s="192" t="s">
        <v>1399</v>
      </c>
      <c r="C1288" s="196">
        <v>0</v>
      </c>
      <c r="D1288" s="196">
        <v>280800</v>
      </c>
      <c r="E1288" s="196">
        <v>280800</v>
      </c>
      <c r="F1288" s="196">
        <v>0</v>
      </c>
      <c r="G1288" s="196">
        <v>0</v>
      </c>
    </row>
    <row r="1289" spans="1:7" x14ac:dyDescent="0.3">
      <c r="A1289" s="198">
        <v>15341570</v>
      </c>
      <c r="B1289" s="192" t="s">
        <v>1400</v>
      </c>
      <c r="C1289" s="196">
        <v>0</v>
      </c>
      <c r="D1289" s="196">
        <v>85000</v>
      </c>
      <c r="E1289" s="196">
        <v>85000</v>
      </c>
      <c r="F1289" s="196">
        <v>0</v>
      </c>
      <c r="G1289" s="196">
        <v>0</v>
      </c>
    </row>
    <row r="1290" spans="1:7" x14ac:dyDescent="0.3">
      <c r="A1290" s="198">
        <v>1037647611</v>
      </c>
      <c r="B1290" s="192" t="s">
        <v>1401</v>
      </c>
      <c r="C1290" s="196">
        <v>0</v>
      </c>
      <c r="D1290" s="196">
        <v>114400</v>
      </c>
      <c r="E1290" s="196">
        <v>114400</v>
      </c>
      <c r="F1290" s="196">
        <v>0</v>
      </c>
      <c r="G1290" s="196">
        <v>0</v>
      </c>
    </row>
    <row r="1291" spans="1:7" x14ac:dyDescent="0.3">
      <c r="A1291" s="198">
        <v>8507533</v>
      </c>
      <c r="B1291" s="192" t="s">
        <v>1402</v>
      </c>
      <c r="C1291" s="196">
        <v>0</v>
      </c>
      <c r="D1291" s="196">
        <v>247000</v>
      </c>
      <c r="E1291" s="196">
        <v>247000</v>
      </c>
      <c r="F1291" s="196">
        <v>0</v>
      </c>
      <c r="G1291" s="196">
        <v>0</v>
      </c>
    </row>
    <row r="1292" spans="1:7" x14ac:dyDescent="0.3">
      <c r="A1292" s="198">
        <v>30772170</v>
      </c>
      <c r="B1292" s="192" t="s">
        <v>1403</v>
      </c>
      <c r="C1292" s="196">
        <v>0</v>
      </c>
      <c r="D1292" s="196">
        <v>297000</v>
      </c>
      <c r="E1292" s="196">
        <v>297000</v>
      </c>
      <c r="F1292" s="196">
        <v>0</v>
      </c>
      <c r="G1292" s="196">
        <v>0</v>
      </c>
    </row>
    <row r="1293" spans="1:7" x14ac:dyDescent="0.3">
      <c r="A1293" s="192" t="s">
        <v>1404</v>
      </c>
      <c r="B1293" s="192" t="s">
        <v>1405</v>
      </c>
      <c r="C1293" s="196">
        <v>0</v>
      </c>
      <c r="D1293" s="196">
        <v>101800</v>
      </c>
      <c r="E1293" s="196">
        <v>101800</v>
      </c>
      <c r="F1293" s="196">
        <v>0</v>
      </c>
      <c r="G1293" s="196">
        <v>0</v>
      </c>
    </row>
    <row r="1294" spans="1:7" x14ac:dyDescent="0.3">
      <c r="A1294" s="198">
        <v>804834</v>
      </c>
      <c r="B1294" s="192" t="s">
        <v>1405</v>
      </c>
      <c r="C1294" s="196">
        <v>0</v>
      </c>
      <c r="D1294" s="196">
        <v>224800</v>
      </c>
      <c r="E1294" s="196">
        <v>224800</v>
      </c>
      <c r="F1294" s="196">
        <v>0</v>
      </c>
      <c r="G1294" s="196">
        <v>0</v>
      </c>
    </row>
    <row r="1295" spans="1:7" x14ac:dyDescent="0.3">
      <c r="A1295" s="198">
        <v>79142172</v>
      </c>
      <c r="B1295" s="192" t="s">
        <v>1406</v>
      </c>
      <c r="C1295" s="196">
        <v>0</v>
      </c>
      <c r="D1295" s="196">
        <v>297000</v>
      </c>
      <c r="E1295" s="196">
        <v>297000</v>
      </c>
      <c r="F1295" s="196">
        <v>0</v>
      </c>
      <c r="G1295" s="196">
        <v>0</v>
      </c>
    </row>
    <row r="1296" spans="1:7" x14ac:dyDescent="0.3">
      <c r="A1296" s="198">
        <v>54252438</v>
      </c>
      <c r="B1296" s="192" t="s">
        <v>1407</v>
      </c>
      <c r="C1296" s="196">
        <v>0</v>
      </c>
      <c r="D1296" s="196">
        <v>1348200</v>
      </c>
      <c r="E1296" s="196">
        <v>1348200</v>
      </c>
      <c r="F1296" s="196">
        <v>0</v>
      </c>
      <c r="G1296" s="196">
        <v>0</v>
      </c>
    </row>
    <row r="1297" spans="1:7" x14ac:dyDescent="0.3">
      <c r="A1297" s="198">
        <v>70121718</v>
      </c>
      <c r="B1297" s="192" t="s">
        <v>1408</v>
      </c>
      <c r="C1297" s="196">
        <v>0</v>
      </c>
      <c r="D1297" s="196">
        <v>297000</v>
      </c>
      <c r="E1297" s="196">
        <v>297000</v>
      </c>
      <c r="F1297" s="196">
        <v>0</v>
      </c>
      <c r="G1297" s="196">
        <v>0</v>
      </c>
    </row>
    <row r="1298" spans="1:7" x14ac:dyDescent="0.3">
      <c r="A1298" s="198">
        <v>1011414295</v>
      </c>
      <c r="B1298" s="192" t="s">
        <v>1409</v>
      </c>
      <c r="C1298" s="196">
        <v>0</v>
      </c>
      <c r="D1298" s="196">
        <v>101800</v>
      </c>
      <c r="E1298" s="196">
        <v>101800</v>
      </c>
      <c r="F1298" s="196">
        <v>0</v>
      </c>
      <c r="G1298" s="196">
        <v>0</v>
      </c>
    </row>
    <row r="1299" spans="1:7" x14ac:dyDescent="0.3">
      <c r="A1299" s="198">
        <v>24297943</v>
      </c>
      <c r="B1299" s="192" t="s">
        <v>1410</v>
      </c>
      <c r="C1299" s="196">
        <v>223330</v>
      </c>
      <c r="D1299" s="196">
        <v>0</v>
      </c>
      <c r="E1299" s="196">
        <v>223330</v>
      </c>
      <c r="F1299" s="196">
        <v>-223330</v>
      </c>
      <c r="G1299" s="196">
        <v>0</v>
      </c>
    </row>
    <row r="1300" spans="1:7" x14ac:dyDescent="0.3">
      <c r="A1300" s="198">
        <v>52160394</v>
      </c>
      <c r="B1300" s="192" t="s">
        <v>1411</v>
      </c>
      <c r="C1300" s="196">
        <v>319000</v>
      </c>
      <c r="D1300" s="196">
        <v>0</v>
      </c>
      <c r="E1300" s="196">
        <v>319000</v>
      </c>
      <c r="F1300" s="196">
        <v>-319000</v>
      </c>
      <c r="G1300" s="196">
        <v>0</v>
      </c>
    </row>
    <row r="1301" spans="1:7" x14ac:dyDescent="0.3">
      <c r="A1301" s="198">
        <v>32313008</v>
      </c>
      <c r="B1301" s="192" t="s">
        <v>1412</v>
      </c>
      <c r="C1301" s="196">
        <v>0</v>
      </c>
      <c r="D1301" s="196">
        <v>297000</v>
      </c>
      <c r="E1301" s="196">
        <v>297000</v>
      </c>
      <c r="F1301" s="196">
        <v>0</v>
      </c>
      <c r="G1301" s="196">
        <v>0</v>
      </c>
    </row>
    <row r="1302" spans="1:7" x14ac:dyDescent="0.3">
      <c r="A1302" s="198">
        <v>31243881</v>
      </c>
      <c r="B1302" s="192" t="s">
        <v>1413</v>
      </c>
      <c r="C1302" s="196">
        <v>53000</v>
      </c>
      <c r="D1302" s="196">
        <v>0</v>
      </c>
      <c r="E1302" s="196">
        <v>53000</v>
      </c>
      <c r="F1302" s="196">
        <v>-53000</v>
      </c>
      <c r="G1302" s="196">
        <v>0</v>
      </c>
    </row>
    <row r="1303" spans="1:7" x14ac:dyDescent="0.3">
      <c r="A1303" s="198">
        <v>1035019025</v>
      </c>
      <c r="B1303" s="192" t="s">
        <v>1414</v>
      </c>
      <c r="C1303" s="196">
        <v>0</v>
      </c>
      <c r="D1303" s="196">
        <v>82800</v>
      </c>
      <c r="E1303" s="196">
        <v>82800</v>
      </c>
      <c r="F1303" s="196">
        <v>0</v>
      </c>
      <c r="G1303" s="196">
        <v>0</v>
      </c>
    </row>
    <row r="1304" spans="1:7" x14ac:dyDescent="0.3">
      <c r="A1304" s="198">
        <v>32748971</v>
      </c>
      <c r="B1304" s="192" t="s">
        <v>1415</v>
      </c>
      <c r="C1304" s="196">
        <v>4</v>
      </c>
      <c r="D1304" s="196">
        <v>150000</v>
      </c>
      <c r="E1304" s="196">
        <v>150000</v>
      </c>
      <c r="F1304" s="196">
        <v>0</v>
      </c>
      <c r="G1304" s="196">
        <v>4</v>
      </c>
    </row>
    <row r="1305" spans="1:7" x14ac:dyDescent="0.3">
      <c r="A1305" s="198">
        <v>900561444</v>
      </c>
      <c r="B1305" s="192" t="s">
        <v>1416</v>
      </c>
      <c r="C1305" s="196">
        <v>9117095</v>
      </c>
      <c r="D1305" s="196">
        <v>0</v>
      </c>
      <c r="E1305" s="196">
        <v>0</v>
      </c>
      <c r="F1305" s="196">
        <v>0</v>
      </c>
      <c r="G1305" s="196">
        <v>9117095</v>
      </c>
    </row>
    <row r="1306" spans="1:7" x14ac:dyDescent="0.3">
      <c r="A1306" s="198">
        <v>14894545</v>
      </c>
      <c r="B1306" s="192" t="s">
        <v>1417</v>
      </c>
      <c r="C1306" s="196">
        <v>0</v>
      </c>
      <c r="D1306" s="196">
        <v>654000</v>
      </c>
      <c r="E1306" s="196">
        <v>654000</v>
      </c>
      <c r="F1306" s="196">
        <v>0</v>
      </c>
      <c r="G1306" s="196">
        <v>0</v>
      </c>
    </row>
    <row r="1307" spans="1:7" x14ac:dyDescent="0.3">
      <c r="A1307" s="198">
        <v>1088264837</v>
      </c>
      <c r="B1307" s="192" t="s">
        <v>1418</v>
      </c>
      <c r="C1307" s="196">
        <v>0</v>
      </c>
      <c r="D1307" s="196">
        <v>101800</v>
      </c>
      <c r="E1307" s="196">
        <v>101800</v>
      </c>
      <c r="F1307" s="196">
        <v>0</v>
      </c>
      <c r="G1307" s="196">
        <v>0</v>
      </c>
    </row>
    <row r="1308" spans="1:7" x14ac:dyDescent="0.3">
      <c r="A1308" s="198">
        <v>999311979</v>
      </c>
      <c r="B1308" s="192" t="s">
        <v>1419</v>
      </c>
      <c r="C1308" s="196">
        <v>3849800</v>
      </c>
      <c r="D1308" s="196">
        <v>0</v>
      </c>
      <c r="E1308" s="196">
        <v>3849800</v>
      </c>
      <c r="F1308" s="196">
        <v>-3849800</v>
      </c>
      <c r="G1308" s="196">
        <v>0</v>
      </c>
    </row>
    <row r="1309" spans="1:7" x14ac:dyDescent="0.3">
      <c r="A1309" s="198">
        <v>21979476</v>
      </c>
      <c r="B1309" s="192" t="s">
        <v>1420</v>
      </c>
      <c r="C1309" s="196">
        <v>0</v>
      </c>
      <c r="D1309" s="196">
        <v>8114200</v>
      </c>
      <c r="E1309" s="196">
        <v>8114200</v>
      </c>
      <c r="F1309" s="196">
        <v>0</v>
      </c>
      <c r="G1309" s="196">
        <v>0</v>
      </c>
    </row>
    <row r="1310" spans="1:7" x14ac:dyDescent="0.3">
      <c r="A1310" s="198">
        <v>39694126</v>
      </c>
      <c r="B1310" s="192" t="s">
        <v>1421</v>
      </c>
      <c r="C1310" s="196">
        <v>0</v>
      </c>
      <c r="D1310" s="196">
        <v>101800</v>
      </c>
      <c r="E1310" s="196">
        <v>101800</v>
      </c>
      <c r="F1310" s="196">
        <v>0</v>
      </c>
      <c r="G1310" s="196">
        <v>0</v>
      </c>
    </row>
    <row r="1311" spans="1:7" x14ac:dyDescent="0.3">
      <c r="A1311" s="198">
        <v>1038876375</v>
      </c>
      <c r="B1311" s="192" t="s">
        <v>1422</v>
      </c>
      <c r="C1311" s="196">
        <v>0</v>
      </c>
      <c r="D1311" s="196">
        <v>101800</v>
      </c>
      <c r="E1311" s="196">
        <v>101800</v>
      </c>
      <c r="F1311" s="196">
        <v>0</v>
      </c>
      <c r="G1311" s="196">
        <v>0</v>
      </c>
    </row>
    <row r="1312" spans="1:7" x14ac:dyDescent="0.3">
      <c r="A1312" s="198">
        <v>1022008946</v>
      </c>
      <c r="B1312" s="192" t="s">
        <v>1423</v>
      </c>
      <c r="C1312" s="196">
        <v>0</v>
      </c>
      <c r="D1312" s="196">
        <v>101800</v>
      </c>
      <c r="E1312" s="196">
        <v>101800</v>
      </c>
      <c r="F1312" s="196">
        <v>0</v>
      </c>
      <c r="G1312" s="196">
        <v>0</v>
      </c>
    </row>
    <row r="1313" spans="1:7" x14ac:dyDescent="0.3">
      <c r="A1313" s="198">
        <v>1066892647</v>
      </c>
      <c r="B1313" s="192" t="s">
        <v>1424</v>
      </c>
      <c r="C1313" s="196">
        <v>0</v>
      </c>
      <c r="D1313" s="196">
        <v>82800</v>
      </c>
      <c r="E1313" s="196">
        <v>82800</v>
      </c>
      <c r="F1313" s="196">
        <v>0</v>
      </c>
      <c r="G1313" s="196">
        <v>0</v>
      </c>
    </row>
    <row r="1314" spans="1:7" x14ac:dyDescent="0.3">
      <c r="A1314" s="198">
        <v>1025901245</v>
      </c>
      <c r="B1314" s="192" t="s">
        <v>1425</v>
      </c>
      <c r="C1314" s="196">
        <v>0</v>
      </c>
      <c r="D1314" s="196">
        <v>94000</v>
      </c>
      <c r="E1314" s="196">
        <v>94000</v>
      </c>
      <c r="F1314" s="196">
        <v>0</v>
      </c>
      <c r="G1314" s="196">
        <v>0</v>
      </c>
    </row>
    <row r="1315" spans="1:7" x14ac:dyDescent="0.3">
      <c r="A1315" s="198">
        <v>1015198165</v>
      </c>
      <c r="B1315" s="192" t="s">
        <v>1426</v>
      </c>
      <c r="C1315" s="196">
        <v>0</v>
      </c>
      <c r="D1315" s="196">
        <v>101800</v>
      </c>
      <c r="E1315" s="196">
        <v>101800</v>
      </c>
      <c r="F1315" s="196">
        <v>0</v>
      </c>
      <c r="G1315" s="196">
        <v>0</v>
      </c>
    </row>
    <row r="1316" spans="1:7" x14ac:dyDescent="0.3">
      <c r="A1316" s="198">
        <v>1020244493</v>
      </c>
      <c r="B1316" s="192" t="s">
        <v>1427</v>
      </c>
      <c r="C1316" s="196">
        <v>0</v>
      </c>
      <c r="D1316" s="196">
        <v>340000</v>
      </c>
      <c r="E1316" s="196">
        <v>340000</v>
      </c>
      <c r="F1316" s="196">
        <v>0</v>
      </c>
      <c r="G1316" s="196">
        <v>0</v>
      </c>
    </row>
    <row r="1317" spans="1:7" x14ac:dyDescent="0.3">
      <c r="A1317" s="198">
        <v>1017942865</v>
      </c>
      <c r="B1317" s="192" t="s">
        <v>1428</v>
      </c>
      <c r="C1317" s="196">
        <v>0</v>
      </c>
      <c r="D1317" s="196">
        <v>101800</v>
      </c>
      <c r="E1317" s="196">
        <v>101800</v>
      </c>
      <c r="F1317" s="196">
        <v>0</v>
      </c>
      <c r="G1317" s="196">
        <v>0</v>
      </c>
    </row>
    <row r="1318" spans="1:7" x14ac:dyDescent="0.3">
      <c r="A1318" s="198">
        <v>1023596430</v>
      </c>
      <c r="B1318" s="192" t="s">
        <v>1429</v>
      </c>
      <c r="C1318" s="196">
        <v>0</v>
      </c>
      <c r="D1318" s="196">
        <v>101800</v>
      </c>
      <c r="E1318" s="196">
        <v>101800</v>
      </c>
      <c r="F1318" s="196">
        <v>0</v>
      </c>
      <c r="G1318" s="196">
        <v>0</v>
      </c>
    </row>
    <row r="1319" spans="1:7" x14ac:dyDescent="0.3">
      <c r="A1319" s="192" t="s">
        <v>1430</v>
      </c>
      <c r="B1319" s="192" t="s">
        <v>1431</v>
      </c>
      <c r="C1319" s="196">
        <v>0</v>
      </c>
      <c r="D1319" s="196">
        <v>340000</v>
      </c>
      <c r="E1319" s="196">
        <v>340000</v>
      </c>
      <c r="F1319" s="196">
        <v>0</v>
      </c>
      <c r="G1319" s="196">
        <v>0</v>
      </c>
    </row>
    <row r="1320" spans="1:7" x14ac:dyDescent="0.3">
      <c r="A1320" s="198">
        <v>26274665</v>
      </c>
      <c r="B1320" s="192" t="s">
        <v>1432</v>
      </c>
      <c r="C1320" s="196">
        <v>0</v>
      </c>
      <c r="D1320" s="196">
        <v>440000</v>
      </c>
      <c r="E1320" s="196">
        <v>440000</v>
      </c>
      <c r="F1320" s="196">
        <v>0</v>
      </c>
      <c r="G1320" s="196">
        <v>0</v>
      </c>
    </row>
    <row r="1321" spans="1:7" x14ac:dyDescent="0.3">
      <c r="A1321" s="198">
        <v>1027741741</v>
      </c>
      <c r="B1321" s="192" t="s">
        <v>1433</v>
      </c>
      <c r="C1321" s="196">
        <v>0</v>
      </c>
      <c r="D1321" s="196">
        <v>101800</v>
      </c>
      <c r="E1321" s="196">
        <v>101800</v>
      </c>
      <c r="F1321" s="196">
        <v>0</v>
      </c>
      <c r="G1321" s="196">
        <v>0</v>
      </c>
    </row>
    <row r="1322" spans="1:7" x14ac:dyDescent="0.3">
      <c r="A1322" s="198">
        <v>1037650679</v>
      </c>
      <c r="B1322" s="192" t="s">
        <v>1434</v>
      </c>
      <c r="C1322" s="196">
        <v>0</v>
      </c>
      <c r="D1322" s="196">
        <v>101800</v>
      </c>
      <c r="E1322" s="196">
        <v>101800</v>
      </c>
      <c r="F1322" s="196">
        <v>0</v>
      </c>
      <c r="G1322" s="196">
        <v>0</v>
      </c>
    </row>
    <row r="1323" spans="1:7" x14ac:dyDescent="0.3">
      <c r="A1323" s="198">
        <v>1011414030</v>
      </c>
      <c r="B1323" s="192" t="s">
        <v>1435</v>
      </c>
      <c r="C1323" s="196">
        <v>0</v>
      </c>
      <c r="D1323" s="196">
        <v>340000</v>
      </c>
      <c r="E1323" s="196">
        <v>340000</v>
      </c>
      <c r="F1323" s="196">
        <v>0</v>
      </c>
      <c r="G1323" s="196">
        <v>0</v>
      </c>
    </row>
    <row r="1324" spans="1:7" x14ac:dyDescent="0.3">
      <c r="A1324" s="198">
        <v>43531548</v>
      </c>
      <c r="B1324" s="192" t="s">
        <v>1436</v>
      </c>
      <c r="C1324" s="196">
        <v>0</v>
      </c>
      <c r="D1324" s="196">
        <v>319000</v>
      </c>
      <c r="E1324" s="196">
        <v>319000</v>
      </c>
      <c r="F1324" s="196">
        <v>0</v>
      </c>
      <c r="G1324" s="196">
        <v>0</v>
      </c>
    </row>
    <row r="1325" spans="1:7" x14ac:dyDescent="0.3">
      <c r="A1325" s="198">
        <v>43653618</v>
      </c>
      <c r="B1325" s="192" t="s">
        <v>1437</v>
      </c>
      <c r="C1325" s="196">
        <v>0</v>
      </c>
      <c r="D1325" s="196">
        <v>319000</v>
      </c>
      <c r="E1325" s="196">
        <v>319000</v>
      </c>
      <c r="F1325" s="196">
        <v>0</v>
      </c>
      <c r="G1325" s="196">
        <v>0</v>
      </c>
    </row>
    <row r="1326" spans="1:7" x14ac:dyDescent="0.3">
      <c r="A1326" s="198">
        <v>39534453</v>
      </c>
      <c r="B1326" s="192" t="s">
        <v>1438</v>
      </c>
      <c r="C1326" s="196">
        <v>0</v>
      </c>
      <c r="D1326" s="196">
        <v>119000</v>
      </c>
      <c r="E1326" s="196">
        <v>119000</v>
      </c>
      <c r="F1326" s="196">
        <v>0</v>
      </c>
      <c r="G1326" s="196">
        <v>0</v>
      </c>
    </row>
    <row r="1327" spans="1:7" x14ac:dyDescent="0.3">
      <c r="A1327" s="198">
        <v>37120928</v>
      </c>
      <c r="B1327" s="192" t="s">
        <v>1439</v>
      </c>
      <c r="C1327" s="196">
        <v>0</v>
      </c>
      <c r="D1327" s="196">
        <v>4069300</v>
      </c>
      <c r="E1327" s="196">
        <v>4069300</v>
      </c>
      <c r="F1327" s="196">
        <v>0</v>
      </c>
      <c r="G1327" s="196">
        <v>0</v>
      </c>
    </row>
    <row r="1328" spans="1:7" x14ac:dyDescent="0.3">
      <c r="A1328" s="198">
        <v>43709614</v>
      </c>
      <c r="B1328" s="192" t="s">
        <v>1440</v>
      </c>
      <c r="C1328" s="196">
        <v>0</v>
      </c>
      <c r="D1328" s="196">
        <v>297000</v>
      </c>
      <c r="E1328" s="196">
        <v>297000</v>
      </c>
      <c r="F1328" s="196">
        <v>0</v>
      </c>
      <c r="G1328" s="196">
        <v>0</v>
      </c>
    </row>
    <row r="1329" spans="1:7" x14ac:dyDescent="0.3">
      <c r="A1329" s="198">
        <v>43841150</v>
      </c>
      <c r="B1329" s="192" t="s">
        <v>1441</v>
      </c>
      <c r="C1329" s="196">
        <v>0</v>
      </c>
      <c r="D1329" s="196">
        <v>101800</v>
      </c>
      <c r="E1329" s="196">
        <v>101800</v>
      </c>
      <c r="F1329" s="196">
        <v>0</v>
      </c>
      <c r="G1329" s="196">
        <v>0</v>
      </c>
    </row>
    <row r="1330" spans="1:7" x14ac:dyDescent="0.3">
      <c r="A1330" s="198">
        <v>1042770889</v>
      </c>
      <c r="B1330" s="192" t="s">
        <v>1442</v>
      </c>
      <c r="C1330" s="196">
        <v>0</v>
      </c>
      <c r="D1330" s="196">
        <v>3300000</v>
      </c>
      <c r="E1330" s="196">
        <v>3300000</v>
      </c>
      <c r="F1330" s="196">
        <v>0</v>
      </c>
      <c r="G1330" s="196">
        <v>0</v>
      </c>
    </row>
    <row r="1331" spans="1:7" x14ac:dyDescent="0.3">
      <c r="A1331" s="198">
        <v>1020430572</v>
      </c>
      <c r="B1331" s="192" t="s">
        <v>1443</v>
      </c>
      <c r="C1331" s="196">
        <v>0</v>
      </c>
      <c r="D1331" s="196">
        <v>963000</v>
      </c>
      <c r="E1331" s="196">
        <v>963000</v>
      </c>
      <c r="F1331" s="196">
        <v>0</v>
      </c>
      <c r="G1331" s="196">
        <v>0</v>
      </c>
    </row>
    <row r="1332" spans="1:7" x14ac:dyDescent="0.3">
      <c r="A1332" s="198">
        <v>46373890</v>
      </c>
      <c r="B1332" s="192" t="s">
        <v>1444</v>
      </c>
      <c r="C1332" s="196">
        <v>0</v>
      </c>
      <c r="D1332" s="196">
        <v>6184000</v>
      </c>
      <c r="E1332" s="196">
        <v>6184000</v>
      </c>
      <c r="F1332" s="196">
        <v>0</v>
      </c>
      <c r="G1332" s="196">
        <v>0</v>
      </c>
    </row>
    <row r="1333" spans="1:7" x14ac:dyDescent="0.3">
      <c r="A1333" s="198">
        <v>1125998281</v>
      </c>
      <c r="B1333" s="192" t="s">
        <v>1445</v>
      </c>
      <c r="C1333" s="196">
        <v>0</v>
      </c>
      <c r="D1333" s="196">
        <v>300000</v>
      </c>
      <c r="E1333" s="196">
        <v>300000</v>
      </c>
      <c r="F1333" s="196">
        <v>0</v>
      </c>
      <c r="G1333" s="196">
        <v>0</v>
      </c>
    </row>
    <row r="1334" spans="1:7" x14ac:dyDescent="0.3">
      <c r="A1334" s="198">
        <v>21496106</v>
      </c>
      <c r="B1334" s="192" t="s">
        <v>1446</v>
      </c>
      <c r="C1334" s="196">
        <v>0</v>
      </c>
      <c r="D1334" s="196">
        <v>85000</v>
      </c>
      <c r="E1334" s="196">
        <v>85000</v>
      </c>
      <c r="F1334" s="196">
        <v>0</v>
      </c>
      <c r="G1334" s="196">
        <v>0</v>
      </c>
    </row>
    <row r="1335" spans="1:7" x14ac:dyDescent="0.3">
      <c r="A1335" s="198">
        <v>1007118138</v>
      </c>
      <c r="B1335" s="192" t="s">
        <v>1447</v>
      </c>
      <c r="C1335" s="196">
        <v>3590000</v>
      </c>
      <c r="D1335" s="196">
        <v>0</v>
      </c>
      <c r="E1335" s="196">
        <v>3590000</v>
      </c>
      <c r="F1335" s="196">
        <v>-3590000</v>
      </c>
      <c r="G1335" s="196">
        <v>0</v>
      </c>
    </row>
    <row r="1336" spans="1:7" x14ac:dyDescent="0.3">
      <c r="A1336" s="198">
        <v>1020128828</v>
      </c>
      <c r="B1336" s="192" t="s">
        <v>1448</v>
      </c>
      <c r="C1336" s="196">
        <v>0</v>
      </c>
      <c r="D1336" s="196">
        <v>101800</v>
      </c>
      <c r="E1336" s="196">
        <v>101800</v>
      </c>
      <c r="F1336" s="196">
        <v>0</v>
      </c>
      <c r="G1336" s="196">
        <v>0</v>
      </c>
    </row>
    <row r="1337" spans="1:7" x14ac:dyDescent="0.3">
      <c r="A1337" s="198">
        <v>1152715596</v>
      </c>
      <c r="B1337" s="192" t="s">
        <v>1449</v>
      </c>
      <c r="C1337" s="196">
        <v>0</v>
      </c>
      <c r="D1337" s="196">
        <v>165000</v>
      </c>
      <c r="E1337" s="196">
        <v>165000</v>
      </c>
      <c r="F1337" s="196">
        <v>0</v>
      </c>
      <c r="G1337" s="196">
        <v>0</v>
      </c>
    </row>
    <row r="1338" spans="1:7" x14ac:dyDescent="0.3">
      <c r="A1338" s="198">
        <v>1000565171</v>
      </c>
      <c r="B1338" s="192" t="s">
        <v>1450</v>
      </c>
      <c r="C1338" s="196">
        <v>0</v>
      </c>
      <c r="D1338" s="196">
        <v>968000</v>
      </c>
      <c r="E1338" s="196">
        <v>968000</v>
      </c>
      <c r="F1338" s="196">
        <v>0</v>
      </c>
      <c r="G1338" s="196">
        <v>0</v>
      </c>
    </row>
    <row r="1339" spans="1:7" x14ac:dyDescent="0.3">
      <c r="A1339" s="198">
        <v>1019844989</v>
      </c>
      <c r="B1339" s="192" t="s">
        <v>1451</v>
      </c>
      <c r="C1339" s="196">
        <v>0</v>
      </c>
      <c r="D1339" s="196">
        <v>101800</v>
      </c>
      <c r="E1339" s="196">
        <v>101800</v>
      </c>
      <c r="F1339" s="196">
        <v>0</v>
      </c>
      <c r="G1339" s="196">
        <v>0</v>
      </c>
    </row>
    <row r="1340" spans="1:7" x14ac:dyDescent="0.3">
      <c r="A1340" s="198">
        <v>1017233617</v>
      </c>
      <c r="B1340" s="192" t="s">
        <v>1452</v>
      </c>
      <c r="C1340" s="196">
        <v>0</v>
      </c>
      <c r="D1340" s="196">
        <v>101800</v>
      </c>
      <c r="E1340" s="196">
        <v>101800</v>
      </c>
      <c r="F1340" s="196">
        <v>0</v>
      </c>
      <c r="G1340" s="196">
        <v>0</v>
      </c>
    </row>
    <row r="1341" spans="1:7" x14ac:dyDescent="0.3">
      <c r="A1341" s="198">
        <v>1037608176</v>
      </c>
      <c r="B1341" s="192" t="s">
        <v>1453</v>
      </c>
      <c r="C1341" s="196">
        <v>0</v>
      </c>
      <c r="D1341" s="196">
        <v>101800</v>
      </c>
      <c r="E1341" s="196">
        <v>101800</v>
      </c>
      <c r="F1341" s="196">
        <v>0</v>
      </c>
      <c r="G1341" s="196">
        <v>0</v>
      </c>
    </row>
    <row r="1342" spans="1:7" x14ac:dyDescent="0.3">
      <c r="A1342" s="198">
        <v>1017201633</v>
      </c>
      <c r="B1342" s="192" t="s">
        <v>1454</v>
      </c>
      <c r="C1342" s="196">
        <v>0</v>
      </c>
      <c r="D1342" s="196">
        <v>101800</v>
      </c>
      <c r="E1342" s="196">
        <v>101800</v>
      </c>
      <c r="F1342" s="196">
        <v>0</v>
      </c>
      <c r="G1342" s="196">
        <v>0</v>
      </c>
    </row>
    <row r="1343" spans="1:7" x14ac:dyDescent="0.3">
      <c r="A1343" s="198">
        <v>1035011445</v>
      </c>
      <c r="B1343" s="192" t="s">
        <v>1455</v>
      </c>
      <c r="C1343" s="196">
        <v>0</v>
      </c>
      <c r="D1343" s="196">
        <v>101800</v>
      </c>
      <c r="E1343" s="196">
        <v>101800</v>
      </c>
      <c r="F1343" s="196">
        <v>0</v>
      </c>
      <c r="G1343" s="196">
        <v>0</v>
      </c>
    </row>
    <row r="1344" spans="1:7" x14ac:dyDescent="0.3">
      <c r="A1344" s="198">
        <v>1017192980</v>
      </c>
      <c r="B1344" s="192" t="s">
        <v>1456</v>
      </c>
      <c r="C1344" s="196">
        <v>0</v>
      </c>
      <c r="D1344" s="196">
        <v>19600</v>
      </c>
      <c r="E1344" s="196">
        <v>19600</v>
      </c>
      <c r="F1344" s="196">
        <v>0</v>
      </c>
      <c r="G1344" s="196">
        <v>0</v>
      </c>
    </row>
    <row r="1345" spans="1:7" x14ac:dyDescent="0.3">
      <c r="A1345" s="198">
        <v>1152717719</v>
      </c>
      <c r="B1345" s="192" t="s">
        <v>1457</v>
      </c>
      <c r="C1345" s="196">
        <v>0</v>
      </c>
      <c r="D1345" s="196">
        <v>963000</v>
      </c>
      <c r="E1345" s="196">
        <v>963000</v>
      </c>
      <c r="F1345" s="196">
        <v>0</v>
      </c>
      <c r="G1345" s="196">
        <v>0</v>
      </c>
    </row>
    <row r="1346" spans="1:7" x14ac:dyDescent="0.3">
      <c r="A1346" s="198">
        <v>1037238474</v>
      </c>
      <c r="B1346" s="192" t="s">
        <v>1458</v>
      </c>
      <c r="C1346" s="196">
        <v>0</v>
      </c>
      <c r="D1346" s="196">
        <v>429800</v>
      </c>
      <c r="E1346" s="196">
        <v>429800</v>
      </c>
      <c r="F1346" s="196">
        <v>0</v>
      </c>
      <c r="G1346" s="196">
        <v>0</v>
      </c>
    </row>
    <row r="1347" spans="1:7" x14ac:dyDescent="0.3">
      <c r="A1347" s="198">
        <v>1152438873</v>
      </c>
      <c r="B1347" s="192" t="s">
        <v>1459</v>
      </c>
      <c r="C1347" s="196">
        <v>0</v>
      </c>
      <c r="D1347" s="196">
        <v>295000</v>
      </c>
      <c r="E1347" s="196">
        <v>295000</v>
      </c>
      <c r="F1347" s="196">
        <v>0</v>
      </c>
      <c r="G1347" s="196">
        <v>0</v>
      </c>
    </row>
    <row r="1348" spans="1:7" x14ac:dyDescent="0.3">
      <c r="A1348" s="198">
        <v>1001363302</v>
      </c>
      <c r="B1348" s="192" t="s">
        <v>1460</v>
      </c>
      <c r="C1348" s="196">
        <v>0</v>
      </c>
      <c r="D1348" s="196">
        <v>963000</v>
      </c>
      <c r="E1348" s="196">
        <v>963000</v>
      </c>
      <c r="F1348" s="196">
        <v>0</v>
      </c>
      <c r="G1348" s="196">
        <v>0</v>
      </c>
    </row>
    <row r="1349" spans="1:7" x14ac:dyDescent="0.3">
      <c r="A1349" s="198">
        <v>1039464120</v>
      </c>
      <c r="B1349" s="192" t="s">
        <v>1461</v>
      </c>
      <c r="C1349" s="196">
        <v>0</v>
      </c>
      <c r="D1349" s="196">
        <v>250400</v>
      </c>
      <c r="E1349" s="196">
        <v>250400</v>
      </c>
      <c r="F1349" s="196">
        <v>0</v>
      </c>
      <c r="G1349" s="196">
        <v>0</v>
      </c>
    </row>
    <row r="1350" spans="1:7" x14ac:dyDescent="0.3">
      <c r="A1350" s="198">
        <v>1039474094</v>
      </c>
      <c r="B1350" s="192" t="s">
        <v>1462</v>
      </c>
      <c r="C1350" s="196">
        <v>0</v>
      </c>
      <c r="D1350" s="196">
        <v>76800</v>
      </c>
      <c r="E1350" s="196">
        <v>76800</v>
      </c>
      <c r="F1350" s="196">
        <v>0</v>
      </c>
      <c r="G1350" s="196">
        <v>0</v>
      </c>
    </row>
    <row r="1351" spans="1:7" x14ac:dyDescent="0.3">
      <c r="A1351" s="198">
        <v>1017242646</v>
      </c>
      <c r="B1351" s="192" t="s">
        <v>1463</v>
      </c>
      <c r="C1351" s="196">
        <v>1</v>
      </c>
      <c r="D1351" s="196">
        <v>0</v>
      </c>
      <c r="E1351" s="196">
        <v>0</v>
      </c>
      <c r="F1351" s="196">
        <v>0</v>
      </c>
      <c r="G1351" s="196">
        <v>1</v>
      </c>
    </row>
    <row r="1352" spans="1:7" x14ac:dyDescent="0.3">
      <c r="A1352" s="198">
        <v>1036786021</v>
      </c>
      <c r="B1352" s="192" t="s">
        <v>1464</v>
      </c>
      <c r="C1352" s="196">
        <v>4000000</v>
      </c>
      <c r="D1352" s="196">
        <v>0</v>
      </c>
      <c r="E1352" s="196">
        <v>4000000</v>
      </c>
      <c r="F1352" s="196">
        <v>-4000000</v>
      </c>
      <c r="G1352" s="196">
        <v>0</v>
      </c>
    </row>
    <row r="1353" spans="1:7" x14ac:dyDescent="0.3">
      <c r="A1353" s="198">
        <v>1128481021</v>
      </c>
      <c r="B1353" s="192" t="s">
        <v>1465</v>
      </c>
      <c r="C1353" s="196">
        <v>0</v>
      </c>
      <c r="D1353" s="196">
        <v>101800</v>
      </c>
      <c r="E1353" s="196">
        <v>101800</v>
      </c>
      <c r="F1353" s="196">
        <v>0</v>
      </c>
      <c r="G1353" s="196">
        <v>0</v>
      </c>
    </row>
    <row r="1354" spans="1:7" x14ac:dyDescent="0.3">
      <c r="A1354" s="198">
        <v>890903790</v>
      </c>
      <c r="B1354" s="192" t="s">
        <v>1466</v>
      </c>
      <c r="C1354" s="196">
        <v>327171669.14999998</v>
      </c>
      <c r="D1354" s="196">
        <v>491577902</v>
      </c>
      <c r="E1354" s="196">
        <v>220893435.25999999</v>
      </c>
      <c r="F1354" s="196">
        <v>270684466.74000001</v>
      </c>
      <c r="G1354" s="196">
        <v>597856135.88999999</v>
      </c>
    </row>
    <row r="1355" spans="1:7" x14ac:dyDescent="0.3">
      <c r="A1355" s="198">
        <v>67151151</v>
      </c>
      <c r="B1355" s="192" t="s">
        <v>1467</v>
      </c>
      <c r="C1355" s="196">
        <v>0</v>
      </c>
      <c r="D1355" s="196">
        <v>963000</v>
      </c>
      <c r="E1355" s="196">
        <v>963000</v>
      </c>
      <c r="F1355" s="196">
        <v>0</v>
      </c>
      <c r="G1355" s="196">
        <v>0</v>
      </c>
    </row>
    <row r="1356" spans="1:7" x14ac:dyDescent="0.3">
      <c r="A1356" s="198">
        <v>1037661462</v>
      </c>
      <c r="B1356" s="192" t="s">
        <v>1468</v>
      </c>
      <c r="C1356" s="196">
        <v>0</v>
      </c>
      <c r="D1356" s="196">
        <v>297000</v>
      </c>
      <c r="E1356" s="196">
        <v>297000</v>
      </c>
      <c r="F1356" s="196">
        <v>0</v>
      </c>
      <c r="G1356" s="196">
        <v>0</v>
      </c>
    </row>
    <row r="1357" spans="1:7" x14ac:dyDescent="0.3">
      <c r="A1357" s="198">
        <v>98556680</v>
      </c>
      <c r="B1357" s="192" t="s">
        <v>1469</v>
      </c>
      <c r="C1357" s="196">
        <v>123000</v>
      </c>
      <c r="D1357" s="196">
        <v>0</v>
      </c>
      <c r="E1357" s="196">
        <v>123000</v>
      </c>
      <c r="F1357" s="196">
        <v>-123000</v>
      </c>
      <c r="G1357" s="196">
        <v>0</v>
      </c>
    </row>
    <row r="1358" spans="1:7" x14ac:dyDescent="0.3">
      <c r="A1358" s="198">
        <v>1152448631</v>
      </c>
      <c r="B1358" s="192" t="s">
        <v>1470</v>
      </c>
      <c r="C1358" s="196">
        <v>0</v>
      </c>
      <c r="D1358" s="196">
        <v>85000</v>
      </c>
      <c r="E1358" s="196">
        <v>85000</v>
      </c>
      <c r="F1358" s="196">
        <v>0</v>
      </c>
      <c r="G1358" s="196">
        <v>0</v>
      </c>
    </row>
    <row r="1359" spans="1:7" x14ac:dyDescent="0.3">
      <c r="A1359" s="198">
        <v>80844951</v>
      </c>
      <c r="B1359" s="192" t="s">
        <v>1471</v>
      </c>
      <c r="C1359" s="196">
        <v>0</v>
      </c>
      <c r="D1359" s="196">
        <v>82800</v>
      </c>
      <c r="E1359" s="196">
        <v>82800</v>
      </c>
      <c r="F1359" s="196">
        <v>0</v>
      </c>
      <c r="G1359" s="196">
        <v>0</v>
      </c>
    </row>
    <row r="1360" spans="1:7" x14ac:dyDescent="0.3">
      <c r="A1360" s="198">
        <v>71332735</v>
      </c>
      <c r="B1360" s="192" t="s">
        <v>1472</v>
      </c>
      <c r="C1360" s="196">
        <v>0</v>
      </c>
      <c r="D1360" s="196">
        <v>528000</v>
      </c>
      <c r="E1360" s="196">
        <v>528000</v>
      </c>
      <c r="F1360" s="196">
        <v>0</v>
      </c>
      <c r="G1360" s="196">
        <v>0</v>
      </c>
    </row>
    <row r="1361" spans="1:7" x14ac:dyDescent="0.3">
      <c r="A1361" s="198">
        <v>71607554</v>
      </c>
      <c r="B1361" s="192" t="s">
        <v>1473</v>
      </c>
      <c r="C1361" s="196">
        <v>0</v>
      </c>
      <c r="D1361" s="196">
        <v>210800</v>
      </c>
      <c r="E1361" s="196">
        <v>210800</v>
      </c>
      <c r="F1361" s="196">
        <v>0</v>
      </c>
      <c r="G1361" s="196">
        <v>0</v>
      </c>
    </row>
    <row r="1362" spans="1:7" x14ac:dyDescent="0.3">
      <c r="A1362" s="198">
        <v>5533236</v>
      </c>
      <c r="B1362" s="192" t="s">
        <v>1474</v>
      </c>
      <c r="C1362" s="196">
        <v>0</v>
      </c>
      <c r="D1362" s="196">
        <v>4200000</v>
      </c>
      <c r="E1362" s="196">
        <v>4200000</v>
      </c>
      <c r="F1362" s="196">
        <v>0</v>
      </c>
      <c r="G1362" s="196">
        <v>0</v>
      </c>
    </row>
    <row r="1363" spans="1:7" x14ac:dyDescent="0.3">
      <c r="A1363" s="198">
        <v>1238938083</v>
      </c>
      <c r="B1363" s="192" t="s">
        <v>1475</v>
      </c>
      <c r="C1363" s="196">
        <v>0</v>
      </c>
      <c r="D1363" s="196">
        <v>968000</v>
      </c>
      <c r="E1363" s="196">
        <v>968000</v>
      </c>
      <c r="F1363" s="196">
        <v>0</v>
      </c>
      <c r="G1363" s="196">
        <v>0</v>
      </c>
    </row>
    <row r="1364" spans="1:7" x14ac:dyDescent="0.3">
      <c r="A1364" s="198">
        <v>1034993106</v>
      </c>
      <c r="B1364" s="192" t="s">
        <v>1476</v>
      </c>
      <c r="C1364" s="196">
        <v>0</v>
      </c>
      <c r="D1364" s="196">
        <v>101800</v>
      </c>
      <c r="E1364" s="196">
        <v>101800</v>
      </c>
      <c r="F1364" s="196">
        <v>0</v>
      </c>
      <c r="G1364" s="196">
        <v>0</v>
      </c>
    </row>
    <row r="1365" spans="1:7" x14ac:dyDescent="0.3">
      <c r="A1365" s="198">
        <v>1025065404</v>
      </c>
      <c r="B1365" s="192" t="s">
        <v>1477</v>
      </c>
      <c r="C1365" s="196">
        <v>0</v>
      </c>
      <c r="D1365" s="196">
        <v>101800</v>
      </c>
      <c r="E1365" s="196">
        <v>101800</v>
      </c>
      <c r="F1365" s="196">
        <v>0</v>
      </c>
      <c r="G1365" s="196">
        <v>0</v>
      </c>
    </row>
    <row r="1366" spans="1:7" x14ac:dyDescent="0.3">
      <c r="A1366" s="198">
        <v>21809854</v>
      </c>
      <c r="B1366" s="192" t="s">
        <v>1478</v>
      </c>
      <c r="C1366" s="196">
        <v>1</v>
      </c>
      <c r="D1366" s="196">
        <v>0</v>
      </c>
      <c r="E1366" s="196">
        <v>0</v>
      </c>
      <c r="F1366" s="196">
        <v>0</v>
      </c>
      <c r="G1366" s="196">
        <v>1</v>
      </c>
    </row>
    <row r="1367" spans="1:7" x14ac:dyDescent="0.3">
      <c r="A1367" s="198">
        <v>1023596071</v>
      </c>
      <c r="B1367" s="192" t="s">
        <v>1479</v>
      </c>
      <c r="C1367" s="196">
        <v>0</v>
      </c>
      <c r="D1367" s="196">
        <v>101800</v>
      </c>
      <c r="E1367" s="196">
        <v>101800</v>
      </c>
      <c r="F1367" s="196">
        <v>0</v>
      </c>
      <c r="G1367" s="196">
        <v>0</v>
      </c>
    </row>
    <row r="1368" spans="1:7" x14ac:dyDescent="0.3">
      <c r="A1368" s="198">
        <v>71786130</v>
      </c>
      <c r="B1368" s="192" t="s">
        <v>1480</v>
      </c>
      <c r="C1368" s="196">
        <v>0</v>
      </c>
      <c r="D1368" s="196">
        <v>380000</v>
      </c>
      <c r="E1368" s="196">
        <v>380000</v>
      </c>
      <c r="F1368" s="196">
        <v>0</v>
      </c>
      <c r="G1368" s="196">
        <v>0</v>
      </c>
    </row>
    <row r="1369" spans="1:7" x14ac:dyDescent="0.3">
      <c r="A1369" s="198">
        <v>1023595632</v>
      </c>
      <c r="B1369" s="192" t="s">
        <v>1481</v>
      </c>
      <c r="C1369" s="196">
        <v>0</v>
      </c>
      <c r="D1369" s="196">
        <v>101800</v>
      </c>
      <c r="E1369" s="196">
        <v>101800</v>
      </c>
      <c r="F1369" s="196">
        <v>0</v>
      </c>
      <c r="G1369" s="196">
        <v>0</v>
      </c>
    </row>
    <row r="1370" spans="1:7" x14ac:dyDescent="0.3">
      <c r="A1370" s="198">
        <v>1152465075</v>
      </c>
      <c r="B1370" s="192" t="s">
        <v>1482</v>
      </c>
      <c r="C1370" s="196">
        <v>232050</v>
      </c>
      <c r="D1370" s="196">
        <v>0</v>
      </c>
      <c r="E1370" s="196">
        <v>232050</v>
      </c>
      <c r="F1370" s="196">
        <v>-232050</v>
      </c>
      <c r="G1370" s="196">
        <v>0</v>
      </c>
    </row>
    <row r="1371" spans="1:7" x14ac:dyDescent="0.3">
      <c r="A1371" s="198">
        <v>1062442511</v>
      </c>
      <c r="B1371" s="192" t="s">
        <v>1483</v>
      </c>
      <c r="C1371" s="196">
        <v>0</v>
      </c>
      <c r="D1371" s="196">
        <v>286800</v>
      </c>
      <c r="E1371" s="196">
        <v>286800</v>
      </c>
      <c r="F1371" s="196">
        <v>0</v>
      </c>
      <c r="G1371" s="196">
        <v>0</v>
      </c>
    </row>
    <row r="1372" spans="1:7" x14ac:dyDescent="0.3">
      <c r="A1372" s="198">
        <v>32339350</v>
      </c>
      <c r="B1372" s="192" t="s">
        <v>1484</v>
      </c>
      <c r="C1372" s="196">
        <v>0</v>
      </c>
      <c r="D1372" s="196">
        <v>383600</v>
      </c>
      <c r="E1372" s="196">
        <v>383600</v>
      </c>
      <c r="F1372" s="196">
        <v>0</v>
      </c>
      <c r="G1372" s="196">
        <v>0</v>
      </c>
    </row>
    <row r="1373" spans="1:7" x14ac:dyDescent="0.3">
      <c r="A1373" s="198">
        <v>1027743102</v>
      </c>
      <c r="B1373" s="192" t="s">
        <v>1485</v>
      </c>
      <c r="C1373" s="196">
        <v>0</v>
      </c>
      <c r="D1373" s="196">
        <v>193000</v>
      </c>
      <c r="E1373" s="196">
        <v>193000</v>
      </c>
      <c r="F1373" s="196">
        <v>0</v>
      </c>
      <c r="G1373" s="196">
        <v>0</v>
      </c>
    </row>
    <row r="1374" spans="1:7" x14ac:dyDescent="0.3">
      <c r="A1374" s="198">
        <v>1020303554</v>
      </c>
      <c r="B1374" s="192" t="s">
        <v>1486</v>
      </c>
      <c r="C1374" s="196">
        <v>0</v>
      </c>
      <c r="D1374" s="196">
        <v>101800</v>
      </c>
      <c r="E1374" s="196">
        <v>101800</v>
      </c>
      <c r="F1374" s="196">
        <v>0</v>
      </c>
      <c r="G1374" s="196">
        <v>0</v>
      </c>
    </row>
    <row r="1375" spans="1:7" x14ac:dyDescent="0.3">
      <c r="A1375" s="198">
        <v>1032186850</v>
      </c>
      <c r="B1375" s="192" t="s">
        <v>1487</v>
      </c>
      <c r="C1375" s="196">
        <v>0</v>
      </c>
      <c r="D1375" s="196">
        <v>168200</v>
      </c>
      <c r="E1375" s="196">
        <v>168200</v>
      </c>
      <c r="F1375" s="196">
        <v>0</v>
      </c>
      <c r="G1375" s="196">
        <v>0</v>
      </c>
    </row>
    <row r="1376" spans="1:7" x14ac:dyDescent="0.3">
      <c r="A1376" s="198">
        <v>1034994145</v>
      </c>
      <c r="B1376" s="192" t="s">
        <v>1488</v>
      </c>
      <c r="C1376" s="196">
        <v>2</v>
      </c>
      <c r="D1376" s="196">
        <v>0</v>
      </c>
      <c r="E1376" s="196">
        <v>0</v>
      </c>
      <c r="F1376" s="196">
        <v>0</v>
      </c>
      <c r="G1376" s="196">
        <v>2</v>
      </c>
    </row>
    <row r="1377" spans="1:7" x14ac:dyDescent="0.3">
      <c r="A1377" s="198">
        <v>1152472229</v>
      </c>
      <c r="B1377" s="192" t="s">
        <v>1489</v>
      </c>
      <c r="C1377" s="196">
        <v>6115000</v>
      </c>
      <c r="D1377" s="196">
        <v>0</v>
      </c>
      <c r="E1377" s="196">
        <v>6115000</v>
      </c>
      <c r="F1377" s="196">
        <v>-6115000</v>
      </c>
      <c r="G1377" s="196">
        <v>0</v>
      </c>
    </row>
    <row r="1378" spans="1:7" x14ac:dyDescent="0.3">
      <c r="A1378" s="198">
        <v>1193569496</v>
      </c>
      <c r="B1378" s="192" t="s">
        <v>1490</v>
      </c>
      <c r="C1378" s="196">
        <v>0</v>
      </c>
      <c r="D1378" s="196">
        <v>7847000</v>
      </c>
      <c r="E1378" s="196">
        <v>7847000</v>
      </c>
      <c r="F1378" s="196">
        <v>0</v>
      </c>
      <c r="G1378" s="196">
        <v>0</v>
      </c>
    </row>
    <row r="1379" spans="1:7" x14ac:dyDescent="0.3">
      <c r="A1379" s="198">
        <v>1094880470</v>
      </c>
      <c r="B1379" s="192" t="s">
        <v>1491</v>
      </c>
      <c r="C1379" s="196">
        <v>0</v>
      </c>
      <c r="D1379" s="196">
        <v>12110400</v>
      </c>
      <c r="E1379" s="196">
        <v>12110400</v>
      </c>
      <c r="F1379" s="196">
        <v>0</v>
      </c>
      <c r="G1379" s="196">
        <v>0</v>
      </c>
    </row>
    <row r="1380" spans="1:7" x14ac:dyDescent="0.3">
      <c r="A1380" s="198">
        <v>1127541659</v>
      </c>
      <c r="B1380" s="192" t="s">
        <v>1492</v>
      </c>
      <c r="C1380" s="196">
        <v>0</v>
      </c>
      <c r="D1380" s="196">
        <v>101800</v>
      </c>
      <c r="E1380" s="196">
        <v>101800</v>
      </c>
      <c r="F1380" s="196">
        <v>0</v>
      </c>
      <c r="G1380" s="196">
        <v>0</v>
      </c>
    </row>
    <row r="1381" spans="1:7" x14ac:dyDescent="0.3">
      <c r="A1381" s="198">
        <v>1035230350</v>
      </c>
      <c r="B1381" s="192" t="s">
        <v>1493</v>
      </c>
      <c r="C1381" s="196">
        <v>0</v>
      </c>
      <c r="D1381" s="196">
        <v>1250000</v>
      </c>
      <c r="E1381" s="196">
        <v>1250000</v>
      </c>
      <c r="F1381" s="196">
        <v>0</v>
      </c>
      <c r="G1381" s="196">
        <v>0</v>
      </c>
    </row>
    <row r="1382" spans="1:7" x14ac:dyDescent="0.3">
      <c r="A1382" s="198">
        <v>1152438376</v>
      </c>
      <c r="B1382" s="192" t="s">
        <v>1494</v>
      </c>
      <c r="C1382" s="196">
        <v>0</v>
      </c>
      <c r="D1382" s="196">
        <v>297000</v>
      </c>
      <c r="E1382" s="196">
        <v>297000</v>
      </c>
      <c r="F1382" s="196">
        <v>0</v>
      </c>
      <c r="G1382" s="196">
        <v>0</v>
      </c>
    </row>
    <row r="1383" spans="1:7" x14ac:dyDescent="0.3">
      <c r="A1383" s="192" t="s">
        <v>1495</v>
      </c>
      <c r="B1383" s="192" t="s">
        <v>1496</v>
      </c>
      <c r="C1383" s="196">
        <v>0</v>
      </c>
      <c r="D1383" s="196">
        <v>8442000</v>
      </c>
      <c r="E1383" s="196">
        <v>8332000</v>
      </c>
      <c r="F1383" s="196">
        <v>110000</v>
      </c>
      <c r="G1383" s="196">
        <v>110000</v>
      </c>
    </row>
    <row r="1384" spans="1:7" x14ac:dyDescent="0.3">
      <c r="A1384" s="198">
        <v>29757007</v>
      </c>
      <c r="B1384" s="192" t="s">
        <v>1497</v>
      </c>
      <c r="C1384" s="196">
        <v>0</v>
      </c>
      <c r="D1384" s="196">
        <v>4723200</v>
      </c>
      <c r="E1384" s="196">
        <v>4723200</v>
      </c>
      <c r="F1384" s="196">
        <v>0</v>
      </c>
      <c r="G1384" s="196">
        <v>0</v>
      </c>
    </row>
    <row r="1385" spans="1:7" x14ac:dyDescent="0.3">
      <c r="A1385" s="198">
        <v>1128273286</v>
      </c>
      <c r="B1385" s="192" t="s">
        <v>1498</v>
      </c>
      <c r="C1385" s="196">
        <v>0</v>
      </c>
      <c r="D1385" s="196">
        <v>2046200</v>
      </c>
      <c r="E1385" s="196">
        <v>2046200</v>
      </c>
      <c r="F1385" s="196">
        <v>0</v>
      </c>
      <c r="G1385" s="196">
        <v>0</v>
      </c>
    </row>
    <row r="1386" spans="1:7" x14ac:dyDescent="0.3">
      <c r="A1386" s="198">
        <v>1021924121</v>
      </c>
      <c r="B1386" s="192" t="s">
        <v>1499</v>
      </c>
      <c r="C1386" s="196">
        <v>0</v>
      </c>
      <c r="D1386" s="196">
        <v>963000</v>
      </c>
      <c r="E1386" s="196">
        <v>963000</v>
      </c>
      <c r="F1386" s="196">
        <v>0</v>
      </c>
      <c r="G1386" s="196">
        <v>0</v>
      </c>
    </row>
    <row r="1387" spans="1:7" x14ac:dyDescent="0.3">
      <c r="A1387" s="198">
        <v>1034996683</v>
      </c>
      <c r="B1387" s="192" t="s">
        <v>1500</v>
      </c>
      <c r="C1387" s="196">
        <v>0</v>
      </c>
      <c r="D1387" s="196">
        <v>2500000</v>
      </c>
      <c r="E1387" s="196">
        <v>2500000</v>
      </c>
      <c r="F1387" s="196">
        <v>0</v>
      </c>
      <c r="G1387" s="196">
        <v>0</v>
      </c>
    </row>
    <row r="1388" spans="1:7" x14ac:dyDescent="0.3">
      <c r="A1388" s="198">
        <v>1152225727</v>
      </c>
      <c r="B1388" s="192" t="s">
        <v>1501</v>
      </c>
      <c r="C1388" s="196">
        <v>1</v>
      </c>
      <c r="D1388" s="196">
        <v>0</v>
      </c>
      <c r="E1388" s="196">
        <v>0</v>
      </c>
      <c r="F1388" s="196">
        <v>0</v>
      </c>
      <c r="G1388" s="196">
        <v>1</v>
      </c>
    </row>
    <row r="1389" spans="1:7" x14ac:dyDescent="0.3">
      <c r="A1389" s="192" t="s">
        <v>1502</v>
      </c>
      <c r="B1389" s="192" t="s">
        <v>1503</v>
      </c>
      <c r="C1389" s="196">
        <v>0</v>
      </c>
      <c r="D1389" s="196">
        <v>297000</v>
      </c>
      <c r="E1389" s="196">
        <v>297000</v>
      </c>
      <c r="F1389" s="196">
        <v>0</v>
      </c>
      <c r="G1389" s="196">
        <v>0</v>
      </c>
    </row>
    <row r="1390" spans="1:7" x14ac:dyDescent="0.3">
      <c r="A1390" s="192" t="s">
        <v>1504</v>
      </c>
      <c r="B1390" s="192" t="s">
        <v>1505</v>
      </c>
      <c r="C1390" s="196">
        <v>0</v>
      </c>
      <c r="D1390" s="196">
        <v>3000000</v>
      </c>
      <c r="E1390" s="196">
        <v>3000000</v>
      </c>
      <c r="F1390" s="196">
        <v>0</v>
      </c>
      <c r="G1390" s="196">
        <v>0</v>
      </c>
    </row>
    <row r="1391" spans="1:7" x14ac:dyDescent="0.3">
      <c r="A1391" s="198">
        <v>1091680778</v>
      </c>
      <c r="B1391" s="192" t="s">
        <v>1506</v>
      </c>
      <c r="C1391" s="196">
        <v>0</v>
      </c>
      <c r="D1391" s="196">
        <v>297000</v>
      </c>
      <c r="E1391" s="196">
        <v>297000</v>
      </c>
      <c r="F1391" s="196">
        <v>0</v>
      </c>
      <c r="G1391" s="196">
        <v>0</v>
      </c>
    </row>
    <row r="1392" spans="1:7" x14ac:dyDescent="0.3">
      <c r="A1392" s="198">
        <v>1017143205</v>
      </c>
      <c r="B1392" s="192" t="s">
        <v>1507</v>
      </c>
      <c r="C1392" s="196">
        <v>0</v>
      </c>
      <c r="D1392" s="196">
        <v>260200</v>
      </c>
      <c r="E1392" s="196">
        <v>260200</v>
      </c>
      <c r="F1392" s="196">
        <v>0</v>
      </c>
      <c r="G1392" s="196">
        <v>0</v>
      </c>
    </row>
    <row r="1393" spans="1:7" x14ac:dyDescent="0.3">
      <c r="A1393" s="198">
        <v>1152461049</v>
      </c>
      <c r="B1393" s="192" t="s">
        <v>1508</v>
      </c>
      <c r="C1393" s="196">
        <v>0</v>
      </c>
      <c r="D1393" s="196">
        <v>101800</v>
      </c>
      <c r="E1393" s="196">
        <v>101800</v>
      </c>
      <c r="F1393" s="196">
        <v>0</v>
      </c>
      <c r="G1393" s="196">
        <v>0</v>
      </c>
    </row>
    <row r="1394" spans="1:7" x14ac:dyDescent="0.3">
      <c r="A1394" s="198">
        <v>1038133430</v>
      </c>
      <c r="B1394" s="192" t="s">
        <v>1509</v>
      </c>
      <c r="C1394" s="196">
        <v>0</v>
      </c>
      <c r="D1394" s="196">
        <v>297000</v>
      </c>
      <c r="E1394" s="196">
        <v>297000</v>
      </c>
      <c r="F1394" s="196">
        <v>0</v>
      </c>
      <c r="G1394" s="196">
        <v>0</v>
      </c>
    </row>
    <row r="1395" spans="1:7" x14ac:dyDescent="0.3">
      <c r="A1395" s="198">
        <v>43802322</v>
      </c>
      <c r="B1395" s="192" t="s">
        <v>1510</v>
      </c>
      <c r="C1395" s="196">
        <v>0</v>
      </c>
      <c r="D1395" s="196">
        <v>85000</v>
      </c>
      <c r="E1395" s="196">
        <v>85000</v>
      </c>
      <c r="F1395" s="196">
        <v>0</v>
      </c>
      <c r="G1395" s="196">
        <v>0</v>
      </c>
    </row>
    <row r="1396" spans="1:7" x14ac:dyDescent="0.3">
      <c r="A1396" s="198">
        <v>1110568614</v>
      </c>
      <c r="B1396" s="192" t="s">
        <v>1511</v>
      </c>
      <c r="C1396" s="196">
        <v>0</v>
      </c>
      <c r="D1396" s="196">
        <v>12066000</v>
      </c>
      <c r="E1396" s="196">
        <v>12066000</v>
      </c>
      <c r="F1396" s="196">
        <v>0</v>
      </c>
      <c r="G1396" s="196">
        <v>0</v>
      </c>
    </row>
    <row r="1397" spans="1:7" x14ac:dyDescent="0.3">
      <c r="A1397" s="198">
        <v>1017265018</v>
      </c>
      <c r="B1397" s="192" t="s">
        <v>1512</v>
      </c>
      <c r="C1397" s="196">
        <v>600000</v>
      </c>
      <c r="D1397" s="196">
        <v>0</v>
      </c>
      <c r="E1397" s="196">
        <v>600000</v>
      </c>
      <c r="F1397" s="196">
        <v>-600000</v>
      </c>
      <c r="G1397" s="196">
        <v>0</v>
      </c>
    </row>
    <row r="1398" spans="1:7" x14ac:dyDescent="0.3">
      <c r="A1398" s="198">
        <v>32475022</v>
      </c>
      <c r="B1398" s="192" t="s">
        <v>1513</v>
      </c>
      <c r="C1398" s="196">
        <v>1</v>
      </c>
      <c r="D1398" s="196">
        <v>0</v>
      </c>
      <c r="E1398" s="196">
        <v>0</v>
      </c>
      <c r="F1398" s="196">
        <v>0</v>
      </c>
      <c r="G1398" s="196">
        <v>1</v>
      </c>
    </row>
    <row r="1399" spans="1:7" x14ac:dyDescent="0.3">
      <c r="A1399" s="198">
        <v>32448325</v>
      </c>
      <c r="B1399" s="192" t="s">
        <v>1514</v>
      </c>
      <c r="C1399" s="196">
        <v>0</v>
      </c>
      <c r="D1399" s="196">
        <v>207900</v>
      </c>
      <c r="E1399" s="196">
        <v>207900</v>
      </c>
      <c r="F1399" s="196">
        <v>0</v>
      </c>
      <c r="G1399" s="196">
        <v>0</v>
      </c>
    </row>
    <row r="1400" spans="1:7" x14ac:dyDescent="0.3">
      <c r="A1400" s="198">
        <v>32461229</v>
      </c>
      <c r="B1400" s="192" t="s">
        <v>1515</v>
      </c>
      <c r="C1400" s="196">
        <v>0</v>
      </c>
      <c r="D1400" s="196">
        <v>4153000</v>
      </c>
      <c r="E1400" s="196">
        <v>4153000</v>
      </c>
      <c r="F1400" s="196">
        <v>0</v>
      </c>
      <c r="G1400" s="196">
        <v>0</v>
      </c>
    </row>
    <row r="1401" spans="1:7" x14ac:dyDescent="0.3">
      <c r="A1401" s="198">
        <v>22228543</v>
      </c>
      <c r="B1401" s="192" t="s">
        <v>1516</v>
      </c>
      <c r="C1401" s="196">
        <v>0</v>
      </c>
      <c r="D1401" s="196">
        <v>223300</v>
      </c>
      <c r="E1401" s="196">
        <v>223300</v>
      </c>
      <c r="F1401" s="196">
        <v>0</v>
      </c>
      <c r="G1401" s="196">
        <v>0</v>
      </c>
    </row>
    <row r="1402" spans="1:7" x14ac:dyDescent="0.3">
      <c r="A1402" s="192" t="s">
        <v>1517</v>
      </c>
      <c r="B1402" s="192" t="s">
        <v>1518</v>
      </c>
      <c r="C1402" s="196">
        <v>1</v>
      </c>
      <c r="D1402" s="196">
        <v>0</v>
      </c>
      <c r="E1402" s="196">
        <v>0</v>
      </c>
      <c r="F1402" s="196">
        <v>0</v>
      </c>
      <c r="G1402" s="196">
        <v>1</v>
      </c>
    </row>
    <row r="1403" spans="1:7" x14ac:dyDescent="0.3">
      <c r="A1403" s="198">
        <v>1035009867</v>
      </c>
      <c r="B1403" s="192" t="s">
        <v>1519</v>
      </c>
      <c r="C1403" s="196">
        <v>0</v>
      </c>
      <c r="D1403" s="196">
        <v>98000</v>
      </c>
      <c r="E1403" s="196">
        <v>98000</v>
      </c>
      <c r="F1403" s="196">
        <v>0</v>
      </c>
      <c r="G1403" s="196">
        <v>0</v>
      </c>
    </row>
    <row r="1404" spans="1:7" x14ac:dyDescent="0.3">
      <c r="A1404" s="198">
        <v>71370851</v>
      </c>
      <c r="B1404" s="192" t="s">
        <v>1520</v>
      </c>
      <c r="C1404" s="196">
        <v>0</v>
      </c>
      <c r="D1404" s="196">
        <v>101800</v>
      </c>
      <c r="E1404" s="196">
        <v>101800</v>
      </c>
      <c r="F1404" s="196">
        <v>0</v>
      </c>
      <c r="G1404" s="196">
        <v>0</v>
      </c>
    </row>
    <row r="1405" spans="1:7" x14ac:dyDescent="0.3">
      <c r="A1405" s="198">
        <v>1073174987</v>
      </c>
      <c r="B1405" s="192" t="s">
        <v>1521</v>
      </c>
      <c r="C1405" s="196">
        <v>0</v>
      </c>
      <c r="D1405" s="196">
        <v>101800</v>
      </c>
      <c r="E1405" s="196">
        <v>101800</v>
      </c>
      <c r="F1405" s="196">
        <v>0</v>
      </c>
      <c r="G1405" s="196">
        <v>0</v>
      </c>
    </row>
    <row r="1406" spans="1:7" x14ac:dyDescent="0.3">
      <c r="A1406" s="198">
        <v>1035002153</v>
      </c>
      <c r="B1406" s="192" t="s">
        <v>1522</v>
      </c>
      <c r="C1406" s="196">
        <v>0</v>
      </c>
      <c r="D1406" s="196">
        <v>101800</v>
      </c>
      <c r="E1406" s="196">
        <v>101800</v>
      </c>
      <c r="F1406" s="196">
        <v>0</v>
      </c>
      <c r="G1406" s="196">
        <v>0</v>
      </c>
    </row>
    <row r="1407" spans="1:7" x14ac:dyDescent="0.3">
      <c r="A1407" s="198">
        <v>1035027515</v>
      </c>
      <c r="B1407" s="192" t="s">
        <v>1523</v>
      </c>
      <c r="C1407" s="196">
        <v>0</v>
      </c>
      <c r="D1407" s="196">
        <v>101800</v>
      </c>
      <c r="E1407" s="196">
        <v>101800</v>
      </c>
      <c r="F1407" s="196">
        <v>0</v>
      </c>
      <c r="G1407" s="196">
        <v>0</v>
      </c>
    </row>
    <row r="1408" spans="1:7" x14ac:dyDescent="0.3">
      <c r="A1408" s="198">
        <v>1033269877</v>
      </c>
      <c r="B1408" s="192" t="s">
        <v>1524</v>
      </c>
      <c r="C1408" s="196">
        <v>0</v>
      </c>
      <c r="D1408" s="196">
        <v>101800</v>
      </c>
      <c r="E1408" s="196">
        <v>101800</v>
      </c>
      <c r="F1408" s="196">
        <v>0</v>
      </c>
      <c r="G1408" s="196">
        <v>0</v>
      </c>
    </row>
    <row r="1409" spans="1:7" x14ac:dyDescent="0.3">
      <c r="A1409" s="192" t="s">
        <v>1525</v>
      </c>
      <c r="B1409" s="192" t="s">
        <v>1526</v>
      </c>
      <c r="C1409" s="196">
        <v>0</v>
      </c>
      <c r="D1409" s="196">
        <v>101800</v>
      </c>
      <c r="E1409" s="196">
        <v>101800</v>
      </c>
      <c r="F1409" s="196">
        <v>0</v>
      </c>
      <c r="G1409" s="196">
        <v>0</v>
      </c>
    </row>
    <row r="1410" spans="1:7" x14ac:dyDescent="0.3">
      <c r="A1410" s="198">
        <v>22523351</v>
      </c>
      <c r="B1410" s="192" t="s">
        <v>1527</v>
      </c>
      <c r="C1410" s="196">
        <v>0</v>
      </c>
      <c r="D1410" s="196">
        <v>114400</v>
      </c>
      <c r="E1410" s="196">
        <v>114400</v>
      </c>
      <c r="F1410" s="196">
        <v>0</v>
      </c>
      <c r="G1410" s="196">
        <v>0</v>
      </c>
    </row>
    <row r="1411" spans="1:7" x14ac:dyDescent="0.3">
      <c r="A1411" s="198">
        <v>80419835</v>
      </c>
      <c r="B1411" s="192" t="s">
        <v>1528</v>
      </c>
      <c r="C1411" s="196">
        <v>0</v>
      </c>
      <c r="D1411" s="196">
        <v>3182200</v>
      </c>
      <c r="E1411" s="196">
        <v>3182200</v>
      </c>
      <c r="F1411" s="196">
        <v>0</v>
      </c>
      <c r="G1411" s="196">
        <v>0</v>
      </c>
    </row>
    <row r="1412" spans="1:7" x14ac:dyDescent="0.3">
      <c r="A1412" s="198">
        <v>88228955</v>
      </c>
      <c r="B1412" s="192" t="s">
        <v>1529</v>
      </c>
      <c r="C1412" s="196">
        <v>0</v>
      </c>
      <c r="D1412" s="196">
        <v>193800</v>
      </c>
      <c r="E1412" s="196">
        <v>193800</v>
      </c>
      <c r="F1412" s="196">
        <v>0</v>
      </c>
      <c r="G1412" s="196">
        <v>0</v>
      </c>
    </row>
    <row r="1413" spans="1:7" x14ac:dyDescent="0.3">
      <c r="A1413" s="198">
        <v>1123639883</v>
      </c>
      <c r="B1413" s="192" t="s">
        <v>1530</v>
      </c>
      <c r="C1413" s="196">
        <v>1</v>
      </c>
      <c r="D1413" s="196">
        <v>0</v>
      </c>
      <c r="E1413" s="196">
        <v>0</v>
      </c>
      <c r="F1413" s="196">
        <v>0</v>
      </c>
      <c r="G1413" s="196">
        <v>1</v>
      </c>
    </row>
    <row r="1414" spans="1:7" x14ac:dyDescent="0.3">
      <c r="A1414" s="198">
        <v>1037652411</v>
      </c>
      <c r="B1414" s="192" t="s">
        <v>1531</v>
      </c>
      <c r="C1414" s="196">
        <v>0</v>
      </c>
      <c r="D1414" s="196">
        <v>101800</v>
      </c>
      <c r="E1414" s="196">
        <v>101800</v>
      </c>
      <c r="F1414" s="196">
        <v>0</v>
      </c>
      <c r="G1414" s="196">
        <v>0</v>
      </c>
    </row>
    <row r="1415" spans="1:7" x14ac:dyDescent="0.3">
      <c r="A1415" s="198">
        <v>1035003580</v>
      </c>
      <c r="B1415" s="192" t="s">
        <v>1532</v>
      </c>
      <c r="C1415" s="196">
        <v>0</v>
      </c>
      <c r="D1415" s="196">
        <v>101800</v>
      </c>
      <c r="E1415" s="196">
        <v>101800</v>
      </c>
      <c r="F1415" s="196">
        <v>0</v>
      </c>
      <c r="G1415" s="196">
        <v>0</v>
      </c>
    </row>
    <row r="1416" spans="1:7" x14ac:dyDescent="0.3">
      <c r="A1416" s="198">
        <v>1214748395</v>
      </c>
      <c r="B1416" s="192" t="s">
        <v>1533</v>
      </c>
      <c r="C1416" s="196">
        <v>0</v>
      </c>
      <c r="D1416" s="196">
        <v>1449500</v>
      </c>
      <c r="E1416" s="196">
        <v>1449499</v>
      </c>
      <c r="F1416" s="196">
        <v>1</v>
      </c>
      <c r="G1416" s="196">
        <v>1</v>
      </c>
    </row>
    <row r="1417" spans="1:7" x14ac:dyDescent="0.3">
      <c r="A1417" s="198">
        <v>1152221326</v>
      </c>
      <c r="B1417" s="192" t="s">
        <v>1534</v>
      </c>
      <c r="C1417" s="196">
        <v>0</v>
      </c>
      <c r="D1417" s="196">
        <v>297000</v>
      </c>
      <c r="E1417" s="196">
        <v>297000</v>
      </c>
      <c r="F1417" s="196">
        <v>0</v>
      </c>
      <c r="G1417" s="196">
        <v>0</v>
      </c>
    </row>
    <row r="1418" spans="1:7" x14ac:dyDescent="0.3">
      <c r="A1418" s="198">
        <v>1216727424</v>
      </c>
      <c r="B1418" s="192" t="s">
        <v>1535</v>
      </c>
      <c r="C1418" s="196">
        <v>0</v>
      </c>
      <c r="D1418" s="196">
        <v>66800</v>
      </c>
      <c r="E1418" s="196">
        <v>66800</v>
      </c>
      <c r="F1418" s="196">
        <v>0</v>
      </c>
      <c r="G1418" s="196">
        <v>0</v>
      </c>
    </row>
    <row r="1419" spans="1:7" x14ac:dyDescent="0.3">
      <c r="A1419" s="198">
        <v>1000645970</v>
      </c>
      <c r="B1419" s="192" t="s">
        <v>1536</v>
      </c>
      <c r="C1419" s="196">
        <v>0</v>
      </c>
      <c r="D1419" s="196">
        <v>165000</v>
      </c>
      <c r="E1419" s="196">
        <v>165000</v>
      </c>
      <c r="F1419" s="196">
        <v>0</v>
      </c>
      <c r="G1419" s="196">
        <v>0</v>
      </c>
    </row>
    <row r="1420" spans="1:7" x14ac:dyDescent="0.3">
      <c r="A1420" s="198">
        <v>1038262898</v>
      </c>
      <c r="B1420" s="192" t="s">
        <v>1537</v>
      </c>
      <c r="C1420" s="196">
        <v>0</v>
      </c>
      <c r="D1420" s="196">
        <v>963000</v>
      </c>
      <c r="E1420" s="196">
        <v>963000</v>
      </c>
      <c r="F1420" s="196">
        <v>0</v>
      </c>
      <c r="G1420" s="196">
        <v>0</v>
      </c>
    </row>
    <row r="1421" spans="1:7" x14ac:dyDescent="0.3">
      <c r="A1421" s="198">
        <v>1037607480</v>
      </c>
      <c r="B1421" s="192" t="s">
        <v>1538</v>
      </c>
      <c r="C1421" s="196">
        <v>0</v>
      </c>
      <c r="D1421" s="196">
        <v>166600</v>
      </c>
      <c r="E1421" s="196">
        <v>166600</v>
      </c>
      <c r="F1421" s="196">
        <v>0</v>
      </c>
      <c r="G1421" s="196">
        <v>0</v>
      </c>
    </row>
    <row r="1422" spans="1:7" x14ac:dyDescent="0.3">
      <c r="A1422" s="198">
        <v>1039473567</v>
      </c>
      <c r="B1422" s="192" t="s">
        <v>1539</v>
      </c>
      <c r="C1422" s="196">
        <v>232050</v>
      </c>
      <c r="D1422" s="196">
        <v>0</v>
      </c>
      <c r="E1422" s="196">
        <v>0</v>
      </c>
      <c r="F1422" s="196">
        <v>0</v>
      </c>
      <c r="G1422" s="196">
        <v>232050</v>
      </c>
    </row>
    <row r="1423" spans="1:7" x14ac:dyDescent="0.3">
      <c r="A1423" s="198">
        <v>1027663191</v>
      </c>
      <c r="B1423" s="192" t="s">
        <v>1540</v>
      </c>
      <c r="C1423" s="196">
        <v>0</v>
      </c>
      <c r="D1423" s="196">
        <v>50000</v>
      </c>
      <c r="E1423" s="196">
        <v>50000</v>
      </c>
      <c r="F1423" s="196">
        <v>0</v>
      </c>
      <c r="G1423" s="196">
        <v>0</v>
      </c>
    </row>
    <row r="1424" spans="1:7" x14ac:dyDescent="0.3">
      <c r="A1424" s="198">
        <v>1127054390</v>
      </c>
      <c r="B1424" s="192" t="s">
        <v>1541</v>
      </c>
      <c r="C1424" s="196">
        <v>0</v>
      </c>
      <c r="D1424" s="196">
        <v>319000</v>
      </c>
      <c r="E1424" s="196">
        <v>319000</v>
      </c>
      <c r="F1424" s="196">
        <v>0</v>
      </c>
      <c r="G1424" s="196">
        <v>0</v>
      </c>
    </row>
    <row r="1425" spans="1:7" x14ac:dyDescent="0.3">
      <c r="A1425" s="198">
        <v>1214735806</v>
      </c>
      <c r="B1425" s="192" t="s">
        <v>1542</v>
      </c>
      <c r="C1425" s="196">
        <v>0</v>
      </c>
      <c r="D1425" s="196">
        <v>1777000</v>
      </c>
      <c r="E1425" s="196">
        <v>1777000</v>
      </c>
      <c r="F1425" s="196">
        <v>0</v>
      </c>
      <c r="G1425" s="196">
        <v>0</v>
      </c>
    </row>
    <row r="1426" spans="1:7" x14ac:dyDescent="0.3">
      <c r="A1426" s="198">
        <v>1022008843</v>
      </c>
      <c r="B1426" s="192" t="s">
        <v>1543</v>
      </c>
      <c r="C1426" s="196">
        <v>0</v>
      </c>
      <c r="D1426" s="196">
        <v>101800</v>
      </c>
      <c r="E1426" s="196">
        <v>101800</v>
      </c>
      <c r="F1426" s="196">
        <v>0</v>
      </c>
      <c r="G1426" s="196">
        <v>0</v>
      </c>
    </row>
    <row r="1427" spans="1:7" x14ac:dyDescent="0.3">
      <c r="A1427" s="198">
        <v>1025062636</v>
      </c>
      <c r="B1427" s="192" t="s">
        <v>1544</v>
      </c>
      <c r="C1427" s="196">
        <v>0</v>
      </c>
      <c r="D1427" s="196">
        <v>50900</v>
      </c>
      <c r="E1427" s="196">
        <v>50900</v>
      </c>
      <c r="F1427" s="196">
        <v>0</v>
      </c>
      <c r="G1427" s="196">
        <v>0</v>
      </c>
    </row>
    <row r="1428" spans="1:7" x14ac:dyDescent="0.3">
      <c r="A1428" s="198">
        <v>1020325959</v>
      </c>
      <c r="B1428" s="192" t="s">
        <v>1545</v>
      </c>
      <c r="C1428" s="196">
        <v>0</v>
      </c>
      <c r="D1428" s="196">
        <v>101800</v>
      </c>
      <c r="E1428" s="196">
        <v>101800</v>
      </c>
      <c r="F1428" s="196">
        <v>0</v>
      </c>
      <c r="G1428" s="196">
        <v>0</v>
      </c>
    </row>
    <row r="1429" spans="1:7" x14ac:dyDescent="0.3">
      <c r="A1429" s="198">
        <v>1011396585</v>
      </c>
      <c r="B1429" s="192" t="s">
        <v>1546</v>
      </c>
      <c r="C1429" s="196">
        <v>0</v>
      </c>
      <c r="D1429" s="196">
        <v>4375000</v>
      </c>
      <c r="E1429" s="196">
        <v>4375000</v>
      </c>
      <c r="F1429" s="196">
        <v>0</v>
      </c>
      <c r="G1429" s="196">
        <v>0</v>
      </c>
    </row>
    <row r="1430" spans="1:7" x14ac:dyDescent="0.3">
      <c r="A1430" s="198">
        <v>1033259276</v>
      </c>
      <c r="B1430" s="192" t="s">
        <v>1547</v>
      </c>
      <c r="C1430" s="196">
        <v>0</v>
      </c>
      <c r="D1430" s="196">
        <v>85000</v>
      </c>
      <c r="E1430" s="196">
        <v>85000</v>
      </c>
      <c r="F1430" s="196">
        <v>0</v>
      </c>
      <c r="G1430" s="196">
        <v>0</v>
      </c>
    </row>
    <row r="1431" spans="1:7" x14ac:dyDescent="0.3">
      <c r="A1431" s="198">
        <v>1025775234</v>
      </c>
      <c r="B1431" s="192" t="s">
        <v>1548</v>
      </c>
      <c r="C1431" s="196">
        <v>0</v>
      </c>
      <c r="D1431" s="196">
        <v>101800</v>
      </c>
      <c r="E1431" s="196">
        <v>101800</v>
      </c>
      <c r="F1431" s="196">
        <v>0</v>
      </c>
      <c r="G1431" s="196">
        <v>0</v>
      </c>
    </row>
    <row r="1432" spans="1:7" x14ac:dyDescent="0.3">
      <c r="A1432" s="198">
        <v>1036632151</v>
      </c>
      <c r="B1432" s="192" t="s">
        <v>1549</v>
      </c>
      <c r="C1432" s="196">
        <v>0</v>
      </c>
      <c r="D1432" s="196">
        <v>101800</v>
      </c>
      <c r="E1432" s="196">
        <v>101800</v>
      </c>
      <c r="F1432" s="196">
        <v>0</v>
      </c>
      <c r="G1432" s="196">
        <v>0</v>
      </c>
    </row>
    <row r="1433" spans="1:7" x14ac:dyDescent="0.3">
      <c r="A1433" s="198">
        <v>1040731599</v>
      </c>
      <c r="B1433" s="192" t="s">
        <v>1550</v>
      </c>
      <c r="C1433" s="196">
        <v>0</v>
      </c>
      <c r="D1433" s="196">
        <v>101800</v>
      </c>
      <c r="E1433" s="196">
        <v>101800</v>
      </c>
      <c r="F1433" s="196">
        <v>0</v>
      </c>
      <c r="G1433" s="196">
        <v>0</v>
      </c>
    </row>
    <row r="1434" spans="1:7" x14ac:dyDescent="0.3">
      <c r="A1434" s="198">
        <v>1128283031</v>
      </c>
      <c r="B1434" s="192" t="s">
        <v>1551</v>
      </c>
      <c r="C1434" s="196">
        <v>0</v>
      </c>
      <c r="D1434" s="196">
        <v>168200</v>
      </c>
      <c r="E1434" s="196">
        <v>168200</v>
      </c>
      <c r="F1434" s="196">
        <v>0</v>
      </c>
      <c r="G1434" s="196">
        <v>0</v>
      </c>
    </row>
    <row r="1435" spans="1:7" x14ac:dyDescent="0.3">
      <c r="A1435" s="192" t="s">
        <v>1552</v>
      </c>
      <c r="B1435" s="192" t="s">
        <v>1553</v>
      </c>
      <c r="C1435" s="196">
        <v>0</v>
      </c>
      <c r="D1435" s="196">
        <v>4909000</v>
      </c>
      <c r="E1435" s="196">
        <v>4909000</v>
      </c>
      <c r="F1435" s="196">
        <v>0</v>
      </c>
      <c r="G1435" s="196">
        <v>0</v>
      </c>
    </row>
    <row r="1436" spans="1:7" x14ac:dyDescent="0.3">
      <c r="A1436" s="198">
        <v>32689502</v>
      </c>
      <c r="B1436" s="192" t="s">
        <v>1554</v>
      </c>
      <c r="C1436" s="196">
        <v>0</v>
      </c>
      <c r="D1436" s="196">
        <v>114400</v>
      </c>
      <c r="E1436" s="196">
        <v>114400</v>
      </c>
      <c r="F1436" s="196">
        <v>0</v>
      </c>
      <c r="G1436" s="196">
        <v>0</v>
      </c>
    </row>
    <row r="1437" spans="1:7" x14ac:dyDescent="0.3">
      <c r="A1437" s="198">
        <v>43220215</v>
      </c>
      <c r="B1437" s="192" t="s">
        <v>1555</v>
      </c>
      <c r="C1437" s="196">
        <v>0</v>
      </c>
      <c r="D1437" s="196">
        <v>4852000</v>
      </c>
      <c r="E1437" s="196">
        <v>4852000</v>
      </c>
      <c r="F1437" s="196">
        <v>0</v>
      </c>
      <c r="G1437" s="196">
        <v>0</v>
      </c>
    </row>
    <row r="1438" spans="1:7" x14ac:dyDescent="0.3">
      <c r="A1438" s="198">
        <v>28859164</v>
      </c>
      <c r="B1438" s="192" t="s">
        <v>1556</v>
      </c>
      <c r="C1438" s="196">
        <v>0</v>
      </c>
      <c r="D1438" s="196">
        <v>2308000</v>
      </c>
      <c r="E1438" s="196">
        <v>2308000</v>
      </c>
      <c r="F1438" s="196">
        <v>0</v>
      </c>
      <c r="G1438" s="196">
        <v>0</v>
      </c>
    </row>
    <row r="1439" spans="1:7" x14ac:dyDescent="0.3">
      <c r="A1439" s="198">
        <v>1035010449</v>
      </c>
      <c r="B1439" s="192" t="s">
        <v>1557</v>
      </c>
      <c r="C1439" s="196">
        <v>0</v>
      </c>
      <c r="D1439" s="196">
        <v>98000</v>
      </c>
      <c r="E1439" s="196">
        <v>98000</v>
      </c>
      <c r="F1439" s="196">
        <v>0</v>
      </c>
      <c r="G1439" s="196">
        <v>0</v>
      </c>
    </row>
    <row r="1440" spans="1:7" x14ac:dyDescent="0.3">
      <c r="A1440" s="198">
        <v>1035026916</v>
      </c>
      <c r="B1440" s="192" t="s">
        <v>1558</v>
      </c>
      <c r="C1440" s="196">
        <v>0</v>
      </c>
      <c r="D1440" s="196">
        <v>101800</v>
      </c>
      <c r="E1440" s="196">
        <v>101800</v>
      </c>
      <c r="F1440" s="196">
        <v>0</v>
      </c>
      <c r="G1440" s="196">
        <v>0</v>
      </c>
    </row>
    <row r="1441" spans="1:7" x14ac:dyDescent="0.3">
      <c r="A1441" s="198">
        <v>1034998747</v>
      </c>
      <c r="B1441" s="192" t="s">
        <v>1559</v>
      </c>
      <c r="C1441" s="196">
        <v>0</v>
      </c>
      <c r="D1441" s="196">
        <v>101800</v>
      </c>
      <c r="E1441" s="196">
        <v>101800</v>
      </c>
      <c r="F1441" s="196">
        <v>0</v>
      </c>
      <c r="G1441" s="196">
        <v>0</v>
      </c>
    </row>
    <row r="1442" spans="1:7" x14ac:dyDescent="0.3">
      <c r="A1442" s="198">
        <v>451337</v>
      </c>
      <c r="B1442" s="192" t="s">
        <v>1560</v>
      </c>
      <c r="C1442" s="196">
        <v>0</v>
      </c>
      <c r="D1442" s="196">
        <v>60000</v>
      </c>
      <c r="E1442" s="196">
        <v>60000</v>
      </c>
      <c r="F1442" s="196">
        <v>0</v>
      </c>
      <c r="G1442" s="196">
        <v>0</v>
      </c>
    </row>
    <row r="1443" spans="1:7" x14ac:dyDescent="0.3">
      <c r="A1443" s="198">
        <v>1239491913</v>
      </c>
      <c r="B1443" s="192" t="s">
        <v>1561</v>
      </c>
      <c r="C1443" s="196">
        <v>0</v>
      </c>
      <c r="D1443" s="196">
        <v>340000</v>
      </c>
      <c r="E1443" s="196">
        <v>340000</v>
      </c>
      <c r="F1443" s="196">
        <v>0</v>
      </c>
      <c r="G1443" s="196">
        <v>0</v>
      </c>
    </row>
    <row r="1444" spans="1:7" x14ac:dyDescent="0.3">
      <c r="A1444" s="198">
        <v>7612591</v>
      </c>
      <c r="B1444" s="192" t="s">
        <v>1562</v>
      </c>
      <c r="C1444" s="196">
        <v>0</v>
      </c>
      <c r="D1444" s="196">
        <v>752600</v>
      </c>
      <c r="E1444" s="196">
        <v>752600</v>
      </c>
      <c r="F1444" s="196">
        <v>0</v>
      </c>
      <c r="G1444" s="196">
        <v>0</v>
      </c>
    </row>
    <row r="1445" spans="1:7" x14ac:dyDescent="0.3">
      <c r="A1445" s="198">
        <v>3489146</v>
      </c>
      <c r="B1445" s="192" t="s">
        <v>1563</v>
      </c>
      <c r="C1445" s="196">
        <v>7</v>
      </c>
      <c r="D1445" s="196">
        <v>2000000</v>
      </c>
      <c r="E1445" s="196">
        <v>2000000</v>
      </c>
      <c r="F1445" s="196">
        <v>0</v>
      </c>
      <c r="G1445" s="196">
        <v>7</v>
      </c>
    </row>
    <row r="1446" spans="1:7" x14ac:dyDescent="0.3">
      <c r="A1446" s="198">
        <v>1038101569</v>
      </c>
      <c r="B1446" s="192" t="s">
        <v>1564</v>
      </c>
      <c r="C1446" s="196">
        <v>4046000</v>
      </c>
      <c r="D1446" s="196">
        <v>165000</v>
      </c>
      <c r="E1446" s="196">
        <v>4211000</v>
      </c>
      <c r="F1446" s="196">
        <v>-4046000</v>
      </c>
      <c r="G1446" s="196">
        <v>0</v>
      </c>
    </row>
    <row r="1447" spans="1:7" x14ac:dyDescent="0.3">
      <c r="A1447" s="198">
        <v>1066734092</v>
      </c>
      <c r="B1447" s="192" t="s">
        <v>1565</v>
      </c>
      <c r="C1447" s="196">
        <v>0</v>
      </c>
      <c r="D1447" s="196">
        <v>108400</v>
      </c>
      <c r="E1447" s="196">
        <v>108400</v>
      </c>
      <c r="F1447" s="196">
        <v>0</v>
      </c>
      <c r="G1447" s="196">
        <v>0</v>
      </c>
    </row>
    <row r="1448" spans="1:7" x14ac:dyDescent="0.3">
      <c r="A1448" s="198">
        <v>356021</v>
      </c>
      <c r="B1448" s="192" t="s">
        <v>1566</v>
      </c>
      <c r="C1448" s="196">
        <v>1</v>
      </c>
      <c r="D1448" s="196">
        <v>0</v>
      </c>
      <c r="E1448" s="196">
        <v>0</v>
      </c>
      <c r="F1448" s="196">
        <v>0</v>
      </c>
      <c r="G1448" s="196">
        <v>1</v>
      </c>
    </row>
    <row r="1449" spans="1:7" x14ac:dyDescent="0.3">
      <c r="A1449" s="198">
        <v>1000874730</v>
      </c>
      <c r="B1449" s="192" t="s">
        <v>1567</v>
      </c>
      <c r="C1449" s="196">
        <v>0</v>
      </c>
      <c r="D1449" s="196">
        <v>968000</v>
      </c>
      <c r="E1449" s="196">
        <v>968000</v>
      </c>
      <c r="F1449" s="196">
        <v>0</v>
      </c>
      <c r="G1449" s="196">
        <v>0</v>
      </c>
    </row>
    <row r="1450" spans="1:7" x14ac:dyDescent="0.3">
      <c r="A1450" s="198">
        <v>71938493</v>
      </c>
      <c r="B1450" s="192" t="s">
        <v>1568</v>
      </c>
      <c r="C1450" s="196">
        <v>1</v>
      </c>
      <c r="D1450" s="196">
        <v>0</v>
      </c>
      <c r="E1450" s="196">
        <v>0</v>
      </c>
      <c r="F1450" s="196">
        <v>0</v>
      </c>
      <c r="G1450" s="196">
        <v>1</v>
      </c>
    </row>
    <row r="1451" spans="1:7" x14ac:dyDescent="0.3">
      <c r="A1451" s="198">
        <v>98539110</v>
      </c>
      <c r="B1451" s="192" t="s">
        <v>1569</v>
      </c>
      <c r="C1451" s="196">
        <v>0</v>
      </c>
      <c r="D1451" s="196">
        <v>709000</v>
      </c>
      <c r="E1451" s="196">
        <v>709000</v>
      </c>
      <c r="F1451" s="196">
        <v>0</v>
      </c>
      <c r="G1451" s="196">
        <v>0</v>
      </c>
    </row>
    <row r="1452" spans="1:7" x14ac:dyDescent="0.3">
      <c r="A1452" s="198">
        <v>371838</v>
      </c>
      <c r="B1452" s="192" t="s">
        <v>1570</v>
      </c>
      <c r="C1452" s="196">
        <v>0</v>
      </c>
      <c r="D1452" s="196">
        <v>319000</v>
      </c>
      <c r="E1452" s="196">
        <v>319000</v>
      </c>
      <c r="F1452" s="196">
        <v>0</v>
      </c>
      <c r="G1452" s="196">
        <v>0</v>
      </c>
    </row>
    <row r="1453" spans="1:7" x14ac:dyDescent="0.3">
      <c r="A1453" s="198">
        <v>12724722</v>
      </c>
      <c r="B1453" s="192" t="s">
        <v>1571</v>
      </c>
      <c r="C1453" s="196">
        <v>-146399</v>
      </c>
      <c r="D1453" s="196">
        <v>0</v>
      </c>
      <c r="E1453" s="196">
        <v>0</v>
      </c>
      <c r="F1453" s="196">
        <v>0</v>
      </c>
      <c r="G1453" s="196">
        <v>-146399</v>
      </c>
    </row>
    <row r="1454" spans="1:7" x14ac:dyDescent="0.3">
      <c r="A1454" s="198">
        <v>70724924</v>
      </c>
      <c r="B1454" s="192" t="s">
        <v>1572</v>
      </c>
      <c r="C1454" s="196">
        <v>2</v>
      </c>
      <c r="D1454" s="196">
        <v>0</v>
      </c>
      <c r="E1454" s="196">
        <v>0</v>
      </c>
      <c r="F1454" s="196">
        <v>0</v>
      </c>
      <c r="G1454" s="196">
        <v>2</v>
      </c>
    </row>
    <row r="1455" spans="1:7" x14ac:dyDescent="0.3">
      <c r="A1455" s="198">
        <v>1067845400</v>
      </c>
      <c r="B1455" s="192" t="s">
        <v>1573</v>
      </c>
      <c r="C1455" s="196">
        <v>3000000</v>
      </c>
      <c r="D1455" s="196">
        <v>0</v>
      </c>
      <c r="E1455" s="196">
        <v>0</v>
      </c>
      <c r="F1455" s="196">
        <v>0</v>
      </c>
      <c r="G1455" s="196">
        <v>3000000</v>
      </c>
    </row>
    <row r="1456" spans="1:7" x14ac:dyDescent="0.3">
      <c r="A1456" s="198">
        <v>1077427408</v>
      </c>
      <c r="B1456" s="192" t="s">
        <v>1574</v>
      </c>
      <c r="C1456" s="196">
        <v>0</v>
      </c>
      <c r="D1456" s="196">
        <v>319000</v>
      </c>
      <c r="E1456" s="196">
        <v>319000</v>
      </c>
      <c r="F1456" s="196">
        <v>0</v>
      </c>
      <c r="G1456" s="196">
        <v>0</v>
      </c>
    </row>
    <row r="1457" spans="1:7" x14ac:dyDescent="0.3">
      <c r="A1457" s="198">
        <v>1003305208</v>
      </c>
      <c r="B1457" s="192" t="s">
        <v>1575</v>
      </c>
      <c r="C1457" s="196">
        <v>0</v>
      </c>
      <c r="D1457" s="196">
        <v>1923000</v>
      </c>
      <c r="E1457" s="196">
        <v>1923000</v>
      </c>
      <c r="F1457" s="196">
        <v>0</v>
      </c>
      <c r="G1457" s="196">
        <v>0</v>
      </c>
    </row>
    <row r="1458" spans="1:7" x14ac:dyDescent="0.3">
      <c r="A1458" s="198">
        <v>1045026461</v>
      </c>
      <c r="B1458" s="192" t="s">
        <v>1576</v>
      </c>
      <c r="C1458" s="196">
        <v>0</v>
      </c>
      <c r="D1458" s="196">
        <v>193800</v>
      </c>
      <c r="E1458" s="196">
        <v>193800</v>
      </c>
      <c r="F1458" s="196">
        <v>0</v>
      </c>
      <c r="G1458" s="196">
        <v>0</v>
      </c>
    </row>
    <row r="1459" spans="1:7" x14ac:dyDescent="0.3">
      <c r="A1459" s="198">
        <v>43598446</v>
      </c>
      <c r="B1459" s="192" t="s">
        <v>1577</v>
      </c>
      <c r="C1459" s="196">
        <v>0</v>
      </c>
      <c r="D1459" s="196">
        <v>963000</v>
      </c>
      <c r="E1459" s="196">
        <v>963000</v>
      </c>
      <c r="F1459" s="196">
        <v>0</v>
      </c>
      <c r="G1459" s="196">
        <v>0</v>
      </c>
    </row>
    <row r="1460" spans="1:7" x14ac:dyDescent="0.3">
      <c r="A1460" s="198">
        <v>39619563</v>
      </c>
      <c r="B1460" s="192" t="s">
        <v>1578</v>
      </c>
      <c r="C1460" s="196">
        <v>0</v>
      </c>
      <c r="D1460" s="196">
        <v>357000</v>
      </c>
      <c r="E1460" s="196">
        <v>357000</v>
      </c>
      <c r="F1460" s="196">
        <v>0</v>
      </c>
      <c r="G1460" s="196">
        <v>0</v>
      </c>
    </row>
    <row r="1461" spans="1:7" x14ac:dyDescent="0.3">
      <c r="A1461" s="198">
        <v>1152712932</v>
      </c>
      <c r="B1461" s="192" t="s">
        <v>1579</v>
      </c>
      <c r="C1461" s="196">
        <v>35000</v>
      </c>
      <c r="D1461" s="196">
        <v>256000</v>
      </c>
      <c r="E1461" s="196">
        <v>291000</v>
      </c>
      <c r="F1461" s="196">
        <v>-35000</v>
      </c>
      <c r="G1461" s="196">
        <v>0</v>
      </c>
    </row>
    <row r="1462" spans="1:7" x14ac:dyDescent="0.3">
      <c r="A1462" s="198">
        <v>1017270884</v>
      </c>
      <c r="B1462" s="192" t="s">
        <v>1580</v>
      </c>
      <c r="C1462" s="196">
        <v>0</v>
      </c>
      <c r="D1462" s="196">
        <v>2965000</v>
      </c>
      <c r="E1462" s="196">
        <v>2965000</v>
      </c>
      <c r="F1462" s="196">
        <v>0</v>
      </c>
      <c r="G1462" s="196">
        <v>0</v>
      </c>
    </row>
    <row r="1463" spans="1:7" x14ac:dyDescent="0.3">
      <c r="A1463" s="198">
        <v>1075253888</v>
      </c>
      <c r="B1463" s="192" t="s">
        <v>1581</v>
      </c>
      <c r="C1463" s="196">
        <v>0</v>
      </c>
      <c r="D1463" s="196">
        <v>968000</v>
      </c>
      <c r="E1463" s="196">
        <v>968000</v>
      </c>
      <c r="F1463" s="196">
        <v>0</v>
      </c>
      <c r="G1463" s="196">
        <v>0</v>
      </c>
    </row>
    <row r="1464" spans="1:7" x14ac:dyDescent="0.3">
      <c r="A1464" s="198">
        <v>1020423559</v>
      </c>
      <c r="B1464" s="192" t="s">
        <v>1582</v>
      </c>
      <c r="C1464" s="196">
        <v>0</v>
      </c>
      <c r="D1464" s="196">
        <v>1161000</v>
      </c>
      <c r="E1464" s="196">
        <v>1161000</v>
      </c>
      <c r="F1464" s="196">
        <v>0</v>
      </c>
      <c r="G1464" s="196">
        <v>0</v>
      </c>
    </row>
    <row r="1465" spans="1:7" x14ac:dyDescent="0.3">
      <c r="A1465" s="198">
        <v>1056774778</v>
      </c>
      <c r="B1465" s="192" t="s">
        <v>1583</v>
      </c>
      <c r="C1465" s="196">
        <v>1</v>
      </c>
      <c r="D1465" s="196">
        <v>0</v>
      </c>
      <c r="E1465" s="196">
        <v>0</v>
      </c>
      <c r="F1465" s="196">
        <v>0</v>
      </c>
      <c r="G1465" s="196">
        <v>1</v>
      </c>
    </row>
    <row r="1466" spans="1:7" x14ac:dyDescent="0.3">
      <c r="A1466" s="198">
        <v>1121825664</v>
      </c>
      <c r="B1466" s="192" t="s">
        <v>1584</v>
      </c>
      <c r="C1466" s="196">
        <v>4000000</v>
      </c>
      <c r="D1466" s="196">
        <v>0</v>
      </c>
      <c r="E1466" s="196">
        <v>4000000</v>
      </c>
      <c r="F1466" s="196">
        <v>-4000000</v>
      </c>
      <c r="G1466" s="196">
        <v>0</v>
      </c>
    </row>
    <row r="1467" spans="1:7" x14ac:dyDescent="0.3">
      <c r="A1467" s="198">
        <v>1011392520</v>
      </c>
      <c r="B1467" s="192" t="s">
        <v>1585</v>
      </c>
      <c r="C1467" s="196">
        <v>0</v>
      </c>
      <c r="D1467" s="196">
        <v>963000</v>
      </c>
      <c r="E1467" s="196">
        <v>963000</v>
      </c>
      <c r="F1467" s="196">
        <v>0</v>
      </c>
      <c r="G1467" s="196">
        <v>0</v>
      </c>
    </row>
    <row r="1468" spans="1:7" x14ac:dyDescent="0.3">
      <c r="A1468" s="198">
        <v>43532175</v>
      </c>
      <c r="B1468" s="192" t="s">
        <v>1586</v>
      </c>
      <c r="C1468" s="196">
        <v>0</v>
      </c>
      <c r="D1468" s="196">
        <v>175600</v>
      </c>
      <c r="E1468" s="196">
        <v>175600</v>
      </c>
      <c r="F1468" s="196">
        <v>0</v>
      </c>
      <c r="G1468" s="196">
        <v>0</v>
      </c>
    </row>
    <row r="1469" spans="1:7" x14ac:dyDescent="0.3">
      <c r="A1469" s="198">
        <v>1152456827</v>
      </c>
      <c r="B1469" s="192" t="s">
        <v>1587</v>
      </c>
      <c r="C1469" s="196">
        <v>0</v>
      </c>
      <c r="D1469" s="196">
        <v>963000</v>
      </c>
      <c r="E1469" s="196">
        <v>963000</v>
      </c>
      <c r="F1469" s="196">
        <v>0</v>
      </c>
      <c r="G1469" s="196">
        <v>0</v>
      </c>
    </row>
    <row r="1470" spans="1:7" x14ac:dyDescent="0.3">
      <c r="A1470" s="198">
        <v>1001443415</v>
      </c>
      <c r="B1470" s="192" t="s">
        <v>1588</v>
      </c>
      <c r="C1470" s="196">
        <v>0</v>
      </c>
      <c r="D1470" s="196">
        <v>165000</v>
      </c>
      <c r="E1470" s="196">
        <v>165000</v>
      </c>
      <c r="F1470" s="196">
        <v>0</v>
      </c>
      <c r="G1470" s="196">
        <v>0</v>
      </c>
    </row>
    <row r="1471" spans="1:7" x14ac:dyDescent="0.3">
      <c r="A1471" s="198">
        <v>1001507966</v>
      </c>
      <c r="B1471" s="192" t="s">
        <v>1589</v>
      </c>
      <c r="C1471" s="196">
        <v>0</v>
      </c>
      <c r="D1471" s="196">
        <v>963000</v>
      </c>
      <c r="E1471" s="196">
        <v>963000</v>
      </c>
      <c r="F1471" s="196">
        <v>0</v>
      </c>
      <c r="G1471" s="196">
        <v>0</v>
      </c>
    </row>
    <row r="1472" spans="1:7" x14ac:dyDescent="0.3">
      <c r="A1472" s="198">
        <v>1004012504</v>
      </c>
      <c r="B1472" s="192" t="s">
        <v>1590</v>
      </c>
      <c r="C1472" s="196">
        <v>0</v>
      </c>
      <c r="D1472" s="196">
        <v>399000</v>
      </c>
      <c r="E1472" s="196">
        <v>399000</v>
      </c>
      <c r="F1472" s="196">
        <v>0</v>
      </c>
      <c r="G1472" s="196">
        <v>0</v>
      </c>
    </row>
    <row r="1473" spans="1:7" x14ac:dyDescent="0.3">
      <c r="A1473" s="198">
        <v>1128400877</v>
      </c>
      <c r="B1473" s="192" t="s">
        <v>1591</v>
      </c>
      <c r="C1473" s="196">
        <v>0</v>
      </c>
      <c r="D1473" s="196">
        <v>968000</v>
      </c>
      <c r="E1473" s="196">
        <v>968000</v>
      </c>
      <c r="F1473" s="196">
        <v>0</v>
      </c>
      <c r="G1473" s="196">
        <v>0</v>
      </c>
    </row>
    <row r="1474" spans="1:7" x14ac:dyDescent="0.3">
      <c r="A1474" s="198">
        <v>1047228987</v>
      </c>
      <c r="B1474" s="192" t="s">
        <v>1592</v>
      </c>
      <c r="C1474" s="196">
        <v>0</v>
      </c>
      <c r="D1474" s="196">
        <v>94000</v>
      </c>
      <c r="E1474" s="196">
        <v>94000</v>
      </c>
      <c r="F1474" s="196">
        <v>0</v>
      </c>
      <c r="G1474" s="196">
        <v>0</v>
      </c>
    </row>
    <row r="1475" spans="1:7" x14ac:dyDescent="0.3">
      <c r="A1475" s="198">
        <v>1128465804</v>
      </c>
      <c r="B1475" s="192" t="s">
        <v>1593</v>
      </c>
      <c r="C1475" s="196">
        <v>0</v>
      </c>
      <c r="D1475" s="196">
        <v>297000</v>
      </c>
      <c r="E1475" s="196">
        <v>297000</v>
      </c>
      <c r="F1475" s="196">
        <v>0</v>
      </c>
      <c r="G1475" s="196">
        <v>0</v>
      </c>
    </row>
    <row r="1476" spans="1:7" x14ac:dyDescent="0.3">
      <c r="A1476" s="198">
        <v>8672674</v>
      </c>
      <c r="B1476" s="192" t="s">
        <v>1594</v>
      </c>
      <c r="C1476" s="196">
        <v>0</v>
      </c>
      <c r="D1476" s="196">
        <v>195600</v>
      </c>
      <c r="E1476" s="196">
        <v>195600</v>
      </c>
      <c r="F1476" s="196">
        <v>0</v>
      </c>
      <c r="G1476" s="196">
        <v>0</v>
      </c>
    </row>
    <row r="1477" spans="1:7" x14ac:dyDescent="0.3">
      <c r="A1477" s="198">
        <v>31472220</v>
      </c>
      <c r="B1477" s="192" t="s">
        <v>1595</v>
      </c>
      <c r="C1477" s="196">
        <v>0</v>
      </c>
      <c r="D1477" s="196">
        <v>260400</v>
      </c>
      <c r="E1477" s="196">
        <v>260400</v>
      </c>
      <c r="F1477" s="196">
        <v>0</v>
      </c>
      <c r="G1477" s="196">
        <v>0</v>
      </c>
    </row>
    <row r="1478" spans="1:7" x14ac:dyDescent="0.3">
      <c r="A1478" s="198">
        <v>1122415207</v>
      </c>
      <c r="B1478" s="192" t="s">
        <v>1596</v>
      </c>
      <c r="C1478" s="196">
        <v>0</v>
      </c>
      <c r="D1478" s="196">
        <v>1310000</v>
      </c>
      <c r="E1478" s="196">
        <v>1310000</v>
      </c>
      <c r="F1478" s="196">
        <v>0</v>
      </c>
      <c r="G1478" s="196">
        <v>0</v>
      </c>
    </row>
    <row r="1479" spans="1:7" x14ac:dyDescent="0.3">
      <c r="A1479" s="198">
        <v>1128472870</v>
      </c>
      <c r="B1479" s="192" t="s">
        <v>1597</v>
      </c>
      <c r="C1479" s="196">
        <v>0</v>
      </c>
      <c r="D1479" s="196">
        <v>465000</v>
      </c>
      <c r="E1479" s="196">
        <v>465000</v>
      </c>
      <c r="F1479" s="196">
        <v>0</v>
      </c>
      <c r="G1479" s="196">
        <v>0</v>
      </c>
    </row>
    <row r="1480" spans="1:7" x14ac:dyDescent="0.3">
      <c r="A1480" s="198">
        <v>43160107</v>
      </c>
      <c r="B1480" s="192" t="s">
        <v>1598</v>
      </c>
      <c r="C1480" s="196">
        <v>-0.3</v>
      </c>
      <c r="D1480" s="196">
        <v>0</v>
      </c>
      <c r="E1480" s="196">
        <v>0</v>
      </c>
      <c r="F1480" s="196">
        <v>0</v>
      </c>
      <c r="G1480" s="196">
        <v>-0.3</v>
      </c>
    </row>
    <row r="1481" spans="1:7" x14ac:dyDescent="0.3">
      <c r="A1481" s="198">
        <v>43189785</v>
      </c>
      <c r="B1481" s="192" t="s">
        <v>1599</v>
      </c>
      <c r="C1481" s="196">
        <v>0</v>
      </c>
      <c r="D1481" s="196">
        <v>136667</v>
      </c>
      <c r="E1481" s="196">
        <v>136667</v>
      </c>
      <c r="F1481" s="196">
        <v>0</v>
      </c>
      <c r="G1481" s="196">
        <v>0</v>
      </c>
    </row>
    <row r="1482" spans="1:7" x14ac:dyDescent="0.3">
      <c r="A1482" s="198">
        <v>1001605174</v>
      </c>
      <c r="B1482" s="192" t="s">
        <v>1600</v>
      </c>
      <c r="C1482" s="196">
        <v>0</v>
      </c>
      <c r="D1482" s="196">
        <v>968000</v>
      </c>
      <c r="E1482" s="196">
        <v>968000</v>
      </c>
      <c r="F1482" s="196">
        <v>0</v>
      </c>
      <c r="G1482" s="196">
        <v>0</v>
      </c>
    </row>
    <row r="1483" spans="1:7" x14ac:dyDescent="0.3">
      <c r="A1483" s="198">
        <v>1214726545</v>
      </c>
      <c r="B1483" s="192" t="s">
        <v>1601</v>
      </c>
      <c r="C1483" s="196">
        <v>0</v>
      </c>
      <c r="D1483" s="196">
        <v>963000</v>
      </c>
      <c r="E1483" s="196">
        <v>963000</v>
      </c>
      <c r="F1483" s="196">
        <v>0</v>
      </c>
      <c r="G1483" s="196">
        <v>0</v>
      </c>
    </row>
    <row r="1484" spans="1:7" x14ac:dyDescent="0.3">
      <c r="A1484" s="198">
        <v>1335280157</v>
      </c>
      <c r="B1484" s="192" t="s">
        <v>1602</v>
      </c>
      <c r="C1484" s="196">
        <v>0</v>
      </c>
      <c r="D1484" s="196">
        <v>379400</v>
      </c>
      <c r="E1484" s="196">
        <v>379400</v>
      </c>
      <c r="F1484" s="196">
        <v>0</v>
      </c>
      <c r="G1484" s="196">
        <v>0</v>
      </c>
    </row>
    <row r="1485" spans="1:7" x14ac:dyDescent="0.3">
      <c r="A1485" s="198">
        <v>1036629708</v>
      </c>
      <c r="B1485" s="192" t="s">
        <v>1603</v>
      </c>
      <c r="C1485" s="196">
        <v>0</v>
      </c>
      <c r="D1485" s="196">
        <v>206400</v>
      </c>
      <c r="E1485" s="196">
        <v>206400</v>
      </c>
      <c r="F1485" s="196">
        <v>0</v>
      </c>
      <c r="G1485" s="196">
        <v>0</v>
      </c>
    </row>
    <row r="1486" spans="1:7" x14ac:dyDescent="0.3">
      <c r="A1486" s="198">
        <v>1039597730</v>
      </c>
      <c r="B1486" s="192" t="s">
        <v>1604</v>
      </c>
      <c r="C1486" s="196">
        <v>0</v>
      </c>
      <c r="D1486" s="196">
        <v>101800</v>
      </c>
      <c r="E1486" s="196">
        <v>101800</v>
      </c>
      <c r="F1486" s="196">
        <v>0</v>
      </c>
      <c r="G1486" s="196">
        <v>0</v>
      </c>
    </row>
    <row r="1487" spans="1:7" x14ac:dyDescent="0.3">
      <c r="A1487" s="198">
        <v>1037646932</v>
      </c>
      <c r="B1487" s="192" t="s">
        <v>1605</v>
      </c>
      <c r="C1487" s="196">
        <v>0</v>
      </c>
      <c r="D1487" s="196">
        <v>1055000</v>
      </c>
      <c r="E1487" s="196">
        <v>1055000</v>
      </c>
      <c r="F1487" s="196">
        <v>0</v>
      </c>
      <c r="G1487" s="196">
        <v>0</v>
      </c>
    </row>
    <row r="1488" spans="1:7" x14ac:dyDescent="0.3">
      <c r="A1488" s="198">
        <v>1061796895</v>
      </c>
      <c r="B1488" s="192" t="s">
        <v>1606</v>
      </c>
      <c r="C1488" s="196">
        <v>0</v>
      </c>
      <c r="D1488" s="196">
        <v>963000</v>
      </c>
      <c r="E1488" s="196">
        <v>963000</v>
      </c>
      <c r="F1488" s="196">
        <v>0</v>
      </c>
      <c r="G1488" s="196">
        <v>0</v>
      </c>
    </row>
    <row r="1489" spans="1:7" x14ac:dyDescent="0.3">
      <c r="A1489" s="198">
        <v>1152712278</v>
      </c>
      <c r="B1489" s="192" t="s">
        <v>1607</v>
      </c>
      <c r="C1489" s="196">
        <v>0</v>
      </c>
      <c r="D1489" s="196">
        <v>963000</v>
      </c>
      <c r="E1489" s="196">
        <v>963000</v>
      </c>
      <c r="F1489" s="196">
        <v>0</v>
      </c>
      <c r="G1489" s="196">
        <v>0</v>
      </c>
    </row>
    <row r="1490" spans="1:7" x14ac:dyDescent="0.3">
      <c r="A1490" s="198">
        <v>1143833183</v>
      </c>
      <c r="B1490" s="192" t="s">
        <v>1608</v>
      </c>
      <c r="C1490" s="196">
        <v>0</v>
      </c>
      <c r="D1490" s="196">
        <v>50000</v>
      </c>
      <c r="E1490" s="196">
        <v>50000</v>
      </c>
      <c r="F1490" s="196">
        <v>0</v>
      </c>
      <c r="G1490" s="196">
        <v>0</v>
      </c>
    </row>
    <row r="1491" spans="1:7" x14ac:dyDescent="0.3">
      <c r="A1491" s="198">
        <v>1075232869</v>
      </c>
      <c r="B1491" s="192" t="s">
        <v>1609</v>
      </c>
      <c r="C1491" s="196">
        <v>0</v>
      </c>
      <c r="D1491" s="196">
        <v>101800</v>
      </c>
      <c r="E1491" s="196">
        <v>101800</v>
      </c>
      <c r="F1491" s="196">
        <v>0</v>
      </c>
      <c r="G1491" s="196">
        <v>0</v>
      </c>
    </row>
    <row r="1492" spans="1:7" x14ac:dyDescent="0.3">
      <c r="A1492" s="198">
        <v>43201832</v>
      </c>
      <c r="B1492" s="192" t="s">
        <v>1610</v>
      </c>
      <c r="C1492" s="196">
        <v>0</v>
      </c>
      <c r="D1492" s="196">
        <v>101800</v>
      </c>
      <c r="E1492" s="196">
        <v>101800</v>
      </c>
      <c r="F1492" s="196">
        <v>0</v>
      </c>
      <c r="G1492" s="196">
        <v>0</v>
      </c>
    </row>
    <row r="1493" spans="1:7" x14ac:dyDescent="0.3">
      <c r="A1493" s="198">
        <v>44003020</v>
      </c>
      <c r="B1493" s="192" t="s">
        <v>1611</v>
      </c>
      <c r="C1493" s="196">
        <v>0</v>
      </c>
      <c r="D1493" s="196">
        <v>11479000</v>
      </c>
      <c r="E1493" s="196">
        <v>11479000</v>
      </c>
      <c r="F1493" s="196">
        <v>0</v>
      </c>
      <c r="G1493" s="196">
        <v>0</v>
      </c>
    </row>
    <row r="1494" spans="1:7" x14ac:dyDescent="0.3">
      <c r="A1494" s="198">
        <v>1152449253</v>
      </c>
      <c r="B1494" s="192" t="s">
        <v>1612</v>
      </c>
      <c r="C1494" s="196">
        <v>1</v>
      </c>
      <c r="D1494" s="196">
        <v>0</v>
      </c>
      <c r="E1494" s="196">
        <v>0</v>
      </c>
      <c r="F1494" s="196">
        <v>0</v>
      </c>
      <c r="G1494" s="196">
        <v>1</v>
      </c>
    </row>
    <row r="1495" spans="1:7" x14ac:dyDescent="0.3">
      <c r="A1495" s="197">
        <v>1320</v>
      </c>
      <c r="B1495" s="191" t="s">
        <v>1613</v>
      </c>
      <c r="C1495" s="195">
        <v>-600000</v>
      </c>
      <c r="D1495" s="195">
        <v>0</v>
      </c>
      <c r="E1495" s="195">
        <v>0</v>
      </c>
      <c r="F1495" s="195">
        <v>0</v>
      </c>
      <c r="G1495" s="195">
        <v>-600000</v>
      </c>
    </row>
    <row r="1496" spans="1:7" x14ac:dyDescent="0.3">
      <c r="A1496" s="198">
        <v>132005</v>
      </c>
      <c r="B1496" s="192" t="s">
        <v>1614</v>
      </c>
      <c r="C1496" s="196">
        <v>-600000</v>
      </c>
      <c r="D1496" s="196">
        <v>0</v>
      </c>
      <c r="E1496" s="196">
        <v>0</v>
      </c>
      <c r="F1496" s="196">
        <v>0</v>
      </c>
      <c r="G1496" s="196">
        <v>-600000</v>
      </c>
    </row>
    <row r="1497" spans="1:7" x14ac:dyDescent="0.3">
      <c r="A1497" s="198">
        <v>901601980</v>
      </c>
      <c r="B1497" s="192" t="s">
        <v>1615</v>
      </c>
      <c r="C1497" s="196">
        <v>-600000</v>
      </c>
      <c r="D1497" s="196">
        <v>0</v>
      </c>
      <c r="E1497" s="196">
        <v>0</v>
      </c>
      <c r="F1497" s="196">
        <v>0</v>
      </c>
      <c r="G1497" s="196">
        <v>-600000</v>
      </c>
    </row>
    <row r="1498" spans="1:7" x14ac:dyDescent="0.3">
      <c r="A1498" s="197">
        <v>1325</v>
      </c>
      <c r="B1498" s="191" t="s">
        <v>1616</v>
      </c>
      <c r="C1498" s="195">
        <v>268488507.62</v>
      </c>
      <c r="D1498" s="195">
        <v>0</v>
      </c>
      <c r="E1498" s="195">
        <v>0</v>
      </c>
      <c r="F1498" s="195">
        <v>0</v>
      </c>
      <c r="G1498" s="195">
        <v>268488507.62</v>
      </c>
    </row>
    <row r="1499" spans="1:7" x14ac:dyDescent="0.3">
      <c r="A1499" s="198">
        <v>13250501</v>
      </c>
      <c r="B1499" s="192" t="s">
        <v>1617</v>
      </c>
      <c r="C1499" s="196">
        <v>268488507.62</v>
      </c>
      <c r="D1499" s="196">
        <v>0</v>
      </c>
      <c r="E1499" s="196">
        <v>0</v>
      </c>
      <c r="F1499" s="196">
        <v>0</v>
      </c>
      <c r="G1499" s="196">
        <v>268488507.62</v>
      </c>
    </row>
    <row r="1500" spans="1:7" x14ac:dyDescent="0.3">
      <c r="A1500" s="198">
        <v>1127941782</v>
      </c>
      <c r="B1500" s="192" t="s">
        <v>1618</v>
      </c>
      <c r="C1500" s="196">
        <v>133624440</v>
      </c>
      <c r="D1500" s="196">
        <v>0</v>
      </c>
      <c r="E1500" s="196">
        <v>0</v>
      </c>
      <c r="F1500" s="196">
        <v>0</v>
      </c>
      <c r="G1500" s="196">
        <v>133624440</v>
      </c>
    </row>
    <row r="1501" spans="1:7" x14ac:dyDescent="0.3">
      <c r="A1501" s="198">
        <v>80550424</v>
      </c>
      <c r="B1501" s="192" t="s">
        <v>1619</v>
      </c>
      <c r="C1501" s="196">
        <v>55360000</v>
      </c>
      <c r="D1501" s="196">
        <v>0</v>
      </c>
      <c r="E1501" s="196">
        <v>0</v>
      </c>
      <c r="F1501" s="196">
        <v>0</v>
      </c>
      <c r="G1501" s="196">
        <v>55360000</v>
      </c>
    </row>
    <row r="1502" spans="1:7" x14ac:dyDescent="0.3">
      <c r="A1502" s="198">
        <v>1127941794</v>
      </c>
      <c r="B1502" s="192" t="s">
        <v>1274</v>
      </c>
      <c r="C1502" s="196">
        <v>79504067.620000005</v>
      </c>
      <c r="D1502" s="196">
        <v>0</v>
      </c>
      <c r="E1502" s="196">
        <v>0</v>
      </c>
      <c r="F1502" s="196">
        <v>0</v>
      </c>
      <c r="G1502" s="196">
        <v>79504067.620000005</v>
      </c>
    </row>
    <row r="1503" spans="1:7" x14ac:dyDescent="0.3">
      <c r="A1503" s="197">
        <v>1330</v>
      </c>
      <c r="B1503" s="191" t="s">
        <v>1620</v>
      </c>
      <c r="C1503" s="195">
        <v>532525937.94</v>
      </c>
      <c r="D1503" s="195">
        <v>299587486.49000001</v>
      </c>
      <c r="E1503" s="195">
        <v>447257428.58999997</v>
      </c>
      <c r="F1503" s="195">
        <v>-147669942.09999999</v>
      </c>
      <c r="G1503" s="195">
        <v>384855995.83999997</v>
      </c>
    </row>
    <row r="1504" spans="1:7" x14ac:dyDescent="0.3">
      <c r="A1504" s="197">
        <v>133005</v>
      </c>
      <c r="B1504" s="191" t="s">
        <v>1621</v>
      </c>
      <c r="C1504" s="195">
        <v>527588070.94</v>
      </c>
      <c r="D1504" s="195">
        <v>299587486.49000001</v>
      </c>
      <c r="E1504" s="195">
        <v>447257428.58999997</v>
      </c>
      <c r="F1504" s="195">
        <v>-147669942.09999999</v>
      </c>
      <c r="G1504" s="195">
        <v>379918128.83999997</v>
      </c>
    </row>
    <row r="1505" spans="1:7" x14ac:dyDescent="0.3">
      <c r="A1505" s="198">
        <v>13300501</v>
      </c>
      <c r="B1505" s="192" t="s">
        <v>1621</v>
      </c>
      <c r="C1505" s="196">
        <v>527588070.94</v>
      </c>
      <c r="D1505" s="196">
        <v>299587486.49000001</v>
      </c>
      <c r="E1505" s="196">
        <v>447257428.58999997</v>
      </c>
      <c r="F1505" s="196">
        <v>-147669942.09999999</v>
      </c>
      <c r="G1505" s="196">
        <v>379918128.83999997</v>
      </c>
    </row>
    <row r="1506" spans="1:7" x14ac:dyDescent="0.3">
      <c r="A1506" s="198">
        <v>31948684</v>
      </c>
      <c r="B1506" s="192" t="s">
        <v>165</v>
      </c>
      <c r="C1506" s="196">
        <v>0</v>
      </c>
      <c r="D1506" s="196">
        <v>375678</v>
      </c>
      <c r="E1506" s="196">
        <v>375678</v>
      </c>
      <c r="F1506" s="196">
        <v>0</v>
      </c>
      <c r="G1506" s="196">
        <v>0</v>
      </c>
    </row>
    <row r="1507" spans="1:7" x14ac:dyDescent="0.3">
      <c r="A1507" s="198">
        <v>901054145</v>
      </c>
      <c r="B1507" s="192" t="s">
        <v>1622</v>
      </c>
      <c r="C1507" s="196">
        <v>0</v>
      </c>
      <c r="D1507" s="196">
        <v>778635</v>
      </c>
      <c r="E1507" s="196">
        <v>778635</v>
      </c>
      <c r="F1507" s="196">
        <v>0</v>
      </c>
      <c r="G1507" s="196">
        <v>0</v>
      </c>
    </row>
    <row r="1508" spans="1:7" x14ac:dyDescent="0.3">
      <c r="A1508" s="198">
        <v>830053812</v>
      </c>
      <c r="B1508" s="192" t="s">
        <v>1623</v>
      </c>
      <c r="C1508" s="196">
        <v>26414011</v>
      </c>
      <c r="D1508" s="196">
        <v>28447375.309999999</v>
      </c>
      <c r="E1508" s="196">
        <v>54861386.310000002</v>
      </c>
      <c r="F1508" s="196">
        <v>-26414011</v>
      </c>
      <c r="G1508" s="196">
        <v>0</v>
      </c>
    </row>
    <row r="1509" spans="1:7" x14ac:dyDescent="0.3">
      <c r="A1509" s="198">
        <v>900666414</v>
      </c>
      <c r="B1509" s="192" t="s">
        <v>1624</v>
      </c>
      <c r="C1509" s="196">
        <v>61880</v>
      </c>
      <c r="D1509" s="196">
        <v>0</v>
      </c>
      <c r="E1509" s="196">
        <v>0</v>
      </c>
      <c r="F1509" s="196">
        <v>0</v>
      </c>
      <c r="G1509" s="196">
        <v>61880</v>
      </c>
    </row>
    <row r="1510" spans="1:7" x14ac:dyDescent="0.3">
      <c r="A1510" s="198">
        <v>1193166396</v>
      </c>
      <c r="B1510" s="192" t="s">
        <v>1625</v>
      </c>
      <c r="C1510" s="196">
        <v>2500000</v>
      </c>
      <c r="D1510" s="196">
        <v>0</v>
      </c>
      <c r="E1510" s="196">
        <v>0</v>
      </c>
      <c r="F1510" s="196">
        <v>0</v>
      </c>
      <c r="G1510" s="196">
        <v>2500000</v>
      </c>
    </row>
    <row r="1511" spans="1:7" x14ac:dyDescent="0.3">
      <c r="A1511" s="198">
        <v>12604950</v>
      </c>
      <c r="B1511" s="192" t="s">
        <v>1626</v>
      </c>
      <c r="C1511" s="196">
        <v>4443607</v>
      </c>
      <c r="D1511" s="196">
        <v>0</v>
      </c>
      <c r="E1511" s="196">
        <v>0</v>
      </c>
      <c r="F1511" s="196">
        <v>0</v>
      </c>
      <c r="G1511" s="196">
        <v>4443607</v>
      </c>
    </row>
    <row r="1512" spans="1:7" x14ac:dyDescent="0.3">
      <c r="A1512" s="198">
        <v>900723785</v>
      </c>
      <c r="B1512" s="192" t="s">
        <v>1627</v>
      </c>
      <c r="C1512" s="196">
        <v>6929</v>
      </c>
      <c r="D1512" s="196">
        <v>0</v>
      </c>
      <c r="E1512" s="196">
        <v>0</v>
      </c>
      <c r="F1512" s="196">
        <v>0</v>
      </c>
      <c r="G1512" s="196">
        <v>6929</v>
      </c>
    </row>
    <row r="1513" spans="1:7" x14ac:dyDescent="0.3">
      <c r="A1513" s="198">
        <v>800158193</v>
      </c>
      <c r="B1513" s="192" t="s">
        <v>1628</v>
      </c>
      <c r="C1513" s="196">
        <v>560748</v>
      </c>
      <c r="D1513" s="196">
        <v>560748</v>
      </c>
      <c r="E1513" s="196">
        <v>1121496</v>
      </c>
      <c r="F1513" s="196">
        <v>-560748</v>
      </c>
      <c r="G1513" s="196">
        <v>0</v>
      </c>
    </row>
    <row r="1514" spans="1:7" x14ac:dyDescent="0.3">
      <c r="A1514" s="198">
        <v>860034313</v>
      </c>
      <c r="B1514" s="192" t="s">
        <v>1629</v>
      </c>
      <c r="C1514" s="196">
        <v>3356311</v>
      </c>
      <c r="D1514" s="196">
        <v>0</v>
      </c>
      <c r="E1514" s="196">
        <v>0</v>
      </c>
      <c r="F1514" s="196">
        <v>0</v>
      </c>
      <c r="G1514" s="196">
        <v>3356311</v>
      </c>
    </row>
    <row r="1515" spans="1:7" x14ac:dyDescent="0.3">
      <c r="A1515" s="198">
        <v>900740595</v>
      </c>
      <c r="B1515" s="192" t="s">
        <v>1630</v>
      </c>
      <c r="C1515" s="196">
        <v>8139</v>
      </c>
      <c r="D1515" s="196">
        <v>711857</v>
      </c>
      <c r="E1515" s="196">
        <v>705886</v>
      </c>
      <c r="F1515" s="196">
        <v>5971</v>
      </c>
      <c r="G1515" s="196">
        <v>14110</v>
      </c>
    </row>
    <row r="1516" spans="1:7" x14ac:dyDescent="0.3">
      <c r="A1516" s="198">
        <v>890905080</v>
      </c>
      <c r="B1516" s="192" t="s">
        <v>1631</v>
      </c>
      <c r="C1516" s="196">
        <v>0</v>
      </c>
      <c r="D1516" s="196">
        <v>12100</v>
      </c>
      <c r="E1516" s="196">
        <v>12100</v>
      </c>
      <c r="F1516" s="196">
        <v>0</v>
      </c>
      <c r="G1516" s="196">
        <v>0</v>
      </c>
    </row>
    <row r="1517" spans="1:7" x14ac:dyDescent="0.3">
      <c r="A1517" s="198">
        <v>890331949</v>
      </c>
      <c r="B1517" s="192" t="s">
        <v>1632</v>
      </c>
      <c r="C1517" s="196">
        <v>0</v>
      </c>
      <c r="D1517" s="196">
        <v>2580294</v>
      </c>
      <c r="E1517" s="196">
        <v>0</v>
      </c>
      <c r="F1517" s="196">
        <v>2580294</v>
      </c>
      <c r="G1517" s="196">
        <v>2580294</v>
      </c>
    </row>
    <row r="1518" spans="1:7" x14ac:dyDescent="0.3">
      <c r="A1518" s="198">
        <v>900241363</v>
      </c>
      <c r="B1518" s="192" t="s">
        <v>1633</v>
      </c>
      <c r="C1518" s="196">
        <v>75565000</v>
      </c>
      <c r="D1518" s="196">
        <v>0</v>
      </c>
      <c r="E1518" s="196">
        <v>0</v>
      </c>
      <c r="F1518" s="196">
        <v>0</v>
      </c>
      <c r="G1518" s="196">
        <v>75565000</v>
      </c>
    </row>
    <row r="1519" spans="1:7" x14ac:dyDescent="0.3">
      <c r="A1519" s="198">
        <v>1007045915</v>
      </c>
      <c r="B1519" s="192" t="s">
        <v>1634</v>
      </c>
      <c r="C1519" s="196">
        <v>948000</v>
      </c>
      <c r="D1519" s="196">
        <v>0</v>
      </c>
      <c r="E1519" s="196">
        <v>0</v>
      </c>
      <c r="F1519" s="196">
        <v>0</v>
      </c>
      <c r="G1519" s="196">
        <v>948000</v>
      </c>
    </row>
    <row r="1520" spans="1:7" x14ac:dyDescent="0.3">
      <c r="A1520" s="198">
        <v>890904996</v>
      </c>
      <c r="B1520" s="192" t="s">
        <v>1635</v>
      </c>
      <c r="C1520" s="196">
        <v>3549600</v>
      </c>
      <c r="D1520" s="196">
        <v>0</v>
      </c>
      <c r="E1520" s="196">
        <v>0</v>
      </c>
      <c r="F1520" s="196">
        <v>0</v>
      </c>
      <c r="G1520" s="196">
        <v>3549600</v>
      </c>
    </row>
    <row r="1521" spans="1:7" x14ac:dyDescent="0.3">
      <c r="A1521" s="198">
        <v>901678054</v>
      </c>
      <c r="B1521" s="192" t="s">
        <v>1636</v>
      </c>
      <c r="C1521" s="196">
        <v>66925</v>
      </c>
      <c r="D1521" s="196">
        <v>0</v>
      </c>
      <c r="E1521" s="196">
        <v>0</v>
      </c>
      <c r="F1521" s="196">
        <v>0</v>
      </c>
      <c r="G1521" s="196">
        <v>66925</v>
      </c>
    </row>
    <row r="1522" spans="1:7" x14ac:dyDescent="0.3">
      <c r="A1522" s="198">
        <v>900298420</v>
      </c>
      <c r="B1522" s="192" t="s">
        <v>1637</v>
      </c>
      <c r="C1522" s="196">
        <v>81009</v>
      </c>
      <c r="D1522" s="196">
        <v>94000</v>
      </c>
      <c r="E1522" s="196">
        <v>94000</v>
      </c>
      <c r="F1522" s="196">
        <v>0</v>
      </c>
      <c r="G1522" s="196">
        <v>81009</v>
      </c>
    </row>
    <row r="1523" spans="1:7" x14ac:dyDescent="0.3">
      <c r="A1523" s="198">
        <v>800058195</v>
      </c>
      <c r="B1523" s="192" t="s">
        <v>1638</v>
      </c>
      <c r="C1523" s="196">
        <v>1705680</v>
      </c>
      <c r="D1523" s="196">
        <v>0</v>
      </c>
      <c r="E1523" s="196">
        <v>0</v>
      </c>
      <c r="F1523" s="196">
        <v>0</v>
      </c>
      <c r="G1523" s="196">
        <v>1705680</v>
      </c>
    </row>
    <row r="1524" spans="1:7" x14ac:dyDescent="0.3">
      <c r="A1524" s="198">
        <v>800131750</v>
      </c>
      <c r="B1524" s="192" t="s">
        <v>1639</v>
      </c>
      <c r="C1524" s="196">
        <v>0</v>
      </c>
      <c r="D1524" s="196">
        <v>120842</v>
      </c>
      <c r="E1524" s="196">
        <v>120842</v>
      </c>
      <c r="F1524" s="196">
        <v>0</v>
      </c>
      <c r="G1524" s="196">
        <v>0</v>
      </c>
    </row>
    <row r="1525" spans="1:7" x14ac:dyDescent="0.3">
      <c r="A1525" s="198">
        <v>900467517</v>
      </c>
      <c r="B1525" s="192" t="s">
        <v>1640</v>
      </c>
      <c r="C1525" s="196">
        <v>239400</v>
      </c>
      <c r="D1525" s="196">
        <v>9786000</v>
      </c>
      <c r="E1525" s="196">
        <v>9786000</v>
      </c>
      <c r="F1525" s="196">
        <v>0</v>
      </c>
      <c r="G1525" s="196">
        <v>239400</v>
      </c>
    </row>
    <row r="1526" spans="1:7" x14ac:dyDescent="0.3">
      <c r="A1526" s="198">
        <v>890943142</v>
      </c>
      <c r="B1526" s="192" t="s">
        <v>1641</v>
      </c>
      <c r="C1526" s="196">
        <v>107100</v>
      </c>
      <c r="D1526" s="196">
        <v>0</v>
      </c>
      <c r="E1526" s="196">
        <v>0</v>
      </c>
      <c r="F1526" s="196">
        <v>0</v>
      </c>
      <c r="G1526" s="196">
        <v>107100</v>
      </c>
    </row>
    <row r="1527" spans="1:7" x14ac:dyDescent="0.3">
      <c r="A1527" s="198">
        <v>901414564</v>
      </c>
      <c r="B1527" s="192" t="s">
        <v>1642</v>
      </c>
      <c r="C1527" s="196">
        <v>222748</v>
      </c>
      <c r="D1527" s="196">
        <v>715900</v>
      </c>
      <c r="E1527" s="196">
        <v>715900</v>
      </c>
      <c r="F1527" s="196">
        <v>0</v>
      </c>
      <c r="G1527" s="196">
        <v>222748</v>
      </c>
    </row>
    <row r="1528" spans="1:7" x14ac:dyDescent="0.3">
      <c r="A1528" s="198">
        <v>71526513</v>
      </c>
      <c r="B1528" s="192" t="s">
        <v>1643</v>
      </c>
      <c r="C1528" s="196">
        <v>30900</v>
      </c>
      <c r="D1528" s="196">
        <v>0</v>
      </c>
      <c r="E1528" s="196">
        <v>0</v>
      </c>
      <c r="F1528" s="196">
        <v>0</v>
      </c>
      <c r="G1528" s="196">
        <v>30900</v>
      </c>
    </row>
    <row r="1529" spans="1:7" x14ac:dyDescent="0.3">
      <c r="A1529" s="198">
        <v>52884070</v>
      </c>
      <c r="B1529" s="192" t="s">
        <v>790</v>
      </c>
      <c r="C1529" s="196">
        <v>0</v>
      </c>
      <c r="D1529" s="196">
        <v>15067255</v>
      </c>
      <c r="E1529" s="196">
        <v>15067255</v>
      </c>
      <c r="F1529" s="196">
        <v>0</v>
      </c>
      <c r="G1529" s="196">
        <v>0</v>
      </c>
    </row>
    <row r="1530" spans="1:7" x14ac:dyDescent="0.3">
      <c r="A1530" s="198">
        <v>70518151</v>
      </c>
      <c r="B1530" s="192" t="s">
        <v>1644</v>
      </c>
      <c r="C1530" s="196">
        <v>300000</v>
      </c>
      <c r="D1530" s="196">
        <v>0</v>
      </c>
      <c r="E1530" s="196">
        <v>0</v>
      </c>
      <c r="F1530" s="196">
        <v>0</v>
      </c>
      <c r="G1530" s="196">
        <v>300000</v>
      </c>
    </row>
    <row r="1531" spans="1:7" x14ac:dyDescent="0.3">
      <c r="A1531" s="198">
        <v>71527531</v>
      </c>
      <c r="B1531" s="192" t="s">
        <v>124</v>
      </c>
      <c r="C1531" s="196">
        <v>310000</v>
      </c>
      <c r="D1531" s="196">
        <v>0</v>
      </c>
      <c r="E1531" s="196">
        <v>310000</v>
      </c>
      <c r="F1531" s="196">
        <v>-310000</v>
      </c>
      <c r="G1531" s="196">
        <v>0</v>
      </c>
    </row>
    <row r="1532" spans="1:7" x14ac:dyDescent="0.3">
      <c r="A1532" s="198">
        <v>1127941782</v>
      </c>
      <c r="B1532" s="192" t="s">
        <v>1618</v>
      </c>
      <c r="C1532" s="196">
        <v>28751750</v>
      </c>
      <c r="D1532" s="196">
        <v>5336259</v>
      </c>
      <c r="E1532" s="196">
        <v>0</v>
      </c>
      <c r="F1532" s="196">
        <v>5336259</v>
      </c>
      <c r="G1532" s="196">
        <v>34088009</v>
      </c>
    </row>
    <row r="1533" spans="1:7" x14ac:dyDescent="0.3">
      <c r="A1533" s="198">
        <v>1144068250</v>
      </c>
      <c r="B1533" s="192" t="s">
        <v>1645</v>
      </c>
      <c r="C1533" s="196">
        <v>69297714</v>
      </c>
      <c r="D1533" s="196">
        <v>38942840</v>
      </c>
      <c r="E1533" s="196">
        <v>43266104</v>
      </c>
      <c r="F1533" s="196">
        <v>-4323264</v>
      </c>
      <c r="G1533" s="196">
        <v>64974450</v>
      </c>
    </row>
    <row r="1534" spans="1:7" x14ac:dyDescent="0.3">
      <c r="A1534" s="198">
        <v>890942832</v>
      </c>
      <c r="B1534" s="192" t="s">
        <v>1646</v>
      </c>
      <c r="C1534" s="196">
        <v>375000</v>
      </c>
      <c r="D1534" s="196">
        <v>0</v>
      </c>
      <c r="E1534" s="196">
        <v>0</v>
      </c>
      <c r="F1534" s="196">
        <v>0</v>
      </c>
      <c r="G1534" s="196">
        <v>375000</v>
      </c>
    </row>
    <row r="1535" spans="1:7" x14ac:dyDescent="0.3">
      <c r="A1535" s="198">
        <v>860019041</v>
      </c>
      <c r="B1535" s="192" t="s">
        <v>1647</v>
      </c>
      <c r="C1535" s="196">
        <v>4665478</v>
      </c>
      <c r="D1535" s="196">
        <v>0</v>
      </c>
      <c r="E1535" s="196">
        <v>4665478</v>
      </c>
      <c r="F1535" s="196">
        <v>-4665478</v>
      </c>
      <c r="G1535" s="196">
        <v>0</v>
      </c>
    </row>
    <row r="1536" spans="1:7" x14ac:dyDescent="0.3">
      <c r="A1536" s="198">
        <v>890940259</v>
      </c>
      <c r="B1536" s="192" t="s">
        <v>1648</v>
      </c>
      <c r="C1536" s="196">
        <v>0</v>
      </c>
      <c r="D1536" s="196">
        <v>39413908</v>
      </c>
      <c r="E1536" s="196">
        <v>39413908</v>
      </c>
      <c r="F1536" s="196">
        <v>0</v>
      </c>
      <c r="G1536" s="196">
        <v>0</v>
      </c>
    </row>
    <row r="1537" spans="1:7" x14ac:dyDescent="0.3">
      <c r="A1537" s="198">
        <v>900838958</v>
      </c>
      <c r="B1537" s="192" t="s">
        <v>1649</v>
      </c>
      <c r="C1537" s="196">
        <v>130000</v>
      </c>
      <c r="D1537" s="196">
        <v>0</v>
      </c>
      <c r="E1537" s="196">
        <v>0</v>
      </c>
      <c r="F1537" s="196">
        <v>0</v>
      </c>
      <c r="G1537" s="196">
        <v>130000</v>
      </c>
    </row>
    <row r="1538" spans="1:7" x14ac:dyDescent="0.3">
      <c r="A1538" s="198">
        <v>900108281</v>
      </c>
      <c r="B1538" s="192" t="s">
        <v>1650</v>
      </c>
      <c r="C1538" s="196">
        <v>-0.06</v>
      </c>
      <c r="D1538" s="196">
        <v>0</v>
      </c>
      <c r="E1538" s="196">
        <v>0</v>
      </c>
      <c r="F1538" s="196">
        <v>0</v>
      </c>
      <c r="G1538" s="196">
        <v>-0.06</v>
      </c>
    </row>
    <row r="1539" spans="1:7" x14ac:dyDescent="0.3">
      <c r="A1539" s="198">
        <v>71703610</v>
      </c>
      <c r="B1539" s="192" t="s">
        <v>1651</v>
      </c>
      <c r="C1539" s="196">
        <v>0</v>
      </c>
      <c r="D1539" s="196">
        <v>984000</v>
      </c>
      <c r="E1539" s="196">
        <v>0</v>
      </c>
      <c r="F1539" s="196">
        <v>984000</v>
      </c>
      <c r="G1539" s="196">
        <v>984000</v>
      </c>
    </row>
    <row r="1540" spans="1:7" x14ac:dyDescent="0.3">
      <c r="A1540" s="198">
        <v>700095056</v>
      </c>
      <c r="B1540" s="192" t="s">
        <v>131</v>
      </c>
      <c r="C1540" s="196">
        <v>4491786</v>
      </c>
      <c r="D1540" s="196">
        <v>0</v>
      </c>
      <c r="E1540" s="196">
        <v>1000000</v>
      </c>
      <c r="F1540" s="196">
        <v>-1000000</v>
      </c>
      <c r="G1540" s="196">
        <v>3491786</v>
      </c>
    </row>
    <row r="1541" spans="1:7" x14ac:dyDescent="0.3">
      <c r="A1541" s="198">
        <v>98664632</v>
      </c>
      <c r="B1541" s="192" t="s">
        <v>1652</v>
      </c>
      <c r="C1541" s="196">
        <v>0</v>
      </c>
      <c r="D1541" s="196">
        <v>4014065</v>
      </c>
      <c r="E1541" s="196">
        <v>4014065</v>
      </c>
      <c r="F1541" s="196">
        <v>0</v>
      </c>
      <c r="G1541" s="196">
        <v>0</v>
      </c>
    </row>
    <row r="1542" spans="1:7" x14ac:dyDescent="0.3">
      <c r="A1542" s="198">
        <v>830142523</v>
      </c>
      <c r="B1542" s="192" t="s">
        <v>1653</v>
      </c>
      <c r="C1542" s="196">
        <v>0</v>
      </c>
      <c r="D1542" s="196">
        <v>491875</v>
      </c>
      <c r="E1542" s="196">
        <v>491875</v>
      </c>
      <c r="F1542" s="196">
        <v>0</v>
      </c>
      <c r="G1542" s="196">
        <v>0</v>
      </c>
    </row>
    <row r="1543" spans="1:7" x14ac:dyDescent="0.3">
      <c r="A1543" s="198">
        <v>900585869</v>
      </c>
      <c r="B1543" s="192" t="s">
        <v>1654</v>
      </c>
      <c r="C1543" s="196">
        <v>23092</v>
      </c>
      <c r="D1543" s="196">
        <v>0</v>
      </c>
      <c r="E1543" s="196">
        <v>0</v>
      </c>
      <c r="F1543" s="196">
        <v>0</v>
      </c>
      <c r="G1543" s="196">
        <v>23092</v>
      </c>
    </row>
    <row r="1544" spans="1:7" x14ac:dyDescent="0.3">
      <c r="A1544" s="198">
        <v>700020794</v>
      </c>
      <c r="B1544" s="192" t="s">
        <v>1655</v>
      </c>
      <c r="C1544" s="196">
        <v>613548</v>
      </c>
      <c r="D1544" s="196">
        <v>0</v>
      </c>
      <c r="E1544" s="196">
        <v>0</v>
      </c>
      <c r="F1544" s="196">
        <v>0</v>
      </c>
      <c r="G1544" s="196">
        <v>613548</v>
      </c>
    </row>
    <row r="1545" spans="1:7" x14ac:dyDescent="0.3">
      <c r="A1545" s="198">
        <v>860005114</v>
      </c>
      <c r="B1545" s="192" t="s">
        <v>1656</v>
      </c>
      <c r="C1545" s="196">
        <v>0</v>
      </c>
      <c r="D1545" s="196">
        <v>563518</v>
      </c>
      <c r="E1545" s="196">
        <v>563518</v>
      </c>
      <c r="F1545" s="196">
        <v>0</v>
      </c>
      <c r="G1545" s="196">
        <v>0</v>
      </c>
    </row>
    <row r="1546" spans="1:7" x14ac:dyDescent="0.3">
      <c r="A1546" s="198">
        <v>80550424</v>
      </c>
      <c r="B1546" s="192" t="s">
        <v>1619</v>
      </c>
      <c r="C1546" s="196">
        <v>94660143</v>
      </c>
      <c r="D1546" s="196">
        <v>26346300</v>
      </c>
      <c r="E1546" s="196">
        <v>97460143</v>
      </c>
      <c r="F1546" s="196">
        <v>-71113843</v>
      </c>
      <c r="G1546" s="196">
        <v>23546300</v>
      </c>
    </row>
    <row r="1547" spans="1:7" x14ac:dyDescent="0.3">
      <c r="A1547" s="198">
        <v>1127941794</v>
      </c>
      <c r="B1547" s="192" t="s">
        <v>1274</v>
      </c>
      <c r="C1547" s="196">
        <v>195469128</v>
      </c>
      <c r="D1547" s="196">
        <v>83497021</v>
      </c>
      <c r="E1547" s="196">
        <v>146950925</v>
      </c>
      <c r="F1547" s="196">
        <v>-63453904</v>
      </c>
      <c r="G1547" s="196">
        <v>132015224</v>
      </c>
    </row>
    <row r="1548" spans="1:7" x14ac:dyDescent="0.3">
      <c r="A1548" s="198">
        <v>1037607033</v>
      </c>
      <c r="B1548" s="192" t="s">
        <v>1657</v>
      </c>
      <c r="C1548" s="196">
        <v>248300</v>
      </c>
      <c r="D1548" s="196">
        <v>0</v>
      </c>
      <c r="E1548" s="196">
        <v>0</v>
      </c>
      <c r="F1548" s="196">
        <v>0</v>
      </c>
      <c r="G1548" s="196">
        <v>248300</v>
      </c>
    </row>
    <row r="1549" spans="1:7" x14ac:dyDescent="0.3">
      <c r="A1549" s="198">
        <v>901578799</v>
      </c>
      <c r="B1549" s="192" t="s">
        <v>1658</v>
      </c>
      <c r="C1549" s="196">
        <v>13394</v>
      </c>
      <c r="D1549" s="196">
        <v>0</v>
      </c>
      <c r="E1549" s="196">
        <v>0</v>
      </c>
      <c r="F1549" s="196">
        <v>0</v>
      </c>
      <c r="G1549" s="196">
        <v>13394</v>
      </c>
    </row>
    <row r="1550" spans="1:7" x14ac:dyDescent="0.3">
      <c r="A1550" s="198">
        <v>860527744</v>
      </c>
      <c r="B1550" s="192" t="s">
        <v>1659</v>
      </c>
      <c r="C1550" s="196">
        <v>0</v>
      </c>
      <c r="D1550" s="196">
        <v>482550</v>
      </c>
      <c r="E1550" s="196">
        <v>482550</v>
      </c>
      <c r="F1550" s="196">
        <v>0</v>
      </c>
      <c r="G1550" s="196">
        <v>0</v>
      </c>
    </row>
    <row r="1551" spans="1:7" x14ac:dyDescent="0.3">
      <c r="A1551" s="198">
        <v>901354361</v>
      </c>
      <c r="B1551" s="192" t="s">
        <v>1660</v>
      </c>
      <c r="C1551" s="196">
        <v>95683</v>
      </c>
      <c r="D1551" s="196">
        <v>0</v>
      </c>
      <c r="E1551" s="196">
        <v>0</v>
      </c>
      <c r="F1551" s="196">
        <v>0</v>
      </c>
      <c r="G1551" s="196">
        <v>95683</v>
      </c>
    </row>
    <row r="1552" spans="1:7" x14ac:dyDescent="0.3">
      <c r="A1552" s="198">
        <v>43612993</v>
      </c>
      <c r="B1552" s="192" t="s">
        <v>1661</v>
      </c>
      <c r="C1552" s="196">
        <v>582000</v>
      </c>
      <c r="D1552" s="196">
        <v>0</v>
      </c>
      <c r="E1552" s="196">
        <v>0</v>
      </c>
      <c r="F1552" s="196">
        <v>0</v>
      </c>
      <c r="G1552" s="196">
        <v>582000</v>
      </c>
    </row>
    <row r="1553" spans="1:7" x14ac:dyDescent="0.3">
      <c r="A1553" s="198">
        <v>811022474</v>
      </c>
      <c r="B1553" s="192" t="s">
        <v>1662</v>
      </c>
      <c r="C1553" s="196">
        <v>421542</v>
      </c>
      <c r="D1553" s="196">
        <v>0</v>
      </c>
      <c r="E1553" s="196">
        <v>0</v>
      </c>
      <c r="F1553" s="196">
        <v>0</v>
      </c>
      <c r="G1553" s="196">
        <v>421542</v>
      </c>
    </row>
    <row r="1554" spans="1:7" x14ac:dyDescent="0.3">
      <c r="A1554" s="198">
        <v>700215370</v>
      </c>
      <c r="B1554" s="192" t="s">
        <v>1663</v>
      </c>
      <c r="C1554" s="196">
        <v>24450</v>
      </c>
      <c r="D1554" s="196">
        <v>0</v>
      </c>
      <c r="E1554" s="196">
        <v>0</v>
      </c>
      <c r="F1554" s="196">
        <v>0</v>
      </c>
      <c r="G1554" s="196">
        <v>24450</v>
      </c>
    </row>
    <row r="1555" spans="1:7" x14ac:dyDescent="0.3">
      <c r="A1555" s="198">
        <v>901160048</v>
      </c>
      <c r="B1555" s="192" t="s">
        <v>1664</v>
      </c>
      <c r="C1555" s="196">
        <v>0</v>
      </c>
      <c r="D1555" s="196">
        <v>11488458.18</v>
      </c>
      <c r="E1555" s="196">
        <v>10919157.279999999</v>
      </c>
      <c r="F1555" s="196">
        <v>569300.9</v>
      </c>
      <c r="G1555" s="196">
        <v>569300.9</v>
      </c>
    </row>
    <row r="1556" spans="1:7" x14ac:dyDescent="0.3">
      <c r="A1556" s="198">
        <v>900895205</v>
      </c>
      <c r="B1556" s="192" t="s">
        <v>1665</v>
      </c>
      <c r="C1556" s="196">
        <v>36146</v>
      </c>
      <c r="D1556" s="196">
        <v>1577410</v>
      </c>
      <c r="E1556" s="196">
        <v>1577410</v>
      </c>
      <c r="F1556" s="196">
        <v>0</v>
      </c>
      <c r="G1556" s="196">
        <v>36146</v>
      </c>
    </row>
    <row r="1557" spans="1:7" x14ac:dyDescent="0.3">
      <c r="A1557" s="198">
        <v>890929073</v>
      </c>
      <c r="B1557" s="192" t="s">
        <v>1666</v>
      </c>
      <c r="C1557" s="196">
        <v>0</v>
      </c>
      <c r="D1557" s="196">
        <v>288129</v>
      </c>
      <c r="E1557" s="196">
        <v>288129</v>
      </c>
      <c r="F1557" s="196">
        <v>0</v>
      </c>
      <c r="G1557" s="196">
        <v>0</v>
      </c>
    </row>
    <row r="1558" spans="1:7" x14ac:dyDescent="0.3">
      <c r="A1558" s="198">
        <v>1017145017</v>
      </c>
      <c r="B1558" s="192" t="s">
        <v>1667</v>
      </c>
      <c r="C1558" s="196">
        <v>395000</v>
      </c>
      <c r="D1558" s="196">
        <v>0</v>
      </c>
      <c r="E1558" s="196">
        <v>0</v>
      </c>
      <c r="F1558" s="196">
        <v>0</v>
      </c>
      <c r="G1558" s="196">
        <v>395000</v>
      </c>
    </row>
    <row r="1559" spans="1:7" x14ac:dyDescent="0.3">
      <c r="A1559" s="198">
        <v>1017192980</v>
      </c>
      <c r="B1559" s="192" t="s">
        <v>1456</v>
      </c>
      <c r="C1559" s="196">
        <v>4080730</v>
      </c>
      <c r="D1559" s="196">
        <v>10407951</v>
      </c>
      <c r="E1559" s="196">
        <v>2614250</v>
      </c>
      <c r="F1559" s="196">
        <v>7793701</v>
      </c>
      <c r="G1559" s="196">
        <v>11874431</v>
      </c>
    </row>
    <row r="1560" spans="1:7" x14ac:dyDescent="0.3">
      <c r="A1560" s="198">
        <v>860503617</v>
      </c>
      <c r="B1560" s="192" t="s">
        <v>1668</v>
      </c>
      <c r="C1560" s="196">
        <v>-35700</v>
      </c>
      <c r="D1560" s="196">
        <v>0</v>
      </c>
      <c r="E1560" s="196">
        <v>0</v>
      </c>
      <c r="F1560" s="196">
        <v>0</v>
      </c>
      <c r="G1560" s="196">
        <v>-35700</v>
      </c>
    </row>
    <row r="1561" spans="1:7" x14ac:dyDescent="0.3">
      <c r="A1561" s="198">
        <v>890903407</v>
      </c>
      <c r="B1561" s="192" t="s">
        <v>1669</v>
      </c>
      <c r="C1561" s="196">
        <v>0</v>
      </c>
      <c r="D1561" s="196">
        <v>3558808</v>
      </c>
      <c r="E1561" s="196">
        <v>3558808</v>
      </c>
      <c r="F1561" s="196">
        <v>0</v>
      </c>
      <c r="G1561" s="196">
        <v>0</v>
      </c>
    </row>
    <row r="1562" spans="1:7" x14ac:dyDescent="0.3">
      <c r="A1562" s="198">
        <v>830084433</v>
      </c>
      <c r="B1562" s="192" t="s">
        <v>1670</v>
      </c>
      <c r="C1562" s="196">
        <v>0</v>
      </c>
      <c r="D1562" s="196">
        <v>525385</v>
      </c>
      <c r="E1562" s="196">
        <v>0</v>
      </c>
      <c r="F1562" s="196">
        <v>525385</v>
      </c>
      <c r="G1562" s="196">
        <v>525385</v>
      </c>
    </row>
    <row r="1563" spans="1:7" x14ac:dyDescent="0.3">
      <c r="A1563" s="198">
        <v>805018962</v>
      </c>
      <c r="B1563" s="192" t="s">
        <v>1671</v>
      </c>
      <c r="C1563" s="196">
        <v>14300</v>
      </c>
      <c r="D1563" s="196">
        <v>0</v>
      </c>
      <c r="E1563" s="196">
        <v>0</v>
      </c>
      <c r="F1563" s="196">
        <v>0</v>
      </c>
      <c r="G1563" s="196">
        <v>14300</v>
      </c>
    </row>
    <row r="1564" spans="1:7" x14ac:dyDescent="0.3">
      <c r="A1564" s="198">
        <v>900494362</v>
      </c>
      <c r="B1564" s="192" t="s">
        <v>1672</v>
      </c>
      <c r="C1564" s="196">
        <v>55600</v>
      </c>
      <c r="D1564" s="196">
        <v>2096180</v>
      </c>
      <c r="E1564" s="196">
        <v>2096180</v>
      </c>
      <c r="F1564" s="196">
        <v>0</v>
      </c>
      <c r="G1564" s="196">
        <v>55600</v>
      </c>
    </row>
    <row r="1565" spans="1:7" x14ac:dyDescent="0.3">
      <c r="A1565" s="198">
        <v>900092385</v>
      </c>
      <c r="B1565" s="192" t="s">
        <v>1673</v>
      </c>
      <c r="C1565" s="196">
        <v>0</v>
      </c>
      <c r="D1565" s="196">
        <v>2376395</v>
      </c>
      <c r="E1565" s="196">
        <v>0</v>
      </c>
      <c r="F1565" s="196">
        <v>2376395</v>
      </c>
      <c r="G1565" s="196">
        <v>2376395</v>
      </c>
    </row>
    <row r="1566" spans="1:7" x14ac:dyDescent="0.3">
      <c r="A1566" s="198">
        <v>901779251</v>
      </c>
      <c r="B1566" s="192" t="s">
        <v>1674</v>
      </c>
      <c r="C1566" s="196">
        <v>101000</v>
      </c>
      <c r="D1566" s="196">
        <v>0</v>
      </c>
      <c r="E1566" s="196">
        <v>0</v>
      </c>
      <c r="F1566" s="196">
        <v>0</v>
      </c>
      <c r="G1566" s="196">
        <v>101000</v>
      </c>
    </row>
    <row r="1567" spans="1:7" x14ac:dyDescent="0.3">
      <c r="A1567" s="198">
        <v>1128384292</v>
      </c>
      <c r="B1567" s="192" t="s">
        <v>1675</v>
      </c>
      <c r="C1567" s="196">
        <v>2600000</v>
      </c>
      <c r="D1567" s="196">
        <v>7945750</v>
      </c>
      <c r="E1567" s="196">
        <v>3945750</v>
      </c>
      <c r="F1567" s="196">
        <v>4000000</v>
      </c>
      <c r="G1567" s="196">
        <v>6600000</v>
      </c>
    </row>
    <row r="1568" spans="1:7" x14ac:dyDescent="0.3">
      <c r="A1568" s="197">
        <v>133015</v>
      </c>
      <c r="B1568" s="191" t="s">
        <v>1676</v>
      </c>
      <c r="C1568" s="195">
        <v>4937867</v>
      </c>
      <c r="D1568" s="195">
        <v>0</v>
      </c>
      <c r="E1568" s="195">
        <v>0</v>
      </c>
      <c r="F1568" s="195">
        <v>0</v>
      </c>
      <c r="G1568" s="195">
        <v>4937867</v>
      </c>
    </row>
    <row r="1569" spans="1:7" x14ac:dyDescent="0.3">
      <c r="A1569" s="198">
        <v>13301501</v>
      </c>
      <c r="B1569" s="192" t="s">
        <v>1676</v>
      </c>
      <c r="C1569" s="196">
        <v>4937867</v>
      </c>
      <c r="D1569" s="196">
        <v>0</v>
      </c>
      <c r="E1569" s="196">
        <v>0</v>
      </c>
      <c r="F1569" s="196">
        <v>0</v>
      </c>
      <c r="G1569" s="196">
        <v>4937867</v>
      </c>
    </row>
    <row r="1570" spans="1:7" x14ac:dyDescent="0.3">
      <c r="A1570" s="198">
        <v>1037570707</v>
      </c>
      <c r="B1570" s="192" t="s">
        <v>1677</v>
      </c>
      <c r="C1570" s="196">
        <v>1262000</v>
      </c>
      <c r="D1570" s="196">
        <v>0</v>
      </c>
      <c r="E1570" s="196">
        <v>0</v>
      </c>
      <c r="F1570" s="196">
        <v>0</v>
      </c>
      <c r="G1570" s="196">
        <v>1262000</v>
      </c>
    </row>
    <row r="1571" spans="1:7" x14ac:dyDescent="0.3">
      <c r="A1571" s="198">
        <v>1040752245</v>
      </c>
      <c r="B1571" s="192" t="s">
        <v>1678</v>
      </c>
      <c r="C1571" s="196">
        <v>1220771</v>
      </c>
      <c r="D1571" s="196">
        <v>0</v>
      </c>
      <c r="E1571" s="196">
        <v>0</v>
      </c>
      <c r="F1571" s="196">
        <v>0</v>
      </c>
      <c r="G1571" s="196">
        <v>1220771</v>
      </c>
    </row>
    <row r="1572" spans="1:7" x14ac:dyDescent="0.3">
      <c r="A1572" s="198">
        <v>300809106</v>
      </c>
      <c r="B1572" s="192" t="s">
        <v>1679</v>
      </c>
      <c r="C1572" s="196">
        <v>955096</v>
      </c>
      <c r="D1572" s="196">
        <v>0</v>
      </c>
      <c r="E1572" s="196">
        <v>0</v>
      </c>
      <c r="F1572" s="196">
        <v>0</v>
      </c>
      <c r="G1572" s="196">
        <v>955096</v>
      </c>
    </row>
    <row r="1573" spans="1:7" x14ac:dyDescent="0.3">
      <c r="A1573" s="198">
        <v>809106</v>
      </c>
      <c r="B1573" s="192" t="s">
        <v>1680</v>
      </c>
      <c r="C1573" s="196">
        <v>1500000</v>
      </c>
      <c r="D1573" s="196">
        <v>0</v>
      </c>
      <c r="E1573" s="196">
        <v>0</v>
      </c>
      <c r="F1573" s="196">
        <v>0</v>
      </c>
      <c r="G1573" s="196">
        <v>1500000</v>
      </c>
    </row>
    <row r="1574" spans="1:7" x14ac:dyDescent="0.3">
      <c r="A1574" s="197">
        <v>1355</v>
      </c>
      <c r="B1574" s="191" t="s">
        <v>1681</v>
      </c>
      <c r="C1574" s="195">
        <v>685011332.86000001</v>
      </c>
      <c r="D1574" s="195">
        <v>57702612.590000004</v>
      </c>
      <c r="E1574" s="195">
        <v>215571.46</v>
      </c>
      <c r="F1574" s="195">
        <v>57487041.130000003</v>
      </c>
      <c r="G1574" s="195">
        <v>742498373.99000001</v>
      </c>
    </row>
    <row r="1575" spans="1:7" x14ac:dyDescent="0.3">
      <c r="A1575" s="197">
        <v>135515</v>
      </c>
      <c r="B1575" s="191" t="s">
        <v>1682</v>
      </c>
      <c r="C1575" s="195">
        <v>354645594.79000002</v>
      </c>
      <c r="D1575" s="195">
        <v>37528315.590000004</v>
      </c>
      <c r="E1575" s="195">
        <v>197772</v>
      </c>
      <c r="F1575" s="195">
        <v>37330543.590000004</v>
      </c>
      <c r="G1575" s="195">
        <v>391976138.38</v>
      </c>
    </row>
    <row r="1576" spans="1:7" x14ac:dyDescent="0.3">
      <c r="A1576" s="198">
        <v>13551501</v>
      </c>
      <c r="B1576" s="192" t="s">
        <v>1683</v>
      </c>
      <c r="C1576" s="196">
        <v>34229225.259999998</v>
      </c>
      <c r="D1576" s="196">
        <v>20678315.699999999</v>
      </c>
      <c r="E1576" s="196">
        <v>0</v>
      </c>
      <c r="F1576" s="196">
        <v>20678315.699999999</v>
      </c>
      <c r="G1576" s="196">
        <v>54907540.960000001</v>
      </c>
    </row>
    <row r="1577" spans="1:7" x14ac:dyDescent="0.3">
      <c r="A1577" s="198">
        <v>900983931</v>
      </c>
      <c r="B1577" s="192" t="s">
        <v>1684</v>
      </c>
      <c r="C1577" s="196">
        <v>385000</v>
      </c>
      <c r="D1577" s="196">
        <v>0</v>
      </c>
      <c r="E1577" s="196">
        <v>0</v>
      </c>
      <c r="F1577" s="196">
        <v>0</v>
      </c>
      <c r="G1577" s="196">
        <v>385000</v>
      </c>
    </row>
    <row r="1578" spans="1:7" x14ac:dyDescent="0.3">
      <c r="A1578" s="198">
        <v>860027404</v>
      </c>
      <c r="B1578" s="192" t="s">
        <v>228</v>
      </c>
      <c r="C1578" s="196">
        <v>728211</v>
      </c>
      <c r="D1578" s="196">
        <v>1214526.32</v>
      </c>
      <c r="E1578" s="196">
        <v>0</v>
      </c>
      <c r="F1578" s="196">
        <v>1214526.32</v>
      </c>
      <c r="G1578" s="196">
        <v>1942737.32</v>
      </c>
    </row>
    <row r="1579" spans="1:7" x14ac:dyDescent="0.3">
      <c r="A1579" s="198">
        <v>805009741</v>
      </c>
      <c r="B1579" s="192" t="s">
        <v>461</v>
      </c>
      <c r="C1579" s="196">
        <v>16214406.52</v>
      </c>
      <c r="D1579" s="196">
        <v>11710426.619999999</v>
      </c>
      <c r="E1579" s="196">
        <v>0</v>
      </c>
      <c r="F1579" s="196">
        <v>11710426.619999999</v>
      </c>
      <c r="G1579" s="196">
        <v>27924833.140000001</v>
      </c>
    </row>
    <row r="1580" spans="1:7" x14ac:dyDescent="0.3">
      <c r="A1580" s="198">
        <v>900178724</v>
      </c>
      <c r="B1580" s="192" t="s">
        <v>1259</v>
      </c>
      <c r="C1580" s="196">
        <v>347032</v>
      </c>
      <c r="D1580" s="196">
        <v>7753362.7599999998</v>
      </c>
      <c r="E1580" s="196">
        <v>0</v>
      </c>
      <c r="F1580" s="196">
        <v>7753362.7599999998</v>
      </c>
      <c r="G1580" s="196">
        <v>8100394.7599999998</v>
      </c>
    </row>
    <row r="1581" spans="1:7" x14ac:dyDescent="0.3">
      <c r="A1581" s="198">
        <v>890903790</v>
      </c>
      <c r="B1581" s="192" t="s">
        <v>1466</v>
      </c>
      <c r="C1581" s="196">
        <v>16554575.74</v>
      </c>
      <c r="D1581" s="196">
        <v>0</v>
      </c>
      <c r="E1581" s="196">
        <v>0</v>
      </c>
      <c r="F1581" s="196">
        <v>0</v>
      </c>
      <c r="G1581" s="196">
        <v>16554575.74</v>
      </c>
    </row>
    <row r="1582" spans="1:7" x14ac:dyDescent="0.3">
      <c r="A1582" s="198">
        <v>13551503</v>
      </c>
      <c r="B1582" s="192" t="s">
        <v>1685</v>
      </c>
      <c r="C1582" s="196">
        <v>29802534.370000001</v>
      </c>
      <c r="D1582" s="196">
        <v>7246853.8899999997</v>
      </c>
      <c r="E1582" s="196">
        <v>197772</v>
      </c>
      <c r="F1582" s="196">
        <v>7049081.8899999997</v>
      </c>
      <c r="G1582" s="196">
        <v>36851616.259999998</v>
      </c>
    </row>
    <row r="1583" spans="1:7" x14ac:dyDescent="0.3">
      <c r="A1583" s="198">
        <v>860027404</v>
      </c>
      <c r="B1583" s="192" t="s">
        <v>228</v>
      </c>
      <c r="C1583" s="196">
        <v>285143.65999999997</v>
      </c>
      <c r="D1583" s="196">
        <v>1182185.26</v>
      </c>
      <c r="E1583" s="196">
        <v>0</v>
      </c>
      <c r="F1583" s="196">
        <v>1182185.26</v>
      </c>
      <c r="G1583" s="196">
        <v>1467328.92</v>
      </c>
    </row>
    <row r="1584" spans="1:7" x14ac:dyDescent="0.3">
      <c r="A1584" s="198">
        <v>900640334</v>
      </c>
      <c r="B1584" s="192" t="s">
        <v>336</v>
      </c>
      <c r="C1584" s="196">
        <v>316505.96000000002</v>
      </c>
      <c r="D1584" s="196">
        <v>0</v>
      </c>
      <c r="E1584" s="196">
        <v>0</v>
      </c>
      <c r="F1584" s="196">
        <v>0</v>
      </c>
      <c r="G1584" s="196">
        <v>316505.96000000002</v>
      </c>
    </row>
    <row r="1585" spans="1:7" x14ac:dyDescent="0.3">
      <c r="A1585" s="198">
        <v>860002183</v>
      </c>
      <c r="B1585" s="192" t="s">
        <v>337</v>
      </c>
      <c r="C1585" s="196">
        <v>105917.04</v>
      </c>
      <c r="D1585" s="196">
        <v>27506</v>
      </c>
      <c r="E1585" s="196">
        <v>0</v>
      </c>
      <c r="F1585" s="196">
        <v>27506</v>
      </c>
      <c r="G1585" s="196">
        <v>133423.04000000001</v>
      </c>
    </row>
    <row r="1586" spans="1:7" x14ac:dyDescent="0.3">
      <c r="A1586" s="198">
        <v>800106339</v>
      </c>
      <c r="B1586" s="192" t="s">
        <v>454</v>
      </c>
      <c r="C1586" s="196">
        <v>332693.84000000003</v>
      </c>
      <c r="D1586" s="196">
        <v>0</v>
      </c>
      <c r="E1586" s="196">
        <v>0</v>
      </c>
      <c r="F1586" s="196">
        <v>0</v>
      </c>
      <c r="G1586" s="196">
        <v>332693.84000000003</v>
      </c>
    </row>
    <row r="1587" spans="1:7" x14ac:dyDescent="0.3">
      <c r="A1587" s="198">
        <v>860002503</v>
      </c>
      <c r="B1587" s="192" t="s">
        <v>455</v>
      </c>
      <c r="C1587" s="196">
        <v>936533.76</v>
      </c>
      <c r="D1587" s="196">
        <v>950858</v>
      </c>
      <c r="E1587" s="196">
        <v>197772</v>
      </c>
      <c r="F1587" s="196">
        <v>753086</v>
      </c>
      <c r="G1587" s="196">
        <v>1689619.76</v>
      </c>
    </row>
    <row r="1588" spans="1:7" x14ac:dyDescent="0.3">
      <c r="A1588" s="198">
        <v>805009741</v>
      </c>
      <c r="B1588" s="192" t="s">
        <v>461</v>
      </c>
      <c r="C1588" s="196">
        <v>104271.96</v>
      </c>
      <c r="D1588" s="196">
        <v>118787.4</v>
      </c>
      <c r="E1588" s="196">
        <v>0</v>
      </c>
      <c r="F1588" s="196">
        <v>118787.4</v>
      </c>
      <c r="G1588" s="196">
        <v>223059.36</v>
      </c>
    </row>
    <row r="1589" spans="1:7" x14ac:dyDescent="0.3">
      <c r="A1589" s="198">
        <v>901503425</v>
      </c>
      <c r="B1589" s="192" t="s">
        <v>118</v>
      </c>
      <c r="C1589" s="196">
        <v>699912</v>
      </c>
      <c r="D1589" s="196">
        <v>0</v>
      </c>
      <c r="E1589" s="196">
        <v>0</v>
      </c>
      <c r="F1589" s="196">
        <v>0</v>
      </c>
      <c r="G1589" s="196">
        <v>699912</v>
      </c>
    </row>
    <row r="1590" spans="1:7" x14ac:dyDescent="0.3">
      <c r="A1590" s="198">
        <v>1036635480</v>
      </c>
      <c r="B1590" s="192" t="s">
        <v>1686</v>
      </c>
      <c r="C1590" s="196">
        <v>116025</v>
      </c>
      <c r="D1590" s="196">
        <v>0</v>
      </c>
      <c r="E1590" s="196">
        <v>0</v>
      </c>
      <c r="F1590" s="196">
        <v>0</v>
      </c>
      <c r="G1590" s="196">
        <v>116025</v>
      </c>
    </row>
    <row r="1591" spans="1:7" x14ac:dyDescent="0.3">
      <c r="A1591" s="198">
        <v>1040747206</v>
      </c>
      <c r="B1591" s="192" t="s">
        <v>1687</v>
      </c>
      <c r="C1591" s="196">
        <v>243000</v>
      </c>
      <c r="D1591" s="196">
        <v>0</v>
      </c>
      <c r="E1591" s="196">
        <v>0</v>
      </c>
      <c r="F1591" s="196">
        <v>0</v>
      </c>
      <c r="G1591" s="196">
        <v>243000</v>
      </c>
    </row>
    <row r="1592" spans="1:7" x14ac:dyDescent="0.3">
      <c r="A1592" s="198">
        <v>901746122</v>
      </c>
      <c r="B1592" s="192" t="s">
        <v>1258</v>
      </c>
      <c r="C1592" s="196">
        <v>0</v>
      </c>
      <c r="D1592" s="196">
        <v>11880</v>
      </c>
      <c r="E1592" s="196">
        <v>0</v>
      </c>
      <c r="F1592" s="196">
        <v>11880</v>
      </c>
      <c r="G1592" s="196">
        <v>11880</v>
      </c>
    </row>
    <row r="1593" spans="1:7" x14ac:dyDescent="0.3">
      <c r="A1593" s="198">
        <v>900178724</v>
      </c>
      <c r="B1593" s="192" t="s">
        <v>1259</v>
      </c>
      <c r="C1593" s="196">
        <v>0</v>
      </c>
      <c r="D1593" s="196">
        <v>588690.98</v>
      </c>
      <c r="E1593" s="196">
        <v>0</v>
      </c>
      <c r="F1593" s="196">
        <v>588690.98</v>
      </c>
      <c r="G1593" s="196">
        <v>588690.98</v>
      </c>
    </row>
    <row r="1594" spans="1:7" x14ac:dyDescent="0.3">
      <c r="A1594" s="198">
        <v>900699359</v>
      </c>
      <c r="B1594" s="192" t="s">
        <v>1311</v>
      </c>
      <c r="C1594" s="196">
        <v>72980</v>
      </c>
      <c r="D1594" s="196">
        <v>0</v>
      </c>
      <c r="E1594" s="196">
        <v>0</v>
      </c>
      <c r="F1594" s="196">
        <v>0</v>
      </c>
      <c r="G1594" s="196">
        <v>72980</v>
      </c>
    </row>
    <row r="1595" spans="1:7" x14ac:dyDescent="0.3">
      <c r="A1595" s="198">
        <v>890903790</v>
      </c>
      <c r="B1595" s="192" t="s">
        <v>1466</v>
      </c>
      <c r="C1595" s="196">
        <v>26249419.149999999</v>
      </c>
      <c r="D1595" s="196">
        <v>4366946.25</v>
      </c>
      <c r="E1595" s="196">
        <v>0</v>
      </c>
      <c r="F1595" s="196">
        <v>4366946.25</v>
      </c>
      <c r="G1595" s="196">
        <v>30616365.399999999</v>
      </c>
    </row>
    <row r="1596" spans="1:7" x14ac:dyDescent="0.3">
      <c r="A1596" s="198">
        <v>70724924</v>
      </c>
      <c r="B1596" s="192" t="s">
        <v>1572</v>
      </c>
      <c r="C1596" s="196">
        <v>247312</v>
      </c>
      <c r="D1596" s="196">
        <v>0</v>
      </c>
      <c r="E1596" s="196">
        <v>0</v>
      </c>
      <c r="F1596" s="196">
        <v>0</v>
      </c>
      <c r="G1596" s="196">
        <v>247312</v>
      </c>
    </row>
    <row r="1597" spans="1:7" x14ac:dyDescent="0.3">
      <c r="A1597" s="198">
        <v>1000403360</v>
      </c>
      <c r="B1597" s="192" t="s">
        <v>1688</v>
      </c>
      <c r="C1597" s="196">
        <v>92820</v>
      </c>
      <c r="D1597" s="196">
        <v>0</v>
      </c>
      <c r="E1597" s="196">
        <v>0</v>
      </c>
      <c r="F1597" s="196">
        <v>0</v>
      </c>
      <c r="G1597" s="196">
        <v>92820</v>
      </c>
    </row>
    <row r="1598" spans="1:7" x14ac:dyDescent="0.3">
      <c r="A1598" s="198">
        <v>13551504</v>
      </c>
      <c r="B1598" s="192" t="s">
        <v>1689</v>
      </c>
      <c r="C1598" s="196">
        <v>53945198</v>
      </c>
      <c r="D1598" s="196">
        <v>9603146</v>
      </c>
      <c r="E1598" s="196">
        <v>0</v>
      </c>
      <c r="F1598" s="196">
        <v>9603146</v>
      </c>
      <c r="G1598" s="196">
        <v>63548344</v>
      </c>
    </row>
    <row r="1599" spans="1:7" x14ac:dyDescent="0.3">
      <c r="A1599" s="198">
        <v>860007335</v>
      </c>
      <c r="B1599" s="192" t="s">
        <v>1690</v>
      </c>
      <c r="C1599" s="196">
        <v>51918101</v>
      </c>
      <c r="D1599" s="196">
        <v>9196953</v>
      </c>
      <c r="E1599" s="196">
        <v>0</v>
      </c>
      <c r="F1599" s="196">
        <v>9196953</v>
      </c>
      <c r="G1599" s="196">
        <v>61115054</v>
      </c>
    </row>
    <row r="1600" spans="1:7" x14ac:dyDescent="0.3">
      <c r="A1600" s="198">
        <v>890903938</v>
      </c>
      <c r="B1600" s="192" t="s">
        <v>1691</v>
      </c>
      <c r="C1600" s="196">
        <v>2027097</v>
      </c>
      <c r="D1600" s="196">
        <v>406193</v>
      </c>
      <c r="E1600" s="196">
        <v>0</v>
      </c>
      <c r="F1600" s="196">
        <v>406193</v>
      </c>
      <c r="G1600" s="196">
        <v>2433290</v>
      </c>
    </row>
    <row r="1601" spans="1:7" x14ac:dyDescent="0.3">
      <c r="A1601" s="198">
        <v>13551598</v>
      </c>
      <c r="B1601" s="192" t="s">
        <v>1692</v>
      </c>
      <c r="C1601" s="196">
        <v>236668637.16</v>
      </c>
      <c r="D1601" s="196">
        <v>0</v>
      </c>
      <c r="E1601" s="196">
        <v>0</v>
      </c>
      <c r="F1601" s="196">
        <v>0</v>
      </c>
      <c r="G1601" s="196">
        <v>236668637.16</v>
      </c>
    </row>
    <row r="1602" spans="1:7" x14ac:dyDescent="0.3">
      <c r="A1602" s="198">
        <v>800197268</v>
      </c>
      <c r="B1602" s="192" t="s">
        <v>1693</v>
      </c>
      <c r="C1602" s="196">
        <v>236668637.16</v>
      </c>
      <c r="D1602" s="196">
        <v>0</v>
      </c>
      <c r="E1602" s="196">
        <v>0</v>
      </c>
      <c r="F1602" s="196">
        <v>0</v>
      </c>
      <c r="G1602" s="196">
        <v>236668637.16</v>
      </c>
    </row>
    <row r="1603" spans="1:7" x14ac:dyDescent="0.3">
      <c r="A1603" s="197">
        <v>135518</v>
      </c>
      <c r="B1603" s="191" t="s">
        <v>1694</v>
      </c>
      <c r="C1603" s="195">
        <v>27482737.59</v>
      </c>
      <c r="D1603" s="195">
        <v>1980297</v>
      </c>
      <c r="E1603" s="195">
        <v>17799.46</v>
      </c>
      <c r="F1603" s="195">
        <v>1962497.54</v>
      </c>
      <c r="G1603" s="195">
        <v>29445235.129999999</v>
      </c>
    </row>
    <row r="1604" spans="1:7" x14ac:dyDescent="0.3">
      <c r="A1604" s="198">
        <v>13551801</v>
      </c>
      <c r="B1604" s="192" t="s">
        <v>1695</v>
      </c>
      <c r="C1604" s="196">
        <v>27482737.59</v>
      </c>
      <c r="D1604" s="196">
        <v>1980297</v>
      </c>
      <c r="E1604" s="196">
        <v>17799.46</v>
      </c>
      <c r="F1604" s="196">
        <v>1962497.54</v>
      </c>
      <c r="G1604" s="196">
        <v>29445235.129999999</v>
      </c>
    </row>
    <row r="1605" spans="1:7" x14ac:dyDescent="0.3">
      <c r="A1605" s="198">
        <v>860027404</v>
      </c>
      <c r="B1605" s="192" t="s">
        <v>228</v>
      </c>
      <c r="C1605" s="196">
        <v>353880.01</v>
      </c>
      <c r="D1605" s="196">
        <v>119625.25</v>
      </c>
      <c r="E1605" s="196">
        <v>0</v>
      </c>
      <c r="F1605" s="196">
        <v>119625.25</v>
      </c>
      <c r="G1605" s="196">
        <v>473505.26</v>
      </c>
    </row>
    <row r="1606" spans="1:7" x14ac:dyDescent="0.3">
      <c r="A1606" s="198">
        <v>860002183</v>
      </c>
      <c r="B1606" s="192" t="s">
        <v>337</v>
      </c>
      <c r="C1606" s="196">
        <v>61219.73</v>
      </c>
      <c r="D1606" s="196">
        <v>2475</v>
      </c>
      <c r="E1606" s="196">
        <v>0</v>
      </c>
      <c r="F1606" s="196">
        <v>2475</v>
      </c>
      <c r="G1606" s="196">
        <v>63694.73</v>
      </c>
    </row>
    <row r="1607" spans="1:7" x14ac:dyDescent="0.3">
      <c r="A1607" s="198">
        <v>860007335</v>
      </c>
      <c r="B1607" s="192" t="s">
        <v>1690</v>
      </c>
      <c r="C1607" s="196">
        <v>17941770</v>
      </c>
      <c r="D1607" s="196">
        <v>1226260</v>
      </c>
      <c r="E1607" s="196">
        <v>0</v>
      </c>
      <c r="F1607" s="196">
        <v>1226260</v>
      </c>
      <c r="G1607" s="196">
        <v>19168030</v>
      </c>
    </row>
    <row r="1608" spans="1:7" x14ac:dyDescent="0.3">
      <c r="A1608" s="198">
        <v>890903938</v>
      </c>
      <c r="B1608" s="192" t="s">
        <v>1691</v>
      </c>
      <c r="C1608" s="196">
        <v>1034202</v>
      </c>
      <c r="D1608" s="196">
        <v>54159</v>
      </c>
      <c r="E1608" s="196">
        <v>0</v>
      </c>
      <c r="F1608" s="196">
        <v>54159</v>
      </c>
      <c r="G1608" s="196">
        <v>1088361</v>
      </c>
    </row>
    <row r="1609" spans="1:7" x14ac:dyDescent="0.3">
      <c r="A1609" s="198">
        <v>860002503</v>
      </c>
      <c r="B1609" s="192" t="s">
        <v>455</v>
      </c>
      <c r="C1609" s="196">
        <v>26782.12</v>
      </c>
      <c r="D1609" s="196">
        <v>20324.46</v>
      </c>
      <c r="E1609" s="196">
        <v>17799.46</v>
      </c>
      <c r="F1609" s="196">
        <v>2525</v>
      </c>
      <c r="G1609" s="196">
        <v>29307.119999999999</v>
      </c>
    </row>
    <row r="1610" spans="1:7" x14ac:dyDescent="0.3">
      <c r="A1610" s="198">
        <v>805009741</v>
      </c>
      <c r="B1610" s="192" t="s">
        <v>461</v>
      </c>
      <c r="C1610" s="196">
        <v>1099053.73</v>
      </c>
      <c r="D1610" s="196">
        <v>175705.28</v>
      </c>
      <c r="E1610" s="196">
        <v>0</v>
      </c>
      <c r="F1610" s="196">
        <v>175705.28</v>
      </c>
      <c r="G1610" s="196">
        <v>1274759.01</v>
      </c>
    </row>
    <row r="1611" spans="1:7" x14ac:dyDescent="0.3">
      <c r="A1611" s="198">
        <v>890903790</v>
      </c>
      <c r="B1611" s="192" t="s">
        <v>1466</v>
      </c>
      <c r="C1611" s="196">
        <v>6965830</v>
      </c>
      <c r="D1611" s="196">
        <v>381748.01</v>
      </c>
      <c r="E1611" s="196">
        <v>0</v>
      </c>
      <c r="F1611" s="196">
        <v>381748.01</v>
      </c>
      <c r="G1611" s="196">
        <v>7347578.0099999998</v>
      </c>
    </row>
    <row r="1612" spans="1:7" x14ac:dyDescent="0.3">
      <c r="A1612" s="197">
        <v>135520</v>
      </c>
      <c r="B1612" s="191" t="s">
        <v>1696</v>
      </c>
      <c r="C1612" s="195">
        <v>41449000.479999997</v>
      </c>
      <c r="D1612" s="195">
        <v>0</v>
      </c>
      <c r="E1612" s="195">
        <v>0</v>
      </c>
      <c r="F1612" s="195">
        <v>0</v>
      </c>
      <c r="G1612" s="195">
        <v>41449000.479999997</v>
      </c>
    </row>
    <row r="1613" spans="1:7" x14ac:dyDescent="0.3">
      <c r="A1613" s="198">
        <v>13552001</v>
      </c>
      <c r="B1613" s="192" t="s">
        <v>1697</v>
      </c>
      <c r="C1613" s="196">
        <v>41449000.479999997</v>
      </c>
      <c r="D1613" s="196">
        <v>0</v>
      </c>
      <c r="E1613" s="196">
        <v>0</v>
      </c>
      <c r="F1613" s="196">
        <v>0</v>
      </c>
      <c r="G1613" s="196">
        <v>41449000.479999997</v>
      </c>
    </row>
    <row r="1614" spans="1:7" x14ac:dyDescent="0.3">
      <c r="A1614" s="198">
        <v>800197268</v>
      </c>
      <c r="B1614" s="192" t="s">
        <v>1693</v>
      </c>
      <c r="C1614" s="196">
        <v>41449000.479999997</v>
      </c>
      <c r="D1614" s="196">
        <v>0</v>
      </c>
      <c r="E1614" s="196">
        <v>0</v>
      </c>
      <c r="F1614" s="196">
        <v>0</v>
      </c>
      <c r="G1614" s="196">
        <v>41449000.479999997</v>
      </c>
    </row>
    <row r="1615" spans="1:7" x14ac:dyDescent="0.3">
      <c r="A1615" s="197">
        <v>135550</v>
      </c>
      <c r="B1615" s="191" t="s">
        <v>1698</v>
      </c>
      <c r="C1615" s="195">
        <v>261434000</v>
      </c>
      <c r="D1615" s="195">
        <v>18194000</v>
      </c>
      <c r="E1615" s="195">
        <v>0</v>
      </c>
      <c r="F1615" s="195">
        <v>18194000</v>
      </c>
      <c r="G1615" s="195">
        <v>279628000</v>
      </c>
    </row>
    <row r="1616" spans="1:7" x14ac:dyDescent="0.3">
      <c r="A1616" s="198">
        <v>13555001</v>
      </c>
      <c r="B1616" s="192" t="s">
        <v>1699</v>
      </c>
      <c r="C1616" s="196">
        <v>261434000</v>
      </c>
      <c r="D1616" s="196">
        <v>18194000</v>
      </c>
      <c r="E1616" s="196">
        <v>0</v>
      </c>
      <c r="F1616" s="196">
        <v>18194000</v>
      </c>
      <c r="G1616" s="196">
        <v>279628000</v>
      </c>
    </row>
    <row r="1617" spans="1:7" x14ac:dyDescent="0.3">
      <c r="A1617" s="198">
        <v>900755062</v>
      </c>
      <c r="B1617" s="192" t="s">
        <v>1700</v>
      </c>
      <c r="C1617" s="196">
        <v>261434000</v>
      </c>
      <c r="D1617" s="196">
        <v>18194000</v>
      </c>
      <c r="E1617" s="196">
        <v>0</v>
      </c>
      <c r="F1617" s="196">
        <v>18194000</v>
      </c>
      <c r="G1617" s="196">
        <v>279628000</v>
      </c>
    </row>
    <row r="1618" spans="1:7" x14ac:dyDescent="0.3">
      <c r="A1618" s="197">
        <v>1365</v>
      </c>
      <c r="B1618" s="191" t="s">
        <v>1701</v>
      </c>
      <c r="C1618" s="195">
        <v>10763856</v>
      </c>
      <c r="D1618" s="195">
        <v>0</v>
      </c>
      <c r="E1618" s="195">
        <v>1479833</v>
      </c>
      <c r="F1618" s="195">
        <v>-1479833</v>
      </c>
      <c r="G1618" s="195">
        <v>9284023</v>
      </c>
    </row>
    <row r="1619" spans="1:7" x14ac:dyDescent="0.3">
      <c r="A1619" s="197">
        <v>136595</v>
      </c>
      <c r="B1619" s="191" t="s">
        <v>1702</v>
      </c>
      <c r="C1619" s="195">
        <v>10763856</v>
      </c>
      <c r="D1619" s="195">
        <v>0</v>
      </c>
      <c r="E1619" s="195">
        <v>1479833</v>
      </c>
      <c r="F1619" s="195">
        <v>-1479833</v>
      </c>
      <c r="G1619" s="195">
        <v>9284023</v>
      </c>
    </row>
    <row r="1620" spans="1:7" x14ac:dyDescent="0.3">
      <c r="A1620" s="198">
        <v>13659501</v>
      </c>
      <c r="B1620" s="192" t="s">
        <v>1702</v>
      </c>
      <c r="C1620" s="196">
        <v>10763856</v>
      </c>
      <c r="D1620" s="196">
        <v>0</v>
      </c>
      <c r="E1620" s="196">
        <v>1479833</v>
      </c>
      <c r="F1620" s="196">
        <v>-1479833</v>
      </c>
      <c r="G1620" s="196">
        <v>9284023</v>
      </c>
    </row>
    <row r="1621" spans="1:7" x14ac:dyDescent="0.3">
      <c r="A1621" s="198">
        <v>1128393236</v>
      </c>
      <c r="B1621" s="192" t="s">
        <v>1703</v>
      </c>
      <c r="C1621" s="196">
        <v>-713000</v>
      </c>
      <c r="D1621" s="196">
        <v>0</v>
      </c>
      <c r="E1621" s="196">
        <v>0</v>
      </c>
      <c r="F1621" s="196">
        <v>0</v>
      </c>
      <c r="G1621" s="196">
        <v>-713000</v>
      </c>
    </row>
    <row r="1622" spans="1:7" x14ac:dyDescent="0.3">
      <c r="A1622" s="198">
        <v>1020489861</v>
      </c>
      <c r="B1622" s="192" t="s">
        <v>1704</v>
      </c>
      <c r="C1622" s="196">
        <v>519600</v>
      </c>
      <c r="D1622" s="196">
        <v>0</v>
      </c>
      <c r="E1622" s="196">
        <v>0</v>
      </c>
      <c r="F1622" s="196">
        <v>0</v>
      </c>
      <c r="G1622" s="196">
        <v>519600</v>
      </c>
    </row>
    <row r="1623" spans="1:7" x14ac:dyDescent="0.3">
      <c r="A1623" s="198">
        <v>1152689568</v>
      </c>
      <c r="B1623" s="192" t="s">
        <v>1705</v>
      </c>
      <c r="C1623" s="196">
        <v>-399666</v>
      </c>
      <c r="D1623" s="196">
        <v>0</v>
      </c>
      <c r="E1623" s="196">
        <v>0</v>
      </c>
      <c r="F1623" s="196">
        <v>0</v>
      </c>
      <c r="G1623" s="196">
        <v>-399666</v>
      </c>
    </row>
    <row r="1624" spans="1:7" x14ac:dyDescent="0.3">
      <c r="A1624" s="198">
        <v>32144343</v>
      </c>
      <c r="B1624" s="192" t="s">
        <v>1706</v>
      </c>
      <c r="C1624" s="196">
        <v>100000</v>
      </c>
      <c r="D1624" s="196">
        <v>0</v>
      </c>
      <c r="E1624" s="196">
        <v>0</v>
      </c>
      <c r="F1624" s="196">
        <v>0</v>
      </c>
      <c r="G1624" s="196">
        <v>100000</v>
      </c>
    </row>
    <row r="1625" spans="1:7" x14ac:dyDescent="0.3">
      <c r="A1625" s="198">
        <v>1017266622</v>
      </c>
      <c r="B1625" s="192" t="s">
        <v>1707</v>
      </c>
      <c r="C1625" s="196">
        <v>189233</v>
      </c>
      <c r="D1625" s="196">
        <v>0</v>
      </c>
      <c r="E1625" s="196">
        <v>189833</v>
      </c>
      <c r="F1625" s="196">
        <v>-189833</v>
      </c>
      <c r="G1625" s="196">
        <v>-600</v>
      </c>
    </row>
    <row r="1626" spans="1:7" x14ac:dyDescent="0.3">
      <c r="A1626" s="198">
        <v>43190602</v>
      </c>
      <c r="B1626" s="192" t="s">
        <v>1708</v>
      </c>
      <c r="C1626" s="196">
        <v>470000</v>
      </c>
      <c r="D1626" s="196">
        <v>0</v>
      </c>
      <c r="E1626" s="196">
        <v>210000</v>
      </c>
      <c r="F1626" s="196">
        <v>-210000</v>
      </c>
      <c r="G1626" s="196">
        <v>260000</v>
      </c>
    </row>
    <row r="1627" spans="1:7" x14ac:dyDescent="0.3">
      <c r="A1627" s="198">
        <v>3901013</v>
      </c>
      <c r="B1627" s="192" t="s">
        <v>1709</v>
      </c>
      <c r="C1627" s="196">
        <v>2527689</v>
      </c>
      <c r="D1627" s="196">
        <v>0</v>
      </c>
      <c r="E1627" s="196">
        <v>100000</v>
      </c>
      <c r="F1627" s="196">
        <v>-100000</v>
      </c>
      <c r="G1627" s="196">
        <v>2427689</v>
      </c>
    </row>
    <row r="1628" spans="1:7" x14ac:dyDescent="0.3">
      <c r="A1628" s="198">
        <v>1036685923</v>
      </c>
      <c r="B1628" s="192" t="s">
        <v>1710</v>
      </c>
      <c r="C1628" s="196">
        <v>1200000</v>
      </c>
      <c r="D1628" s="196">
        <v>0</v>
      </c>
      <c r="E1628" s="196">
        <v>200000</v>
      </c>
      <c r="F1628" s="196">
        <v>-200000</v>
      </c>
      <c r="G1628" s="196">
        <v>1000000</v>
      </c>
    </row>
    <row r="1629" spans="1:7" x14ac:dyDescent="0.3">
      <c r="A1629" s="198">
        <v>1042458852</v>
      </c>
      <c r="B1629" s="192" t="s">
        <v>1711</v>
      </c>
      <c r="C1629" s="196">
        <v>1980000</v>
      </c>
      <c r="D1629" s="196">
        <v>0</v>
      </c>
      <c r="E1629" s="196">
        <v>180000</v>
      </c>
      <c r="F1629" s="196">
        <v>-180000</v>
      </c>
      <c r="G1629" s="196">
        <v>1800000</v>
      </c>
    </row>
    <row r="1630" spans="1:7" x14ac:dyDescent="0.3">
      <c r="A1630" s="198">
        <v>1007551247</v>
      </c>
      <c r="B1630" s="192" t="s">
        <v>1712</v>
      </c>
      <c r="C1630" s="196">
        <v>450000</v>
      </c>
      <c r="D1630" s="196">
        <v>0</v>
      </c>
      <c r="E1630" s="196">
        <v>0</v>
      </c>
      <c r="F1630" s="196">
        <v>0</v>
      </c>
      <c r="G1630" s="196">
        <v>450000</v>
      </c>
    </row>
    <row r="1631" spans="1:7" x14ac:dyDescent="0.3">
      <c r="A1631" s="198">
        <v>1216723387</v>
      </c>
      <c r="B1631" s="192" t="s">
        <v>1713</v>
      </c>
      <c r="C1631" s="196">
        <v>1410000</v>
      </c>
      <c r="D1631" s="196">
        <v>0</v>
      </c>
      <c r="E1631" s="196">
        <v>200000</v>
      </c>
      <c r="F1631" s="196">
        <v>-200000</v>
      </c>
      <c r="G1631" s="196">
        <v>1210000</v>
      </c>
    </row>
    <row r="1632" spans="1:7" x14ac:dyDescent="0.3">
      <c r="A1632" s="198">
        <v>1040752245</v>
      </c>
      <c r="B1632" s="192" t="s">
        <v>1678</v>
      </c>
      <c r="C1632" s="196">
        <v>-520000</v>
      </c>
      <c r="D1632" s="196">
        <v>0</v>
      </c>
      <c r="E1632" s="196">
        <v>0</v>
      </c>
      <c r="F1632" s="196">
        <v>0</v>
      </c>
      <c r="G1632" s="196">
        <v>-520000</v>
      </c>
    </row>
    <row r="1633" spans="1:7" x14ac:dyDescent="0.3">
      <c r="A1633" s="198">
        <v>1128385262</v>
      </c>
      <c r="B1633" s="192" t="s">
        <v>1714</v>
      </c>
      <c r="C1633" s="196">
        <v>450000</v>
      </c>
      <c r="D1633" s="196">
        <v>0</v>
      </c>
      <c r="E1633" s="196">
        <v>100000</v>
      </c>
      <c r="F1633" s="196">
        <v>-100000</v>
      </c>
      <c r="G1633" s="196">
        <v>350000</v>
      </c>
    </row>
    <row r="1634" spans="1:7" x14ac:dyDescent="0.3">
      <c r="A1634" s="198">
        <v>1017284611</v>
      </c>
      <c r="B1634" s="192" t="s">
        <v>1715</v>
      </c>
      <c r="C1634" s="196">
        <v>100000</v>
      </c>
      <c r="D1634" s="196">
        <v>0</v>
      </c>
      <c r="E1634" s="196">
        <v>100000</v>
      </c>
      <c r="F1634" s="196">
        <v>-100000</v>
      </c>
      <c r="G1634" s="196">
        <v>0</v>
      </c>
    </row>
    <row r="1635" spans="1:7" x14ac:dyDescent="0.3">
      <c r="A1635" s="198">
        <v>300809106</v>
      </c>
      <c r="B1635" s="192" t="s">
        <v>1679</v>
      </c>
      <c r="C1635" s="196">
        <v>1200000</v>
      </c>
      <c r="D1635" s="196">
        <v>0</v>
      </c>
      <c r="E1635" s="196">
        <v>0</v>
      </c>
      <c r="F1635" s="196">
        <v>0</v>
      </c>
      <c r="G1635" s="196">
        <v>1200000</v>
      </c>
    </row>
    <row r="1636" spans="1:7" x14ac:dyDescent="0.3">
      <c r="A1636" s="198">
        <v>1017184852</v>
      </c>
      <c r="B1636" s="192" t="s">
        <v>1716</v>
      </c>
      <c r="C1636" s="196">
        <v>1800000</v>
      </c>
      <c r="D1636" s="196">
        <v>0</v>
      </c>
      <c r="E1636" s="196">
        <v>200000</v>
      </c>
      <c r="F1636" s="196">
        <v>-200000</v>
      </c>
      <c r="G1636" s="196">
        <v>1600000</v>
      </c>
    </row>
    <row r="1637" spans="1:7" x14ac:dyDescent="0.3">
      <c r="A1637" s="197">
        <v>1380</v>
      </c>
      <c r="B1637" s="191" t="s">
        <v>1717</v>
      </c>
      <c r="C1637" s="195">
        <v>24555211</v>
      </c>
      <c r="D1637" s="195">
        <v>325700</v>
      </c>
      <c r="E1637" s="195">
        <v>0</v>
      </c>
      <c r="F1637" s="195">
        <v>325700</v>
      </c>
      <c r="G1637" s="195">
        <v>24880911</v>
      </c>
    </row>
    <row r="1638" spans="1:7" x14ac:dyDescent="0.3">
      <c r="A1638" s="197">
        <v>138020</v>
      </c>
      <c r="B1638" s="191" t="s">
        <v>1717</v>
      </c>
      <c r="C1638" s="195">
        <v>24555211</v>
      </c>
      <c r="D1638" s="195">
        <v>325700</v>
      </c>
      <c r="E1638" s="195">
        <v>0</v>
      </c>
      <c r="F1638" s="195">
        <v>325700</v>
      </c>
      <c r="G1638" s="195">
        <v>24880911</v>
      </c>
    </row>
    <row r="1639" spans="1:7" x14ac:dyDescent="0.3">
      <c r="A1639" s="198">
        <v>13802001</v>
      </c>
      <c r="B1639" s="192" t="s">
        <v>1718</v>
      </c>
      <c r="C1639" s="196">
        <v>24555211</v>
      </c>
      <c r="D1639" s="196">
        <v>325700</v>
      </c>
      <c r="E1639" s="196">
        <v>0</v>
      </c>
      <c r="F1639" s="196">
        <v>325700</v>
      </c>
      <c r="G1639" s="196">
        <v>24880911</v>
      </c>
    </row>
    <row r="1640" spans="1:7" x14ac:dyDescent="0.3">
      <c r="A1640" s="198">
        <v>1017192963</v>
      </c>
      <c r="B1640" s="192" t="s">
        <v>1719</v>
      </c>
      <c r="C1640" s="196">
        <v>1977661</v>
      </c>
      <c r="D1640" s="196">
        <v>0</v>
      </c>
      <c r="E1640" s="196">
        <v>0</v>
      </c>
      <c r="F1640" s="196">
        <v>0</v>
      </c>
      <c r="G1640" s="196">
        <v>1977661</v>
      </c>
    </row>
    <row r="1641" spans="1:7" x14ac:dyDescent="0.3">
      <c r="A1641" s="198">
        <v>71527531</v>
      </c>
      <c r="B1641" s="192" t="s">
        <v>124</v>
      </c>
      <c r="C1641" s="196">
        <v>12505150</v>
      </c>
      <c r="D1641" s="196">
        <v>325700</v>
      </c>
      <c r="E1641" s="196">
        <v>0</v>
      </c>
      <c r="F1641" s="196">
        <v>325700</v>
      </c>
      <c r="G1641" s="196">
        <v>12830850</v>
      </c>
    </row>
    <row r="1642" spans="1:7" x14ac:dyDescent="0.3">
      <c r="A1642" s="198">
        <v>1127575113</v>
      </c>
      <c r="B1642" s="192" t="s">
        <v>1720</v>
      </c>
      <c r="C1642" s="196">
        <v>1060000</v>
      </c>
      <c r="D1642" s="196">
        <v>0</v>
      </c>
      <c r="E1642" s="196">
        <v>0</v>
      </c>
      <c r="F1642" s="196">
        <v>0</v>
      </c>
      <c r="G1642" s="196">
        <v>1060000</v>
      </c>
    </row>
    <row r="1643" spans="1:7" x14ac:dyDescent="0.3">
      <c r="A1643" s="198">
        <v>1127953610</v>
      </c>
      <c r="B1643" s="192" t="s">
        <v>1721</v>
      </c>
      <c r="C1643" s="196">
        <v>644500</v>
      </c>
      <c r="D1643" s="196">
        <v>0</v>
      </c>
      <c r="E1643" s="196">
        <v>0</v>
      </c>
      <c r="F1643" s="196">
        <v>0</v>
      </c>
      <c r="G1643" s="196">
        <v>644500</v>
      </c>
    </row>
    <row r="1644" spans="1:7" x14ac:dyDescent="0.3">
      <c r="A1644" s="198">
        <v>98555608</v>
      </c>
      <c r="B1644" s="192" t="s">
        <v>126</v>
      </c>
      <c r="C1644" s="196">
        <v>971900</v>
      </c>
      <c r="D1644" s="196">
        <v>0</v>
      </c>
      <c r="E1644" s="196">
        <v>0</v>
      </c>
      <c r="F1644" s="196">
        <v>0</v>
      </c>
      <c r="G1644" s="196">
        <v>971900</v>
      </c>
    </row>
    <row r="1645" spans="1:7" x14ac:dyDescent="0.3">
      <c r="A1645" s="198">
        <v>43813763</v>
      </c>
      <c r="B1645" s="192" t="s">
        <v>1722</v>
      </c>
      <c r="C1645" s="196">
        <v>45700</v>
      </c>
      <c r="D1645" s="196">
        <v>0</v>
      </c>
      <c r="E1645" s="196">
        <v>0</v>
      </c>
      <c r="F1645" s="196">
        <v>0</v>
      </c>
      <c r="G1645" s="196">
        <v>45700</v>
      </c>
    </row>
    <row r="1646" spans="1:7" x14ac:dyDescent="0.3">
      <c r="A1646" s="198">
        <v>98664632</v>
      </c>
      <c r="B1646" s="192" t="s">
        <v>1652</v>
      </c>
      <c r="C1646" s="196">
        <v>44900</v>
      </c>
      <c r="D1646" s="196">
        <v>0</v>
      </c>
      <c r="E1646" s="196">
        <v>0</v>
      </c>
      <c r="F1646" s="196">
        <v>0</v>
      </c>
      <c r="G1646" s="196">
        <v>44900</v>
      </c>
    </row>
    <row r="1647" spans="1:7" x14ac:dyDescent="0.3">
      <c r="A1647" s="198">
        <v>700020794</v>
      </c>
      <c r="B1647" s="192" t="s">
        <v>1655</v>
      </c>
      <c r="C1647" s="196">
        <v>241100</v>
      </c>
      <c r="D1647" s="196">
        <v>0</v>
      </c>
      <c r="E1647" s="196">
        <v>0</v>
      </c>
      <c r="F1647" s="196">
        <v>0</v>
      </c>
      <c r="G1647" s="196">
        <v>241100</v>
      </c>
    </row>
    <row r="1648" spans="1:7" x14ac:dyDescent="0.3">
      <c r="A1648" s="198">
        <v>1128415140</v>
      </c>
      <c r="B1648" s="192" t="s">
        <v>1655</v>
      </c>
      <c r="C1648" s="196">
        <v>45700</v>
      </c>
      <c r="D1648" s="196">
        <v>0</v>
      </c>
      <c r="E1648" s="196">
        <v>0</v>
      </c>
      <c r="F1648" s="196">
        <v>0</v>
      </c>
      <c r="G1648" s="196">
        <v>45700</v>
      </c>
    </row>
    <row r="1649" spans="1:7" x14ac:dyDescent="0.3">
      <c r="A1649" s="198">
        <v>80550424</v>
      </c>
      <c r="B1649" s="192" t="s">
        <v>1619</v>
      </c>
      <c r="C1649" s="196">
        <v>33200</v>
      </c>
      <c r="D1649" s="196">
        <v>0</v>
      </c>
      <c r="E1649" s="196">
        <v>0</v>
      </c>
      <c r="F1649" s="196">
        <v>0</v>
      </c>
      <c r="G1649" s="196">
        <v>33200</v>
      </c>
    </row>
    <row r="1650" spans="1:7" x14ac:dyDescent="0.3">
      <c r="A1650" s="198">
        <v>1037607033</v>
      </c>
      <c r="B1650" s="192" t="s">
        <v>1657</v>
      </c>
      <c r="C1650" s="196">
        <v>45700</v>
      </c>
      <c r="D1650" s="196">
        <v>0</v>
      </c>
      <c r="E1650" s="196">
        <v>0</v>
      </c>
      <c r="F1650" s="196">
        <v>0</v>
      </c>
      <c r="G1650" s="196">
        <v>45700</v>
      </c>
    </row>
    <row r="1651" spans="1:7" x14ac:dyDescent="0.3">
      <c r="A1651" s="198">
        <v>71634855</v>
      </c>
      <c r="B1651" s="192" t="s">
        <v>1723</v>
      </c>
      <c r="C1651" s="196">
        <v>44900</v>
      </c>
      <c r="D1651" s="196">
        <v>0</v>
      </c>
      <c r="E1651" s="196">
        <v>0</v>
      </c>
      <c r="F1651" s="196">
        <v>0</v>
      </c>
      <c r="G1651" s="196">
        <v>44900</v>
      </c>
    </row>
    <row r="1652" spans="1:7" x14ac:dyDescent="0.3">
      <c r="A1652" s="198">
        <v>21514078</v>
      </c>
      <c r="B1652" s="192" t="s">
        <v>1724</v>
      </c>
      <c r="C1652" s="196">
        <v>6840000</v>
      </c>
      <c r="D1652" s="196">
        <v>0</v>
      </c>
      <c r="E1652" s="196">
        <v>0</v>
      </c>
      <c r="F1652" s="196">
        <v>0</v>
      </c>
      <c r="G1652" s="196">
        <v>6840000</v>
      </c>
    </row>
    <row r="1653" spans="1:7" x14ac:dyDescent="0.3">
      <c r="A1653" s="198">
        <v>901180382</v>
      </c>
      <c r="B1653" s="192" t="s">
        <v>1725</v>
      </c>
      <c r="C1653" s="196">
        <v>-100000</v>
      </c>
      <c r="D1653" s="196">
        <v>0</v>
      </c>
      <c r="E1653" s="196">
        <v>0</v>
      </c>
      <c r="F1653" s="196">
        <v>0</v>
      </c>
      <c r="G1653" s="196">
        <v>-100000</v>
      </c>
    </row>
    <row r="1654" spans="1:7" x14ac:dyDescent="0.3">
      <c r="A1654" s="198">
        <v>1037574361</v>
      </c>
      <c r="B1654" s="192" t="s">
        <v>1726</v>
      </c>
      <c r="C1654" s="196">
        <v>154800</v>
      </c>
      <c r="D1654" s="196">
        <v>0</v>
      </c>
      <c r="E1654" s="196">
        <v>0</v>
      </c>
      <c r="F1654" s="196">
        <v>0</v>
      </c>
      <c r="G1654" s="196">
        <v>154800</v>
      </c>
    </row>
    <row r="1655" spans="1:7" x14ac:dyDescent="0.3">
      <c r="A1655" s="197">
        <v>14</v>
      </c>
      <c r="B1655" s="191" t="s">
        <v>1727</v>
      </c>
      <c r="C1655" s="195">
        <v>568990212</v>
      </c>
      <c r="D1655" s="195">
        <v>0</v>
      </c>
      <c r="E1655" s="195">
        <v>0</v>
      </c>
      <c r="F1655" s="195">
        <v>0</v>
      </c>
      <c r="G1655" s="195">
        <v>568990212</v>
      </c>
    </row>
    <row r="1656" spans="1:7" x14ac:dyDescent="0.3">
      <c r="A1656" s="197">
        <v>1435</v>
      </c>
      <c r="B1656" s="191" t="s">
        <v>1728</v>
      </c>
      <c r="C1656" s="195">
        <v>568990212</v>
      </c>
      <c r="D1656" s="195">
        <v>0</v>
      </c>
      <c r="E1656" s="195">
        <v>0</v>
      </c>
      <c r="F1656" s="195">
        <v>0</v>
      </c>
      <c r="G1656" s="195">
        <v>568990212</v>
      </c>
    </row>
    <row r="1657" spans="1:7" x14ac:dyDescent="0.3">
      <c r="A1657" s="197">
        <v>143505</v>
      </c>
      <c r="B1657" s="191" t="s">
        <v>1728</v>
      </c>
      <c r="C1657" s="195">
        <v>568990212</v>
      </c>
      <c r="D1657" s="195">
        <v>0</v>
      </c>
      <c r="E1657" s="195">
        <v>0</v>
      </c>
      <c r="F1657" s="195">
        <v>0</v>
      </c>
      <c r="G1657" s="195">
        <v>568990212</v>
      </c>
    </row>
    <row r="1658" spans="1:7" x14ac:dyDescent="0.3">
      <c r="A1658" s="198">
        <v>14350501</v>
      </c>
      <c r="B1658" s="192" t="s">
        <v>1729</v>
      </c>
      <c r="C1658" s="196">
        <v>568990212</v>
      </c>
      <c r="D1658" s="196">
        <v>0</v>
      </c>
      <c r="E1658" s="196">
        <v>0</v>
      </c>
      <c r="F1658" s="196">
        <v>0</v>
      </c>
      <c r="G1658" s="196">
        <v>568990212</v>
      </c>
    </row>
    <row r="1659" spans="1:7" x14ac:dyDescent="0.3">
      <c r="A1659" s="197">
        <v>15</v>
      </c>
      <c r="B1659" s="191" t="s">
        <v>1730</v>
      </c>
      <c r="C1659" s="195">
        <v>10091712262.65</v>
      </c>
      <c r="D1659" s="195">
        <v>19992000</v>
      </c>
      <c r="E1659" s="195">
        <v>64968726</v>
      </c>
      <c r="F1659" s="195">
        <v>-44976726</v>
      </c>
      <c r="G1659" s="195">
        <v>10046735536.65</v>
      </c>
    </row>
    <row r="1660" spans="1:7" x14ac:dyDescent="0.3">
      <c r="A1660" s="197">
        <v>1508</v>
      </c>
      <c r="B1660" s="191" t="s">
        <v>1731</v>
      </c>
      <c r="C1660" s="195">
        <v>0</v>
      </c>
      <c r="D1660" s="195">
        <v>0</v>
      </c>
      <c r="E1660" s="195">
        <v>0</v>
      </c>
      <c r="F1660" s="195">
        <v>0</v>
      </c>
      <c r="G1660" s="195">
        <v>0</v>
      </c>
    </row>
    <row r="1661" spans="1:7" x14ac:dyDescent="0.3">
      <c r="A1661" s="198">
        <v>15080501</v>
      </c>
      <c r="B1661" s="192" t="s">
        <v>1732</v>
      </c>
      <c r="C1661" s="196">
        <v>-7195758</v>
      </c>
      <c r="D1661" s="196">
        <v>0</v>
      </c>
      <c r="E1661" s="196">
        <v>0</v>
      </c>
      <c r="F1661" s="196">
        <v>0</v>
      </c>
      <c r="G1661" s="196">
        <v>-7195758</v>
      </c>
    </row>
    <row r="1662" spans="1:7" x14ac:dyDescent="0.3">
      <c r="A1662" s="198">
        <v>900241363</v>
      </c>
      <c r="B1662" s="192" t="s">
        <v>1633</v>
      </c>
      <c r="C1662" s="196">
        <v>334486619</v>
      </c>
      <c r="D1662" s="196">
        <v>0</v>
      </c>
      <c r="E1662" s="196">
        <v>0</v>
      </c>
      <c r="F1662" s="196">
        <v>0</v>
      </c>
      <c r="G1662" s="196">
        <v>334486619</v>
      </c>
    </row>
    <row r="1663" spans="1:7" x14ac:dyDescent="0.3">
      <c r="A1663" s="198">
        <v>1127953610</v>
      </c>
      <c r="B1663" s="192" t="s">
        <v>1721</v>
      </c>
      <c r="C1663" s="196">
        <v>15113989</v>
      </c>
      <c r="D1663" s="196">
        <v>0</v>
      </c>
      <c r="E1663" s="196">
        <v>0</v>
      </c>
      <c r="F1663" s="196">
        <v>0</v>
      </c>
      <c r="G1663" s="196">
        <v>15113989</v>
      </c>
    </row>
    <row r="1664" spans="1:7" x14ac:dyDescent="0.3">
      <c r="A1664" s="198">
        <v>80550424</v>
      </c>
      <c r="B1664" s="192" t="s">
        <v>1619</v>
      </c>
      <c r="C1664" s="196">
        <v>22556700</v>
      </c>
      <c r="D1664" s="196">
        <v>0</v>
      </c>
      <c r="E1664" s="196">
        <v>0</v>
      </c>
      <c r="F1664" s="196">
        <v>0</v>
      </c>
      <c r="G1664" s="196">
        <v>22556700</v>
      </c>
    </row>
    <row r="1665" spans="1:7" x14ac:dyDescent="0.3">
      <c r="A1665" s="198">
        <v>1127941794</v>
      </c>
      <c r="B1665" s="192" t="s">
        <v>1274</v>
      </c>
      <c r="C1665" s="196">
        <v>118174549</v>
      </c>
      <c r="D1665" s="196">
        <v>0</v>
      </c>
      <c r="E1665" s="196">
        <v>0</v>
      </c>
      <c r="F1665" s="196">
        <v>0</v>
      </c>
      <c r="G1665" s="196">
        <v>118174549</v>
      </c>
    </row>
    <row r="1666" spans="1:7" x14ac:dyDescent="0.3">
      <c r="A1666" s="198">
        <v>900755062</v>
      </c>
      <c r="B1666" s="192" t="s">
        <v>1700</v>
      </c>
      <c r="C1666" s="196">
        <v>-497527615</v>
      </c>
      <c r="D1666" s="196">
        <v>0</v>
      </c>
      <c r="E1666" s="196">
        <v>0</v>
      </c>
      <c r="F1666" s="196">
        <v>0</v>
      </c>
      <c r="G1666" s="196">
        <v>-497527615</v>
      </c>
    </row>
    <row r="1667" spans="1:7" x14ac:dyDescent="0.3">
      <c r="A1667" s="198">
        <v>15080524</v>
      </c>
      <c r="B1667" s="192" t="s">
        <v>1733</v>
      </c>
      <c r="C1667" s="196">
        <v>7195758</v>
      </c>
      <c r="D1667" s="196">
        <v>0</v>
      </c>
      <c r="E1667" s="196">
        <v>0</v>
      </c>
      <c r="F1667" s="196">
        <v>0</v>
      </c>
      <c r="G1667" s="196">
        <v>7195758</v>
      </c>
    </row>
    <row r="1668" spans="1:7" x14ac:dyDescent="0.3">
      <c r="A1668" s="198">
        <v>900241363</v>
      </c>
      <c r="B1668" s="192" t="s">
        <v>1633</v>
      </c>
      <c r="C1668" s="196">
        <v>7195758</v>
      </c>
      <c r="D1668" s="196">
        <v>0</v>
      </c>
      <c r="E1668" s="196">
        <v>0</v>
      </c>
      <c r="F1668" s="196">
        <v>0</v>
      </c>
      <c r="G1668" s="196">
        <v>7195758</v>
      </c>
    </row>
    <row r="1669" spans="1:7" x14ac:dyDescent="0.3">
      <c r="A1669" s="197">
        <v>1516</v>
      </c>
      <c r="B1669" s="191" t="s">
        <v>1734</v>
      </c>
      <c r="C1669" s="195">
        <v>4720021756.0900002</v>
      </c>
      <c r="D1669" s="195">
        <v>0</v>
      </c>
      <c r="E1669" s="195">
        <v>0</v>
      </c>
      <c r="F1669" s="195">
        <v>0</v>
      </c>
      <c r="G1669" s="195">
        <v>4720021756.0900002</v>
      </c>
    </row>
    <row r="1670" spans="1:7" x14ac:dyDescent="0.3">
      <c r="A1670" s="197">
        <v>151605</v>
      </c>
      <c r="B1670" s="191" t="s">
        <v>1734</v>
      </c>
      <c r="C1670" s="195">
        <v>4320021756.0900002</v>
      </c>
      <c r="D1670" s="195">
        <v>0</v>
      </c>
      <c r="E1670" s="195">
        <v>0</v>
      </c>
      <c r="F1670" s="195">
        <v>0</v>
      </c>
      <c r="G1670" s="195">
        <v>4320021756.0900002</v>
      </c>
    </row>
    <row r="1671" spans="1:7" x14ac:dyDescent="0.3">
      <c r="A1671" s="198">
        <v>15161002</v>
      </c>
      <c r="B1671" s="192" t="s">
        <v>1735</v>
      </c>
      <c r="C1671" s="196">
        <v>4307872382.8500004</v>
      </c>
      <c r="D1671" s="196">
        <v>0</v>
      </c>
      <c r="E1671" s="196">
        <v>0</v>
      </c>
      <c r="F1671" s="196">
        <v>0</v>
      </c>
      <c r="G1671" s="196">
        <v>4307872382.8500004</v>
      </c>
    </row>
    <row r="1672" spans="1:7" x14ac:dyDescent="0.3">
      <c r="A1672" s="198">
        <v>717718</v>
      </c>
      <c r="B1672" s="192" t="s">
        <v>1736</v>
      </c>
      <c r="C1672" s="196">
        <v>3600000</v>
      </c>
      <c r="D1672" s="196">
        <v>0</v>
      </c>
      <c r="E1672" s="196">
        <v>0</v>
      </c>
      <c r="F1672" s="196">
        <v>0</v>
      </c>
      <c r="G1672" s="196">
        <v>3600000</v>
      </c>
    </row>
    <row r="1673" spans="1:7" x14ac:dyDescent="0.3">
      <c r="A1673" s="198">
        <v>860500480</v>
      </c>
      <c r="B1673" s="192" t="s">
        <v>1737</v>
      </c>
      <c r="C1673" s="196">
        <v>11816676.779999999</v>
      </c>
      <c r="D1673" s="196">
        <v>0</v>
      </c>
      <c r="E1673" s="196">
        <v>0</v>
      </c>
      <c r="F1673" s="196">
        <v>0</v>
      </c>
      <c r="G1673" s="196">
        <v>11816676.779999999</v>
      </c>
    </row>
    <row r="1674" spans="1:7" x14ac:dyDescent="0.3">
      <c r="A1674" s="198">
        <v>830512658</v>
      </c>
      <c r="B1674" s="192" t="s">
        <v>1738</v>
      </c>
      <c r="C1674" s="196">
        <v>3335000</v>
      </c>
      <c r="D1674" s="196">
        <v>0</v>
      </c>
      <c r="E1674" s="196">
        <v>0</v>
      </c>
      <c r="F1674" s="196">
        <v>0</v>
      </c>
      <c r="G1674" s="196">
        <v>3335000</v>
      </c>
    </row>
    <row r="1675" spans="1:7" x14ac:dyDescent="0.3">
      <c r="A1675" s="198">
        <v>901569945</v>
      </c>
      <c r="B1675" s="192" t="s">
        <v>1739</v>
      </c>
      <c r="C1675" s="196">
        <v>14225972.439999999</v>
      </c>
      <c r="D1675" s="196">
        <v>0</v>
      </c>
      <c r="E1675" s="196">
        <v>0</v>
      </c>
      <c r="F1675" s="196">
        <v>0</v>
      </c>
      <c r="G1675" s="196">
        <v>14225972.439999999</v>
      </c>
    </row>
    <row r="1676" spans="1:7" x14ac:dyDescent="0.3">
      <c r="A1676" s="198">
        <v>800130961</v>
      </c>
      <c r="B1676" s="192" t="s">
        <v>1740</v>
      </c>
      <c r="C1676" s="196">
        <v>16874000</v>
      </c>
      <c r="D1676" s="196">
        <v>0</v>
      </c>
      <c r="E1676" s="196">
        <v>0</v>
      </c>
      <c r="F1676" s="196">
        <v>0</v>
      </c>
      <c r="G1676" s="196">
        <v>16874000</v>
      </c>
    </row>
    <row r="1677" spans="1:7" x14ac:dyDescent="0.3">
      <c r="A1677" s="198">
        <v>900399128</v>
      </c>
      <c r="B1677" s="192" t="s">
        <v>1741</v>
      </c>
      <c r="C1677" s="196">
        <v>12555060</v>
      </c>
      <c r="D1677" s="196">
        <v>0</v>
      </c>
      <c r="E1677" s="196">
        <v>0</v>
      </c>
      <c r="F1677" s="196">
        <v>0</v>
      </c>
      <c r="G1677" s="196">
        <v>12555060</v>
      </c>
    </row>
    <row r="1678" spans="1:7" x14ac:dyDescent="0.3">
      <c r="A1678" s="198">
        <v>900241363</v>
      </c>
      <c r="B1678" s="192" t="s">
        <v>1633</v>
      </c>
      <c r="C1678" s="196">
        <v>3128675787</v>
      </c>
      <c r="D1678" s="196">
        <v>0</v>
      </c>
      <c r="E1678" s="196">
        <v>0</v>
      </c>
      <c r="F1678" s="196">
        <v>0</v>
      </c>
      <c r="G1678" s="196">
        <v>3128675787</v>
      </c>
    </row>
    <row r="1679" spans="1:7" x14ac:dyDescent="0.3">
      <c r="A1679" s="198">
        <v>1214146596</v>
      </c>
      <c r="B1679" s="192" t="s">
        <v>1742</v>
      </c>
      <c r="C1679" s="196">
        <v>3600000</v>
      </c>
      <c r="D1679" s="196">
        <v>0</v>
      </c>
      <c r="E1679" s="196">
        <v>0</v>
      </c>
      <c r="F1679" s="196">
        <v>0</v>
      </c>
      <c r="G1679" s="196">
        <v>3600000</v>
      </c>
    </row>
    <row r="1680" spans="1:7" x14ac:dyDescent="0.3">
      <c r="A1680" s="198">
        <v>900765330</v>
      </c>
      <c r="B1680" s="192" t="s">
        <v>1743</v>
      </c>
      <c r="C1680" s="196">
        <v>175028.52</v>
      </c>
      <c r="D1680" s="196">
        <v>0</v>
      </c>
      <c r="E1680" s="196">
        <v>0</v>
      </c>
      <c r="F1680" s="196">
        <v>0</v>
      </c>
      <c r="G1680" s="196">
        <v>175028.52</v>
      </c>
    </row>
    <row r="1681" spans="1:7" x14ac:dyDescent="0.3">
      <c r="A1681" s="198">
        <v>882847</v>
      </c>
      <c r="B1681" s="192" t="s">
        <v>1744</v>
      </c>
      <c r="C1681" s="196">
        <v>3600000</v>
      </c>
      <c r="D1681" s="196">
        <v>0</v>
      </c>
      <c r="E1681" s="196">
        <v>0</v>
      </c>
      <c r="F1681" s="196">
        <v>0</v>
      </c>
      <c r="G1681" s="196">
        <v>3600000</v>
      </c>
    </row>
    <row r="1682" spans="1:7" x14ac:dyDescent="0.3">
      <c r="A1682" s="198">
        <v>901516127</v>
      </c>
      <c r="B1682" s="192" t="s">
        <v>1745</v>
      </c>
      <c r="C1682" s="196">
        <v>22343677</v>
      </c>
      <c r="D1682" s="196">
        <v>0</v>
      </c>
      <c r="E1682" s="196">
        <v>0</v>
      </c>
      <c r="F1682" s="196">
        <v>0</v>
      </c>
      <c r="G1682" s="196">
        <v>22343677</v>
      </c>
    </row>
    <row r="1683" spans="1:7" x14ac:dyDescent="0.3">
      <c r="A1683" s="198">
        <v>71706343</v>
      </c>
      <c r="B1683" s="192" t="s">
        <v>1746</v>
      </c>
      <c r="C1683" s="196">
        <v>15370000</v>
      </c>
      <c r="D1683" s="196">
        <v>0</v>
      </c>
      <c r="E1683" s="196">
        <v>0</v>
      </c>
      <c r="F1683" s="196">
        <v>0</v>
      </c>
      <c r="G1683" s="196">
        <v>15370000</v>
      </c>
    </row>
    <row r="1684" spans="1:7" x14ac:dyDescent="0.3">
      <c r="A1684" s="198">
        <v>800058195</v>
      </c>
      <c r="B1684" s="192" t="s">
        <v>1638</v>
      </c>
      <c r="C1684" s="196">
        <v>6154546.4000000004</v>
      </c>
      <c r="D1684" s="196">
        <v>0</v>
      </c>
      <c r="E1684" s="196">
        <v>0</v>
      </c>
      <c r="F1684" s="196">
        <v>0</v>
      </c>
      <c r="G1684" s="196">
        <v>6154546.4000000004</v>
      </c>
    </row>
    <row r="1685" spans="1:7" x14ac:dyDescent="0.3">
      <c r="A1685" s="198">
        <v>700528</v>
      </c>
      <c r="B1685" s="192" t="s">
        <v>1747</v>
      </c>
      <c r="C1685" s="196">
        <v>3600000</v>
      </c>
      <c r="D1685" s="196">
        <v>0</v>
      </c>
      <c r="E1685" s="196">
        <v>0</v>
      </c>
      <c r="F1685" s="196">
        <v>0</v>
      </c>
      <c r="G1685" s="196">
        <v>3600000</v>
      </c>
    </row>
    <row r="1686" spans="1:7" x14ac:dyDescent="0.3">
      <c r="A1686" s="198">
        <v>71765539</v>
      </c>
      <c r="B1686" s="192" t="s">
        <v>1748</v>
      </c>
      <c r="C1686" s="196">
        <v>3600000</v>
      </c>
      <c r="D1686" s="196">
        <v>0</v>
      </c>
      <c r="E1686" s="196">
        <v>0</v>
      </c>
      <c r="F1686" s="196">
        <v>0</v>
      </c>
      <c r="G1686" s="196">
        <v>3600000</v>
      </c>
    </row>
    <row r="1687" spans="1:7" x14ac:dyDescent="0.3">
      <c r="A1687" s="198">
        <v>1045511270</v>
      </c>
      <c r="B1687" s="192" t="s">
        <v>1749</v>
      </c>
      <c r="C1687" s="196">
        <v>3600000</v>
      </c>
      <c r="D1687" s="196">
        <v>0</v>
      </c>
      <c r="E1687" s="196">
        <v>0</v>
      </c>
      <c r="F1687" s="196">
        <v>0</v>
      </c>
      <c r="G1687" s="196">
        <v>3600000</v>
      </c>
    </row>
    <row r="1688" spans="1:7" x14ac:dyDescent="0.3">
      <c r="A1688" s="198">
        <v>901244349</v>
      </c>
      <c r="B1688" s="192" t="s">
        <v>1750</v>
      </c>
      <c r="C1688" s="196">
        <v>438193.29</v>
      </c>
      <c r="D1688" s="196">
        <v>0</v>
      </c>
      <c r="E1688" s="196">
        <v>0</v>
      </c>
      <c r="F1688" s="196">
        <v>0</v>
      </c>
      <c r="G1688" s="196">
        <v>438193.29</v>
      </c>
    </row>
    <row r="1689" spans="1:7" x14ac:dyDescent="0.3">
      <c r="A1689" s="198">
        <v>1209664</v>
      </c>
      <c r="B1689" s="192" t="s">
        <v>1751</v>
      </c>
      <c r="C1689" s="196">
        <v>7260000</v>
      </c>
      <c r="D1689" s="196">
        <v>0</v>
      </c>
      <c r="E1689" s="196">
        <v>0</v>
      </c>
      <c r="F1689" s="196">
        <v>0</v>
      </c>
      <c r="G1689" s="196">
        <v>7260000</v>
      </c>
    </row>
    <row r="1690" spans="1:7" x14ac:dyDescent="0.3">
      <c r="A1690" s="198">
        <v>811028650</v>
      </c>
      <c r="B1690" s="192" t="s">
        <v>1752</v>
      </c>
      <c r="C1690" s="196">
        <v>158067.99</v>
      </c>
      <c r="D1690" s="196">
        <v>0</v>
      </c>
      <c r="E1690" s="196">
        <v>0</v>
      </c>
      <c r="F1690" s="196">
        <v>0</v>
      </c>
      <c r="G1690" s="196">
        <v>158067.99</v>
      </c>
    </row>
    <row r="1691" spans="1:7" x14ac:dyDescent="0.3">
      <c r="A1691" s="198">
        <v>900755062</v>
      </c>
      <c r="B1691" s="192" t="s">
        <v>1700</v>
      </c>
      <c r="C1691" s="196">
        <v>898018027</v>
      </c>
      <c r="D1691" s="196">
        <v>0</v>
      </c>
      <c r="E1691" s="196">
        <v>0</v>
      </c>
      <c r="F1691" s="196">
        <v>0</v>
      </c>
      <c r="G1691" s="196">
        <v>898018027</v>
      </c>
    </row>
    <row r="1692" spans="1:7" x14ac:dyDescent="0.3">
      <c r="A1692" s="198">
        <v>3409540</v>
      </c>
      <c r="B1692" s="192" t="s">
        <v>1753</v>
      </c>
      <c r="C1692" s="196">
        <v>3600000</v>
      </c>
      <c r="D1692" s="196">
        <v>0</v>
      </c>
      <c r="E1692" s="196">
        <v>0</v>
      </c>
      <c r="F1692" s="196">
        <v>0</v>
      </c>
      <c r="G1692" s="196">
        <v>3600000</v>
      </c>
    </row>
    <row r="1693" spans="1:7" x14ac:dyDescent="0.3">
      <c r="A1693" s="198">
        <v>900953638</v>
      </c>
      <c r="B1693" s="192" t="s">
        <v>1754</v>
      </c>
      <c r="C1693" s="196">
        <v>41035877</v>
      </c>
      <c r="D1693" s="196">
        <v>0</v>
      </c>
      <c r="E1693" s="196">
        <v>0</v>
      </c>
      <c r="F1693" s="196">
        <v>0</v>
      </c>
      <c r="G1693" s="196">
        <v>41035877</v>
      </c>
    </row>
    <row r="1694" spans="1:7" x14ac:dyDescent="0.3">
      <c r="A1694" s="198">
        <v>1046668853</v>
      </c>
      <c r="B1694" s="192" t="s">
        <v>1755</v>
      </c>
      <c r="C1694" s="196">
        <v>3600000</v>
      </c>
      <c r="D1694" s="196">
        <v>0</v>
      </c>
      <c r="E1694" s="196">
        <v>0</v>
      </c>
      <c r="F1694" s="196">
        <v>0</v>
      </c>
      <c r="G1694" s="196">
        <v>3600000</v>
      </c>
    </row>
    <row r="1695" spans="1:7" x14ac:dyDescent="0.3">
      <c r="A1695" s="198">
        <v>1037630029</v>
      </c>
      <c r="B1695" s="192" t="s">
        <v>1756</v>
      </c>
      <c r="C1695" s="196">
        <v>81935460</v>
      </c>
      <c r="D1695" s="196">
        <v>0</v>
      </c>
      <c r="E1695" s="196">
        <v>0</v>
      </c>
      <c r="F1695" s="196">
        <v>0</v>
      </c>
      <c r="G1695" s="196">
        <v>81935460</v>
      </c>
    </row>
    <row r="1696" spans="1:7" x14ac:dyDescent="0.3">
      <c r="A1696" s="198">
        <v>800242106</v>
      </c>
      <c r="B1696" s="192" t="s">
        <v>1757</v>
      </c>
      <c r="C1696" s="196">
        <v>2085883.38</v>
      </c>
      <c r="D1696" s="196">
        <v>0</v>
      </c>
      <c r="E1696" s="196">
        <v>0</v>
      </c>
      <c r="F1696" s="196">
        <v>0</v>
      </c>
      <c r="G1696" s="196">
        <v>2085883.38</v>
      </c>
    </row>
    <row r="1697" spans="1:7" x14ac:dyDescent="0.3">
      <c r="A1697" s="198">
        <v>900943243</v>
      </c>
      <c r="B1697" s="192" t="s">
        <v>1758</v>
      </c>
      <c r="C1697" s="196">
        <v>15126.05</v>
      </c>
      <c r="D1697" s="196">
        <v>0</v>
      </c>
      <c r="E1697" s="196">
        <v>0</v>
      </c>
      <c r="F1697" s="196">
        <v>0</v>
      </c>
      <c r="G1697" s="196">
        <v>15126.05</v>
      </c>
    </row>
    <row r="1698" spans="1:7" x14ac:dyDescent="0.3">
      <c r="A1698" s="198">
        <v>1203461</v>
      </c>
      <c r="B1698" s="192" t="s">
        <v>1759</v>
      </c>
      <c r="C1698" s="196">
        <v>16600000</v>
      </c>
      <c r="D1698" s="196">
        <v>0</v>
      </c>
      <c r="E1698" s="196">
        <v>0</v>
      </c>
      <c r="F1698" s="196">
        <v>0</v>
      </c>
      <c r="G1698" s="196">
        <v>16600000</v>
      </c>
    </row>
    <row r="1699" spans="1:7" x14ac:dyDescent="0.3">
      <c r="A1699" s="198">
        <v>15161024</v>
      </c>
      <c r="B1699" s="192" t="s">
        <v>1760</v>
      </c>
      <c r="C1699" s="196">
        <v>12149373.24</v>
      </c>
      <c r="D1699" s="196">
        <v>0</v>
      </c>
      <c r="E1699" s="196">
        <v>0</v>
      </c>
      <c r="F1699" s="196">
        <v>0</v>
      </c>
      <c r="G1699" s="196">
        <v>12149373.24</v>
      </c>
    </row>
    <row r="1700" spans="1:7" x14ac:dyDescent="0.3">
      <c r="A1700" s="198">
        <v>860500480</v>
      </c>
      <c r="B1700" s="192" t="s">
        <v>1737</v>
      </c>
      <c r="C1700" s="196">
        <v>2245168.59</v>
      </c>
      <c r="D1700" s="196">
        <v>0</v>
      </c>
      <c r="E1700" s="196">
        <v>0</v>
      </c>
      <c r="F1700" s="196">
        <v>0</v>
      </c>
      <c r="G1700" s="196">
        <v>2245168.59</v>
      </c>
    </row>
    <row r="1701" spans="1:7" x14ac:dyDescent="0.3">
      <c r="A1701" s="198">
        <v>830512658</v>
      </c>
      <c r="B1701" s="192" t="s">
        <v>1738</v>
      </c>
      <c r="C1701" s="196">
        <v>633650</v>
      </c>
      <c r="D1701" s="196">
        <v>0</v>
      </c>
      <c r="E1701" s="196">
        <v>0</v>
      </c>
      <c r="F1701" s="196">
        <v>0</v>
      </c>
      <c r="G1701" s="196">
        <v>633650</v>
      </c>
    </row>
    <row r="1702" spans="1:7" x14ac:dyDescent="0.3">
      <c r="A1702" s="198">
        <v>901569945</v>
      </c>
      <c r="B1702" s="192" t="s">
        <v>1739</v>
      </c>
      <c r="C1702" s="196">
        <v>54050.82</v>
      </c>
      <c r="D1702" s="196">
        <v>0</v>
      </c>
      <c r="E1702" s="196">
        <v>0</v>
      </c>
      <c r="F1702" s="196">
        <v>0</v>
      </c>
      <c r="G1702" s="196">
        <v>54050.82</v>
      </c>
    </row>
    <row r="1703" spans="1:7" x14ac:dyDescent="0.3">
      <c r="A1703" s="198">
        <v>800130961</v>
      </c>
      <c r="B1703" s="192" t="s">
        <v>1740</v>
      </c>
      <c r="C1703" s="196">
        <v>3206060</v>
      </c>
      <c r="D1703" s="196">
        <v>0</v>
      </c>
      <c r="E1703" s="196">
        <v>0</v>
      </c>
      <c r="F1703" s="196">
        <v>0</v>
      </c>
      <c r="G1703" s="196">
        <v>3206060</v>
      </c>
    </row>
    <row r="1704" spans="1:7" x14ac:dyDescent="0.3">
      <c r="A1704" s="198">
        <v>900765330</v>
      </c>
      <c r="B1704" s="192" t="s">
        <v>1743</v>
      </c>
      <c r="C1704" s="196">
        <v>33255.42</v>
      </c>
      <c r="D1704" s="196">
        <v>0</v>
      </c>
      <c r="E1704" s="196">
        <v>0</v>
      </c>
      <c r="F1704" s="196">
        <v>0</v>
      </c>
      <c r="G1704" s="196">
        <v>33255.42</v>
      </c>
    </row>
    <row r="1705" spans="1:7" x14ac:dyDescent="0.3">
      <c r="A1705" s="198">
        <v>901516127</v>
      </c>
      <c r="B1705" s="192" t="s">
        <v>1745</v>
      </c>
      <c r="C1705" s="196">
        <v>4245298.63</v>
      </c>
      <c r="D1705" s="196">
        <v>0</v>
      </c>
      <c r="E1705" s="196">
        <v>0</v>
      </c>
      <c r="F1705" s="196">
        <v>0</v>
      </c>
      <c r="G1705" s="196">
        <v>4245298.63</v>
      </c>
    </row>
    <row r="1706" spans="1:7" x14ac:dyDescent="0.3">
      <c r="A1706" s="198">
        <v>800058195</v>
      </c>
      <c r="B1706" s="192" t="s">
        <v>1638</v>
      </c>
      <c r="C1706" s="196">
        <v>1169363.82</v>
      </c>
      <c r="D1706" s="196">
        <v>0</v>
      </c>
      <c r="E1706" s="196">
        <v>0</v>
      </c>
      <c r="F1706" s="196">
        <v>0</v>
      </c>
      <c r="G1706" s="196">
        <v>1169363.82</v>
      </c>
    </row>
    <row r="1707" spans="1:7" x14ac:dyDescent="0.3">
      <c r="A1707" s="198">
        <v>901244349</v>
      </c>
      <c r="B1707" s="192" t="s">
        <v>1750</v>
      </c>
      <c r="C1707" s="196">
        <v>83256.72</v>
      </c>
      <c r="D1707" s="196">
        <v>0</v>
      </c>
      <c r="E1707" s="196">
        <v>0</v>
      </c>
      <c r="F1707" s="196">
        <v>0</v>
      </c>
      <c r="G1707" s="196">
        <v>83256.72</v>
      </c>
    </row>
    <row r="1708" spans="1:7" x14ac:dyDescent="0.3">
      <c r="A1708" s="198">
        <v>900953638</v>
      </c>
      <c r="B1708" s="192" t="s">
        <v>1754</v>
      </c>
      <c r="C1708" s="196">
        <v>344991.93</v>
      </c>
      <c r="D1708" s="196">
        <v>0</v>
      </c>
      <c r="E1708" s="196">
        <v>0</v>
      </c>
      <c r="F1708" s="196">
        <v>0</v>
      </c>
      <c r="G1708" s="196">
        <v>344991.93</v>
      </c>
    </row>
    <row r="1709" spans="1:7" x14ac:dyDescent="0.3">
      <c r="A1709" s="198">
        <v>800242106</v>
      </c>
      <c r="B1709" s="192" t="s">
        <v>1757</v>
      </c>
      <c r="C1709" s="196">
        <v>131403.35999999999</v>
      </c>
      <c r="D1709" s="196">
        <v>0</v>
      </c>
      <c r="E1709" s="196">
        <v>0</v>
      </c>
      <c r="F1709" s="196">
        <v>0</v>
      </c>
      <c r="G1709" s="196">
        <v>131403.35999999999</v>
      </c>
    </row>
    <row r="1710" spans="1:7" x14ac:dyDescent="0.3">
      <c r="A1710" s="198">
        <v>900943243</v>
      </c>
      <c r="B1710" s="192" t="s">
        <v>1758</v>
      </c>
      <c r="C1710" s="196">
        <v>2873.95</v>
      </c>
      <c r="D1710" s="196">
        <v>0</v>
      </c>
      <c r="E1710" s="196">
        <v>0</v>
      </c>
      <c r="F1710" s="196">
        <v>0</v>
      </c>
      <c r="G1710" s="196">
        <v>2873.95</v>
      </c>
    </row>
    <row r="1711" spans="1:7" x14ac:dyDescent="0.3">
      <c r="A1711" s="197">
        <v>151610</v>
      </c>
      <c r="B1711" s="191" t="s">
        <v>1761</v>
      </c>
      <c r="C1711" s="195">
        <v>400000000</v>
      </c>
      <c r="D1711" s="195">
        <v>0</v>
      </c>
      <c r="E1711" s="195">
        <v>0</v>
      </c>
      <c r="F1711" s="195">
        <v>0</v>
      </c>
      <c r="G1711" s="195">
        <v>400000000</v>
      </c>
    </row>
    <row r="1712" spans="1:7" x14ac:dyDescent="0.3">
      <c r="A1712" s="198">
        <v>15161001</v>
      </c>
      <c r="B1712" s="192" t="s">
        <v>1761</v>
      </c>
      <c r="C1712" s="196">
        <v>400000000</v>
      </c>
      <c r="D1712" s="196">
        <v>0</v>
      </c>
      <c r="E1712" s="196">
        <v>0</v>
      </c>
      <c r="F1712" s="196">
        <v>0</v>
      </c>
      <c r="G1712" s="196">
        <v>400000000</v>
      </c>
    </row>
    <row r="1713" spans="1:7" x14ac:dyDescent="0.3">
      <c r="A1713" s="198">
        <v>860034313</v>
      </c>
      <c r="B1713" s="192" t="s">
        <v>1629</v>
      </c>
      <c r="C1713" s="196">
        <v>238000000</v>
      </c>
      <c r="D1713" s="196">
        <v>0</v>
      </c>
      <c r="E1713" s="196">
        <v>0</v>
      </c>
      <c r="F1713" s="196">
        <v>0</v>
      </c>
      <c r="G1713" s="196">
        <v>238000000</v>
      </c>
    </row>
    <row r="1714" spans="1:7" x14ac:dyDescent="0.3">
      <c r="A1714" s="198">
        <v>32296632</v>
      </c>
      <c r="B1714" s="192" t="s">
        <v>1762</v>
      </c>
      <c r="C1714" s="196">
        <v>152000000</v>
      </c>
      <c r="D1714" s="196">
        <v>0</v>
      </c>
      <c r="E1714" s="196">
        <v>0</v>
      </c>
      <c r="F1714" s="196">
        <v>0</v>
      </c>
      <c r="G1714" s="196">
        <v>152000000</v>
      </c>
    </row>
    <row r="1715" spans="1:7" x14ac:dyDescent="0.3">
      <c r="A1715" s="198">
        <v>900755062</v>
      </c>
      <c r="B1715" s="192" t="s">
        <v>1700</v>
      </c>
      <c r="C1715" s="196">
        <v>10000000</v>
      </c>
      <c r="D1715" s="196">
        <v>0</v>
      </c>
      <c r="E1715" s="196">
        <v>0</v>
      </c>
      <c r="F1715" s="196">
        <v>0</v>
      </c>
      <c r="G1715" s="196">
        <v>10000000</v>
      </c>
    </row>
    <row r="1716" spans="1:7" x14ac:dyDescent="0.3">
      <c r="A1716" s="197">
        <v>1520</v>
      </c>
      <c r="B1716" s="191" t="s">
        <v>1763</v>
      </c>
      <c r="C1716" s="195">
        <v>6685676312.8900003</v>
      </c>
      <c r="D1716" s="195">
        <v>0</v>
      </c>
      <c r="E1716" s="195">
        <v>0</v>
      </c>
      <c r="F1716" s="195">
        <v>0</v>
      </c>
      <c r="G1716" s="195">
        <v>6685676312.8900003</v>
      </c>
    </row>
    <row r="1717" spans="1:7" x14ac:dyDescent="0.3">
      <c r="A1717" s="197">
        <v>152005</v>
      </c>
      <c r="B1717" s="191" t="s">
        <v>1764</v>
      </c>
      <c r="C1717" s="195">
        <v>6685676312.8900003</v>
      </c>
      <c r="D1717" s="195">
        <v>0</v>
      </c>
      <c r="E1717" s="195">
        <v>0</v>
      </c>
      <c r="F1717" s="195">
        <v>0</v>
      </c>
      <c r="G1717" s="195">
        <v>6685676312.8900003</v>
      </c>
    </row>
    <row r="1718" spans="1:7" x14ac:dyDescent="0.3">
      <c r="A1718" s="198">
        <v>15200501</v>
      </c>
      <c r="B1718" s="192" t="s">
        <v>1764</v>
      </c>
      <c r="C1718" s="196">
        <v>1748484061.04</v>
      </c>
      <c r="D1718" s="196">
        <v>0</v>
      </c>
      <c r="E1718" s="196">
        <v>0</v>
      </c>
      <c r="F1718" s="196">
        <v>0</v>
      </c>
      <c r="G1718" s="196">
        <v>1748484061.04</v>
      </c>
    </row>
    <row r="1719" spans="1:7" x14ac:dyDescent="0.3">
      <c r="A1719" s="198">
        <v>465111688</v>
      </c>
      <c r="B1719" s="192" t="s">
        <v>1765</v>
      </c>
      <c r="C1719" s="196">
        <v>60370000</v>
      </c>
      <c r="D1719" s="196">
        <v>0</v>
      </c>
      <c r="E1719" s="196">
        <v>0</v>
      </c>
      <c r="F1719" s="196">
        <v>0</v>
      </c>
      <c r="G1719" s="196">
        <v>60370000</v>
      </c>
    </row>
    <row r="1720" spans="1:7" x14ac:dyDescent="0.3">
      <c r="A1720" s="198">
        <v>900686004</v>
      </c>
      <c r="B1720" s="192" t="s">
        <v>1766</v>
      </c>
      <c r="C1720" s="196">
        <v>1008403</v>
      </c>
      <c r="D1720" s="196">
        <v>0</v>
      </c>
      <c r="E1720" s="196">
        <v>0</v>
      </c>
      <c r="F1720" s="196">
        <v>0</v>
      </c>
      <c r="G1720" s="196">
        <v>1008403</v>
      </c>
    </row>
    <row r="1721" spans="1:7" x14ac:dyDescent="0.3">
      <c r="A1721" s="198">
        <v>900308419</v>
      </c>
      <c r="B1721" s="192" t="s">
        <v>1767</v>
      </c>
      <c r="C1721" s="196">
        <v>4010000</v>
      </c>
      <c r="D1721" s="196">
        <v>0</v>
      </c>
      <c r="E1721" s="196">
        <v>0</v>
      </c>
      <c r="F1721" s="196">
        <v>0</v>
      </c>
      <c r="G1721" s="196">
        <v>4010000</v>
      </c>
    </row>
    <row r="1722" spans="1:7" x14ac:dyDescent="0.3">
      <c r="A1722" s="198">
        <v>890940259</v>
      </c>
      <c r="B1722" s="192" t="s">
        <v>1648</v>
      </c>
      <c r="C1722" s="196">
        <v>299808186.38999999</v>
      </c>
      <c r="D1722" s="196">
        <v>0</v>
      </c>
      <c r="E1722" s="196">
        <v>0</v>
      </c>
      <c r="F1722" s="196">
        <v>0</v>
      </c>
      <c r="G1722" s="196">
        <v>299808186.38999999</v>
      </c>
    </row>
    <row r="1723" spans="1:7" x14ac:dyDescent="0.3">
      <c r="A1723" s="198">
        <v>1144141097</v>
      </c>
      <c r="B1723" s="192" t="s">
        <v>1768</v>
      </c>
      <c r="C1723" s="196">
        <v>1140000</v>
      </c>
      <c r="D1723" s="196">
        <v>0</v>
      </c>
      <c r="E1723" s="196">
        <v>0</v>
      </c>
      <c r="F1723" s="196">
        <v>0</v>
      </c>
      <c r="G1723" s="196">
        <v>1140000</v>
      </c>
    </row>
    <row r="1724" spans="1:7" x14ac:dyDescent="0.3">
      <c r="A1724" s="198">
        <v>1127941794</v>
      </c>
      <c r="B1724" s="192" t="s">
        <v>1274</v>
      </c>
      <c r="C1724" s="196">
        <v>502286725</v>
      </c>
      <c r="D1724" s="196">
        <v>0</v>
      </c>
      <c r="E1724" s="196">
        <v>0</v>
      </c>
      <c r="F1724" s="196">
        <v>0</v>
      </c>
      <c r="G1724" s="196">
        <v>502286725</v>
      </c>
    </row>
    <row r="1725" spans="1:7" x14ac:dyDescent="0.3">
      <c r="A1725" s="198">
        <v>811044148</v>
      </c>
      <c r="B1725" s="192" t="s">
        <v>1769</v>
      </c>
      <c r="C1725" s="196">
        <v>5195798</v>
      </c>
      <c r="D1725" s="196">
        <v>0</v>
      </c>
      <c r="E1725" s="196">
        <v>0</v>
      </c>
      <c r="F1725" s="196">
        <v>0</v>
      </c>
      <c r="G1725" s="196">
        <v>5195798</v>
      </c>
    </row>
    <row r="1726" spans="1:7" x14ac:dyDescent="0.3">
      <c r="A1726" s="198">
        <v>43206080</v>
      </c>
      <c r="B1726" s="192" t="s">
        <v>1770</v>
      </c>
      <c r="C1726" s="196">
        <v>150000000</v>
      </c>
      <c r="D1726" s="196">
        <v>0</v>
      </c>
      <c r="E1726" s="196">
        <v>0</v>
      </c>
      <c r="F1726" s="196">
        <v>0</v>
      </c>
      <c r="G1726" s="196">
        <v>150000000</v>
      </c>
    </row>
    <row r="1727" spans="1:7" x14ac:dyDescent="0.3">
      <c r="A1727" s="198">
        <v>900755062</v>
      </c>
      <c r="B1727" s="192" t="s">
        <v>1700</v>
      </c>
      <c r="C1727" s="196">
        <v>481905383</v>
      </c>
      <c r="D1727" s="196">
        <v>0</v>
      </c>
      <c r="E1727" s="196">
        <v>0</v>
      </c>
      <c r="F1727" s="196">
        <v>0</v>
      </c>
      <c r="G1727" s="196">
        <v>481905383</v>
      </c>
    </row>
    <row r="1728" spans="1:7" x14ac:dyDescent="0.3">
      <c r="A1728" s="198">
        <v>830062565</v>
      </c>
      <c r="B1728" s="192" t="s">
        <v>1771</v>
      </c>
      <c r="C1728" s="196">
        <v>12941200</v>
      </c>
      <c r="D1728" s="196">
        <v>0</v>
      </c>
      <c r="E1728" s="196">
        <v>0</v>
      </c>
      <c r="F1728" s="196">
        <v>0</v>
      </c>
      <c r="G1728" s="196">
        <v>12941200</v>
      </c>
    </row>
    <row r="1729" spans="1:7" x14ac:dyDescent="0.3">
      <c r="A1729" s="198">
        <v>900895205</v>
      </c>
      <c r="B1729" s="192" t="s">
        <v>1665</v>
      </c>
      <c r="C1729" s="196">
        <v>43260111.649999999</v>
      </c>
      <c r="D1729" s="196">
        <v>0</v>
      </c>
      <c r="E1729" s="196">
        <v>0</v>
      </c>
      <c r="F1729" s="196">
        <v>0</v>
      </c>
      <c r="G1729" s="196">
        <v>43260111.649999999</v>
      </c>
    </row>
    <row r="1730" spans="1:7" x14ac:dyDescent="0.3">
      <c r="A1730" s="198">
        <v>830013731</v>
      </c>
      <c r="B1730" s="192" t="s">
        <v>1772</v>
      </c>
      <c r="C1730" s="196">
        <v>3500000</v>
      </c>
      <c r="D1730" s="196">
        <v>0</v>
      </c>
      <c r="E1730" s="196">
        <v>0</v>
      </c>
      <c r="F1730" s="196">
        <v>0</v>
      </c>
      <c r="G1730" s="196">
        <v>3500000</v>
      </c>
    </row>
    <row r="1731" spans="1:7" x14ac:dyDescent="0.3">
      <c r="A1731" s="198">
        <v>830004892</v>
      </c>
      <c r="B1731" s="192" t="s">
        <v>1773</v>
      </c>
      <c r="C1731" s="196">
        <v>183058254</v>
      </c>
      <c r="D1731" s="196">
        <v>0</v>
      </c>
      <c r="E1731" s="196">
        <v>0</v>
      </c>
      <c r="F1731" s="196">
        <v>0</v>
      </c>
      <c r="G1731" s="196">
        <v>183058254</v>
      </c>
    </row>
    <row r="1732" spans="1:7" x14ac:dyDescent="0.3">
      <c r="A1732" s="198">
        <v>15200502</v>
      </c>
      <c r="B1732" s="192" t="s">
        <v>1774</v>
      </c>
      <c r="C1732" s="196">
        <v>2390389593.7199998</v>
      </c>
      <c r="D1732" s="196">
        <v>0</v>
      </c>
      <c r="E1732" s="196">
        <v>0</v>
      </c>
      <c r="F1732" s="196">
        <v>0</v>
      </c>
      <c r="G1732" s="196">
        <v>2390389593.7199998</v>
      </c>
    </row>
    <row r="1733" spans="1:7" x14ac:dyDescent="0.3">
      <c r="A1733" s="198">
        <v>860019041</v>
      </c>
      <c r="B1733" s="192" t="s">
        <v>1647</v>
      </c>
      <c r="C1733" s="196">
        <v>1747287193.72</v>
      </c>
      <c r="D1733" s="196">
        <v>0</v>
      </c>
      <c r="E1733" s="196">
        <v>0</v>
      </c>
      <c r="F1733" s="196">
        <v>0</v>
      </c>
      <c r="G1733" s="196">
        <v>1747287193.72</v>
      </c>
    </row>
    <row r="1734" spans="1:7" x14ac:dyDescent="0.3">
      <c r="A1734" s="198">
        <v>900755062</v>
      </c>
      <c r="B1734" s="192" t="s">
        <v>1700</v>
      </c>
      <c r="C1734" s="196">
        <v>643102400</v>
      </c>
      <c r="D1734" s="196">
        <v>0</v>
      </c>
      <c r="E1734" s="196">
        <v>0</v>
      </c>
      <c r="F1734" s="196">
        <v>0</v>
      </c>
      <c r="G1734" s="196">
        <v>643102400</v>
      </c>
    </row>
    <row r="1735" spans="1:7" x14ac:dyDescent="0.3">
      <c r="A1735" s="198">
        <v>15200503</v>
      </c>
      <c r="B1735" s="192" t="s">
        <v>1775</v>
      </c>
      <c r="C1735" s="196">
        <v>60744520</v>
      </c>
      <c r="D1735" s="196">
        <v>0</v>
      </c>
      <c r="E1735" s="196">
        <v>0</v>
      </c>
      <c r="F1735" s="196">
        <v>0</v>
      </c>
      <c r="G1735" s="196">
        <v>60744520</v>
      </c>
    </row>
    <row r="1736" spans="1:7" x14ac:dyDescent="0.3">
      <c r="A1736" s="198">
        <v>900755062</v>
      </c>
      <c r="B1736" s="192" t="s">
        <v>1700</v>
      </c>
      <c r="C1736" s="196">
        <v>21944520</v>
      </c>
      <c r="D1736" s="196">
        <v>0</v>
      </c>
      <c r="E1736" s="196">
        <v>0</v>
      </c>
      <c r="F1736" s="196">
        <v>0</v>
      </c>
      <c r="G1736" s="196">
        <v>21944520</v>
      </c>
    </row>
    <row r="1737" spans="1:7" x14ac:dyDescent="0.3">
      <c r="A1737" s="198">
        <v>900895205</v>
      </c>
      <c r="B1737" s="192" t="s">
        <v>1665</v>
      </c>
      <c r="C1737" s="196">
        <v>38800000</v>
      </c>
      <c r="D1737" s="196">
        <v>0</v>
      </c>
      <c r="E1737" s="196">
        <v>0</v>
      </c>
      <c r="F1737" s="196">
        <v>0</v>
      </c>
      <c r="G1737" s="196">
        <v>38800000</v>
      </c>
    </row>
    <row r="1738" spans="1:7" x14ac:dyDescent="0.3">
      <c r="A1738" s="198">
        <v>15200504</v>
      </c>
      <c r="B1738" s="192" t="s">
        <v>1776</v>
      </c>
      <c r="C1738" s="196">
        <v>1908457343.47</v>
      </c>
      <c r="D1738" s="196">
        <v>0</v>
      </c>
      <c r="E1738" s="196">
        <v>0</v>
      </c>
      <c r="F1738" s="196">
        <v>0</v>
      </c>
      <c r="G1738" s="196">
        <v>1908457343.47</v>
      </c>
    </row>
    <row r="1739" spans="1:7" x14ac:dyDescent="0.3">
      <c r="A1739" s="198">
        <v>860019041</v>
      </c>
      <c r="B1739" s="192" t="s">
        <v>1647</v>
      </c>
      <c r="C1739" s="196">
        <v>1645139300</v>
      </c>
      <c r="D1739" s="196">
        <v>0</v>
      </c>
      <c r="E1739" s="196">
        <v>0</v>
      </c>
      <c r="F1739" s="196">
        <v>0</v>
      </c>
      <c r="G1739" s="196">
        <v>1645139300</v>
      </c>
    </row>
    <row r="1740" spans="1:7" x14ac:dyDescent="0.3">
      <c r="A1740" s="198">
        <v>13933</v>
      </c>
      <c r="B1740" s="192" t="s">
        <v>1777</v>
      </c>
      <c r="C1740" s="196">
        <v>69750000</v>
      </c>
      <c r="D1740" s="196">
        <v>0</v>
      </c>
      <c r="E1740" s="196">
        <v>0</v>
      </c>
      <c r="F1740" s="196">
        <v>0</v>
      </c>
      <c r="G1740" s="196">
        <v>69750000</v>
      </c>
    </row>
    <row r="1741" spans="1:7" x14ac:dyDescent="0.3">
      <c r="A1741" s="198">
        <v>900755062</v>
      </c>
      <c r="B1741" s="192" t="s">
        <v>1700</v>
      </c>
      <c r="C1741" s="196">
        <v>193568043.47</v>
      </c>
      <c r="D1741" s="196">
        <v>0</v>
      </c>
      <c r="E1741" s="196">
        <v>0</v>
      </c>
      <c r="F1741" s="196">
        <v>0</v>
      </c>
      <c r="G1741" s="196">
        <v>193568043.47</v>
      </c>
    </row>
    <row r="1742" spans="1:7" x14ac:dyDescent="0.3">
      <c r="A1742" s="198">
        <v>15200524</v>
      </c>
      <c r="B1742" s="192" t="s">
        <v>1778</v>
      </c>
      <c r="C1742" s="196">
        <v>577600794.65999997</v>
      </c>
      <c r="D1742" s="196">
        <v>0</v>
      </c>
      <c r="E1742" s="196">
        <v>0</v>
      </c>
      <c r="F1742" s="196">
        <v>0</v>
      </c>
      <c r="G1742" s="196">
        <v>577600794.65999997</v>
      </c>
    </row>
    <row r="1743" spans="1:7" x14ac:dyDescent="0.3">
      <c r="A1743" s="198">
        <v>900686004</v>
      </c>
      <c r="B1743" s="192" t="s">
        <v>1766</v>
      </c>
      <c r="C1743" s="196">
        <v>191596.57</v>
      </c>
      <c r="D1743" s="196">
        <v>0</v>
      </c>
      <c r="E1743" s="196">
        <v>0</v>
      </c>
      <c r="F1743" s="196">
        <v>0</v>
      </c>
      <c r="G1743" s="196">
        <v>191596.57</v>
      </c>
    </row>
    <row r="1744" spans="1:7" x14ac:dyDescent="0.3">
      <c r="A1744" s="198">
        <v>900308419</v>
      </c>
      <c r="B1744" s="192" t="s">
        <v>1767</v>
      </c>
      <c r="C1744" s="196">
        <v>307800</v>
      </c>
      <c r="D1744" s="196">
        <v>0</v>
      </c>
      <c r="E1744" s="196">
        <v>0</v>
      </c>
      <c r="F1744" s="196">
        <v>0</v>
      </c>
      <c r="G1744" s="196">
        <v>307800</v>
      </c>
    </row>
    <row r="1745" spans="1:7" x14ac:dyDescent="0.3">
      <c r="A1745" s="198">
        <v>860019041</v>
      </c>
      <c r="B1745" s="192" t="s">
        <v>1647</v>
      </c>
      <c r="C1745" s="196">
        <v>343617776.27999997</v>
      </c>
      <c r="D1745" s="196">
        <v>0</v>
      </c>
      <c r="E1745" s="196">
        <v>0</v>
      </c>
      <c r="F1745" s="196">
        <v>0</v>
      </c>
      <c r="G1745" s="196">
        <v>343617776.27999997</v>
      </c>
    </row>
    <row r="1746" spans="1:7" x14ac:dyDescent="0.3">
      <c r="A1746" s="198">
        <v>890940259</v>
      </c>
      <c r="B1746" s="192" t="s">
        <v>1648</v>
      </c>
      <c r="C1746" s="196">
        <v>34827708.119999997</v>
      </c>
      <c r="D1746" s="196">
        <v>0</v>
      </c>
      <c r="E1746" s="196">
        <v>0</v>
      </c>
      <c r="F1746" s="196">
        <v>0</v>
      </c>
      <c r="G1746" s="196">
        <v>34827708.119999997</v>
      </c>
    </row>
    <row r="1747" spans="1:7" x14ac:dyDescent="0.3">
      <c r="A1747" s="198">
        <v>811044148</v>
      </c>
      <c r="B1747" s="192" t="s">
        <v>1769</v>
      </c>
      <c r="C1747" s="196">
        <v>987201.62</v>
      </c>
      <c r="D1747" s="196">
        <v>0</v>
      </c>
      <c r="E1747" s="196">
        <v>0</v>
      </c>
      <c r="F1747" s="196">
        <v>0</v>
      </c>
      <c r="G1747" s="196">
        <v>987201.62</v>
      </c>
    </row>
    <row r="1748" spans="1:7" x14ac:dyDescent="0.3">
      <c r="A1748" s="198">
        <v>900755062</v>
      </c>
      <c r="B1748" s="192" t="s">
        <v>1700</v>
      </c>
      <c r="C1748" s="196">
        <v>151682280</v>
      </c>
      <c r="D1748" s="196">
        <v>0</v>
      </c>
      <c r="E1748" s="196">
        <v>0</v>
      </c>
      <c r="F1748" s="196">
        <v>0</v>
      </c>
      <c r="G1748" s="196">
        <v>151682280</v>
      </c>
    </row>
    <row r="1749" spans="1:7" x14ac:dyDescent="0.3">
      <c r="A1749" s="198">
        <v>830062565</v>
      </c>
      <c r="B1749" s="192" t="s">
        <v>1771</v>
      </c>
      <c r="C1749" s="196">
        <v>2458828</v>
      </c>
      <c r="D1749" s="196">
        <v>0</v>
      </c>
      <c r="E1749" s="196">
        <v>0</v>
      </c>
      <c r="F1749" s="196">
        <v>0</v>
      </c>
      <c r="G1749" s="196">
        <v>2458828</v>
      </c>
    </row>
    <row r="1750" spans="1:7" x14ac:dyDescent="0.3">
      <c r="A1750" s="198">
        <v>900895205</v>
      </c>
      <c r="B1750" s="192" t="s">
        <v>1665</v>
      </c>
      <c r="C1750" s="196">
        <v>7372000</v>
      </c>
      <c r="D1750" s="196">
        <v>0</v>
      </c>
      <c r="E1750" s="196">
        <v>0</v>
      </c>
      <c r="F1750" s="196">
        <v>0</v>
      </c>
      <c r="G1750" s="196">
        <v>7372000</v>
      </c>
    </row>
    <row r="1751" spans="1:7" x14ac:dyDescent="0.3">
      <c r="A1751" s="198">
        <v>830013731</v>
      </c>
      <c r="B1751" s="192" t="s">
        <v>1772</v>
      </c>
      <c r="C1751" s="196">
        <v>665000</v>
      </c>
      <c r="D1751" s="196">
        <v>0</v>
      </c>
      <c r="E1751" s="196">
        <v>0</v>
      </c>
      <c r="F1751" s="196">
        <v>0</v>
      </c>
      <c r="G1751" s="196">
        <v>665000</v>
      </c>
    </row>
    <row r="1752" spans="1:7" x14ac:dyDescent="0.3">
      <c r="A1752" s="198">
        <v>830004892</v>
      </c>
      <c r="B1752" s="192" t="s">
        <v>1773</v>
      </c>
      <c r="C1752" s="196">
        <v>35490604.07</v>
      </c>
      <c r="D1752" s="196">
        <v>0</v>
      </c>
      <c r="E1752" s="196">
        <v>0</v>
      </c>
      <c r="F1752" s="196">
        <v>0</v>
      </c>
      <c r="G1752" s="196">
        <v>35490604.07</v>
      </c>
    </row>
    <row r="1753" spans="1:7" x14ac:dyDescent="0.3">
      <c r="A1753" s="197">
        <v>1524</v>
      </c>
      <c r="B1753" s="191" t="s">
        <v>1779</v>
      </c>
      <c r="C1753" s="195">
        <v>291514484.76999998</v>
      </c>
      <c r="D1753" s="195">
        <v>19992000</v>
      </c>
      <c r="E1753" s="195">
        <v>0</v>
      </c>
      <c r="F1753" s="195">
        <v>19992000</v>
      </c>
      <c r="G1753" s="195">
        <v>311506484.76999998</v>
      </c>
    </row>
    <row r="1754" spans="1:7" x14ac:dyDescent="0.3">
      <c r="A1754" s="197">
        <v>152405</v>
      </c>
      <c r="B1754" s="191" t="s">
        <v>1780</v>
      </c>
      <c r="C1754" s="195">
        <v>260181185.33000001</v>
      </c>
      <c r="D1754" s="195">
        <v>0</v>
      </c>
      <c r="E1754" s="195">
        <v>0</v>
      </c>
      <c r="F1754" s="195">
        <v>0</v>
      </c>
      <c r="G1754" s="195">
        <v>260181185.33000001</v>
      </c>
    </row>
    <row r="1755" spans="1:7" x14ac:dyDescent="0.3">
      <c r="A1755" s="198">
        <v>15240501</v>
      </c>
      <c r="B1755" s="192" t="s">
        <v>1780</v>
      </c>
      <c r="C1755" s="196">
        <v>238166471.21000001</v>
      </c>
      <c r="D1755" s="196">
        <v>0</v>
      </c>
      <c r="E1755" s="196">
        <v>0</v>
      </c>
      <c r="F1755" s="196">
        <v>0</v>
      </c>
      <c r="G1755" s="196">
        <v>238166471.21000001</v>
      </c>
    </row>
    <row r="1756" spans="1:7" x14ac:dyDescent="0.3">
      <c r="A1756" s="198">
        <v>1022356522</v>
      </c>
      <c r="B1756" s="192" t="s">
        <v>1781</v>
      </c>
      <c r="C1756" s="196">
        <v>350000</v>
      </c>
      <c r="D1756" s="196">
        <v>0</v>
      </c>
      <c r="E1756" s="196">
        <v>0</v>
      </c>
      <c r="F1756" s="196">
        <v>0</v>
      </c>
      <c r="G1756" s="196">
        <v>350000</v>
      </c>
    </row>
    <row r="1757" spans="1:7" x14ac:dyDescent="0.3">
      <c r="A1757" s="198">
        <v>890942924</v>
      </c>
      <c r="B1757" s="192" t="s">
        <v>1782</v>
      </c>
      <c r="C1757" s="196">
        <v>7432818</v>
      </c>
      <c r="D1757" s="196">
        <v>0</v>
      </c>
      <c r="E1757" s="196">
        <v>0</v>
      </c>
      <c r="F1757" s="196">
        <v>0</v>
      </c>
      <c r="G1757" s="196">
        <v>7432818</v>
      </c>
    </row>
    <row r="1758" spans="1:7" x14ac:dyDescent="0.3">
      <c r="A1758" s="198">
        <v>890900943</v>
      </c>
      <c r="B1758" s="192" t="s">
        <v>1783</v>
      </c>
      <c r="C1758" s="196">
        <v>2394790</v>
      </c>
      <c r="D1758" s="196">
        <v>0</v>
      </c>
      <c r="E1758" s="196">
        <v>0</v>
      </c>
      <c r="F1758" s="196">
        <v>0</v>
      </c>
      <c r="G1758" s="196">
        <v>2394790</v>
      </c>
    </row>
    <row r="1759" spans="1:7" x14ac:dyDescent="0.3">
      <c r="A1759" s="198">
        <v>1007045915</v>
      </c>
      <c r="B1759" s="192" t="s">
        <v>1634</v>
      </c>
      <c r="C1759" s="196">
        <v>66501435</v>
      </c>
      <c r="D1759" s="196">
        <v>0</v>
      </c>
      <c r="E1759" s="196">
        <v>0</v>
      </c>
      <c r="F1759" s="196">
        <v>0</v>
      </c>
      <c r="G1759" s="196">
        <v>66501435</v>
      </c>
    </row>
    <row r="1760" spans="1:7" x14ac:dyDescent="0.3">
      <c r="A1760" s="198">
        <v>901414090</v>
      </c>
      <c r="B1760" s="192" t="s">
        <v>1784</v>
      </c>
      <c r="C1760" s="196">
        <v>12890701</v>
      </c>
      <c r="D1760" s="196">
        <v>0</v>
      </c>
      <c r="E1760" s="196">
        <v>0</v>
      </c>
      <c r="F1760" s="196">
        <v>0</v>
      </c>
      <c r="G1760" s="196">
        <v>12890701</v>
      </c>
    </row>
    <row r="1761" spans="1:7" x14ac:dyDescent="0.3">
      <c r="A1761" s="198">
        <v>901324429</v>
      </c>
      <c r="B1761" s="192" t="s">
        <v>1785</v>
      </c>
      <c r="C1761" s="196">
        <v>5380000</v>
      </c>
      <c r="D1761" s="196">
        <v>0</v>
      </c>
      <c r="E1761" s="196">
        <v>0</v>
      </c>
      <c r="F1761" s="196">
        <v>0</v>
      </c>
      <c r="G1761" s="196">
        <v>5380000</v>
      </c>
    </row>
    <row r="1762" spans="1:7" x14ac:dyDescent="0.3">
      <c r="A1762" s="198">
        <v>811037682</v>
      </c>
      <c r="B1762" s="192" t="s">
        <v>1786</v>
      </c>
      <c r="C1762" s="196">
        <v>19535210.09</v>
      </c>
      <c r="D1762" s="196">
        <v>0</v>
      </c>
      <c r="E1762" s="196">
        <v>0</v>
      </c>
      <c r="F1762" s="196">
        <v>0</v>
      </c>
      <c r="G1762" s="196">
        <v>19535210.09</v>
      </c>
    </row>
    <row r="1763" spans="1:7" x14ac:dyDescent="0.3">
      <c r="A1763" s="198">
        <v>890939027</v>
      </c>
      <c r="B1763" s="192" t="s">
        <v>1787</v>
      </c>
      <c r="C1763" s="196">
        <v>16010800</v>
      </c>
      <c r="D1763" s="196">
        <v>0</v>
      </c>
      <c r="E1763" s="196">
        <v>0</v>
      </c>
      <c r="F1763" s="196">
        <v>0</v>
      </c>
      <c r="G1763" s="196">
        <v>16010800</v>
      </c>
    </row>
    <row r="1764" spans="1:7" x14ac:dyDescent="0.3">
      <c r="A1764" s="198">
        <v>900727869</v>
      </c>
      <c r="B1764" s="192" t="s">
        <v>1788</v>
      </c>
      <c r="C1764" s="196">
        <v>5942165</v>
      </c>
      <c r="D1764" s="196">
        <v>0</v>
      </c>
      <c r="E1764" s="196">
        <v>0</v>
      </c>
      <c r="F1764" s="196">
        <v>0</v>
      </c>
      <c r="G1764" s="196">
        <v>5942165</v>
      </c>
    </row>
    <row r="1765" spans="1:7" x14ac:dyDescent="0.3">
      <c r="A1765" s="198">
        <v>901741006</v>
      </c>
      <c r="B1765" s="192" t="s">
        <v>1789</v>
      </c>
      <c r="C1765" s="196">
        <v>6890756.2999999998</v>
      </c>
      <c r="D1765" s="196">
        <v>0</v>
      </c>
      <c r="E1765" s="196">
        <v>0</v>
      </c>
      <c r="F1765" s="196">
        <v>0</v>
      </c>
      <c r="G1765" s="196">
        <v>6890756.2999999998</v>
      </c>
    </row>
    <row r="1766" spans="1:7" x14ac:dyDescent="0.3">
      <c r="A1766" s="198">
        <v>800244270</v>
      </c>
      <c r="B1766" s="192" t="s">
        <v>1790</v>
      </c>
      <c r="C1766" s="196">
        <v>18474814</v>
      </c>
      <c r="D1766" s="196">
        <v>0</v>
      </c>
      <c r="E1766" s="196">
        <v>0</v>
      </c>
      <c r="F1766" s="196">
        <v>0</v>
      </c>
      <c r="G1766" s="196">
        <v>18474814</v>
      </c>
    </row>
    <row r="1767" spans="1:7" x14ac:dyDescent="0.3">
      <c r="A1767" s="198">
        <v>1036630932</v>
      </c>
      <c r="B1767" s="192" t="s">
        <v>1791</v>
      </c>
      <c r="C1767" s="196">
        <v>3500000</v>
      </c>
      <c r="D1767" s="196">
        <v>0</v>
      </c>
      <c r="E1767" s="196">
        <v>0</v>
      </c>
      <c r="F1767" s="196">
        <v>0</v>
      </c>
      <c r="G1767" s="196">
        <v>3500000</v>
      </c>
    </row>
    <row r="1768" spans="1:7" x14ac:dyDescent="0.3">
      <c r="A1768" s="198">
        <v>811044148</v>
      </c>
      <c r="B1768" s="192" t="s">
        <v>1769</v>
      </c>
      <c r="C1768" s="196">
        <v>3318091.66</v>
      </c>
      <c r="D1768" s="196">
        <v>0</v>
      </c>
      <c r="E1768" s="196">
        <v>0</v>
      </c>
      <c r="F1768" s="196">
        <v>0</v>
      </c>
      <c r="G1768" s="196">
        <v>3318091.66</v>
      </c>
    </row>
    <row r="1769" spans="1:7" x14ac:dyDescent="0.3">
      <c r="A1769" s="198">
        <v>890900297</v>
      </c>
      <c r="B1769" s="192" t="s">
        <v>1792</v>
      </c>
      <c r="C1769" s="196">
        <v>6347973</v>
      </c>
      <c r="D1769" s="196">
        <v>0</v>
      </c>
      <c r="E1769" s="196">
        <v>0</v>
      </c>
      <c r="F1769" s="196">
        <v>0</v>
      </c>
      <c r="G1769" s="196">
        <v>6347973</v>
      </c>
    </row>
    <row r="1770" spans="1:7" x14ac:dyDescent="0.3">
      <c r="A1770" s="198">
        <v>900755062</v>
      </c>
      <c r="B1770" s="192" t="s">
        <v>1700</v>
      </c>
      <c r="C1770" s="196">
        <v>53414480</v>
      </c>
      <c r="D1770" s="196">
        <v>0</v>
      </c>
      <c r="E1770" s="196">
        <v>0</v>
      </c>
      <c r="F1770" s="196">
        <v>0</v>
      </c>
      <c r="G1770" s="196">
        <v>53414480</v>
      </c>
    </row>
    <row r="1771" spans="1:7" x14ac:dyDescent="0.3">
      <c r="A1771" s="198">
        <v>8347349</v>
      </c>
      <c r="B1771" s="192" t="s">
        <v>1793</v>
      </c>
      <c r="C1771" s="196">
        <v>6468907.5599999996</v>
      </c>
      <c r="D1771" s="196">
        <v>0</v>
      </c>
      <c r="E1771" s="196">
        <v>0</v>
      </c>
      <c r="F1771" s="196">
        <v>0</v>
      </c>
      <c r="G1771" s="196">
        <v>6468907.5599999996</v>
      </c>
    </row>
    <row r="1772" spans="1:7" x14ac:dyDescent="0.3">
      <c r="A1772" s="198">
        <v>1128280938</v>
      </c>
      <c r="B1772" s="192" t="s">
        <v>1794</v>
      </c>
      <c r="C1772" s="196">
        <v>1327732</v>
      </c>
      <c r="D1772" s="196">
        <v>0</v>
      </c>
      <c r="E1772" s="196">
        <v>0</v>
      </c>
      <c r="F1772" s="196">
        <v>0</v>
      </c>
      <c r="G1772" s="196">
        <v>1327732</v>
      </c>
    </row>
    <row r="1773" spans="1:7" x14ac:dyDescent="0.3">
      <c r="A1773" s="198">
        <v>800242106</v>
      </c>
      <c r="B1773" s="192" t="s">
        <v>1757</v>
      </c>
      <c r="C1773" s="196">
        <v>1835797.6</v>
      </c>
      <c r="D1773" s="196">
        <v>0</v>
      </c>
      <c r="E1773" s="196">
        <v>0</v>
      </c>
      <c r="F1773" s="196">
        <v>0</v>
      </c>
      <c r="G1773" s="196">
        <v>1835797.6</v>
      </c>
    </row>
    <row r="1774" spans="1:7" x14ac:dyDescent="0.3">
      <c r="A1774" s="198">
        <v>71275751</v>
      </c>
      <c r="B1774" s="192" t="s">
        <v>1795</v>
      </c>
      <c r="C1774" s="196">
        <v>150000</v>
      </c>
      <c r="D1774" s="196">
        <v>0</v>
      </c>
      <c r="E1774" s="196">
        <v>0</v>
      </c>
      <c r="F1774" s="196">
        <v>0</v>
      </c>
      <c r="G1774" s="196">
        <v>150000</v>
      </c>
    </row>
    <row r="1775" spans="1:7" x14ac:dyDescent="0.3">
      <c r="A1775" s="198">
        <v>15240524</v>
      </c>
      <c r="B1775" s="192" t="s">
        <v>1796</v>
      </c>
      <c r="C1775" s="196">
        <v>22014714.120000001</v>
      </c>
      <c r="D1775" s="196">
        <v>0</v>
      </c>
      <c r="E1775" s="196">
        <v>0</v>
      </c>
      <c r="F1775" s="196">
        <v>0</v>
      </c>
      <c r="G1775" s="196">
        <v>22014714.120000001</v>
      </c>
    </row>
    <row r="1776" spans="1:7" x14ac:dyDescent="0.3">
      <c r="A1776" s="198">
        <v>890942924</v>
      </c>
      <c r="B1776" s="192" t="s">
        <v>1782</v>
      </c>
      <c r="C1776" s="196">
        <v>1149394.17</v>
      </c>
      <c r="D1776" s="196">
        <v>0</v>
      </c>
      <c r="E1776" s="196">
        <v>0</v>
      </c>
      <c r="F1776" s="196">
        <v>0</v>
      </c>
      <c r="G1776" s="196">
        <v>1149394.17</v>
      </c>
    </row>
    <row r="1777" spans="1:7" x14ac:dyDescent="0.3">
      <c r="A1777" s="198">
        <v>890900943</v>
      </c>
      <c r="B1777" s="192" t="s">
        <v>1783</v>
      </c>
      <c r="C1777" s="196">
        <v>319311.71999999997</v>
      </c>
      <c r="D1777" s="196">
        <v>0</v>
      </c>
      <c r="E1777" s="196">
        <v>0</v>
      </c>
      <c r="F1777" s="196">
        <v>0</v>
      </c>
      <c r="G1777" s="196">
        <v>319311.71999999997</v>
      </c>
    </row>
    <row r="1778" spans="1:7" x14ac:dyDescent="0.3">
      <c r="A1778" s="198">
        <v>901414090</v>
      </c>
      <c r="B1778" s="192" t="s">
        <v>1784</v>
      </c>
      <c r="C1778" s="196">
        <v>2449233.19</v>
      </c>
      <c r="D1778" s="196">
        <v>0</v>
      </c>
      <c r="E1778" s="196">
        <v>0</v>
      </c>
      <c r="F1778" s="196">
        <v>0</v>
      </c>
      <c r="G1778" s="196">
        <v>2449233.19</v>
      </c>
    </row>
    <row r="1779" spans="1:7" x14ac:dyDescent="0.3">
      <c r="A1779" s="198">
        <v>901324429</v>
      </c>
      <c r="B1779" s="192" t="s">
        <v>1785</v>
      </c>
      <c r="C1779" s="196">
        <v>1022200</v>
      </c>
      <c r="D1779" s="196">
        <v>0</v>
      </c>
      <c r="E1779" s="196">
        <v>0</v>
      </c>
      <c r="F1779" s="196">
        <v>0</v>
      </c>
      <c r="G1779" s="196">
        <v>1022200</v>
      </c>
    </row>
    <row r="1780" spans="1:7" x14ac:dyDescent="0.3">
      <c r="A1780" s="198">
        <v>811037682</v>
      </c>
      <c r="B1780" s="192" t="s">
        <v>1786</v>
      </c>
      <c r="C1780" s="196">
        <v>3711689.92</v>
      </c>
      <c r="D1780" s="196">
        <v>0</v>
      </c>
      <c r="E1780" s="196">
        <v>0</v>
      </c>
      <c r="F1780" s="196">
        <v>0</v>
      </c>
      <c r="G1780" s="196">
        <v>3711689.92</v>
      </c>
    </row>
    <row r="1781" spans="1:7" x14ac:dyDescent="0.3">
      <c r="A1781" s="198">
        <v>890939027</v>
      </c>
      <c r="B1781" s="192" t="s">
        <v>1787</v>
      </c>
      <c r="C1781" s="196">
        <v>3042052</v>
      </c>
      <c r="D1781" s="196">
        <v>0</v>
      </c>
      <c r="E1781" s="196">
        <v>0</v>
      </c>
      <c r="F1781" s="196">
        <v>0</v>
      </c>
      <c r="G1781" s="196">
        <v>3042052</v>
      </c>
    </row>
    <row r="1782" spans="1:7" x14ac:dyDescent="0.3">
      <c r="A1782" s="198">
        <v>900727869</v>
      </c>
      <c r="B1782" s="192" t="s">
        <v>1788</v>
      </c>
      <c r="C1782" s="196">
        <v>1129011.3500000001</v>
      </c>
      <c r="D1782" s="196">
        <v>0</v>
      </c>
      <c r="E1782" s="196">
        <v>0</v>
      </c>
      <c r="F1782" s="196">
        <v>0</v>
      </c>
      <c r="G1782" s="196">
        <v>1129011.3500000001</v>
      </c>
    </row>
    <row r="1783" spans="1:7" x14ac:dyDescent="0.3">
      <c r="A1783" s="198">
        <v>901741006</v>
      </c>
      <c r="B1783" s="192" t="s">
        <v>1789</v>
      </c>
      <c r="C1783" s="196">
        <v>1309243.7</v>
      </c>
      <c r="D1783" s="196">
        <v>0</v>
      </c>
      <c r="E1783" s="196">
        <v>0</v>
      </c>
      <c r="F1783" s="196">
        <v>0</v>
      </c>
      <c r="G1783" s="196">
        <v>1309243.7</v>
      </c>
    </row>
    <row r="1784" spans="1:7" x14ac:dyDescent="0.3">
      <c r="A1784" s="198">
        <v>800244270</v>
      </c>
      <c r="B1784" s="192" t="s">
        <v>1790</v>
      </c>
      <c r="C1784" s="196">
        <v>3510214.66</v>
      </c>
      <c r="D1784" s="196">
        <v>0</v>
      </c>
      <c r="E1784" s="196">
        <v>0</v>
      </c>
      <c r="F1784" s="196">
        <v>0</v>
      </c>
      <c r="G1784" s="196">
        <v>3510214.66</v>
      </c>
    </row>
    <row r="1785" spans="1:7" x14ac:dyDescent="0.3">
      <c r="A1785" s="198">
        <v>811044148</v>
      </c>
      <c r="B1785" s="192" t="s">
        <v>1769</v>
      </c>
      <c r="C1785" s="196">
        <v>271907.48</v>
      </c>
      <c r="D1785" s="196">
        <v>0</v>
      </c>
      <c r="E1785" s="196">
        <v>0</v>
      </c>
      <c r="F1785" s="196">
        <v>0</v>
      </c>
      <c r="G1785" s="196">
        <v>271907.48</v>
      </c>
    </row>
    <row r="1786" spans="1:7" x14ac:dyDescent="0.3">
      <c r="A1786" s="198">
        <v>890900297</v>
      </c>
      <c r="B1786" s="192" t="s">
        <v>1792</v>
      </c>
      <c r="C1786" s="196">
        <v>1206114.8700000001</v>
      </c>
      <c r="D1786" s="196">
        <v>0</v>
      </c>
      <c r="E1786" s="196">
        <v>0</v>
      </c>
      <c r="F1786" s="196">
        <v>0</v>
      </c>
      <c r="G1786" s="196">
        <v>1206114.8700000001</v>
      </c>
    </row>
    <row r="1787" spans="1:7" x14ac:dyDescent="0.3">
      <c r="A1787" s="198">
        <v>900755062</v>
      </c>
      <c r="B1787" s="192" t="s">
        <v>1700</v>
      </c>
      <c r="C1787" s="196">
        <v>1064178</v>
      </c>
      <c r="D1787" s="196">
        <v>0</v>
      </c>
      <c r="E1787" s="196">
        <v>0</v>
      </c>
      <c r="F1787" s="196">
        <v>0</v>
      </c>
      <c r="G1787" s="196">
        <v>1064178</v>
      </c>
    </row>
    <row r="1788" spans="1:7" x14ac:dyDescent="0.3">
      <c r="A1788" s="198">
        <v>8347349</v>
      </c>
      <c r="B1788" s="192" t="s">
        <v>1793</v>
      </c>
      <c r="C1788" s="196">
        <v>1229092.44</v>
      </c>
      <c r="D1788" s="196">
        <v>0</v>
      </c>
      <c r="E1788" s="196">
        <v>0</v>
      </c>
      <c r="F1788" s="196">
        <v>0</v>
      </c>
      <c r="G1788" s="196">
        <v>1229092.44</v>
      </c>
    </row>
    <row r="1789" spans="1:7" x14ac:dyDescent="0.3">
      <c r="A1789" s="198">
        <v>1128280938</v>
      </c>
      <c r="B1789" s="192" t="s">
        <v>1794</v>
      </c>
      <c r="C1789" s="196">
        <v>252269.08</v>
      </c>
      <c r="D1789" s="196">
        <v>0</v>
      </c>
      <c r="E1789" s="196">
        <v>0</v>
      </c>
      <c r="F1789" s="196">
        <v>0</v>
      </c>
      <c r="G1789" s="196">
        <v>252269.08</v>
      </c>
    </row>
    <row r="1790" spans="1:7" x14ac:dyDescent="0.3">
      <c r="A1790" s="198">
        <v>800242106</v>
      </c>
      <c r="B1790" s="192" t="s">
        <v>1757</v>
      </c>
      <c r="C1790" s="196">
        <v>348801.54</v>
      </c>
      <c r="D1790" s="196">
        <v>0</v>
      </c>
      <c r="E1790" s="196">
        <v>0</v>
      </c>
      <c r="F1790" s="196">
        <v>0</v>
      </c>
      <c r="G1790" s="196">
        <v>348801.54</v>
      </c>
    </row>
    <row r="1791" spans="1:7" x14ac:dyDescent="0.3">
      <c r="A1791" s="197">
        <v>152410</v>
      </c>
      <c r="B1791" s="191" t="s">
        <v>1797</v>
      </c>
      <c r="C1791" s="195">
        <v>31090299.440000001</v>
      </c>
      <c r="D1791" s="195">
        <v>19992000</v>
      </c>
      <c r="E1791" s="195">
        <v>0</v>
      </c>
      <c r="F1791" s="195">
        <v>19992000</v>
      </c>
      <c r="G1791" s="195">
        <v>51082299.439999998</v>
      </c>
    </row>
    <row r="1792" spans="1:7" x14ac:dyDescent="0.3">
      <c r="A1792" s="198">
        <v>15241001</v>
      </c>
      <c r="B1792" s="192" t="s">
        <v>1797</v>
      </c>
      <c r="C1792" s="196">
        <v>29226176</v>
      </c>
      <c r="D1792" s="196">
        <v>16800000</v>
      </c>
      <c r="E1792" s="196">
        <v>0</v>
      </c>
      <c r="F1792" s="196">
        <v>16800000</v>
      </c>
      <c r="G1792" s="196">
        <v>46026176</v>
      </c>
    </row>
    <row r="1793" spans="1:7" x14ac:dyDescent="0.3">
      <c r="A1793" s="198">
        <v>890900943</v>
      </c>
      <c r="B1793" s="192" t="s">
        <v>1783</v>
      </c>
      <c r="C1793" s="196">
        <v>6948176</v>
      </c>
      <c r="D1793" s="196">
        <v>0</v>
      </c>
      <c r="E1793" s="196">
        <v>0</v>
      </c>
      <c r="F1793" s="196">
        <v>0</v>
      </c>
      <c r="G1793" s="196">
        <v>6948176</v>
      </c>
    </row>
    <row r="1794" spans="1:7" x14ac:dyDescent="0.3">
      <c r="A1794" s="198">
        <v>1037583982</v>
      </c>
      <c r="B1794" s="192" t="s">
        <v>1798</v>
      </c>
      <c r="C1794" s="196">
        <v>4415000</v>
      </c>
      <c r="D1794" s="196">
        <v>0</v>
      </c>
      <c r="E1794" s="196">
        <v>0</v>
      </c>
      <c r="F1794" s="196">
        <v>0</v>
      </c>
      <c r="G1794" s="196">
        <v>4415000</v>
      </c>
    </row>
    <row r="1795" spans="1:7" x14ac:dyDescent="0.3">
      <c r="A1795" s="198">
        <v>890942832</v>
      </c>
      <c r="B1795" s="192" t="s">
        <v>1646</v>
      </c>
      <c r="C1795" s="196">
        <v>15000000</v>
      </c>
      <c r="D1795" s="196">
        <v>0</v>
      </c>
      <c r="E1795" s="196">
        <v>0</v>
      </c>
      <c r="F1795" s="196">
        <v>0</v>
      </c>
      <c r="G1795" s="196">
        <v>15000000</v>
      </c>
    </row>
    <row r="1796" spans="1:7" x14ac:dyDescent="0.3">
      <c r="A1796" s="198">
        <v>830062565</v>
      </c>
      <c r="B1796" s="192" t="s">
        <v>1771</v>
      </c>
      <c r="C1796" s="196">
        <v>0</v>
      </c>
      <c r="D1796" s="196">
        <v>16800000</v>
      </c>
      <c r="E1796" s="196">
        <v>0</v>
      </c>
      <c r="F1796" s="196">
        <v>16800000</v>
      </c>
      <c r="G1796" s="196">
        <v>16800000</v>
      </c>
    </row>
    <row r="1797" spans="1:7" x14ac:dyDescent="0.3">
      <c r="A1797" s="198">
        <v>901090077</v>
      </c>
      <c r="B1797" s="192" t="s">
        <v>1799</v>
      </c>
      <c r="C1797" s="196">
        <v>2863000</v>
      </c>
      <c r="D1797" s="196">
        <v>0</v>
      </c>
      <c r="E1797" s="196">
        <v>0</v>
      </c>
      <c r="F1797" s="196">
        <v>0</v>
      </c>
      <c r="G1797" s="196">
        <v>2863000</v>
      </c>
    </row>
    <row r="1798" spans="1:7" x14ac:dyDescent="0.3">
      <c r="A1798" s="198">
        <v>15241024</v>
      </c>
      <c r="B1798" s="192" t="s">
        <v>1800</v>
      </c>
      <c r="C1798" s="196">
        <v>1864123.44</v>
      </c>
      <c r="D1798" s="196">
        <v>3192000</v>
      </c>
      <c r="E1798" s="196">
        <v>0</v>
      </c>
      <c r="F1798" s="196">
        <v>3192000</v>
      </c>
      <c r="G1798" s="196">
        <v>5056123.4400000004</v>
      </c>
    </row>
    <row r="1799" spans="1:7" x14ac:dyDescent="0.3">
      <c r="A1799" s="198">
        <v>890900943</v>
      </c>
      <c r="B1799" s="192" t="s">
        <v>1783</v>
      </c>
      <c r="C1799" s="196">
        <v>1320153.44</v>
      </c>
      <c r="D1799" s="196">
        <v>0</v>
      </c>
      <c r="E1799" s="196">
        <v>0</v>
      </c>
      <c r="F1799" s="196">
        <v>0</v>
      </c>
      <c r="G1799" s="196">
        <v>1320153.44</v>
      </c>
    </row>
    <row r="1800" spans="1:7" x14ac:dyDescent="0.3">
      <c r="A1800" s="198">
        <v>830062565</v>
      </c>
      <c r="B1800" s="192" t="s">
        <v>1771</v>
      </c>
      <c r="C1800" s="196">
        <v>0</v>
      </c>
      <c r="D1800" s="196">
        <v>3192000</v>
      </c>
      <c r="E1800" s="196">
        <v>0</v>
      </c>
      <c r="F1800" s="196">
        <v>3192000</v>
      </c>
      <c r="G1800" s="196">
        <v>3192000</v>
      </c>
    </row>
    <row r="1801" spans="1:7" x14ac:dyDescent="0.3">
      <c r="A1801" s="198">
        <v>901090077</v>
      </c>
      <c r="B1801" s="192" t="s">
        <v>1799</v>
      </c>
      <c r="C1801" s="196">
        <v>543970</v>
      </c>
      <c r="D1801" s="196">
        <v>0</v>
      </c>
      <c r="E1801" s="196">
        <v>0</v>
      </c>
      <c r="F1801" s="196">
        <v>0</v>
      </c>
      <c r="G1801" s="196">
        <v>543970</v>
      </c>
    </row>
    <row r="1802" spans="1:7" x14ac:dyDescent="0.3">
      <c r="A1802" s="197">
        <v>152495</v>
      </c>
      <c r="B1802" s="191" t="s">
        <v>1801</v>
      </c>
      <c r="C1802" s="195">
        <v>243000</v>
      </c>
      <c r="D1802" s="195">
        <v>0</v>
      </c>
      <c r="E1802" s="195">
        <v>0</v>
      </c>
      <c r="F1802" s="195">
        <v>0</v>
      </c>
      <c r="G1802" s="195">
        <v>243000</v>
      </c>
    </row>
    <row r="1803" spans="1:7" x14ac:dyDescent="0.3">
      <c r="A1803" s="198">
        <v>15249501</v>
      </c>
      <c r="B1803" s="192" t="s">
        <v>1801</v>
      </c>
      <c r="C1803" s="196">
        <v>243000</v>
      </c>
      <c r="D1803" s="196">
        <v>0</v>
      </c>
      <c r="E1803" s="196">
        <v>0</v>
      </c>
      <c r="F1803" s="196">
        <v>0</v>
      </c>
      <c r="G1803" s="196">
        <v>243000</v>
      </c>
    </row>
    <row r="1804" spans="1:7" x14ac:dyDescent="0.3">
      <c r="A1804" s="198">
        <v>900755062</v>
      </c>
      <c r="B1804" s="192" t="s">
        <v>1700</v>
      </c>
      <c r="C1804" s="196">
        <v>243000</v>
      </c>
      <c r="D1804" s="196">
        <v>0</v>
      </c>
      <c r="E1804" s="196">
        <v>0</v>
      </c>
      <c r="F1804" s="196">
        <v>0</v>
      </c>
      <c r="G1804" s="196">
        <v>243000</v>
      </c>
    </row>
    <row r="1805" spans="1:7" x14ac:dyDescent="0.3">
      <c r="A1805" s="197">
        <v>1528</v>
      </c>
      <c r="B1805" s="191" t="s">
        <v>1802</v>
      </c>
      <c r="C1805" s="195">
        <v>213328047.90000001</v>
      </c>
      <c r="D1805" s="195">
        <v>0</v>
      </c>
      <c r="E1805" s="195">
        <v>0</v>
      </c>
      <c r="F1805" s="195">
        <v>0</v>
      </c>
      <c r="G1805" s="195">
        <v>213328047.90000001</v>
      </c>
    </row>
    <row r="1806" spans="1:7" x14ac:dyDescent="0.3">
      <c r="A1806" s="197">
        <v>152805</v>
      </c>
      <c r="B1806" s="191" t="s">
        <v>1803</v>
      </c>
      <c r="C1806" s="195">
        <v>185091970.13</v>
      </c>
      <c r="D1806" s="195">
        <v>0</v>
      </c>
      <c r="E1806" s="195">
        <v>0</v>
      </c>
      <c r="F1806" s="195">
        <v>0</v>
      </c>
      <c r="G1806" s="195">
        <v>185091970.13</v>
      </c>
    </row>
    <row r="1807" spans="1:7" x14ac:dyDescent="0.3">
      <c r="A1807" s="198">
        <v>15280501</v>
      </c>
      <c r="B1807" s="192" t="s">
        <v>1803</v>
      </c>
      <c r="C1807" s="196">
        <v>178763687.02000001</v>
      </c>
      <c r="D1807" s="196">
        <v>0</v>
      </c>
      <c r="E1807" s="196">
        <v>0</v>
      </c>
      <c r="F1807" s="196">
        <v>0</v>
      </c>
      <c r="G1807" s="196">
        <v>178763687.02000001</v>
      </c>
    </row>
    <row r="1808" spans="1:7" x14ac:dyDescent="0.3">
      <c r="A1808" s="198">
        <v>31948684</v>
      </c>
      <c r="B1808" s="192" t="s">
        <v>165</v>
      </c>
      <c r="C1808" s="196">
        <v>1200000</v>
      </c>
      <c r="D1808" s="196">
        <v>0</v>
      </c>
      <c r="E1808" s="196">
        <v>0</v>
      </c>
      <c r="F1808" s="196">
        <v>0</v>
      </c>
      <c r="G1808" s="196">
        <v>1200000</v>
      </c>
    </row>
    <row r="1809" spans="1:7" x14ac:dyDescent="0.3">
      <c r="A1809" s="198">
        <v>71776869</v>
      </c>
      <c r="B1809" s="192" t="s">
        <v>1804</v>
      </c>
      <c r="C1809" s="196">
        <v>6760000</v>
      </c>
      <c r="D1809" s="196">
        <v>0</v>
      </c>
      <c r="E1809" s="196">
        <v>0</v>
      </c>
      <c r="F1809" s="196">
        <v>0</v>
      </c>
      <c r="G1809" s="196">
        <v>6760000</v>
      </c>
    </row>
    <row r="1810" spans="1:7" x14ac:dyDescent="0.3">
      <c r="A1810" s="198">
        <v>890900943</v>
      </c>
      <c r="B1810" s="192" t="s">
        <v>1783</v>
      </c>
      <c r="C1810" s="196">
        <v>16604075</v>
      </c>
      <c r="D1810" s="196">
        <v>0</v>
      </c>
      <c r="E1810" s="196">
        <v>0</v>
      </c>
      <c r="F1810" s="196">
        <v>0</v>
      </c>
      <c r="G1810" s="196">
        <v>16604075</v>
      </c>
    </row>
    <row r="1811" spans="1:7" x14ac:dyDescent="0.3">
      <c r="A1811" s="198">
        <v>900317439</v>
      </c>
      <c r="B1811" s="192" t="s">
        <v>1805</v>
      </c>
      <c r="C1811" s="196">
        <v>1915000</v>
      </c>
      <c r="D1811" s="196">
        <v>0</v>
      </c>
      <c r="E1811" s="196">
        <v>0</v>
      </c>
      <c r="F1811" s="196">
        <v>0</v>
      </c>
      <c r="G1811" s="196">
        <v>1915000</v>
      </c>
    </row>
    <row r="1812" spans="1:7" x14ac:dyDescent="0.3">
      <c r="A1812" s="198">
        <v>1037583982</v>
      </c>
      <c r="B1812" s="192" t="s">
        <v>1798</v>
      </c>
      <c r="C1812" s="196">
        <v>11139550</v>
      </c>
      <c r="D1812" s="196">
        <v>0</v>
      </c>
      <c r="E1812" s="196">
        <v>0</v>
      </c>
      <c r="F1812" s="196">
        <v>0</v>
      </c>
      <c r="G1812" s="196">
        <v>11139550</v>
      </c>
    </row>
    <row r="1813" spans="1:7" x14ac:dyDescent="0.3">
      <c r="A1813" s="198">
        <v>71388800</v>
      </c>
      <c r="B1813" s="192" t="s">
        <v>1806</v>
      </c>
      <c r="C1813" s="196">
        <v>1074790</v>
      </c>
      <c r="D1813" s="196">
        <v>0</v>
      </c>
      <c r="E1813" s="196">
        <v>0</v>
      </c>
      <c r="F1813" s="196">
        <v>0</v>
      </c>
      <c r="G1813" s="196">
        <v>1074790</v>
      </c>
    </row>
    <row r="1814" spans="1:7" x14ac:dyDescent="0.3">
      <c r="A1814" s="198">
        <v>71268229</v>
      </c>
      <c r="B1814" s="192" t="s">
        <v>1807</v>
      </c>
      <c r="C1814" s="196">
        <v>5000000</v>
      </c>
      <c r="D1814" s="196">
        <v>0</v>
      </c>
      <c r="E1814" s="196">
        <v>0</v>
      </c>
      <c r="F1814" s="196">
        <v>0</v>
      </c>
      <c r="G1814" s="196">
        <v>5000000</v>
      </c>
    </row>
    <row r="1815" spans="1:7" x14ac:dyDescent="0.3">
      <c r="A1815" s="198">
        <v>901476410</v>
      </c>
      <c r="B1815" s="192" t="s">
        <v>1808</v>
      </c>
      <c r="C1815" s="196">
        <v>1184000.02</v>
      </c>
      <c r="D1815" s="196">
        <v>0</v>
      </c>
      <c r="E1815" s="196">
        <v>0</v>
      </c>
      <c r="F1815" s="196">
        <v>0</v>
      </c>
      <c r="G1815" s="196">
        <v>1184000.02</v>
      </c>
    </row>
    <row r="1816" spans="1:7" x14ac:dyDescent="0.3">
      <c r="A1816" s="198">
        <v>900311581</v>
      </c>
      <c r="B1816" s="192" t="s">
        <v>1809</v>
      </c>
      <c r="C1816" s="196">
        <v>3108403</v>
      </c>
      <c r="D1816" s="196">
        <v>0</v>
      </c>
      <c r="E1816" s="196">
        <v>0</v>
      </c>
      <c r="F1816" s="196">
        <v>0</v>
      </c>
      <c r="G1816" s="196">
        <v>3108403</v>
      </c>
    </row>
    <row r="1817" spans="1:7" x14ac:dyDescent="0.3">
      <c r="A1817" s="198">
        <v>900755062</v>
      </c>
      <c r="B1817" s="192" t="s">
        <v>1700</v>
      </c>
      <c r="C1817" s="196">
        <v>17983068</v>
      </c>
      <c r="D1817" s="196">
        <v>0</v>
      </c>
      <c r="E1817" s="196">
        <v>0</v>
      </c>
      <c r="F1817" s="196">
        <v>0</v>
      </c>
      <c r="G1817" s="196">
        <v>17983068</v>
      </c>
    </row>
    <row r="1818" spans="1:7" x14ac:dyDescent="0.3">
      <c r="A1818" s="198">
        <v>700215370</v>
      </c>
      <c r="B1818" s="192" t="s">
        <v>1663</v>
      </c>
      <c r="C1818" s="196">
        <v>112794801</v>
      </c>
      <c r="D1818" s="196">
        <v>0</v>
      </c>
      <c r="E1818" s="196">
        <v>0</v>
      </c>
      <c r="F1818" s="196">
        <v>0</v>
      </c>
      <c r="G1818" s="196">
        <v>112794801</v>
      </c>
    </row>
    <row r="1819" spans="1:7" x14ac:dyDescent="0.3">
      <c r="A1819" s="198">
        <v>15280524</v>
      </c>
      <c r="B1819" s="192" t="s">
        <v>1810</v>
      </c>
      <c r="C1819" s="196">
        <v>6328283.1100000003</v>
      </c>
      <c r="D1819" s="196">
        <v>0</v>
      </c>
      <c r="E1819" s="196">
        <v>0</v>
      </c>
      <c r="F1819" s="196">
        <v>0</v>
      </c>
      <c r="G1819" s="196">
        <v>6328283.1100000003</v>
      </c>
    </row>
    <row r="1820" spans="1:7" x14ac:dyDescent="0.3">
      <c r="A1820" s="198">
        <v>890900943</v>
      </c>
      <c r="B1820" s="192" t="s">
        <v>1783</v>
      </c>
      <c r="C1820" s="196">
        <v>1388724.25</v>
      </c>
      <c r="D1820" s="196">
        <v>0</v>
      </c>
      <c r="E1820" s="196">
        <v>0</v>
      </c>
      <c r="F1820" s="196">
        <v>0</v>
      </c>
      <c r="G1820" s="196">
        <v>1388724.25</v>
      </c>
    </row>
    <row r="1821" spans="1:7" x14ac:dyDescent="0.3">
      <c r="A1821" s="198">
        <v>71388800</v>
      </c>
      <c r="B1821" s="192" t="s">
        <v>1806</v>
      </c>
      <c r="C1821" s="196">
        <v>204210.1</v>
      </c>
      <c r="D1821" s="196">
        <v>0</v>
      </c>
      <c r="E1821" s="196">
        <v>0</v>
      </c>
      <c r="F1821" s="196">
        <v>0</v>
      </c>
      <c r="G1821" s="196">
        <v>204210.1</v>
      </c>
    </row>
    <row r="1822" spans="1:7" x14ac:dyDescent="0.3">
      <c r="A1822" s="198">
        <v>900311581</v>
      </c>
      <c r="B1822" s="192" t="s">
        <v>1809</v>
      </c>
      <c r="C1822" s="196">
        <v>590596.56999999995</v>
      </c>
      <c r="D1822" s="196">
        <v>0</v>
      </c>
      <c r="E1822" s="196">
        <v>0</v>
      </c>
      <c r="F1822" s="196">
        <v>0</v>
      </c>
      <c r="G1822" s="196">
        <v>590596.56999999995</v>
      </c>
    </row>
    <row r="1823" spans="1:7" x14ac:dyDescent="0.3">
      <c r="A1823" s="198">
        <v>900755062</v>
      </c>
      <c r="B1823" s="192" t="s">
        <v>1700</v>
      </c>
      <c r="C1823" s="196">
        <v>452862</v>
      </c>
      <c r="D1823" s="196">
        <v>0</v>
      </c>
      <c r="E1823" s="196">
        <v>0</v>
      </c>
      <c r="F1823" s="196">
        <v>0</v>
      </c>
      <c r="G1823" s="196">
        <v>452862</v>
      </c>
    </row>
    <row r="1824" spans="1:7" x14ac:dyDescent="0.3">
      <c r="A1824" s="198">
        <v>700215370</v>
      </c>
      <c r="B1824" s="192" t="s">
        <v>1663</v>
      </c>
      <c r="C1824" s="196">
        <v>3691890.19</v>
      </c>
      <c r="D1824" s="196">
        <v>0</v>
      </c>
      <c r="E1824" s="196">
        <v>0</v>
      </c>
      <c r="F1824" s="196">
        <v>0</v>
      </c>
      <c r="G1824" s="196">
        <v>3691890.19</v>
      </c>
    </row>
    <row r="1825" spans="1:7" x14ac:dyDescent="0.3">
      <c r="A1825" s="197">
        <v>152810</v>
      </c>
      <c r="B1825" s="191" t="s">
        <v>1811</v>
      </c>
      <c r="C1825" s="195">
        <v>28236077.77</v>
      </c>
      <c r="D1825" s="195">
        <v>0</v>
      </c>
      <c r="E1825" s="195">
        <v>0</v>
      </c>
      <c r="F1825" s="195">
        <v>0</v>
      </c>
      <c r="G1825" s="195">
        <v>28236077.77</v>
      </c>
    </row>
    <row r="1826" spans="1:7" x14ac:dyDescent="0.3">
      <c r="A1826" s="198">
        <v>15281001</v>
      </c>
      <c r="B1826" s="192" t="s">
        <v>1811</v>
      </c>
      <c r="C1826" s="196">
        <v>25705948.75</v>
      </c>
      <c r="D1826" s="196">
        <v>0</v>
      </c>
      <c r="E1826" s="196">
        <v>0</v>
      </c>
      <c r="F1826" s="196">
        <v>0</v>
      </c>
      <c r="G1826" s="196">
        <v>25705948.75</v>
      </c>
    </row>
    <row r="1827" spans="1:7" x14ac:dyDescent="0.3">
      <c r="A1827" s="198">
        <v>901621911</v>
      </c>
      <c r="B1827" s="192" t="s">
        <v>1812</v>
      </c>
      <c r="C1827" s="196">
        <v>3151260.5</v>
      </c>
      <c r="D1827" s="196">
        <v>0</v>
      </c>
      <c r="E1827" s="196">
        <v>0</v>
      </c>
      <c r="F1827" s="196">
        <v>0</v>
      </c>
      <c r="G1827" s="196">
        <v>3151260.5</v>
      </c>
    </row>
    <row r="1828" spans="1:7" x14ac:dyDescent="0.3">
      <c r="A1828" s="198">
        <v>900311581</v>
      </c>
      <c r="B1828" s="192" t="s">
        <v>1809</v>
      </c>
      <c r="C1828" s="196">
        <v>16718508.25</v>
      </c>
      <c r="D1828" s="196">
        <v>0</v>
      </c>
      <c r="E1828" s="196">
        <v>0</v>
      </c>
      <c r="F1828" s="196">
        <v>0</v>
      </c>
      <c r="G1828" s="196">
        <v>16718508.25</v>
      </c>
    </row>
    <row r="1829" spans="1:7" x14ac:dyDescent="0.3">
      <c r="A1829" s="198">
        <v>900755062</v>
      </c>
      <c r="B1829" s="192" t="s">
        <v>1700</v>
      </c>
      <c r="C1829" s="196">
        <v>5836180</v>
      </c>
      <c r="D1829" s="196">
        <v>0</v>
      </c>
      <c r="E1829" s="196">
        <v>0</v>
      </c>
      <c r="F1829" s="196">
        <v>0</v>
      </c>
      <c r="G1829" s="196">
        <v>5836180</v>
      </c>
    </row>
    <row r="1830" spans="1:7" x14ac:dyDescent="0.3">
      <c r="A1830" s="198">
        <v>15281024</v>
      </c>
      <c r="B1830" s="192" t="s">
        <v>1813</v>
      </c>
      <c r="C1830" s="196">
        <v>2530129.02</v>
      </c>
      <c r="D1830" s="196">
        <v>0</v>
      </c>
      <c r="E1830" s="196">
        <v>0</v>
      </c>
      <c r="F1830" s="196">
        <v>0</v>
      </c>
      <c r="G1830" s="196">
        <v>2530129.02</v>
      </c>
    </row>
    <row r="1831" spans="1:7" x14ac:dyDescent="0.3">
      <c r="A1831" s="198">
        <v>901621911</v>
      </c>
      <c r="B1831" s="192" t="s">
        <v>1812</v>
      </c>
      <c r="C1831" s="196">
        <v>598739.5</v>
      </c>
      <c r="D1831" s="196">
        <v>0</v>
      </c>
      <c r="E1831" s="196">
        <v>0</v>
      </c>
      <c r="F1831" s="196">
        <v>0</v>
      </c>
      <c r="G1831" s="196">
        <v>598739.5</v>
      </c>
    </row>
    <row r="1832" spans="1:7" x14ac:dyDescent="0.3">
      <c r="A1832" s="198">
        <v>900311581</v>
      </c>
      <c r="B1832" s="192" t="s">
        <v>1809</v>
      </c>
      <c r="C1832" s="196">
        <v>1931389.52</v>
      </c>
      <c r="D1832" s="196">
        <v>0</v>
      </c>
      <c r="E1832" s="196">
        <v>0</v>
      </c>
      <c r="F1832" s="196">
        <v>0</v>
      </c>
      <c r="G1832" s="196">
        <v>1931389.52</v>
      </c>
    </row>
    <row r="1833" spans="1:7" x14ac:dyDescent="0.3">
      <c r="A1833" s="197">
        <v>1532</v>
      </c>
      <c r="B1833" s="191" t="s">
        <v>1814</v>
      </c>
      <c r="C1833" s="195">
        <v>427327607</v>
      </c>
      <c r="D1833" s="195">
        <v>0</v>
      </c>
      <c r="E1833" s="195">
        <v>0</v>
      </c>
      <c r="F1833" s="195">
        <v>0</v>
      </c>
      <c r="G1833" s="195">
        <v>427327607</v>
      </c>
    </row>
    <row r="1834" spans="1:7" x14ac:dyDescent="0.3">
      <c r="A1834" s="198">
        <v>15320501</v>
      </c>
      <c r="B1834" s="192" t="s">
        <v>1815</v>
      </c>
      <c r="C1834" s="196">
        <v>366856092</v>
      </c>
      <c r="D1834" s="196">
        <v>0</v>
      </c>
      <c r="E1834" s="196">
        <v>0</v>
      </c>
      <c r="F1834" s="196">
        <v>0</v>
      </c>
      <c r="G1834" s="196">
        <v>366856092</v>
      </c>
    </row>
    <row r="1835" spans="1:7" x14ac:dyDescent="0.3">
      <c r="A1835" s="198">
        <v>1094884306</v>
      </c>
      <c r="B1835" s="192" t="s">
        <v>1816</v>
      </c>
      <c r="C1835" s="196">
        <v>4900000</v>
      </c>
      <c r="D1835" s="196">
        <v>0</v>
      </c>
      <c r="E1835" s="196">
        <v>0</v>
      </c>
      <c r="F1835" s="196">
        <v>0</v>
      </c>
      <c r="G1835" s="196">
        <v>4900000</v>
      </c>
    </row>
    <row r="1836" spans="1:7" x14ac:dyDescent="0.3">
      <c r="A1836" s="198">
        <v>900755062</v>
      </c>
      <c r="B1836" s="192" t="s">
        <v>1700</v>
      </c>
      <c r="C1836" s="196">
        <v>262500308</v>
      </c>
      <c r="D1836" s="196">
        <v>0</v>
      </c>
      <c r="E1836" s="196">
        <v>0</v>
      </c>
      <c r="F1836" s="196">
        <v>0</v>
      </c>
      <c r="G1836" s="196">
        <v>262500308</v>
      </c>
    </row>
    <row r="1837" spans="1:7" x14ac:dyDescent="0.3">
      <c r="A1837" s="198">
        <v>830004892</v>
      </c>
      <c r="B1837" s="192" t="s">
        <v>1773</v>
      </c>
      <c r="C1837" s="196">
        <v>99455784</v>
      </c>
      <c r="D1837" s="196">
        <v>0</v>
      </c>
      <c r="E1837" s="196">
        <v>0</v>
      </c>
      <c r="F1837" s="196">
        <v>0</v>
      </c>
      <c r="G1837" s="196">
        <v>99455784</v>
      </c>
    </row>
    <row r="1838" spans="1:7" x14ac:dyDescent="0.3">
      <c r="A1838" s="198">
        <v>15320502</v>
      </c>
      <c r="B1838" s="192" t="s">
        <v>1817</v>
      </c>
      <c r="C1838" s="196">
        <v>18944100</v>
      </c>
      <c r="D1838" s="196">
        <v>0</v>
      </c>
      <c r="E1838" s="196">
        <v>0</v>
      </c>
      <c r="F1838" s="196">
        <v>0</v>
      </c>
      <c r="G1838" s="196">
        <v>18944100</v>
      </c>
    </row>
    <row r="1839" spans="1:7" x14ac:dyDescent="0.3">
      <c r="A1839" s="198">
        <v>900099746</v>
      </c>
      <c r="B1839" s="192" t="s">
        <v>1818</v>
      </c>
      <c r="C1839" s="196">
        <v>18944100</v>
      </c>
      <c r="D1839" s="196">
        <v>0</v>
      </c>
      <c r="E1839" s="196">
        <v>0</v>
      </c>
      <c r="F1839" s="196">
        <v>0</v>
      </c>
      <c r="G1839" s="196">
        <v>18944100</v>
      </c>
    </row>
    <row r="1840" spans="1:7" x14ac:dyDescent="0.3">
      <c r="A1840" s="198">
        <v>15320524</v>
      </c>
      <c r="B1840" s="192" t="s">
        <v>1819</v>
      </c>
      <c r="C1840" s="196">
        <v>41527415</v>
      </c>
      <c r="D1840" s="196">
        <v>0</v>
      </c>
      <c r="E1840" s="196">
        <v>0</v>
      </c>
      <c r="F1840" s="196">
        <v>0</v>
      </c>
      <c r="G1840" s="196">
        <v>41527415</v>
      </c>
    </row>
    <row r="1841" spans="1:7" x14ac:dyDescent="0.3">
      <c r="A1841" s="198">
        <v>900755062</v>
      </c>
      <c r="B1841" s="192" t="s">
        <v>1700</v>
      </c>
      <c r="C1841" s="196">
        <v>41527415</v>
      </c>
      <c r="D1841" s="196">
        <v>0</v>
      </c>
      <c r="E1841" s="196">
        <v>0</v>
      </c>
      <c r="F1841" s="196">
        <v>0</v>
      </c>
      <c r="G1841" s="196">
        <v>41527415</v>
      </c>
    </row>
    <row r="1842" spans="1:7" x14ac:dyDescent="0.3">
      <c r="A1842" s="197">
        <v>1592</v>
      </c>
      <c r="B1842" s="191" t="s">
        <v>1820</v>
      </c>
      <c r="C1842" s="195">
        <v>-2246155946</v>
      </c>
      <c r="D1842" s="195">
        <v>0</v>
      </c>
      <c r="E1842" s="195">
        <v>64968726</v>
      </c>
      <c r="F1842" s="195">
        <v>-64968726</v>
      </c>
      <c r="G1842" s="195">
        <v>-2311124672</v>
      </c>
    </row>
    <row r="1843" spans="1:7" x14ac:dyDescent="0.3">
      <c r="A1843" s="197">
        <v>159205</v>
      </c>
      <c r="B1843" s="191" t="s">
        <v>1821</v>
      </c>
      <c r="C1843" s="195">
        <v>-603101122</v>
      </c>
      <c r="D1843" s="195">
        <v>0</v>
      </c>
      <c r="E1843" s="195">
        <v>23204749</v>
      </c>
      <c r="F1843" s="195">
        <v>-23204749</v>
      </c>
      <c r="G1843" s="195">
        <v>-626305871</v>
      </c>
    </row>
    <row r="1844" spans="1:7" x14ac:dyDescent="0.3">
      <c r="A1844" s="198">
        <v>15920501</v>
      </c>
      <c r="B1844" s="192" t="s">
        <v>1821</v>
      </c>
      <c r="C1844" s="196">
        <v>-603101122</v>
      </c>
      <c r="D1844" s="196">
        <v>0</v>
      </c>
      <c r="E1844" s="196">
        <v>23204749</v>
      </c>
      <c r="F1844" s="196">
        <v>-23204749</v>
      </c>
      <c r="G1844" s="196">
        <v>-626305871</v>
      </c>
    </row>
    <row r="1845" spans="1:7" x14ac:dyDescent="0.3">
      <c r="A1845" s="197">
        <v>159215</v>
      </c>
      <c r="B1845" s="191" t="s">
        <v>1822</v>
      </c>
      <c r="C1845" s="195">
        <v>-76000424</v>
      </c>
      <c r="D1845" s="195">
        <v>0</v>
      </c>
      <c r="E1845" s="195">
        <v>1805694</v>
      </c>
      <c r="F1845" s="195">
        <v>-1805694</v>
      </c>
      <c r="G1845" s="195">
        <v>-77806118</v>
      </c>
    </row>
    <row r="1846" spans="1:7" x14ac:dyDescent="0.3">
      <c r="A1846" s="198">
        <v>15921501</v>
      </c>
      <c r="B1846" s="192" t="s">
        <v>1822</v>
      </c>
      <c r="C1846" s="196">
        <v>-76000424</v>
      </c>
      <c r="D1846" s="196">
        <v>0</v>
      </c>
      <c r="E1846" s="196">
        <v>1805694</v>
      </c>
      <c r="F1846" s="196">
        <v>-1805694</v>
      </c>
      <c r="G1846" s="196">
        <v>-77806118</v>
      </c>
    </row>
    <row r="1847" spans="1:7" x14ac:dyDescent="0.3">
      <c r="A1847" s="197">
        <v>159220</v>
      </c>
      <c r="B1847" s="191" t="s">
        <v>1823</v>
      </c>
      <c r="C1847" s="195">
        <v>-69672722</v>
      </c>
      <c r="D1847" s="195">
        <v>0</v>
      </c>
      <c r="E1847" s="195">
        <v>3345577</v>
      </c>
      <c r="F1847" s="195">
        <v>-3345577</v>
      </c>
      <c r="G1847" s="195">
        <v>-73018299</v>
      </c>
    </row>
    <row r="1848" spans="1:7" x14ac:dyDescent="0.3">
      <c r="A1848" s="198">
        <v>15922001</v>
      </c>
      <c r="B1848" s="192" t="s">
        <v>1823</v>
      </c>
      <c r="C1848" s="196">
        <v>-69672722</v>
      </c>
      <c r="D1848" s="196">
        <v>0</v>
      </c>
      <c r="E1848" s="196">
        <v>3345577</v>
      </c>
      <c r="F1848" s="196">
        <v>-3345577</v>
      </c>
      <c r="G1848" s="196">
        <v>-73018299</v>
      </c>
    </row>
    <row r="1849" spans="1:7" x14ac:dyDescent="0.3">
      <c r="A1849" s="197">
        <v>159230</v>
      </c>
      <c r="B1849" s="191" t="s">
        <v>1824</v>
      </c>
      <c r="C1849" s="195">
        <v>-1497381678</v>
      </c>
      <c r="D1849" s="195">
        <v>0</v>
      </c>
      <c r="E1849" s="195">
        <v>36612706</v>
      </c>
      <c r="F1849" s="195">
        <v>-36612706</v>
      </c>
      <c r="G1849" s="195">
        <v>-1533994384</v>
      </c>
    </row>
    <row r="1850" spans="1:7" x14ac:dyDescent="0.3">
      <c r="A1850" s="198">
        <v>15923001</v>
      </c>
      <c r="B1850" s="192" t="s">
        <v>1825</v>
      </c>
      <c r="C1850" s="196">
        <v>-1497381678</v>
      </c>
      <c r="D1850" s="196">
        <v>0</v>
      </c>
      <c r="E1850" s="196">
        <v>36612706</v>
      </c>
      <c r="F1850" s="196">
        <v>-36612706</v>
      </c>
      <c r="G1850" s="196">
        <v>-1533994384</v>
      </c>
    </row>
    <row r="1851" spans="1:7" x14ac:dyDescent="0.3">
      <c r="A1851" s="198">
        <v>900755062</v>
      </c>
      <c r="B1851" s="192" t="s">
        <v>1700</v>
      </c>
      <c r="C1851" s="196">
        <v>-1497381678</v>
      </c>
      <c r="D1851" s="196">
        <v>0</v>
      </c>
      <c r="E1851" s="196">
        <v>36612706</v>
      </c>
      <c r="F1851" s="196">
        <v>-36612706</v>
      </c>
      <c r="G1851" s="196">
        <v>-1533994384</v>
      </c>
    </row>
    <row r="1852" spans="1:7" x14ac:dyDescent="0.3">
      <c r="A1852" s="197">
        <v>17</v>
      </c>
      <c r="B1852" s="191" t="s">
        <v>1826</v>
      </c>
      <c r="C1852" s="195">
        <v>284178708.22000003</v>
      </c>
      <c r="D1852" s="195">
        <v>0</v>
      </c>
      <c r="E1852" s="195">
        <v>12314244</v>
      </c>
      <c r="F1852" s="195">
        <v>-12314244</v>
      </c>
      <c r="G1852" s="195">
        <v>271864464.22000003</v>
      </c>
    </row>
    <row r="1853" spans="1:7" x14ac:dyDescent="0.3">
      <c r="A1853" s="197">
        <v>1705</v>
      </c>
      <c r="B1853" s="191" t="s">
        <v>1827</v>
      </c>
      <c r="C1853" s="195">
        <v>284178708.22000003</v>
      </c>
      <c r="D1853" s="195">
        <v>0</v>
      </c>
      <c r="E1853" s="195">
        <v>12314244</v>
      </c>
      <c r="F1853" s="195">
        <v>-12314244</v>
      </c>
      <c r="G1853" s="195">
        <v>271864464.22000003</v>
      </c>
    </row>
    <row r="1854" spans="1:7" x14ac:dyDescent="0.3">
      <c r="A1854" s="197">
        <v>170520</v>
      </c>
      <c r="B1854" s="191" t="s">
        <v>1828</v>
      </c>
      <c r="C1854" s="195">
        <v>20099898.600000001</v>
      </c>
      <c r="D1854" s="195">
        <v>0</v>
      </c>
      <c r="E1854" s="195">
        <v>2871415</v>
      </c>
      <c r="F1854" s="195">
        <v>-2871415</v>
      </c>
      <c r="G1854" s="195">
        <v>17228483.600000001</v>
      </c>
    </row>
    <row r="1855" spans="1:7" x14ac:dyDescent="0.3">
      <c r="A1855" s="198">
        <v>17052001</v>
      </c>
      <c r="B1855" s="192" t="s">
        <v>1828</v>
      </c>
      <c r="C1855" s="196">
        <v>14598365</v>
      </c>
      <c r="D1855" s="196">
        <v>0</v>
      </c>
      <c r="E1855" s="196">
        <v>2871415</v>
      </c>
      <c r="F1855" s="196">
        <v>-2871415</v>
      </c>
      <c r="G1855" s="196">
        <v>11726950</v>
      </c>
    </row>
    <row r="1856" spans="1:7" x14ac:dyDescent="0.3">
      <c r="A1856" s="198">
        <v>890903407</v>
      </c>
      <c r="B1856" s="192" t="s">
        <v>1669</v>
      </c>
      <c r="C1856" s="196">
        <v>14598365</v>
      </c>
      <c r="D1856" s="196">
        <v>0</v>
      </c>
      <c r="E1856" s="196">
        <v>2871415</v>
      </c>
      <c r="F1856" s="196">
        <v>-2871415</v>
      </c>
      <c r="G1856" s="196">
        <v>11726950</v>
      </c>
    </row>
    <row r="1857" spans="1:7" x14ac:dyDescent="0.3">
      <c r="A1857" s="198">
        <v>17052098</v>
      </c>
      <c r="B1857" s="192" t="s">
        <v>1829</v>
      </c>
      <c r="C1857" s="196">
        <v>5501533.5999999996</v>
      </c>
      <c r="D1857" s="196">
        <v>0</v>
      </c>
      <c r="E1857" s="196">
        <v>0</v>
      </c>
      <c r="F1857" s="196">
        <v>0</v>
      </c>
      <c r="G1857" s="196">
        <v>5501533.5999999996</v>
      </c>
    </row>
    <row r="1858" spans="1:7" x14ac:dyDescent="0.3">
      <c r="A1858" s="198">
        <v>890903407</v>
      </c>
      <c r="B1858" s="192" t="s">
        <v>1669</v>
      </c>
      <c r="C1858" s="196">
        <v>5501533.5999999996</v>
      </c>
      <c r="D1858" s="196">
        <v>0</v>
      </c>
      <c r="E1858" s="196">
        <v>0</v>
      </c>
      <c r="F1858" s="196">
        <v>0</v>
      </c>
      <c r="G1858" s="196">
        <v>5501533.5999999996</v>
      </c>
    </row>
    <row r="1859" spans="1:7" x14ac:dyDescent="0.3">
      <c r="A1859" s="197">
        <v>170595</v>
      </c>
      <c r="B1859" s="191" t="s">
        <v>1830</v>
      </c>
      <c r="C1859" s="195">
        <v>264078809.62</v>
      </c>
      <c r="D1859" s="195">
        <v>0</v>
      </c>
      <c r="E1859" s="195">
        <v>9442829</v>
      </c>
      <c r="F1859" s="195">
        <v>-9442829</v>
      </c>
      <c r="G1859" s="195">
        <v>254635980.62</v>
      </c>
    </row>
    <row r="1860" spans="1:7" x14ac:dyDescent="0.3">
      <c r="A1860" s="198">
        <v>17059501</v>
      </c>
      <c r="B1860" s="192" t="s">
        <v>1830</v>
      </c>
      <c r="C1860" s="196">
        <v>225889608</v>
      </c>
      <c r="D1860" s="196">
        <v>0</v>
      </c>
      <c r="E1860" s="196">
        <v>9442829</v>
      </c>
      <c r="F1860" s="196">
        <v>-9442829</v>
      </c>
      <c r="G1860" s="196">
        <v>216446779</v>
      </c>
    </row>
    <row r="1861" spans="1:7" x14ac:dyDescent="0.3">
      <c r="A1861" s="198">
        <v>860019041</v>
      </c>
      <c r="B1861" s="192" t="s">
        <v>1647</v>
      </c>
      <c r="C1861" s="196">
        <v>225889608</v>
      </c>
      <c r="D1861" s="196">
        <v>0</v>
      </c>
      <c r="E1861" s="196">
        <v>9442829</v>
      </c>
      <c r="F1861" s="196">
        <v>-9442829</v>
      </c>
      <c r="G1861" s="196">
        <v>216446779</v>
      </c>
    </row>
    <row r="1862" spans="1:7" x14ac:dyDescent="0.3">
      <c r="A1862" s="198">
        <v>17059528</v>
      </c>
      <c r="B1862" s="192" t="s">
        <v>1831</v>
      </c>
      <c r="C1862" s="196">
        <v>38189201.619999997</v>
      </c>
      <c r="D1862" s="196">
        <v>0</v>
      </c>
      <c r="E1862" s="196">
        <v>0</v>
      </c>
      <c r="F1862" s="196">
        <v>0</v>
      </c>
      <c r="G1862" s="196">
        <v>38189201.619999997</v>
      </c>
    </row>
    <row r="1863" spans="1:7" x14ac:dyDescent="0.3">
      <c r="A1863" s="198">
        <v>860019041</v>
      </c>
      <c r="B1863" s="192" t="s">
        <v>1647</v>
      </c>
      <c r="C1863" s="196">
        <v>38189201.619999997</v>
      </c>
      <c r="D1863" s="196">
        <v>0</v>
      </c>
      <c r="E1863" s="196">
        <v>0</v>
      </c>
      <c r="F1863" s="196">
        <v>0</v>
      </c>
      <c r="G1863" s="196">
        <v>38189201.619999997</v>
      </c>
    </row>
    <row r="1864" spans="1:7" x14ac:dyDescent="0.3">
      <c r="A1864" s="197">
        <v>2</v>
      </c>
      <c r="B1864" s="191" t="s">
        <v>1832</v>
      </c>
      <c r="C1864" s="195">
        <v>-7435645944</v>
      </c>
      <c r="D1864" s="195">
        <v>1842384581.4000001</v>
      </c>
      <c r="E1864" s="195">
        <v>1736568201.0699999</v>
      </c>
      <c r="F1864" s="195">
        <v>105816380.33</v>
      </c>
      <c r="G1864" s="195">
        <v>-7329829563.6700001</v>
      </c>
    </row>
    <row r="1865" spans="1:7" x14ac:dyDescent="0.3">
      <c r="A1865" s="197">
        <v>21</v>
      </c>
      <c r="B1865" s="191" t="s">
        <v>1833</v>
      </c>
      <c r="C1865" s="195">
        <v>-770588292.30999994</v>
      </c>
      <c r="D1865" s="195">
        <v>55003082.270000003</v>
      </c>
      <c r="E1865" s="195">
        <v>15807617.27</v>
      </c>
      <c r="F1865" s="195">
        <v>39195465</v>
      </c>
      <c r="G1865" s="195">
        <v>-731392827.30999994</v>
      </c>
    </row>
    <row r="1866" spans="1:7" x14ac:dyDescent="0.3">
      <c r="A1866" s="197">
        <v>2105</v>
      </c>
      <c r="B1866" s="191" t="s">
        <v>1834</v>
      </c>
      <c r="C1866" s="195">
        <v>-604191860.45000005</v>
      </c>
      <c r="D1866" s="195">
        <v>51124501</v>
      </c>
      <c r="E1866" s="195">
        <v>15807617.27</v>
      </c>
      <c r="F1866" s="195">
        <v>35316883.729999997</v>
      </c>
      <c r="G1866" s="195">
        <v>-568874976.72000003</v>
      </c>
    </row>
    <row r="1867" spans="1:7" x14ac:dyDescent="0.3">
      <c r="A1867" s="197">
        <v>210510</v>
      </c>
      <c r="B1867" s="191" t="s">
        <v>1835</v>
      </c>
      <c r="C1867" s="195">
        <v>-592683755</v>
      </c>
      <c r="D1867" s="195">
        <v>49752004</v>
      </c>
      <c r="E1867" s="195">
        <v>13225000</v>
      </c>
      <c r="F1867" s="195">
        <v>36527004</v>
      </c>
      <c r="G1867" s="195">
        <v>-556156751</v>
      </c>
    </row>
    <row r="1868" spans="1:7" x14ac:dyDescent="0.3">
      <c r="A1868" s="198">
        <v>21051003</v>
      </c>
      <c r="B1868" s="192" t="s">
        <v>1836</v>
      </c>
      <c r="C1868" s="196">
        <v>2439012</v>
      </c>
      <c r="D1868" s="196">
        <v>0</v>
      </c>
      <c r="E1868" s="196">
        <v>0</v>
      </c>
      <c r="F1868" s="196">
        <v>0</v>
      </c>
      <c r="G1868" s="196">
        <v>2439012</v>
      </c>
    </row>
    <row r="1869" spans="1:7" x14ac:dyDescent="0.3">
      <c r="A1869" s="198">
        <v>900406150</v>
      </c>
      <c r="B1869" s="192" t="s">
        <v>1837</v>
      </c>
      <c r="C1869" s="196">
        <v>2439012</v>
      </c>
      <c r="D1869" s="196">
        <v>0</v>
      </c>
      <c r="E1869" s="196">
        <v>0</v>
      </c>
      <c r="F1869" s="196">
        <v>0</v>
      </c>
      <c r="G1869" s="196">
        <v>2439012</v>
      </c>
    </row>
    <row r="1870" spans="1:7" x14ac:dyDescent="0.3">
      <c r="A1870" s="198">
        <v>21051005</v>
      </c>
      <c r="B1870" s="192" t="s">
        <v>1838</v>
      </c>
      <c r="C1870" s="196">
        <v>-212991755</v>
      </c>
      <c r="D1870" s="196">
        <v>996003</v>
      </c>
      <c r="E1870" s="196">
        <v>0</v>
      </c>
      <c r="F1870" s="196">
        <v>996003</v>
      </c>
      <c r="G1870" s="196">
        <v>-211995752</v>
      </c>
    </row>
    <row r="1871" spans="1:7" x14ac:dyDescent="0.3">
      <c r="A1871" s="198">
        <v>860034313</v>
      </c>
      <c r="B1871" s="192" t="s">
        <v>1629</v>
      </c>
      <c r="C1871" s="196">
        <v>-212991755</v>
      </c>
      <c r="D1871" s="196">
        <v>996003</v>
      </c>
      <c r="E1871" s="196">
        <v>0</v>
      </c>
      <c r="F1871" s="196">
        <v>996003</v>
      </c>
      <c r="G1871" s="196">
        <v>-211995752</v>
      </c>
    </row>
    <row r="1872" spans="1:7" x14ac:dyDescent="0.3">
      <c r="A1872" s="198">
        <v>21051006</v>
      </c>
      <c r="B1872" s="192" t="s">
        <v>1839</v>
      </c>
      <c r="C1872" s="196">
        <v>-156095000</v>
      </c>
      <c r="D1872" s="196">
        <v>40339000</v>
      </c>
      <c r="E1872" s="196">
        <v>13225000</v>
      </c>
      <c r="F1872" s="196">
        <v>27114000</v>
      </c>
      <c r="G1872" s="196">
        <v>-128981000</v>
      </c>
    </row>
    <row r="1873" spans="1:7" x14ac:dyDescent="0.3">
      <c r="A1873" s="198">
        <v>860007335</v>
      </c>
      <c r="B1873" s="192" t="s">
        <v>1690</v>
      </c>
      <c r="C1873" s="196">
        <v>-156095000</v>
      </c>
      <c r="D1873" s="196">
        <v>40339000</v>
      </c>
      <c r="E1873" s="196">
        <v>13225000</v>
      </c>
      <c r="F1873" s="196">
        <v>27114000</v>
      </c>
      <c r="G1873" s="196">
        <v>-128981000</v>
      </c>
    </row>
    <row r="1874" spans="1:7" x14ac:dyDescent="0.3">
      <c r="A1874" s="198">
        <v>21051007</v>
      </c>
      <c r="B1874" s="192" t="s">
        <v>1840</v>
      </c>
      <c r="C1874" s="196">
        <v>-158700000</v>
      </c>
      <c r="D1874" s="196">
        <v>0</v>
      </c>
      <c r="E1874" s="196">
        <v>0</v>
      </c>
      <c r="F1874" s="196">
        <v>0</v>
      </c>
      <c r="G1874" s="196">
        <v>-158700000</v>
      </c>
    </row>
    <row r="1875" spans="1:7" x14ac:dyDescent="0.3">
      <c r="A1875" s="198">
        <v>860007335</v>
      </c>
      <c r="B1875" s="192" t="s">
        <v>1690</v>
      </c>
      <c r="C1875" s="196">
        <v>-158700000</v>
      </c>
      <c r="D1875" s="196">
        <v>0</v>
      </c>
      <c r="E1875" s="196">
        <v>0</v>
      </c>
      <c r="F1875" s="196">
        <v>0</v>
      </c>
      <c r="G1875" s="196">
        <v>-158700000</v>
      </c>
    </row>
    <row r="1876" spans="1:7" x14ac:dyDescent="0.3">
      <c r="A1876" s="198">
        <v>21051008</v>
      </c>
      <c r="B1876" s="192" t="s">
        <v>1841</v>
      </c>
      <c r="C1876" s="196">
        <v>-67336012</v>
      </c>
      <c r="D1876" s="196">
        <v>8417001</v>
      </c>
      <c r="E1876" s="196">
        <v>0</v>
      </c>
      <c r="F1876" s="196">
        <v>8417001</v>
      </c>
      <c r="G1876" s="196">
        <v>-58919011</v>
      </c>
    </row>
    <row r="1877" spans="1:7" x14ac:dyDescent="0.3">
      <c r="A1877" s="198">
        <v>890903938</v>
      </c>
      <c r="B1877" s="192" t="s">
        <v>1691</v>
      </c>
      <c r="C1877" s="196">
        <v>-67336012</v>
      </c>
      <c r="D1877" s="196">
        <v>8417001</v>
      </c>
      <c r="E1877" s="196">
        <v>0</v>
      </c>
      <c r="F1877" s="196">
        <v>8417001</v>
      </c>
      <c r="G1877" s="196">
        <v>-58919011</v>
      </c>
    </row>
    <row r="1878" spans="1:7" x14ac:dyDescent="0.3">
      <c r="A1878" s="197">
        <v>210525</v>
      </c>
      <c r="B1878" s="191" t="s">
        <v>1842</v>
      </c>
      <c r="C1878" s="195">
        <v>-11508105.449999999</v>
      </c>
      <c r="D1878" s="195">
        <v>1372497</v>
      </c>
      <c r="E1878" s="195">
        <v>2582617.27</v>
      </c>
      <c r="F1878" s="195">
        <v>-1210120.27</v>
      </c>
      <c r="G1878" s="195">
        <v>-12718225.720000001</v>
      </c>
    </row>
    <row r="1879" spans="1:7" x14ac:dyDescent="0.3">
      <c r="A1879" s="198">
        <v>21052501</v>
      </c>
      <c r="B1879" s="192" t="s">
        <v>1843</v>
      </c>
      <c r="C1879" s="196">
        <v>-4178653.45</v>
      </c>
      <c r="D1879" s="196">
        <v>290399</v>
      </c>
      <c r="E1879" s="196">
        <v>2392218.27</v>
      </c>
      <c r="F1879" s="196">
        <v>-2101819.27</v>
      </c>
      <c r="G1879" s="196">
        <v>-6280472.7199999997</v>
      </c>
    </row>
    <row r="1880" spans="1:7" x14ac:dyDescent="0.3">
      <c r="A1880" s="198">
        <v>900406150</v>
      </c>
      <c r="B1880" s="192" t="s">
        <v>1837</v>
      </c>
      <c r="C1880" s="196">
        <v>-4178653.45</v>
      </c>
      <c r="D1880" s="196">
        <v>290399</v>
      </c>
      <c r="E1880" s="196">
        <v>2392218.27</v>
      </c>
      <c r="F1880" s="196">
        <v>-2101819.27</v>
      </c>
      <c r="G1880" s="196">
        <v>-6280472.7199999997</v>
      </c>
    </row>
    <row r="1881" spans="1:7" x14ac:dyDescent="0.3">
      <c r="A1881" s="198">
        <v>21052502</v>
      </c>
      <c r="B1881" s="192" t="s">
        <v>1844</v>
      </c>
      <c r="C1881" s="196">
        <v>-2299504</v>
      </c>
      <c r="D1881" s="196">
        <v>0</v>
      </c>
      <c r="E1881" s="196">
        <v>0</v>
      </c>
      <c r="F1881" s="196">
        <v>0</v>
      </c>
      <c r="G1881" s="196">
        <v>-2299504</v>
      </c>
    </row>
    <row r="1882" spans="1:7" x14ac:dyDescent="0.3">
      <c r="A1882" s="198">
        <v>860007335</v>
      </c>
      <c r="B1882" s="192" t="s">
        <v>1690</v>
      </c>
      <c r="C1882" s="196">
        <v>-2299504</v>
      </c>
      <c r="D1882" s="196">
        <v>0</v>
      </c>
      <c r="E1882" s="196">
        <v>0</v>
      </c>
      <c r="F1882" s="196">
        <v>0</v>
      </c>
      <c r="G1882" s="196">
        <v>-2299504</v>
      </c>
    </row>
    <row r="1883" spans="1:7" x14ac:dyDescent="0.3">
      <c r="A1883" s="198">
        <v>21052503</v>
      </c>
      <c r="B1883" s="192" t="s">
        <v>1845</v>
      </c>
      <c r="C1883" s="196">
        <v>-5029948</v>
      </c>
      <c r="D1883" s="196">
        <v>1082098</v>
      </c>
      <c r="E1883" s="196">
        <v>190399</v>
      </c>
      <c r="F1883" s="196">
        <v>891699</v>
      </c>
      <c r="G1883" s="196">
        <v>-4138249</v>
      </c>
    </row>
    <row r="1884" spans="1:7" x14ac:dyDescent="0.3">
      <c r="A1884" s="198">
        <v>860007335</v>
      </c>
      <c r="B1884" s="192" t="s">
        <v>1690</v>
      </c>
      <c r="C1884" s="196">
        <v>-5029948</v>
      </c>
      <c r="D1884" s="196">
        <v>1082098</v>
      </c>
      <c r="E1884" s="196">
        <v>190399</v>
      </c>
      <c r="F1884" s="196">
        <v>891699</v>
      </c>
      <c r="G1884" s="196">
        <v>-4138249</v>
      </c>
    </row>
    <row r="1885" spans="1:7" x14ac:dyDescent="0.3">
      <c r="A1885" s="197">
        <v>2115</v>
      </c>
      <c r="B1885" s="191" t="s">
        <v>1846</v>
      </c>
      <c r="C1885" s="195">
        <v>-166396431.86000001</v>
      </c>
      <c r="D1885" s="195">
        <v>3878581.27</v>
      </c>
      <c r="E1885" s="195">
        <v>0</v>
      </c>
      <c r="F1885" s="195">
        <v>3878581.27</v>
      </c>
      <c r="G1885" s="195">
        <v>-162517850.59</v>
      </c>
    </row>
    <row r="1886" spans="1:7" x14ac:dyDescent="0.3">
      <c r="A1886" s="197">
        <v>211505</v>
      </c>
      <c r="B1886" s="191" t="s">
        <v>1847</v>
      </c>
      <c r="C1886" s="195">
        <v>-166396431.86000001</v>
      </c>
      <c r="D1886" s="195">
        <v>3878581.27</v>
      </c>
      <c r="E1886" s="195">
        <v>0</v>
      </c>
      <c r="F1886" s="195">
        <v>3878581.27</v>
      </c>
      <c r="G1886" s="195">
        <v>-162517850.59</v>
      </c>
    </row>
    <row r="1887" spans="1:7" x14ac:dyDescent="0.3">
      <c r="A1887" s="198">
        <v>21150501</v>
      </c>
      <c r="B1887" s="192" t="s">
        <v>1847</v>
      </c>
      <c r="C1887" s="196">
        <v>-166396431.86000001</v>
      </c>
      <c r="D1887" s="196">
        <v>3878581.27</v>
      </c>
      <c r="E1887" s="196">
        <v>0</v>
      </c>
      <c r="F1887" s="196">
        <v>3878581.27</v>
      </c>
      <c r="G1887" s="196">
        <v>-162517850.59</v>
      </c>
    </row>
    <row r="1888" spans="1:7" x14ac:dyDescent="0.3">
      <c r="A1888" s="198">
        <v>901160048</v>
      </c>
      <c r="B1888" s="192" t="s">
        <v>1664</v>
      </c>
      <c r="C1888" s="196">
        <v>-166396431.86000001</v>
      </c>
      <c r="D1888" s="196">
        <v>3878581.27</v>
      </c>
      <c r="E1888" s="196">
        <v>0</v>
      </c>
      <c r="F1888" s="196">
        <v>3878581.27</v>
      </c>
      <c r="G1888" s="196">
        <v>-162517850.59</v>
      </c>
    </row>
    <row r="1889" spans="1:7" x14ac:dyDescent="0.3">
      <c r="A1889" s="197">
        <v>22</v>
      </c>
      <c r="B1889" s="191" t="s">
        <v>1848</v>
      </c>
      <c r="C1889" s="195">
        <v>-4776641657.0100002</v>
      </c>
      <c r="D1889" s="195">
        <v>1370652671.54</v>
      </c>
      <c r="E1889" s="195">
        <v>1367626493.6099999</v>
      </c>
      <c r="F1889" s="195">
        <v>3026177.93</v>
      </c>
      <c r="G1889" s="195">
        <v>-4773615479.0799999</v>
      </c>
    </row>
    <row r="1890" spans="1:7" x14ac:dyDescent="0.3">
      <c r="A1890" s="197">
        <v>2205</v>
      </c>
      <c r="B1890" s="191" t="s">
        <v>1849</v>
      </c>
      <c r="C1890" s="195">
        <v>-4776641657.0100002</v>
      </c>
      <c r="D1890" s="195">
        <v>1370652671.54</v>
      </c>
      <c r="E1890" s="195">
        <v>1367626493.6099999</v>
      </c>
      <c r="F1890" s="195">
        <v>3026177.93</v>
      </c>
      <c r="G1890" s="195">
        <v>-4773615479.0799999</v>
      </c>
    </row>
    <row r="1891" spans="1:7" x14ac:dyDescent="0.3">
      <c r="A1891" s="197">
        <v>220505</v>
      </c>
      <c r="B1891" s="191" t="s">
        <v>1849</v>
      </c>
      <c r="C1891" s="195">
        <v>-4776641657.0100002</v>
      </c>
      <c r="D1891" s="195">
        <v>1370652671.54</v>
      </c>
      <c r="E1891" s="195">
        <v>1367626493.6099999</v>
      </c>
      <c r="F1891" s="195">
        <v>3026177.93</v>
      </c>
      <c r="G1891" s="195">
        <v>-4773615479.0799999</v>
      </c>
    </row>
    <row r="1892" spans="1:7" x14ac:dyDescent="0.3">
      <c r="A1892" s="198">
        <v>22050501</v>
      </c>
      <c r="B1892" s="192" t="s">
        <v>1849</v>
      </c>
      <c r="C1892" s="196">
        <v>-3061865491.0100002</v>
      </c>
      <c r="D1892" s="196">
        <v>1365987193.54</v>
      </c>
      <c r="E1892" s="196">
        <v>1367626493.6099999</v>
      </c>
      <c r="F1892" s="196">
        <v>-1639300.07</v>
      </c>
      <c r="G1892" s="196">
        <v>-3063504791.0799999</v>
      </c>
    </row>
    <row r="1893" spans="1:7" x14ac:dyDescent="0.3">
      <c r="A1893" s="198">
        <v>900869110</v>
      </c>
      <c r="B1893" s="192" t="s">
        <v>1850</v>
      </c>
      <c r="C1893" s="196">
        <v>-7207910</v>
      </c>
      <c r="D1893" s="196">
        <v>7161109</v>
      </c>
      <c r="E1893" s="196">
        <v>7761110</v>
      </c>
      <c r="F1893" s="196">
        <v>-600001</v>
      </c>
      <c r="G1893" s="196">
        <v>-7807911</v>
      </c>
    </row>
    <row r="1894" spans="1:7" x14ac:dyDescent="0.3">
      <c r="A1894" s="198">
        <v>811004655</v>
      </c>
      <c r="B1894" s="192" t="s">
        <v>1851</v>
      </c>
      <c r="C1894" s="196">
        <v>0</v>
      </c>
      <c r="D1894" s="196">
        <v>166600</v>
      </c>
      <c r="E1894" s="196">
        <v>166600</v>
      </c>
      <c r="F1894" s="196">
        <v>0</v>
      </c>
      <c r="G1894" s="196">
        <v>0</v>
      </c>
    </row>
    <row r="1895" spans="1:7" x14ac:dyDescent="0.3">
      <c r="A1895" s="198">
        <v>901216768</v>
      </c>
      <c r="B1895" s="192" t="s">
        <v>97</v>
      </c>
      <c r="C1895" s="196">
        <v>-1407770</v>
      </c>
      <c r="D1895" s="196">
        <v>1530750</v>
      </c>
      <c r="E1895" s="196">
        <v>2497625</v>
      </c>
      <c r="F1895" s="196">
        <v>-966875</v>
      </c>
      <c r="G1895" s="196">
        <v>-2374645</v>
      </c>
    </row>
    <row r="1896" spans="1:7" x14ac:dyDescent="0.3">
      <c r="A1896" s="198">
        <v>1128279034</v>
      </c>
      <c r="B1896" s="192" t="s">
        <v>1852</v>
      </c>
      <c r="C1896" s="196">
        <v>0</v>
      </c>
      <c r="D1896" s="196">
        <v>9200000</v>
      </c>
      <c r="E1896" s="196">
        <v>9200000</v>
      </c>
      <c r="F1896" s="196">
        <v>0</v>
      </c>
      <c r="G1896" s="196">
        <v>0</v>
      </c>
    </row>
    <row r="1897" spans="1:7" x14ac:dyDescent="0.3">
      <c r="A1897" s="198">
        <v>901598492</v>
      </c>
      <c r="B1897" s="192" t="s">
        <v>1853</v>
      </c>
      <c r="C1897" s="196">
        <v>-1320000</v>
      </c>
      <c r="D1897" s="196">
        <v>0</v>
      </c>
      <c r="E1897" s="196">
        <v>643500</v>
      </c>
      <c r="F1897" s="196">
        <v>-643500</v>
      </c>
      <c r="G1897" s="196">
        <v>-1963500</v>
      </c>
    </row>
    <row r="1898" spans="1:7" x14ac:dyDescent="0.3">
      <c r="A1898" s="198">
        <v>901054145</v>
      </c>
      <c r="B1898" s="192" t="s">
        <v>1622</v>
      </c>
      <c r="C1898" s="196">
        <v>0</v>
      </c>
      <c r="D1898" s="196">
        <v>778635</v>
      </c>
      <c r="E1898" s="196">
        <v>778635</v>
      </c>
      <c r="F1898" s="196">
        <v>0</v>
      </c>
      <c r="G1898" s="196">
        <v>0</v>
      </c>
    </row>
    <row r="1899" spans="1:7" x14ac:dyDescent="0.3">
      <c r="A1899" s="198">
        <v>71753384</v>
      </c>
      <c r="B1899" s="192" t="s">
        <v>1854</v>
      </c>
      <c r="C1899" s="196">
        <v>0</v>
      </c>
      <c r="D1899" s="196">
        <v>0</v>
      </c>
      <c r="E1899" s="196">
        <v>13200000</v>
      </c>
      <c r="F1899" s="196">
        <v>-13200000</v>
      </c>
      <c r="G1899" s="196">
        <v>-13200000</v>
      </c>
    </row>
    <row r="1900" spans="1:7" x14ac:dyDescent="0.3">
      <c r="A1900" s="198">
        <v>1214713422</v>
      </c>
      <c r="B1900" s="192" t="s">
        <v>1855</v>
      </c>
      <c r="C1900" s="196">
        <v>-397600</v>
      </c>
      <c r="D1900" s="196">
        <v>0</v>
      </c>
      <c r="E1900" s="196">
        <v>362460</v>
      </c>
      <c r="F1900" s="196">
        <v>-362460</v>
      </c>
      <c r="G1900" s="196">
        <v>-760060</v>
      </c>
    </row>
    <row r="1901" spans="1:7" x14ac:dyDescent="0.3">
      <c r="A1901" s="198">
        <v>830053812</v>
      </c>
      <c r="B1901" s="192" t="s">
        <v>1623</v>
      </c>
      <c r="C1901" s="196">
        <v>-26913495</v>
      </c>
      <c r="D1901" s="196">
        <v>113306282.31</v>
      </c>
      <c r="E1901" s="196">
        <v>86763113</v>
      </c>
      <c r="F1901" s="196">
        <v>26543169.309999999</v>
      </c>
      <c r="G1901" s="196">
        <v>-370325.69</v>
      </c>
    </row>
    <row r="1902" spans="1:7" x14ac:dyDescent="0.3">
      <c r="A1902" s="198">
        <v>890900608</v>
      </c>
      <c r="B1902" s="192" t="s">
        <v>1856</v>
      </c>
      <c r="C1902" s="196">
        <v>0</v>
      </c>
      <c r="D1902" s="196">
        <v>176990</v>
      </c>
      <c r="E1902" s="196">
        <v>176990</v>
      </c>
      <c r="F1902" s="196">
        <v>0</v>
      </c>
      <c r="G1902" s="196">
        <v>0</v>
      </c>
    </row>
    <row r="1903" spans="1:7" x14ac:dyDescent="0.3">
      <c r="A1903" s="198">
        <v>43556607</v>
      </c>
      <c r="B1903" s="192" t="s">
        <v>1857</v>
      </c>
      <c r="C1903" s="196">
        <v>0</v>
      </c>
      <c r="D1903" s="196">
        <v>4163319</v>
      </c>
      <c r="E1903" s="196">
        <v>4163319</v>
      </c>
      <c r="F1903" s="196">
        <v>0</v>
      </c>
      <c r="G1903" s="196">
        <v>0</v>
      </c>
    </row>
    <row r="1904" spans="1:7" x14ac:dyDescent="0.3">
      <c r="A1904" s="198">
        <v>43205122</v>
      </c>
      <c r="B1904" s="192" t="s">
        <v>262</v>
      </c>
      <c r="C1904" s="196">
        <v>-2200000</v>
      </c>
      <c r="D1904" s="196">
        <v>2200000</v>
      </c>
      <c r="E1904" s="196">
        <v>0</v>
      </c>
      <c r="F1904" s="196">
        <v>2200000</v>
      </c>
      <c r="G1904" s="196">
        <v>0</v>
      </c>
    </row>
    <row r="1905" spans="1:7" x14ac:dyDescent="0.3">
      <c r="A1905" s="198">
        <v>830064049</v>
      </c>
      <c r="B1905" s="192" t="s">
        <v>1858</v>
      </c>
      <c r="C1905" s="196">
        <v>-18775839</v>
      </c>
      <c r="D1905" s="196">
        <v>18775839</v>
      </c>
      <c r="E1905" s="196">
        <v>22018500</v>
      </c>
      <c r="F1905" s="196">
        <v>-3242661</v>
      </c>
      <c r="G1905" s="196">
        <v>-22018500</v>
      </c>
    </row>
    <row r="1906" spans="1:7" x14ac:dyDescent="0.3">
      <c r="A1906" s="198">
        <v>830103910</v>
      </c>
      <c r="B1906" s="192" t="s">
        <v>1859</v>
      </c>
      <c r="C1906" s="196">
        <v>-153920813</v>
      </c>
      <c r="D1906" s="196">
        <v>36026250</v>
      </c>
      <c r="E1906" s="196">
        <v>62280563</v>
      </c>
      <c r="F1906" s="196">
        <v>-26254313</v>
      </c>
      <c r="G1906" s="196">
        <v>-180175126</v>
      </c>
    </row>
    <row r="1907" spans="1:7" x14ac:dyDescent="0.3">
      <c r="A1907" s="198">
        <v>43987149</v>
      </c>
      <c r="B1907" s="192" t="s">
        <v>1860</v>
      </c>
      <c r="C1907" s="196">
        <v>-3400000</v>
      </c>
      <c r="D1907" s="196">
        <v>3400000</v>
      </c>
      <c r="E1907" s="196">
        <v>4133000</v>
      </c>
      <c r="F1907" s="196">
        <v>-733000</v>
      </c>
      <c r="G1907" s="196">
        <v>-4133000</v>
      </c>
    </row>
    <row r="1908" spans="1:7" x14ac:dyDescent="0.3">
      <c r="A1908" s="198">
        <v>12604950</v>
      </c>
      <c r="B1908" s="192" t="s">
        <v>1626</v>
      </c>
      <c r="C1908" s="196">
        <v>-6110571</v>
      </c>
      <c r="D1908" s="196">
        <v>6110571</v>
      </c>
      <c r="E1908" s="196">
        <v>5312879</v>
      </c>
      <c r="F1908" s="196">
        <v>797692</v>
      </c>
      <c r="G1908" s="196">
        <v>-5312879</v>
      </c>
    </row>
    <row r="1909" spans="1:7" x14ac:dyDescent="0.3">
      <c r="A1909" s="198">
        <v>901977424</v>
      </c>
      <c r="B1909" s="192" t="s">
        <v>1861</v>
      </c>
      <c r="C1909" s="196">
        <v>0</v>
      </c>
      <c r="D1909" s="196">
        <v>138541</v>
      </c>
      <c r="E1909" s="196">
        <v>138541</v>
      </c>
      <c r="F1909" s="196">
        <v>0</v>
      </c>
      <c r="G1909" s="196">
        <v>0</v>
      </c>
    </row>
    <row r="1910" spans="1:7" x14ac:dyDescent="0.3">
      <c r="A1910" s="198">
        <v>800158193</v>
      </c>
      <c r="B1910" s="192" t="s">
        <v>1628</v>
      </c>
      <c r="C1910" s="196">
        <v>0</v>
      </c>
      <c r="D1910" s="196">
        <v>1503350</v>
      </c>
      <c r="E1910" s="196">
        <v>1527418</v>
      </c>
      <c r="F1910" s="196">
        <v>-24068</v>
      </c>
      <c r="G1910" s="196">
        <v>-24068</v>
      </c>
    </row>
    <row r="1911" spans="1:7" x14ac:dyDescent="0.3">
      <c r="A1911" s="198">
        <v>39177660</v>
      </c>
      <c r="B1911" s="192" t="s">
        <v>1862</v>
      </c>
      <c r="C1911" s="196">
        <v>-1488000</v>
      </c>
      <c r="D1911" s="196">
        <v>0</v>
      </c>
      <c r="E1911" s="196">
        <v>1488000</v>
      </c>
      <c r="F1911" s="196">
        <v>-1488000</v>
      </c>
      <c r="G1911" s="196">
        <v>-2976000</v>
      </c>
    </row>
    <row r="1912" spans="1:7" x14ac:dyDescent="0.3">
      <c r="A1912" s="198">
        <v>860007335</v>
      </c>
      <c r="B1912" s="192" t="s">
        <v>1690</v>
      </c>
      <c r="C1912" s="196">
        <v>-22286</v>
      </c>
      <c r="D1912" s="196">
        <v>12552644</v>
      </c>
      <c r="E1912" s="196">
        <v>12552644</v>
      </c>
      <c r="F1912" s="196">
        <v>0</v>
      </c>
      <c r="G1912" s="196">
        <v>-22286</v>
      </c>
    </row>
    <row r="1913" spans="1:7" x14ac:dyDescent="0.3">
      <c r="A1913" s="198">
        <v>890903938</v>
      </c>
      <c r="B1913" s="192" t="s">
        <v>1691</v>
      </c>
      <c r="C1913" s="196">
        <v>0</v>
      </c>
      <c r="D1913" s="196">
        <v>1933233</v>
      </c>
      <c r="E1913" s="196">
        <v>1933233</v>
      </c>
      <c r="F1913" s="196">
        <v>0</v>
      </c>
      <c r="G1913" s="196">
        <v>0</v>
      </c>
    </row>
    <row r="1914" spans="1:7" x14ac:dyDescent="0.3">
      <c r="A1914" s="198">
        <v>900406150</v>
      </c>
      <c r="B1914" s="192" t="s">
        <v>1837</v>
      </c>
      <c r="C1914" s="196">
        <v>0</v>
      </c>
      <c r="D1914" s="196">
        <v>287954</v>
      </c>
      <c r="E1914" s="196">
        <v>287954</v>
      </c>
      <c r="F1914" s="196">
        <v>0</v>
      </c>
      <c r="G1914" s="196">
        <v>0</v>
      </c>
    </row>
    <row r="1915" spans="1:7" x14ac:dyDescent="0.3">
      <c r="A1915" s="198">
        <v>860001942</v>
      </c>
      <c r="B1915" s="192" t="s">
        <v>1863</v>
      </c>
      <c r="C1915" s="196">
        <v>-14117814</v>
      </c>
      <c r="D1915" s="196">
        <v>0</v>
      </c>
      <c r="E1915" s="196">
        <v>8870694</v>
      </c>
      <c r="F1915" s="196">
        <v>-8870694</v>
      </c>
      <c r="G1915" s="196">
        <v>-22988508</v>
      </c>
    </row>
    <row r="1916" spans="1:7" x14ac:dyDescent="0.3">
      <c r="A1916" s="198">
        <v>900740595</v>
      </c>
      <c r="B1916" s="192" t="s">
        <v>1630</v>
      </c>
      <c r="C1916" s="196">
        <v>-2172</v>
      </c>
      <c r="D1916" s="196">
        <v>705886</v>
      </c>
      <c r="E1916" s="196">
        <v>703714</v>
      </c>
      <c r="F1916" s="196">
        <v>2172</v>
      </c>
      <c r="G1916" s="196">
        <v>0</v>
      </c>
    </row>
    <row r="1917" spans="1:7" x14ac:dyDescent="0.3">
      <c r="A1917" s="198">
        <v>901112882</v>
      </c>
      <c r="B1917" s="192" t="s">
        <v>1864</v>
      </c>
      <c r="C1917" s="196">
        <v>-4269150</v>
      </c>
      <c r="D1917" s="196">
        <v>2055750</v>
      </c>
      <c r="E1917" s="196">
        <v>8775050</v>
      </c>
      <c r="F1917" s="196">
        <v>-6719300</v>
      </c>
      <c r="G1917" s="196">
        <v>-10988450</v>
      </c>
    </row>
    <row r="1918" spans="1:7" x14ac:dyDescent="0.3">
      <c r="A1918" s="198">
        <v>901033143</v>
      </c>
      <c r="B1918" s="192" t="s">
        <v>1865</v>
      </c>
      <c r="C1918" s="196">
        <v>-185999</v>
      </c>
      <c r="D1918" s="196">
        <v>0</v>
      </c>
      <c r="E1918" s="196">
        <v>0</v>
      </c>
      <c r="F1918" s="196">
        <v>0</v>
      </c>
      <c r="G1918" s="196">
        <v>-185999</v>
      </c>
    </row>
    <row r="1919" spans="1:7" x14ac:dyDescent="0.3">
      <c r="A1919" s="198">
        <v>901630573</v>
      </c>
      <c r="B1919" s="192" t="s">
        <v>107</v>
      </c>
      <c r="C1919" s="196">
        <v>-4103513</v>
      </c>
      <c r="D1919" s="196">
        <v>9197082</v>
      </c>
      <c r="E1919" s="196">
        <v>9197082</v>
      </c>
      <c r="F1919" s="196">
        <v>0</v>
      </c>
      <c r="G1919" s="196">
        <v>-4103513</v>
      </c>
    </row>
    <row r="1920" spans="1:7" x14ac:dyDescent="0.3">
      <c r="A1920" s="198">
        <v>890900841</v>
      </c>
      <c r="B1920" s="192" t="s">
        <v>1866</v>
      </c>
      <c r="C1920" s="196">
        <v>0</v>
      </c>
      <c r="D1920" s="196">
        <v>0</v>
      </c>
      <c r="E1920" s="196">
        <v>158400</v>
      </c>
      <c r="F1920" s="196">
        <v>-158400</v>
      </c>
      <c r="G1920" s="196">
        <v>-158400</v>
      </c>
    </row>
    <row r="1921" spans="1:7" x14ac:dyDescent="0.3">
      <c r="A1921" s="198">
        <v>890905080</v>
      </c>
      <c r="B1921" s="192" t="s">
        <v>1631</v>
      </c>
      <c r="C1921" s="196">
        <v>0</v>
      </c>
      <c r="D1921" s="196">
        <v>12100</v>
      </c>
      <c r="E1921" s="196">
        <v>12100</v>
      </c>
      <c r="F1921" s="196">
        <v>0</v>
      </c>
      <c r="G1921" s="196">
        <v>0</v>
      </c>
    </row>
    <row r="1922" spans="1:7" x14ac:dyDescent="0.3">
      <c r="A1922" s="198">
        <v>811007144</v>
      </c>
      <c r="B1922" s="192" t="s">
        <v>1867</v>
      </c>
      <c r="C1922" s="196">
        <v>-107900</v>
      </c>
      <c r="D1922" s="196">
        <v>0</v>
      </c>
      <c r="E1922" s="196">
        <v>0</v>
      </c>
      <c r="F1922" s="196">
        <v>0</v>
      </c>
      <c r="G1922" s="196">
        <v>-107900</v>
      </c>
    </row>
    <row r="1923" spans="1:7" x14ac:dyDescent="0.3">
      <c r="A1923" s="198">
        <v>900293637</v>
      </c>
      <c r="B1923" s="192" t="s">
        <v>1868</v>
      </c>
      <c r="C1923" s="196">
        <v>-199990</v>
      </c>
      <c r="D1923" s="196">
        <v>0</v>
      </c>
      <c r="E1923" s="196">
        <v>0</v>
      </c>
      <c r="F1923" s="196">
        <v>0</v>
      </c>
      <c r="G1923" s="196">
        <v>-199990</v>
      </c>
    </row>
    <row r="1924" spans="1:7" x14ac:dyDescent="0.3">
      <c r="A1924" s="198">
        <v>43741352</v>
      </c>
      <c r="B1924" s="192" t="s">
        <v>1869</v>
      </c>
      <c r="C1924" s="196">
        <v>-16018520</v>
      </c>
      <c r="D1924" s="196">
        <v>16018520</v>
      </c>
      <c r="E1924" s="196">
        <v>0</v>
      </c>
      <c r="F1924" s="196">
        <v>16018520</v>
      </c>
      <c r="G1924" s="196">
        <v>0</v>
      </c>
    </row>
    <row r="1925" spans="1:7" x14ac:dyDescent="0.3">
      <c r="A1925" s="198">
        <v>890331949</v>
      </c>
      <c r="B1925" s="192" t="s">
        <v>1632</v>
      </c>
      <c r="C1925" s="196">
        <v>-1405413</v>
      </c>
      <c r="D1925" s="196">
        <v>284245</v>
      </c>
      <c r="E1925" s="196">
        <v>3420327</v>
      </c>
      <c r="F1925" s="196">
        <v>-3136082</v>
      </c>
      <c r="G1925" s="196">
        <v>-4541495</v>
      </c>
    </row>
    <row r="1926" spans="1:7" x14ac:dyDescent="0.3">
      <c r="A1926" s="198">
        <v>830114921</v>
      </c>
      <c r="B1926" s="192" t="s">
        <v>1870</v>
      </c>
      <c r="C1926" s="196">
        <v>0</v>
      </c>
      <c r="D1926" s="196">
        <v>80820</v>
      </c>
      <c r="E1926" s="196">
        <v>80820</v>
      </c>
      <c r="F1926" s="196">
        <v>0</v>
      </c>
      <c r="G1926" s="196">
        <v>0</v>
      </c>
    </row>
    <row r="1927" spans="1:7" x14ac:dyDescent="0.3">
      <c r="A1927" s="198">
        <v>890900943</v>
      </c>
      <c r="B1927" s="192" t="s">
        <v>1783</v>
      </c>
      <c r="C1927" s="196">
        <v>-282600</v>
      </c>
      <c r="D1927" s="196">
        <v>0</v>
      </c>
      <c r="E1927" s="196">
        <v>0</v>
      </c>
      <c r="F1927" s="196">
        <v>0</v>
      </c>
      <c r="G1927" s="196">
        <v>-282600</v>
      </c>
    </row>
    <row r="1928" spans="1:7" x14ac:dyDescent="0.3">
      <c r="A1928" s="198">
        <v>811042584</v>
      </c>
      <c r="B1928" s="192" t="s">
        <v>1871</v>
      </c>
      <c r="C1928" s="196">
        <v>-1830800</v>
      </c>
      <c r="D1928" s="196">
        <v>1830800</v>
      </c>
      <c r="E1928" s="196">
        <v>2465446</v>
      </c>
      <c r="F1928" s="196">
        <v>-634646</v>
      </c>
      <c r="G1928" s="196">
        <v>-2465446</v>
      </c>
    </row>
    <row r="1929" spans="1:7" x14ac:dyDescent="0.3">
      <c r="A1929" s="198">
        <v>900342297</v>
      </c>
      <c r="B1929" s="192" t="s">
        <v>1872</v>
      </c>
      <c r="C1929" s="196">
        <v>0</v>
      </c>
      <c r="D1929" s="196">
        <v>359980</v>
      </c>
      <c r="E1929" s="196">
        <v>359980</v>
      </c>
      <c r="F1929" s="196">
        <v>0</v>
      </c>
      <c r="G1929" s="196">
        <v>0</v>
      </c>
    </row>
    <row r="1930" spans="1:7" x14ac:dyDescent="0.3">
      <c r="A1930" s="198">
        <v>800180330</v>
      </c>
      <c r="B1930" s="192" t="s">
        <v>1873</v>
      </c>
      <c r="C1930" s="196">
        <v>0</v>
      </c>
      <c r="D1930" s="196">
        <v>389400</v>
      </c>
      <c r="E1930" s="196">
        <v>389400</v>
      </c>
      <c r="F1930" s="196">
        <v>0</v>
      </c>
      <c r="G1930" s="196">
        <v>0</v>
      </c>
    </row>
    <row r="1931" spans="1:7" x14ac:dyDescent="0.3">
      <c r="A1931" s="198">
        <v>901313185</v>
      </c>
      <c r="B1931" s="192" t="s">
        <v>1874</v>
      </c>
      <c r="C1931" s="196">
        <v>-565029</v>
      </c>
      <c r="D1931" s="196">
        <v>0</v>
      </c>
      <c r="E1931" s="196">
        <v>0</v>
      </c>
      <c r="F1931" s="196">
        <v>0</v>
      </c>
      <c r="G1931" s="196">
        <v>-565029</v>
      </c>
    </row>
    <row r="1932" spans="1:7" x14ac:dyDescent="0.3">
      <c r="A1932" s="198">
        <v>1037583982</v>
      </c>
      <c r="B1932" s="192" t="s">
        <v>1798</v>
      </c>
      <c r="C1932" s="196">
        <v>0</v>
      </c>
      <c r="D1932" s="196">
        <v>1020000</v>
      </c>
      <c r="E1932" s="196">
        <v>1548000</v>
      </c>
      <c r="F1932" s="196">
        <v>-528000</v>
      </c>
      <c r="G1932" s="196">
        <v>-528000</v>
      </c>
    </row>
    <row r="1933" spans="1:7" x14ac:dyDescent="0.3">
      <c r="A1933" s="198">
        <v>811000620</v>
      </c>
      <c r="B1933" s="192" t="s">
        <v>1875</v>
      </c>
      <c r="C1933" s="196">
        <v>-447604859</v>
      </c>
      <c r="D1933" s="196">
        <v>220015</v>
      </c>
      <c r="E1933" s="196">
        <v>1329047</v>
      </c>
      <c r="F1933" s="196">
        <v>-1109032</v>
      </c>
      <c r="G1933" s="196">
        <v>-448713891</v>
      </c>
    </row>
    <row r="1934" spans="1:7" x14ac:dyDescent="0.3">
      <c r="A1934" s="198">
        <v>43637480</v>
      </c>
      <c r="B1934" s="192" t="s">
        <v>1876</v>
      </c>
      <c r="C1934" s="196">
        <v>0</v>
      </c>
      <c r="D1934" s="196">
        <v>5625000</v>
      </c>
      <c r="E1934" s="196">
        <v>5625000</v>
      </c>
      <c r="F1934" s="196">
        <v>0</v>
      </c>
      <c r="G1934" s="196">
        <v>0</v>
      </c>
    </row>
    <row r="1935" spans="1:7" x14ac:dyDescent="0.3">
      <c r="A1935" s="198">
        <v>890940343</v>
      </c>
      <c r="B1935" s="192" t="s">
        <v>1877</v>
      </c>
      <c r="C1935" s="196">
        <v>-357000</v>
      </c>
      <c r="D1935" s="196">
        <v>0</v>
      </c>
      <c r="E1935" s="196">
        <v>0</v>
      </c>
      <c r="F1935" s="196">
        <v>0</v>
      </c>
      <c r="G1935" s="196">
        <v>-357000</v>
      </c>
    </row>
    <row r="1936" spans="1:7" x14ac:dyDescent="0.3">
      <c r="A1936" s="198">
        <v>900978168</v>
      </c>
      <c r="B1936" s="192" t="s">
        <v>1878</v>
      </c>
      <c r="C1936" s="196">
        <v>-63800</v>
      </c>
      <c r="D1936" s="196">
        <v>0</v>
      </c>
      <c r="E1936" s="196">
        <v>0</v>
      </c>
      <c r="F1936" s="196">
        <v>0</v>
      </c>
      <c r="G1936" s="196">
        <v>-63800</v>
      </c>
    </row>
    <row r="1937" spans="1:7" x14ac:dyDescent="0.3">
      <c r="A1937" s="198">
        <v>890941663</v>
      </c>
      <c r="B1937" s="192" t="s">
        <v>1879</v>
      </c>
      <c r="C1937" s="196">
        <v>0</v>
      </c>
      <c r="D1937" s="196">
        <v>6806</v>
      </c>
      <c r="E1937" s="196">
        <v>6806</v>
      </c>
      <c r="F1937" s="196">
        <v>0</v>
      </c>
      <c r="G1937" s="196">
        <v>0</v>
      </c>
    </row>
    <row r="1938" spans="1:7" x14ac:dyDescent="0.3">
      <c r="A1938" s="198">
        <v>902021545</v>
      </c>
      <c r="B1938" s="192" t="s">
        <v>1880</v>
      </c>
      <c r="C1938" s="196">
        <v>0</v>
      </c>
      <c r="D1938" s="196">
        <v>0</v>
      </c>
      <c r="E1938" s="196">
        <v>345590</v>
      </c>
      <c r="F1938" s="196">
        <v>-345590</v>
      </c>
      <c r="G1938" s="196">
        <v>-345590</v>
      </c>
    </row>
    <row r="1939" spans="1:7" x14ac:dyDescent="0.3">
      <c r="A1939" s="192" t="s">
        <v>1881</v>
      </c>
      <c r="B1939" s="192" t="s">
        <v>1882</v>
      </c>
      <c r="C1939" s="196">
        <v>0</v>
      </c>
      <c r="D1939" s="196">
        <v>140594</v>
      </c>
      <c r="E1939" s="196">
        <v>140594</v>
      </c>
      <c r="F1939" s="196">
        <v>0</v>
      </c>
      <c r="G1939" s="196">
        <v>0</v>
      </c>
    </row>
    <row r="1940" spans="1:7" x14ac:dyDescent="0.3">
      <c r="A1940" s="198">
        <v>900595290</v>
      </c>
      <c r="B1940" s="192" t="s">
        <v>1883</v>
      </c>
      <c r="C1940" s="196">
        <v>0</v>
      </c>
      <c r="D1940" s="196">
        <v>42000</v>
      </c>
      <c r="E1940" s="196">
        <v>42000</v>
      </c>
      <c r="F1940" s="196">
        <v>0</v>
      </c>
      <c r="G1940" s="196">
        <v>0</v>
      </c>
    </row>
    <row r="1941" spans="1:7" x14ac:dyDescent="0.3">
      <c r="A1941" s="198">
        <v>43605890</v>
      </c>
      <c r="B1941" s="192" t="s">
        <v>565</v>
      </c>
      <c r="C1941" s="196">
        <v>0</v>
      </c>
      <c r="D1941" s="196">
        <v>1413000</v>
      </c>
      <c r="E1941" s="196">
        <v>1413000</v>
      </c>
      <c r="F1941" s="196">
        <v>0</v>
      </c>
      <c r="G1941" s="196">
        <v>0</v>
      </c>
    </row>
    <row r="1942" spans="1:7" x14ac:dyDescent="0.3">
      <c r="A1942" s="198">
        <v>890904996</v>
      </c>
      <c r="B1942" s="192" t="s">
        <v>1635</v>
      </c>
      <c r="C1942" s="196">
        <v>0</v>
      </c>
      <c r="D1942" s="196">
        <v>10357665</v>
      </c>
      <c r="E1942" s="196">
        <v>10357665</v>
      </c>
      <c r="F1942" s="196">
        <v>0</v>
      </c>
      <c r="G1942" s="196">
        <v>0</v>
      </c>
    </row>
    <row r="1943" spans="1:7" x14ac:dyDescent="0.3">
      <c r="A1943" s="198">
        <v>800213511</v>
      </c>
      <c r="B1943" s="192" t="s">
        <v>1884</v>
      </c>
      <c r="C1943" s="196">
        <v>-1510000</v>
      </c>
      <c r="D1943" s="196">
        <v>1500000</v>
      </c>
      <c r="E1943" s="196">
        <v>2460000</v>
      </c>
      <c r="F1943" s="196">
        <v>-960000</v>
      </c>
      <c r="G1943" s="196">
        <v>-2470000</v>
      </c>
    </row>
    <row r="1944" spans="1:7" x14ac:dyDescent="0.3">
      <c r="A1944" s="198">
        <v>901503425</v>
      </c>
      <c r="B1944" s="192" t="s">
        <v>118</v>
      </c>
      <c r="C1944" s="196">
        <v>-3017241</v>
      </c>
      <c r="D1944" s="196">
        <v>0</v>
      </c>
      <c r="E1944" s="196">
        <v>0</v>
      </c>
      <c r="F1944" s="196">
        <v>0</v>
      </c>
      <c r="G1944" s="196">
        <v>-3017241</v>
      </c>
    </row>
    <row r="1945" spans="1:7" x14ac:dyDescent="0.3">
      <c r="A1945" s="198">
        <v>901504270</v>
      </c>
      <c r="B1945" s="192" t="s">
        <v>1885</v>
      </c>
      <c r="C1945" s="196">
        <v>-10604468</v>
      </c>
      <c r="D1945" s="196">
        <v>10604468</v>
      </c>
      <c r="E1945" s="196">
        <v>5552059</v>
      </c>
      <c r="F1945" s="196">
        <v>5052409</v>
      </c>
      <c r="G1945" s="196">
        <v>-5552059</v>
      </c>
    </row>
    <row r="1946" spans="1:7" x14ac:dyDescent="0.3">
      <c r="A1946" s="198">
        <v>900393480</v>
      </c>
      <c r="B1946" s="192" t="s">
        <v>1886</v>
      </c>
      <c r="C1946" s="196">
        <v>-125007</v>
      </c>
      <c r="D1946" s="196">
        <v>125007</v>
      </c>
      <c r="E1946" s="196">
        <v>0</v>
      </c>
      <c r="F1946" s="196">
        <v>125007</v>
      </c>
      <c r="G1946" s="196">
        <v>0</v>
      </c>
    </row>
    <row r="1947" spans="1:7" x14ac:dyDescent="0.3">
      <c r="A1947" s="198">
        <v>900178348</v>
      </c>
      <c r="B1947" s="192" t="s">
        <v>1887</v>
      </c>
      <c r="C1947" s="196">
        <v>-28500</v>
      </c>
      <c r="D1947" s="196">
        <v>56000</v>
      </c>
      <c r="E1947" s="196">
        <v>56000</v>
      </c>
      <c r="F1947" s="196">
        <v>0</v>
      </c>
      <c r="G1947" s="196">
        <v>-28500</v>
      </c>
    </row>
    <row r="1948" spans="1:7" x14ac:dyDescent="0.3">
      <c r="A1948" s="198">
        <v>901516127</v>
      </c>
      <c r="B1948" s="192" t="s">
        <v>1745</v>
      </c>
      <c r="C1948" s="196">
        <v>-5299200</v>
      </c>
      <c r="D1948" s="196">
        <v>2193406.81</v>
      </c>
      <c r="E1948" s="196">
        <v>2497213.81</v>
      </c>
      <c r="F1948" s="196">
        <v>-303807</v>
      </c>
      <c r="G1948" s="196">
        <v>-5603007</v>
      </c>
    </row>
    <row r="1949" spans="1:7" x14ac:dyDescent="0.3">
      <c r="A1949" s="198">
        <v>901489208</v>
      </c>
      <c r="B1949" s="192" t="s">
        <v>1888</v>
      </c>
      <c r="C1949" s="196">
        <v>-84000</v>
      </c>
      <c r="D1949" s="196">
        <v>84000</v>
      </c>
      <c r="E1949" s="196">
        <v>0</v>
      </c>
      <c r="F1949" s="196">
        <v>84000</v>
      </c>
      <c r="G1949" s="196">
        <v>0</v>
      </c>
    </row>
    <row r="1950" spans="1:7" x14ac:dyDescent="0.3">
      <c r="A1950" s="198">
        <v>890903939</v>
      </c>
      <c r="B1950" s="192" t="s">
        <v>1889</v>
      </c>
      <c r="C1950" s="196">
        <v>0</v>
      </c>
      <c r="D1950" s="196">
        <v>293700</v>
      </c>
      <c r="E1950" s="196">
        <v>293700</v>
      </c>
      <c r="F1950" s="196">
        <v>0</v>
      </c>
      <c r="G1950" s="196">
        <v>0</v>
      </c>
    </row>
    <row r="1951" spans="1:7" x14ac:dyDescent="0.3">
      <c r="A1951" s="198">
        <v>901269126</v>
      </c>
      <c r="B1951" s="192" t="s">
        <v>1890</v>
      </c>
      <c r="C1951" s="196">
        <v>0</v>
      </c>
      <c r="D1951" s="196">
        <v>1096130</v>
      </c>
      <c r="E1951" s="196">
        <v>1096130</v>
      </c>
      <c r="F1951" s="196">
        <v>0</v>
      </c>
      <c r="G1951" s="196">
        <v>0</v>
      </c>
    </row>
    <row r="1952" spans="1:7" x14ac:dyDescent="0.3">
      <c r="A1952" s="198">
        <v>43431863</v>
      </c>
      <c r="B1952" s="192" t="s">
        <v>1891</v>
      </c>
      <c r="C1952" s="196">
        <v>0</v>
      </c>
      <c r="D1952" s="196">
        <v>0</v>
      </c>
      <c r="E1952" s="196">
        <v>765000</v>
      </c>
      <c r="F1952" s="196">
        <v>-765000</v>
      </c>
      <c r="G1952" s="196">
        <v>-765000</v>
      </c>
    </row>
    <row r="1953" spans="1:7" x14ac:dyDescent="0.3">
      <c r="A1953" s="198">
        <v>493581</v>
      </c>
      <c r="B1953" s="192" t="s">
        <v>1892</v>
      </c>
      <c r="C1953" s="196">
        <v>0</v>
      </c>
      <c r="D1953" s="196">
        <v>1782613</v>
      </c>
      <c r="E1953" s="196">
        <v>7282613</v>
      </c>
      <c r="F1953" s="196">
        <v>-5500000</v>
      </c>
      <c r="G1953" s="196">
        <v>-5500000</v>
      </c>
    </row>
    <row r="1954" spans="1:7" x14ac:dyDescent="0.3">
      <c r="A1954" s="198">
        <v>900488499</v>
      </c>
      <c r="B1954" s="192" t="s">
        <v>1893</v>
      </c>
      <c r="C1954" s="196">
        <v>0</v>
      </c>
      <c r="D1954" s="196">
        <v>0</v>
      </c>
      <c r="E1954" s="196">
        <v>3833200</v>
      </c>
      <c r="F1954" s="196">
        <v>-3833200</v>
      </c>
      <c r="G1954" s="196">
        <v>-3833200</v>
      </c>
    </row>
    <row r="1955" spans="1:7" x14ac:dyDescent="0.3">
      <c r="A1955" s="198">
        <v>900177200</v>
      </c>
      <c r="B1955" s="192" t="s">
        <v>1894</v>
      </c>
      <c r="C1955" s="196">
        <v>-5175019</v>
      </c>
      <c r="D1955" s="196">
        <v>5175019</v>
      </c>
      <c r="E1955" s="196">
        <v>0</v>
      </c>
      <c r="F1955" s="196">
        <v>5175019</v>
      </c>
      <c r="G1955" s="196">
        <v>0</v>
      </c>
    </row>
    <row r="1956" spans="1:7" x14ac:dyDescent="0.3">
      <c r="A1956" s="198">
        <v>900661278</v>
      </c>
      <c r="B1956" s="192" t="s">
        <v>1895</v>
      </c>
      <c r="C1956" s="196">
        <v>0</v>
      </c>
      <c r="D1956" s="196">
        <v>154500</v>
      </c>
      <c r="E1956" s="196">
        <v>154500</v>
      </c>
      <c r="F1956" s="196">
        <v>0</v>
      </c>
      <c r="G1956" s="196">
        <v>0</v>
      </c>
    </row>
    <row r="1957" spans="1:7" x14ac:dyDescent="0.3">
      <c r="A1957" s="198">
        <v>900517272</v>
      </c>
      <c r="B1957" s="192" t="s">
        <v>1896</v>
      </c>
      <c r="C1957" s="196">
        <v>-970002</v>
      </c>
      <c r="D1957" s="196">
        <v>0</v>
      </c>
      <c r="E1957" s="196">
        <v>0</v>
      </c>
      <c r="F1957" s="196">
        <v>0</v>
      </c>
      <c r="G1957" s="196">
        <v>-970002</v>
      </c>
    </row>
    <row r="1958" spans="1:7" x14ac:dyDescent="0.3">
      <c r="A1958" s="198">
        <v>900041593</v>
      </c>
      <c r="B1958" s="192" t="s">
        <v>1897</v>
      </c>
      <c r="C1958" s="196">
        <v>0</v>
      </c>
      <c r="D1958" s="196">
        <v>789000</v>
      </c>
      <c r="E1958" s="196">
        <v>789000</v>
      </c>
      <c r="F1958" s="196">
        <v>0</v>
      </c>
      <c r="G1958" s="196">
        <v>0</v>
      </c>
    </row>
    <row r="1959" spans="1:7" x14ac:dyDescent="0.3">
      <c r="A1959" s="198">
        <v>901774397</v>
      </c>
      <c r="B1959" s="192" t="s">
        <v>1898</v>
      </c>
      <c r="C1959" s="196">
        <v>-133733</v>
      </c>
      <c r="D1959" s="196">
        <v>0</v>
      </c>
      <c r="E1959" s="196">
        <v>0</v>
      </c>
      <c r="F1959" s="196">
        <v>0</v>
      </c>
      <c r="G1959" s="196">
        <v>-133733</v>
      </c>
    </row>
    <row r="1960" spans="1:7" x14ac:dyDescent="0.3">
      <c r="A1960" s="198">
        <v>900924527</v>
      </c>
      <c r="B1960" s="192" t="s">
        <v>1899</v>
      </c>
      <c r="C1960" s="196">
        <v>-1173811</v>
      </c>
      <c r="D1960" s="196">
        <v>0</v>
      </c>
      <c r="E1960" s="196">
        <v>0</v>
      </c>
      <c r="F1960" s="196">
        <v>0</v>
      </c>
      <c r="G1960" s="196">
        <v>-1173811</v>
      </c>
    </row>
    <row r="1961" spans="1:7" x14ac:dyDescent="0.3">
      <c r="A1961" s="198">
        <v>900298420</v>
      </c>
      <c r="B1961" s="192" t="s">
        <v>1637</v>
      </c>
      <c r="C1961" s="196">
        <v>0</v>
      </c>
      <c r="D1961" s="196">
        <v>94000</v>
      </c>
      <c r="E1961" s="196">
        <v>183499</v>
      </c>
      <c r="F1961" s="196">
        <v>-89499</v>
      </c>
      <c r="G1961" s="196">
        <v>-89499</v>
      </c>
    </row>
    <row r="1962" spans="1:7" x14ac:dyDescent="0.3">
      <c r="A1962" s="198">
        <v>860533413</v>
      </c>
      <c r="B1962" s="192" t="s">
        <v>1900</v>
      </c>
      <c r="C1962" s="196">
        <v>-155800</v>
      </c>
      <c r="D1962" s="196">
        <v>72801</v>
      </c>
      <c r="E1962" s="196">
        <v>72801</v>
      </c>
      <c r="F1962" s="196">
        <v>0</v>
      </c>
      <c r="G1962" s="196">
        <v>-155800</v>
      </c>
    </row>
    <row r="1963" spans="1:7" x14ac:dyDescent="0.3">
      <c r="A1963" s="198">
        <v>800131750</v>
      </c>
      <c r="B1963" s="192" t="s">
        <v>1639</v>
      </c>
      <c r="C1963" s="196">
        <v>0</v>
      </c>
      <c r="D1963" s="196">
        <v>120842</v>
      </c>
      <c r="E1963" s="196">
        <v>120842</v>
      </c>
      <c r="F1963" s="196">
        <v>0</v>
      </c>
      <c r="G1963" s="196">
        <v>0</v>
      </c>
    </row>
    <row r="1964" spans="1:7" x14ac:dyDescent="0.3">
      <c r="A1964" s="198">
        <v>900467517</v>
      </c>
      <c r="B1964" s="192" t="s">
        <v>1640</v>
      </c>
      <c r="C1964" s="196">
        <v>0</v>
      </c>
      <c r="D1964" s="196">
        <v>9786000</v>
      </c>
      <c r="E1964" s="196">
        <v>9786000</v>
      </c>
      <c r="F1964" s="196">
        <v>0</v>
      </c>
      <c r="G1964" s="196">
        <v>0</v>
      </c>
    </row>
    <row r="1965" spans="1:7" x14ac:dyDescent="0.3">
      <c r="A1965" s="198">
        <v>901492487</v>
      </c>
      <c r="B1965" s="192" t="s">
        <v>1901</v>
      </c>
      <c r="C1965" s="196">
        <v>-1125957</v>
      </c>
      <c r="D1965" s="196">
        <v>1125957</v>
      </c>
      <c r="E1965" s="196">
        <v>4773827</v>
      </c>
      <c r="F1965" s="196">
        <v>-3647870</v>
      </c>
      <c r="G1965" s="196">
        <v>-4773827</v>
      </c>
    </row>
    <row r="1966" spans="1:7" x14ac:dyDescent="0.3">
      <c r="A1966" s="198">
        <v>901414564</v>
      </c>
      <c r="B1966" s="192" t="s">
        <v>1642</v>
      </c>
      <c r="C1966" s="196">
        <v>-298617</v>
      </c>
      <c r="D1966" s="196">
        <v>1495465</v>
      </c>
      <c r="E1966" s="196">
        <v>1365965</v>
      </c>
      <c r="F1966" s="196">
        <v>129500</v>
      </c>
      <c r="G1966" s="196">
        <v>-169117</v>
      </c>
    </row>
    <row r="1967" spans="1:7" x14ac:dyDescent="0.3">
      <c r="A1967" s="198">
        <v>900516123</v>
      </c>
      <c r="B1967" s="192" t="s">
        <v>1902</v>
      </c>
      <c r="C1967" s="196">
        <v>-7584556</v>
      </c>
      <c r="D1967" s="196">
        <v>7305956</v>
      </c>
      <c r="E1967" s="196">
        <v>8419328</v>
      </c>
      <c r="F1967" s="196">
        <v>-1113372</v>
      </c>
      <c r="G1967" s="196">
        <v>-8697928</v>
      </c>
    </row>
    <row r="1968" spans="1:7" x14ac:dyDescent="0.3">
      <c r="A1968" s="198">
        <v>901621911</v>
      </c>
      <c r="B1968" s="192" t="s">
        <v>1812</v>
      </c>
      <c r="C1968" s="196">
        <v>-3671218</v>
      </c>
      <c r="D1968" s="196">
        <v>0</v>
      </c>
      <c r="E1968" s="196">
        <v>0</v>
      </c>
      <c r="F1968" s="196">
        <v>0</v>
      </c>
      <c r="G1968" s="196">
        <v>-3671218</v>
      </c>
    </row>
    <row r="1969" spans="1:7" x14ac:dyDescent="0.3">
      <c r="A1969" s="198">
        <v>900927412</v>
      </c>
      <c r="B1969" s="192" t="s">
        <v>1903</v>
      </c>
      <c r="C1969" s="196">
        <v>-30900</v>
      </c>
      <c r="D1969" s="196">
        <v>0</v>
      </c>
      <c r="E1969" s="196">
        <v>0</v>
      </c>
      <c r="F1969" s="196">
        <v>0</v>
      </c>
      <c r="G1969" s="196">
        <v>-30900</v>
      </c>
    </row>
    <row r="1970" spans="1:7" x14ac:dyDescent="0.3">
      <c r="A1970" s="198">
        <v>901360828</v>
      </c>
      <c r="B1970" s="192" t="s">
        <v>1904</v>
      </c>
      <c r="C1970" s="196">
        <v>-837600</v>
      </c>
      <c r="D1970" s="196">
        <v>0</v>
      </c>
      <c r="E1970" s="196">
        <v>0</v>
      </c>
      <c r="F1970" s="196">
        <v>0</v>
      </c>
      <c r="G1970" s="196">
        <v>-837600</v>
      </c>
    </row>
    <row r="1971" spans="1:7" x14ac:dyDescent="0.3">
      <c r="A1971" s="198">
        <v>19897047</v>
      </c>
      <c r="B1971" s="192" t="s">
        <v>1905</v>
      </c>
      <c r="C1971" s="196">
        <v>-1000</v>
      </c>
      <c r="D1971" s="196">
        <v>0</v>
      </c>
      <c r="E1971" s="196">
        <v>0</v>
      </c>
      <c r="F1971" s="196">
        <v>0</v>
      </c>
      <c r="G1971" s="196">
        <v>-1000</v>
      </c>
    </row>
    <row r="1972" spans="1:7" x14ac:dyDescent="0.3">
      <c r="A1972" s="198">
        <v>71526513</v>
      </c>
      <c r="B1972" s="192" t="s">
        <v>1643</v>
      </c>
      <c r="C1972" s="196">
        <v>0</v>
      </c>
      <c r="D1972" s="196">
        <v>1600000</v>
      </c>
      <c r="E1972" s="196">
        <v>1600000</v>
      </c>
      <c r="F1972" s="196">
        <v>0</v>
      </c>
      <c r="G1972" s="196">
        <v>0</v>
      </c>
    </row>
    <row r="1973" spans="1:7" x14ac:dyDescent="0.3">
      <c r="A1973" s="198">
        <v>52884070</v>
      </c>
      <c r="B1973" s="192" t="s">
        <v>790</v>
      </c>
      <c r="C1973" s="196">
        <v>-16599800</v>
      </c>
      <c r="D1973" s="196">
        <v>31667055</v>
      </c>
      <c r="E1973" s="196">
        <v>30319300</v>
      </c>
      <c r="F1973" s="196">
        <v>1347755</v>
      </c>
      <c r="G1973" s="196">
        <v>-15252045</v>
      </c>
    </row>
    <row r="1974" spans="1:7" x14ac:dyDescent="0.3">
      <c r="A1974" s="198">
        <v>1093744869</v>
      </c>
      <c r="B1974" s="192" t="s">
        <v>1906</v>
      </c>
      <c r="C1974" s="196">
        <v>-2310000</v>
      </c>
      <c r="D1974" s="196">
        <v>2310000</v>
      </c>
      <c r="E1974" s="196">
        <v>3080000</v>
      </c>
      <c r="F1974" s="196">
        <v>-770000</v>
      </c>
      <c r="G1974" s="196">
        <v>-3080000</v>
      </c>
    </row>
    <row r="1975" spans="1:7" x14ac:dyDescent="0.3">
      <c r="A1975" s="198">
        <v>901038325</v>
      </c>
      <c r="B1975" s="192" t="s">
        <v>1907</v>
      </c>
      <c r="C1975" s="196">
        <v>0</v>
      </c>
      <c r="D1975" s="196">
        <v>118437</v>
      </c>
      <c r="E1975" s="196">
        <v>118437</v>
      </c>
      <c r="F1975" s="196">
        <v>0</v>
      </c>
      <c r="G1975" s="196">
        <v>0</v>
      </c>
    </row>
    <row r="1976" spans="1:7" x14ac:dyDescent="0.3">
      <c r="A1976" s="198">
        <v>98664562</v>
      </c>
      <c r="B1976" s="192" t="s">
        <v>1908</v>
      </c>
      <c r="C1976" s="196">
        <v>0</v>
      </c>
      <c r="D1976" s="196">
        <v>45000</v>
      </c>
      <c r="E1976" s="196">
        <v>45000</v>
      </c>
      <c r="F1976" s="196">
        <v>0</v>
      </c>
      <c r="G1976" s="196">
        <v>0</v>
      </c>
    </row>
    <row r="1977" spans="1:7" x14ac:dyDescent="0.3">
      <c r="A1977" s="198">
        <v>71527531</v>
      </c>
      <c r="B1977" s="192" t="s">
        <v>124</v>
      </c>
      <c r="C1977" s="196">
        <v>-497280</v>
      </c>
      <c r="D1977" s="196">
        <v>50745130</v>
      </c>
      <c r="E1977" s="196">
        <v>50745130</v>
      </c>
      <c r="F1977" s="196">
        <v>0</v>
      </c>
      <c r="G1977" s="196">
        <v>-497280</v>
      </c>
    </row>
    <row r="1978" spans="1:7" x14ac:dyDescent="0.3">
      <c r="A1978" s="198">
        <v>1127575113</v>
      </c>
      <c r="B1978" s="192" t="s">
        <v>1720</v>
      </c>
      <c r="C1978" s="196">
        <v>-78708150</v>
      </c>
      <c r="D1978" s="196">
        <v>61093290</v>
      </c>
      <c r="E1978" s="196">
        <v>12243754</v>
      </c>
      <c r="F1978" s="196">
        <v>48849536</v>
      </c>
      <c r="G1978" s="196">
        <v>-29858614</v>
      </c>
    </row>
    <row r="1979" spans="1:7" x14ac:dyDescent="0.3">
      <c r="A1979" s="198">
        <v>1127941782</v>
      </c>
      <c r="B1979" s="192" t="s">
        <v>1618</v>
      </c>
      <c r="C1979" s="196">
        <v>-26172883</v>
      </c>
      <c r="D1979" s="196">
        <v>0</v>
      </c>
      <c r="E1979" s="196">
        <v>52336190</v>
      </c>
      <c r="F1979" s="196">
        <v>-52336190</v>
      </c>
      <c r="G1979" s="196">
        <v>-78509073</v>
      </c>
    </row>
    <row r="1980" spans="1:7" x14ac:dyDescent="0.3">
      <c r="A1980" s="198">
        <v>1037573974</v>
      </c>
      <c r="B1980" s="192" t="s">
        <v>1909</v>
      </c>
      <c r="C1980" s="196">
        <v>-4089379</v>
      </c>
      <c r="D1980" s="196">
        <v>2520470</v>
      </c>
      <c r="E1980" s="196">
        <v>2936220</v>
      </c>
      <c r="F1980" s="196">
        <v>-415750</v>
      </c>
      <c r="G1980" s="196">
        <v>-4505129</v>
      </c>
    </row>
    <row r="1981" spans="1:7" x14ac:dyDescent="0.3">
      <c r="A1981" s="198">
        <v>71373883</v>
      </c>
      <c r="B1981" s="192" t="s">
        <v>1910</v>
      </c>
      <c r="C1981" s="196">
        <v>-1800000</v>
      </c>
      <c r="D1981" s="196">
        <v>1800000</v>
      </c>
      <c r="E1981" s="196">
        <v>1800000</v>
      </c>
      <c r="F1981" s="196">
        <v>0</v>
      </c>
      <c r="G1981" s="196">
        <v>-1800000</v>
      </c>
    </row>
    <row r="1982" spans="1:7" x14ac:dyDescent="0.3">
      <c r="A1982" s="198">
        <v>700023139</v>
      </c>
      <c r="B1982" s="192" t="s">
        <v>1911</v>
      </c>
      <c r="C1982" s="196">
        <v>0</v>
      </c>
      <c r="D1982" s="196">
        <v>4000000</v>
      </c>
      <c r="E1982" s="196">
        <v>4000000</v>
      </c>
      <c r="F1982" s="196">
        <v>0</v>
      </c>
      <c r="G1982" s="196">
        <v>0</v>
      </c>
    </row>
    <row r="1983" spans="1:7" x14ac:dyDescent="0.3">
      <c r="A1983" s="198">
        <v>1037571984</v>
      </c>
      <c r="B1983" s="192" t="s">
        <v>1912</v>
      </c>
      <c r="C1983" s="196">
        <v>-1611120</v>
      </c>
      <c r="D1983" s="196">
        <v>4396647</v>
      </c>
      <c r="E1983" s="196">
        <v>2785527</v>
      </c>
      <c r="F1983" s="196">
        <v>1611120</v>
      </c>
      <c r="G1983" s="196">
        <v>0</v>
      </c>
    </row>
    <row r="1984" spans="1:7" x14ac:dyDescent="0.3">
      <c r="A1984" s="198">
        <v>1037571984</v>
      </c>
      <c r="B1984" s="192" t="s">
        <v>1912</v>
      </c>
      <c r="C1984" s="196">
        <v>-335982</v>
      </c>
      <c r="D1984" s="196">
        <v>0</v>
      </c>
      <c r="E1984" s="196">
        <v>4396647</v>
      </c>
      <c r="F1984" s="196">
        <v>-4396647</v>
      </c>
      <c r="G1984" s="196">
        <v>-4732629</v>
      </c>
    </row>
    <row r="1985" spans="1:7" x14ac:dyDescent="0.3">
      <c r="A1985" s="198">
        <v>98555608</v>
      </c>
      <c r="B1985" s="192" t="s">
        <v>126</v>
      </c>
      <c r="C1985" s="196">
        <v>-15836018</v>
      </c>
      <c r="D1985" s="196">
        <v>0</v>
      </c>
      <c r="E1985" s="196">
        <v>47466322</v>
      </c>
      <c r="F1985" s="196">
        <v>-47466322</v>
      </c>
      <c r="G1985" s="196">
        <v>-63302340</v>
      </c>
    </row>
    <row r="1986" spans="1:7" x14ac:dyDescent="0.3">
      <c r="A1986" s="198">
        <v>1037572165</v>
      </c>
      <c r="B1986" s="192" t="s">
        <v>1913</v>
      </c>
      <c r="C1986" s="196">
        <v>0</v>
      </c>
      <c r="D1986" s="196">
        <v>1600000</v>
      </c>
      <c r="E1986" s="196">
        <v>3600000</v>
      </c>
      <c r="F1986" s="196">
        <v>-2000000</v>
      </c>
      <c r="G1986" s="196">
        <v>-2000000</v>
      </c>
    </row>
    <row r="1987" spans="1:7" x14ac:dyDescent="0.3">
      <c r="A1987" s="198">
        <v>1144068250</v>
      </c>
      <c r="B1987" s="192" t="s">
        <v>1645</v>
      </c>
      <c r="C1987" s="196">
        <v>-70201692</v>
      </c>
      <c r="D1987" s="196">
        <v>51746536</v>
      </c>
      <c r="E1987" s="196">
        <v>55635190</v>
      </c>
      <c r="F1987" s="196">
        <v>-3888654</v>
      </c>
      <c r="G1987" s="196">
        <v>-74090346</v>
      </c>
    </row>
    <row r="1988" spans="1:7" x14ac:dyDescent="0.3">
      <c r="A1988" s="198">
        <v>900407432</v>
      </c>
      <c r="B1988" s="192" t="s">
        <v>1914</v>
      </c>
      <c r="C1988" s="196">
        <v>-779900</v>
      </c>
      <c r="D1988" s="196">
        <v>779900</v>
      </c>
      <c r="E1988" s="196">
        <v>167700</v>
      </c>
      <c r="F1988" s="196">
        <v>612200</v>
      </c>
      <c r="G1988" s="196">
        <v>-167700</v>
      </c>
    </row>
    <row r="1989" spans="1:7" x14ac:dyDescent="0.3">
      <c r="A1989" s="198">
        <v>860019041</v>
      </c>
      <c r="B1989" s="192" t="s">
        <v>1647</v>
      </c>
      <c r="C1989" s="196">
        <v>-1010012809.72</v>
      </c>
      <c r="D1989" s="196">
        <v>37565704</v>
      </c>
      <c r="E1989" s="196">
        <v>148761444</v>
      </c>
      <c r="F1989" s="196">
        <v>-111195740</v>
      </c>
      <c r="G1989" s="196">
        <v>-1121208549.72</v>
      </c>
    </row>
    <row r="1990" spans="1:7" x14ac:dyDescent="0.3">
      <c r="A1990" s="198">
        <v>900551636</v>
      </c>
      <c r="B1990" s="192" t="s">
        <v>1915</v>
      </c>
      <c r="C1990" s="196">
        <v>-3510002</v>
      </c>
      <c r="D1990" s="196">
        <v>3510002</v>
      </c>
      <c r="E1990" s="196">
        <v>0</v>
      </c>
      <c r="F1990" s="196">
        <v>3510002</v>
      </c>
      <c r="G1990" s="196">
        <v>0</v>
      </c>
    </row>
    <row r="1991" spans="1:7" x14ac:dyDescent="0.3">
      <c r="A1991" s="198">
        <v>890940259</v>
      </c>
      <c r="B1991" s="192" t="s">
        <v>1648</v>
      </c>
      <c r="C1991" s="196">
        <v>-64268580</v>
      </c>
      <c r="D1991" s="196">
        <v>106734288.90000001</v>
      </c>
      <c r="E1991" s="196">
        <v>91725832.900000006</v>
      </c>
      <c r="F1991" s="196">
        <v>15008456</v>
      </c>
      <c r="G1991" s="196">
        <v>-49260124</v>
      </c>
    </row>
    <row r="1992" spans="1:7" x14ac:dyDescent="0.3">
      <c r="A1992" s="198">
        <v>901147181</v>
      </c>
      <c r="B1992" s="192" t="s">
        <v>1916</v>
      </c>
      <c r="C1992" s="196">
        <v>-25400</v>
      </c>
      <c r="D1992" s="196">
        <v>0</v>
      </c>
      <c r="E1992" s="196">
        <v>0</v>
      </c>
      <c r="F1992" s="196">
        <v>0</v>
      </c>
      <c r="G1992" s="196">
        <v>-25400</v>
      </c>
    </row>
    <row r="1993" spans="1:7" x14ac:dyDescent="0.3">
      <c r="A1993" s="198">
        <v>901893782</v>
      </c>
      <c r="B1993" s="192" t="s">
        <v>1917</v>
      </c>
      <c r="C1993" s="196">
        <v>-5401215</v>
      </c>
      <c r="D1993" s="196">
        <v>11276221</v>
      </c>
      <c r="E1993" s="196">
        <v>11750012</v>
      </c>
      <c r="F1993" s="196">
        <v>-473791</v>
      </c>
      <c r="G1993" s="196">
        <v>-5875006</v>
      </c>
    </row>
    <row r="1994" spans="1:7" x14ac:dyDescent="0.3">
      <c r="A1994" s="198">
        <v>802017441</v>
      </c>
      <c r="B1994" s="192" t="s">
        <v>1918</v>
      </c>
      <c r="C1994" s="196">
        <v>-4316250</v>
      </c>
      <c r="D1994" s="196">
        <v>9735000</v>
      </c>
      <c r="E1994" s="196">
        <v>14893725</v>
      </c>
      <c r="F1994" s="196">
        <v>-5158725</v>
      </c>
      <c r="G1994" s="196">
        <v>-9474975</v>
      </c>
    </row>
    <row r="1995" spans="1:7" x14ac:dyDescent="0.3">
      <c r="A1995" s="198">
        <v>830078515</v>
      </c>
      <c r="B1995" s="192" t="s">
        <v>1919</v>
      </c>
      <c r="C1995" s="196">
        <v>-1473670</v>
      </c>
      <c r="D1995" s="196">
        <v>1473670</v>
      </c>
      <c r="E1995" s="196">
        <v>1473670</v>
      </c>
      <c r="F1995" s="196">
        <v>0</v>
      </c>
      <c r="G1995" s="196">
        <v>-1473670</v>
      </c>
    </row>
    <row r="1996" spans="1:7" x14ac:dyDescent="0.3">
      <c r="A1996" s="198">
        <v>900557226</v>
      </c>
      <c r="B1996" s="192" t="s">
        <v>1920</v>
      </c>
      <c r="C1996" s="196">
        <v>-928200</v>
      </c>
      <c r="D1996" s="196">
        <v>0</v>
      </c>
      <c r="E1996" s="196">
        <v>0</v>
      </c>
      <c r="F1996" s="196">
        <v>0</v>
      </c>
      <c r="G1996" s="196">
        <v>-928200</v>
      </c>
    </row>
    <row r="1997" spans="1:7" x14ac:dyDescent="0.3">
      <c r="A1997" s="198">
        <v>1128056096</v>
      </c>
      <c r="B1997" s="192" t="s">
        <v>1921</v>
      </c>
      <c r="C1997" s="196">
        <v>0</v>
      </c>
      <c r="D1997" s="196">
        <v>0</v>
      </c>
      <c r="E1997" s="196">
        <v>487970</v>
      </c>
      <c r="F1997" s="196">
        <v>-487970</v>
      </c>
      <c r="G1997" s="196">
        <v>-487970</v>
      </c>
    </row>
    <row r="1998" spans="1:7" x14ac:dyDescent="0.3">
      <c r="A1998" s="198">
        <v>900924249</v>
      </c>
      <c r="B1998" s="192" t="s">
        <v>1922</v>
      </c>
      <c r="C1998" s="196">
        <v>-542855</v>
      </c>
      <c r="D1998" s="196">
        <v>542855</v>
      </c>
      <c r="E1998" s="196">
        <v>0</v>
      </c>
      <c r="F1998" s="196">
        <v>542855</v>
      </c>
      <c r="G1998" s="196">
        <v>0</v>
      </c>
    </row>
    <row r="1999" spans="1:7" x14ac:dyDescent="0.3">
      <c r="A1999" s="198">
        <v>1020431035</v>
      </c>
      <c r="B1999" s="192" t="s">
        <v>1923</v>
      </c>
      <c r="C1999" s="196">
        <v>0</v>
      </c>
      <c r="D1999" s="196">
        <v>25000</v>
      </c>
      <c r="E1999" s="196">
        <v>25000</v>
      </c>
      <c r="F1999" s="196">
        <v>0</v>
      </c>
      <c r="G1999" s="196">
        <v>0</v>
      </c>
    </row>
    <row r="2000" spans="1:7" x14ac:dyDescent="0.3">
      <c r="A2000" s="198">
        <v>700178622</v>
      </c>
      <c r="B2000" s="192" t="s">
        <v>1924</v>
      </c>
      <c r="C2000" s="196">
        <v>-29370000</v>
      </c>
      <c r="D2000" s="196">
        <v>58740000</v>
      </c>
      <c r="E2000" s="196">
        <v>29370000</v>
      </c>
      <c r="F2000" s="196">
        <v>29370000</v>
      </c>
      <c r="G2000" s="196">
        <v>0</v>
      </c>
    </row>
    <row r="2001" spans="1:7" x14ac:dyDescent="0.3">
      <c r="A2001" s="198">
        <v>900311581</v>
      </c>
      <c r="B2001" s="192" t="s">
        <v>1809</v>
      </c>
      <c r="C2001" s="196">
        <v>-3948599</v>
      </c>
      <c r="D2001" s="196">
        <v>3948599</v>
      </c>
      <c r="E2001" s="196">
        <v>0</v>
      </c>
      <c r="F2001" s="196">
        <v>3948599</v>
      </c>
      <c r="G2001" s="196">
        <v>0</v>
      </c>
    </row>
    <row r="2002" spans="1:7" x14ac:dyDescent="0.3">
      <c r="A2002" s="198">
        <v>811028650</v>
      </c>
      <c r="B2002" s="192" t="s">
        <v>1752</v>
      </c>
      <c r="C2002" s="196">
        <v>0</v>
      </c>
      <c r="D2002" s="196">
        <v>20200</v>
      </c>
      <c r="E2002" s="196">
        <v>20200</v>
      </c>
      <c r="F2002" s="196">
        <v>0</v>
      </c>
      <c r="G2002" s="196">
        <v>0</v>
      </c>
    </row>
    <row r="2003" spans="1:7" x14ac:dyDescent="0.3">
      <c r="A2003" s="198">
        <v>901707512</v>
      </c>
      <c r="B2003" s="192" t="s">
        <v>1925</v>
      </c>
      <c r="C2003" s="196">
        <v>-6038000</v>
      </c>
      <c r="D2003" s="196">
        <v>1975000</v>
      </c>
      <c r="E2003" s="196">
        <v>1173000</v>
      </c>
      <c r="F2003" s="196">
        <v>802000</v>
      </c>
      <c r="G2003" s="196">
        <v>-5236000</v>
      </c>
    </row>
    <row r="2004" spans="1:7" x14ac:dyDescent="0.3">
      <c r="A2004" s="198">
        <v>71703610</v>
      </c>
      <c r="B2004" s="192" t="s">
        <v>1651</v>
      </c>
      <c r="C2004" s="196">
        <v>-984000</v>
      </c>
      <c r="D2004" s="196">
        <v>984000</v>
      </c>
      <c r="E2004" s="196">
        <v>0</v>
      </c>
      <c r="F2004" s="196">
        <v>984000</v>
      </c>
      <c r="G2004" s="196">
        <v>0</v>
      </c>
    </row>
    <row r="2005" spans="1:7" x14ac:dyDescent="0.3">
      <c r="A2005" s="198">
        <v>1063167578</v>
      </c>
      <c r="B2005" s="192" t="s">
        <v>1926</v>
      </c>
      <c r="C2005" s="196">
        <v>-11946569</v>
      </c>
      <c r="D2005" s="196">
        <v>9625294</v>
      </c>
      <c r="E2005" s="196">
        <v>4380170</v>
      </c>
      <c r="F2005" s="196">
        <v>5245124</v>
      </c>
      <c r="G2005" s="196">
        <v>-6701445</v>
      </c>
    </row>
    <row r="2006" spans="1:7" x14ac:dyDescent="0.3">
      <c r="A2006" s="198">
        <v>700095056</v>
      </c>
      <c r="B2006" s="192" t="s">
        <v>131</v>
      </c>
      <c r="C2006" s="196">
        <v>-8978242</v>
      </c>
      <c r="D2006" s="196">
        <v>1000000</v>
      </c>
      <c r="E2006" s="196">
        <v>14519894</v>
      </c>
      <c r="F2006" s="196">
        <v>-13519894</v>
      </c>
      <c r="G2006" s="196">
        <v>-22498136</v>
      </c>
    </row>
    <row r="2007" spans="1:7" x14ac:dyDescent="0.3">
      <c r="A2007" s="198">
        <v>1035858442</v>
      </c>
      <c r="B2007" s="192" t="s">
        <v>1927</v>
      </c>
      <c r="C2007" s="196">
        <v>0</v>
      </c>
      <c r="D2007" s="196">
        <v>43700</v>
      </c>
      <c r="E2007" s="196">
        <v>43700</v>
      </c>
      <c r="F2007" s="196">
        <v>0</v>
      </c>
      <c r="G2007" s="196">
        <v>0</v>
      </c>
    </row>
    <row r="2008" spans="1:7" x14ac:dyDescent="0.3">
      <c r="A2008" s="198">
        <v>1027740123</v>
      </c>
      <c r="B2008" s="192" t="s">
        <v>1928</v>
      </c>
      <c r="C2008" s="196">
        <v>-1500000</v>
      </c>
      <c r="D2008" s="196">
        <v>1500000</v>
      </c>
      <c r="E2008" s="196">
        <v>1500000</v>
      </c>
      <c r="F2008" s="196">
        <v>0</v>
      </c>
      <c r="G2008" s="196">
        <v>-1500000</v>
      </c>
    </row>
    <row r="2009" spans="1:7" x14ac:dyDescent="0.3">
      <c r="A2009" s="198">
        <v>98664632</v>
      </c>
      <c r="B2009" s="192" t="s">
        <v>1652</v>
      </c>
      <c r="C2009" s="196">
        <v>-21111793</v>
      </c>
      <c r="D2009" s="196">
        <v>7699931</v>
      </c>
      <c r="E2009" s="196">
        <v>2918556</v>
      </c>
      <c r="F2009" s="196">
        <v>4781375</v>
      </c>
      <c r="G2009" s="196">
        <v>-16330418</v>
      </c>
    </row>
    <row r="2010" spans="1:7" x14ac:dyDescent="0.3">
      <c r="A2010" s="198">
        <v>830142523</v>
      </c>
      <c r="B2010" s="192" t="s">
        <v>1653</v>
      </c>
      <c r="C2010" s="196">
        <v>-1034</v>
      </c>
      <c r="D2010" s="196">
        <v>491875</v>
      </c>
      <c r="E2010" s="196">
        <v>491875</v>
      </c>
      <c r="F2010" s="196">
        <v>0</v>
      </c>
      <c r="G2010" s="196">
        <v>-1034</v>
      </c>
    </row>
    <row r="2011" spans="1:7" x14ac:dyDescent="0.3">
      <c r="A2011" s="198">
        <v>900585869</v>
      </c>
      <c r="B2011" s="192" t="s">
        <v>1654</v>
      </c>
      <c r="C2011" s="196">
        <v>0</v>
      </c>
      <c r="D2011" s="196">
        <v>1834140</v>
      </c>
      <c r="E2011" s="196">
        <v>1834140</v>
      </c>
      <c r="F2011" s="196">
        <v>0</v>
      </c>
      <c r="G2011" s="196">
        <v>0</v>
      </c>
    </row>
    <row r="2012" spans="1:7" x14ac:dyDescent="0.3">
      <c r="A2012" s="198">
        <v>700020794</v>
      </c>
      <c r="B2012" s="192" t="s">
        <v>1655</v>
      </c>
      <c r="C2012" s="196">
        <v>-2160120</v>
      </c>
      <c r="D2012" s="196">
        <v>4772540</v>
      </c>
      <c r="E2012" s="196">
        <v>3186350</v>
      </c>
      <c r="F2012" s="196">
        <v>1586190</v>
      </c>
      <c r="G2012" s="196">
        <v>-573930</v>
      </c>
    </row>
    <row r="2013" spans="1:7" x14ac:dyDescent="0.3">
      <c r="A2013" s="198">
        <v>860005114</v>
      </c>
      <c r="B2013" s="192" t="s">
        <v>1656</v>
      </c>
      <c r="C2013" s="196">
        <v>0</v>
      </c>
      <c r="D2013" s="196">
        <v>939196</v>
      </c>
      <c r="E2013" s="196">
        <v>939196</v>
      </c>
      <c r="F2013" s="196">
        <v>0</v>
      </c>
      <c r="G2013" s="196">
        <v>0</v>
      </c>
    </row>
    <row r="2014" spans="1:7" x14ac:dyDescent="0.3">
      <c r="A2014" s="192" t="s">
        <v>1929</v>
      </c>
      <c r="B2014" s="192" t="s">
        <v>1930</v>
      </c>
      <c r="C2014" s="196">
        <v>0</v>
      </c>
      <c r="D2014" s="196">
        <v>0</v>
      </c>
      <c r="E2014" s="196">
        <v>7340174</v>
      </c>
      <c r="F2014" s="196">
        <v>-7340174</v>
      </c>
      <c r="G2014" s="196">
        <v>-7340174</v>
      </c>
    </row>
    <row r="2015" spans="1:7" x14ac:dyDescent="0.3">
      <c r="A2015" s="198">
        <v>80550424</v>
      </c>
      <c r="B2015" s="192" t="s">
        <v>1619</v>
      </c>
      <c r="C2015" s="196">
        <v>-145721972</v>
      </c>
      <c r="D2015" s="196">
        <v>94644017</v>
      </c>
      <c r="E2015" s="196">
        <v>18367248</v>
      </c>
      <c r="F2015" s="196">
        <v>76276769</v>
      </c>
      <c r="G2015" s="196">
        <v>-69445203</v>
      </c>
    </row>
    <row r="2016" spans="1:7" x14ac:dyDescent="0.3">
      <c r="A2016" s="198">
        <v>1127941794</v>
      </c>
      <c r="B2016" s="192" t="s">
        <v>1274</v>
      </c>
      <c r="C2016" s="196">
        <v>-366401051</v>
      </c>
      <c r="D2016" s="196">
        <v>146950925</v>
      </c>
      <c r="E2016" s="196">
        <v>105788532</v>
      </c>
      <c r="F2016" s="196">
        <v>41162393</v>
      </c>
      <c r="G2016" s="196">
        <v>-325238658</v>
      </c>
    </row>
    <row r="2017" spans="1:7" x14ac:dyDescent="0.3">
      <c r="A2017" s="198">
        <v>901566947</v>
      </c>
      <c r="B2017" s="192" t="s">
        <v>1931</v>
      </c>
      <c r="C2017" s="196">
        <v>-271727</v>
      </c>
      <c r="D2017" s="196">
        <v>271727</v>
      </c>
      <c r="E2017" s="196">
        <v>0</v>
      </c>
      <c r="F2017" s="196">
        <v>271727</v>
      </c>
      <c r="G2017" s="196">
        <v>0</v>
      </c>
    </row>
    <row r="2018" spans="1:7" x14ac:dyDescent="0.3">
      <c r="A2018" s="198">
        <v>1013456905</v>
      </c>
      <c r="B2018" s="192" t="s">
        <v>1932</v>
      </c>
      <c r="C2018" s="196">
        <v>0</v>
      </c>
      <c r="D2018" s="196">
        <v>25000</v>
      </c>
      <c r="E2018" s="196">
        <v>25000</v>
      </c>
      <c r="F2018" s="196">
        <v>0</v>
      </c>
      <c r="G2018" s="196">
        <v>0</v>
      </c>
    </row>
    <row r="2019" spans="1:7" x14ac:dyDescent="0.3">
      <c r="A2019" s="198">
        <v>1037607033</v>
      </c>
      <c r="B2019" s="192" t="s">
        <v>1657</v>
      </c>
      <c r="C2019" s="196">
        <v>-9825797</v>
      </c>
      <c r="D2019" s="196">
        <v>10468531</v>
      </c>
      <c r="E2019" s="196">
        <v>11452743</v>
      </c>
      <c r="F2019" s="196">
        <v>-984212</v>
      </c>
      <c r="G2019" s="196">
        <v>-10810009</v>
      </c>
    </row>
    <row r="2020" spans="1:7" x14ac:dyDescent="0.3">
      <c r="A2020" s="198">
        <v>43800621</v>
      </c>
      <c r="B2020" s="192" t="s">
        <v>1933</v>
      </c>
      <c r="C2020" s="196">
        <v>0</v>
      </c>
      <c r="D2020" s="196">
        <v>51000</v>
      </c>
      <c r="E2020" s="196">
        <v>51000</v>
      </c>
      <c r="F2020" s="196">
        <v>0</v>
      </c>
      <c r="G2020" s="196">
        <v>0</v>
      </c>
    </row>
    <row r="2021" spans="1:7" x14ac:dyDescent="0.3">
      <c r="A2021" s="198">
        <v>860002130</v>
      </c>
      <c r="B2021" s="192" t="s">
        <v>1934</v>
      </c>
      <c r="C2021" s="196">
        <v>-1492999</v>
      </c>
      <c r="D2021" s="196">
        <v>0</v>
      </c>
      <c r="E2021" s="196">
        <v>450000</v>
      </c>
      <c r="F2021" s="196">
        <v>-450000</v>
      </c>
      <c r="G2021" s="196">
        <v>-1942999</v>
      </c>
    </row>
    <row r="2022" spans="1:7" x14ac:dyDescent="0.3">
      <c r="A2022" s="198">
        <v>71594219</v>
      </c>
      <c r="B2022" s="192" t="s">
        <v>1935</v>
      </c>
      <c r="C2022" s="196">
        <v>-86394</v>
      </c>
      <c r="D2022" s="196">
        <v>0</v>
      </c>
      <c r="E2022" s="196">
        <v>0</v>
      </c>
      <c r="F2022" s="196">
        <v>0</v>
      </c>
      <c r="G2022" s="196">
        <v>-86394</v>
      </c>
    </row>
    <row r="2023" spans="1:7" x14ac:dyDescent="0.3">
      <c r="A2023" s="198">
        <v>43550437</v>
      </c>
      <c r="B2023" s="192" t="s">
        <v>1936</v>
      </c>
      <c r="C2023" s="196">
        <v>0</v>
      </c>
      <c r="D2023" s="196">
        <v>726000</v>
      </c>
      <c r="E2023" s="196">
        <v>726000</v>
      </c>
      <c r="F2023" s="196">
        <v>0</v>
      </c>
      <c r="G2023" s="196">
        <v>0</v>
      </c>
    </row>
    <row r="2024" spans="1:7" x14ac:dyDescent="0.3">
      <c r="A2024" s="198">
        <v>901578799</v>
      </c>
      <c r="B2024" s="192" t="s">
        <v>1658</v>
      </c>
      <c r="C2024" s="196">
        <v>-562166</v>
      </c>
      <c r="D2024" s="196">
        <v>1573311</v>
      </c>
      <c r="E2024" s="196">
        <v>1011145</v>
      </c>
      <c r="F2024" s="196">
        <v>562166</v>
      </c>
      <c r="G2024" s="196">
        <v>0</v>
      </c>
    </row>
    <row r="2025" spans="1:7" x14ac:dyDescent="0.3">
      <c r="A2025" s="198">
        <v>900201094</v>
      </c>
      <c r="B2025" s="192" t="s">
        <v>1937</v>
      </c>
      <c r="C2025" s="196">
        <v>0</v>
      </c>
      <c r="D2025" s="196">
        <v>224910</v>
      </c>
      <c r="E2025" s="196">
        <v>224910</v>
      </c>
      <c r="F2025" s="196">
        <v>0</v>
      </c>
      <c r="G2025" s="196">
        <v>0</v>
      </c>
    </row>
    <row r="2026" spans="1:7" x14ac:dyDescent="0.3">
      <c r="A2026" s="198">
        <v>860527744</v>
      </c>
      <c r="B2026" s="192" t="s">
        <v>1659</v>
      </c>
      <c r="C2026" s="196">
        <v>0</v>
      </c>
      <c r="D2026" s="196">
        <v>482550</v>
      </c>
      <c r="E2026" s="196">
        <v>482550</v>
      </c>
      <c r="F2026" s="196">
        <v>0</v>
      </c>
      <c r="G2026" s="196">
        <v>0</v>
      </c>
    </row>
    <row r="2027" spans="1:7" x14ac:dyDescent="0.3">
      <c r="A2027" s="198">
        <v>901588752</v>
      </c>
      <c r="B2027" s="192" t="s">
        <v>1938</v>
      </c>
      <c r="C2027" s="196">
        <v>-77256425</v>
      </c>
      <c r="D2027" s="196">
        <v>31639138</v>
      </c>
      <c r="E2027" s="196">
        <v>18297017</v>
      </c>
      <c r="F2027" s="196">
        <v>13342121</v>
      </c>
      <c r="G2027" s="196">
        <v>-63914304</v>
      </c>
    </row>
    <row r="2028" spans="1:7" x14ac:dyDescent="0.3">
      <c r="A2028" s="198">
        <v>900135828</v>
      </c>
      <c r="B2028" s="192" t="s">
        <v>1939</v>
      </c>
      <c r="C2028" s="196">
        <v>-4045375</v>
      </c>
      <c r="D2028" s="196">
        <v>4890145.24</v>
      </c>
      <c r="E2028" s="196">
        <v>3055549.62</v>
      </c>
      <c r="F2028" s="196">
        <v>1834595.62</v>
      </c>
      <c r="G2028" s="196">
        <v>-2210779.38</v>
      </c>
    </row>
    <row r="2029" spans="1:7" x14ac:dyDescent="0.3">
      <c r="A2029" s="198">
        <v>830062565</v>
      </c>
      <c r="B2029" s="192" t="s">
        <v>1771</v>
      </c>
      <c r="C2029" s="196">
        <v>-939609</v>
      </c>
      <c r="D2029" s="196">
        <v>0</v>
      </c>
      <c r="E2029" s="196">
        <v>22007125</v>
      </c>
      <c r="F2029" s="196">
        <v>-22007125</v>
      </c>
      <c r="G2029" s="196">
        <v>-22946734</v>
      </c>
    </row>
    <row r="2030" spans="1:7" x14ac:dyDescent="0.3">
      <c r="A2030" s="198">
        <v>71581466</v>
      </c>
      <c r="B2030" s="192" t="s">
        <v>1940</v>
      </c>
      <c r="C2030" s="196">
        <v>0</v>
      </c>
      <c r="D2030" s="196">
        <v>0</v>
      </c>
      <c r="E2030" s="196">
        <v>5444000</v>
      </c>
      <c r="F2030" s="196">
        <v>-5444000</v>
      </c>
      <c r="G2030" s="196">
        <v>-5444000</v>
      </c>
    </row>
    <row r="2031" spans="1:7" x14ac:dyDescent="0.3">
      <c r="A2031" s="198">
        <v>860038299</v>
      </c>
      <c r="B2031" s="192" t="s">
        <v>1941</v>
      </c>
      <c r="C2031" s="196">
        <v>-32241111</v>
      </c>
      <c r="D2031" s="196">
        <v>50029281</v>
      </c>
      <c r="E2031" s="196">
        <v>17788170</v>
      </c>
      <c r="F2031" s="196">
        <v>32241111</v>
      </c>
      <c r="G2031" s="196">
        <v>0</v>
      </c>
    </row>
    <row r="2032" spans="1:7" x14ac:dyDescent="0.3">
      <c r="A2032" s="198">
        <v>800028002</v>
      </c>
      <c r="B2032" s="192" t="s">
        <v>1942</v>
      </c>
      <c r="C2032" s="196">
        <v>0</v>
      </c>
      <c r="D2032" s="196">
        <v>187400</v>
      </c>
      <c r="E2032" s="196">
        <v>278600</v>
      </c>
      <c r="F2032" s="196">
        <v>-91200</v>
      </c>
      <c r="G2032" s="196">
        <v>-91200</v>
      </c>
    </row>
    <row r="2033" spans="1:7" x14ac:dyDescent="0.3">
      <c r="A2033" s="198">
        <v>830011469</v>
      </c>
      <c r="B2033" s="192" t="s">
        <v>1943</v>
      </c>
      <c r="C2033" s="196">
        <v>-1587460</v>
      </c>
      <c r="D2033" s="196">
        <v>0</v>
      </c>
      <c r="E2033" s="196">
        <v>6791120</v>
      </c>
      <c r="F2033" s="196">
        <v>-6791120</v>
      </c>
      <c r="G2033" s="196">
        <v>-8378580</v>
      </c>
    </row>
    <row r="2034" spans="1:7" x14ac:dyDescent="0.3">
      <c r="A2034" s="198">
        <v>830037946</v>
      </c>
      <c r="B2034" s="192" t="s">
        <v>1944</v>
      </c>
      <c r="C2034" s="196">
        <v>-251100</v>
      </c>
      <c r="D2034" s="196">
        <v>0</v>
      </c>
      <c r="E2034" s="196">
        <v>0</v>
      </c>
      <c r="F2034" s="196">
        <v>0</v>
      </c>
      <c r="G2034" s="196">
        <v>-251100</v>
      </c>
    </row>
    <row r="2035" spans="1:7" x14ac:dyDescent="0.3">
      <c r="A2035" s="198">
        <v>811021621</v>
      </c>
      <c r="B2035" s="192" t="s">
        <v>1945</v>
      </c>
      <c r="C2035" s="196">
        <v>-10682271</v>
      </c>
      <c r="D2035" s="196">
        <v>19989557</v>
      </c>
      <c r="E2035" s="196">
        <v>10135525</v>
      </c>
      <c r="F2035" s="196">
        <v>9854032</v>
      </c>
      <c r="G2035" s="196">
        <v>-828239</v>
      </c>
    </row>
    <row r="2036" spans="1:7" x14ac:dyDescent="0.3">
      <c r="A2036" s="198">
        <v>901354361</v>
      </c>
      <c r="B2036" s="192" t="s">
        <v>1660</v>
      </c>
      <c r="C2036" s="196">
        <v>0</v>
      </c>
      <c r="D2036" s="196">
        <v>94384</v>
      </c>
      <c r="E2036" s="196">
        <v>94384</v>
      </c>
      <c r="F2036" s="196">
        <v>0</v>
      </c>
      <c r="G2036" s="196">
        <v>0</v>
      </c>
    </row>
    <row r="2037" spans="1:7" x14ac:dyDescent="0.3">
      <c r="A2037" s="198">
        <v>35851205</v>
      </c>
      <c r="B2037" s="192" t="s">
        <v>1946</v>
      </c>
      <c r="C2037" s="196">
        <v>-207000</v>
      </c>
      <c r="D2037" s="196">
        <v>0</v>
      </c>
      <c r="E2037" s="196">
        <v>0</v>
      </c>
      <c r="F2037" s="196">
        <v>0</v>
      </c>
      <c r="G2037" s="196">
        <v>-207000</v>
      </c>
    </row>
    <row r="2038" spans="1:7" x14ac:dyDescent="0.3">
      <c r="A2038" s="198">
        <v>900209956</v>
      </c>
      <c r="B2038" s="192" t="s">
        <v>1947</v>
      </c>
      <c r="C2038" s="196">
        <v>0</v>
      </c>
      <c r="D2038" s="196">
        <v>17351969</v>
      </c>
      <c r="E2038" s="196">
        <v>17357491</v>
      </c>
      <c r="F2038" s="196">
        <v>-5522</v>
      </c>
      <c r="G2038" s="196">
        <v>-5522</v>
      </c>
    </row>
    <row r="2039" spans="1:7" x14ac:dyDescent="0.3">
      <c r="A2039" s="198">
        <v>830110109</v>
      </c>
      <c r="B2039" s="192" t="s">
        <v>1948</v>
      </c>
      <c r="C2039" s="196">
        <v>-8819503</v>
      </c>
      <c r="D2039" s="196">
        <v>8819503</v>
      </c>
      <c r="E2039" s="196">
        <v>8406330</v>
      </c>
      <c r="F2039" s="196">
        <v>413173</v>
      </c>
      <c r="G2039" s="196">
        <v>-8406330</v>
      </c>
    </row>
    <row r="2040" spans="1:7" x14ac:dyDescent="0.3">
      <c r="A2040" s="198">
        <v>900066601</v>
      </c>
      <c r="B2040" s="192" t="s">
        <v>1949</v>
      </c>
      <c r="C2040" s="196">
        <v>-1764770</v>
      </c>
      <c r="D2040" s="196">
        <v>1686454</v>
      </c>
      <c r="E2040" s="196">
        <v>5319090</v>
      </c>
      <c r="F2040" s="196">
        <v>-3632636</v>
      </c>
      <c r="G2040" s="196">
        <v>-5397406</v>
      </c>
    </row>
    <row r="2041" spans="1:7" x14ac:dyDescent="0.3">
      <c r="A2041" s="198">
        <v>900319753</v>
      </c>
      <c r="B2041" s="192" t="s">
        <v>1950</v>
      </c>
      <c r="C2041" s="196">
        <v>0</v>
      </c>
      <c r="D2041" s="196">
        <v>1172500</v>
      </c>
      <c r="E2041" s="196">
        <v>1172500</v>
      </c>
      <c r="F2041" s="196">
        <v>0</v>
      </c>
      <c r="G2041" s="196">
        <v>0</v>
      </c>
    </row>
    <row r="2042" spans="1:7" x14ac:dyDescent="0.3">
      <c r="A2042" s="198">
        <v>700215370</v>
      </c>
      <c r="B2042" s="192" t="s">
        <v>1663</v>
      </c>
      <c r="C2042" s="196">
        <v>-509870</v>
      </c>
      <c r="D2042" s="196">
        <v>509870</v>
      </c>
      <c r="E2042" s="196">
        <v>0</v>
      </c>
      <c r="F2042" s="196">
        <v>509870</v>
      </c>
      <c r="G2042" s="196">
        <v>0</v>
      </c>
    </row>
    <row r="2043" spans="1:7" x14ac:dyDescent="0.3">
      <c r="A2043" s="198">
        <v>68956</v>
      </c>
      <c r="B2043" s="192" t="s">
        <v>1951</v>
      </c>
      <c r="C2043" s="196">
        <v>0</v>
      </c>
      <c r="D2043" s="196">
        <v>130597</v>
      </c>
      <c r="E2043" s="196">
        <v>130597</v>
      </c>
      <c r="F2043" s="196">
        <v>0</v>
      </c>
      <c r="G2043" s="196">
        <v>0</v>
      </c>
    </row>
    <row r="2044" spans="1:7" x14ac:dyDescent="0.3">
      <c r="A2044" s="198">
        <v>830070527</v>
      </c>
      <c r="B2044" s="192" t="s">
        <v>1952</v>
      </c>
      <c r="C2044" s="196">
        <v>0</v>
      </c>
      <c r="D2044" s="196">
        <v>0</v>
      </c>
      <c r="E2044" s="196">
        <v>101150</v>
      </c>
      <c r="F2044" s="196">
        <v>-101150</v>
      </c>
      <c r="G2044" s="196">
        <v>-101150</v>
      </c>
    </row>
    <row r="2045" spans="1:7" x14ac:dyDescent="0.3">
      <c r="A2045" s="198">
        <v>900689727</v>
      </c>
      <c r="B2045" s="192" t="s">
        <v>1953</v>
      </c>
      <c r="C2045" s="196">
        <v>-7142426</v>
      </c>
      <c r="D2045" s="196">
        <v>2816299</v>
      </c>
      <c r="E2045" s="196">
        <v>6026745</v>
      </c>
      <c r="F2045" s="196">
        <v>-3210446</v>
      </c>
      <c r="G2045" s="196">
        <v>-10352872</v>
      </c>
    </row>
    <row r="2046" spans="1:7" x14ac:dyDescent="0.3">
      <c r="A2046" s="198">
        <v>811028445</v>
      </c>
      <c r="B2046" s="192" t="s">
        <v>1954</v>
      </c>
      <c r="C2046" s="196">
        <v>-7624100</v>
      </c>
      <c r="D2046" s="196">
        <v>17160300</v>
      </c>
      <c r="E2046" s="196">
        <v>37199499</v>
      </c>
      <c r="F2046" s="196">
        <v>-20039199</v>
      </c>
      <c r="G2046" s="196">
        <v>-27663299</v>
      </c>
    </row>
    <row r="2047" spans="1:7" x14ac:dyDescent="0.3">
      <c r="A2047" s="198">
        <v>901160048</v>
      </c>
      <c r="B2047" s="192" t="s">
        <v>1664</v>
      </c>
      <c r="C2047" s="196">
        <v>-9730627.2899999991</v>
      </c>
      <c r="D2047" s="196">
        <v>10043251.279999999</v>
      </c>
      <c r="E2047" s="196">
        <v>7381208.2800000003</v>
      </c>
      <c r="F2047" s="196">
        <v>2662043</v>
      </c>
      <c r="G2047" s="196">
        <v>-7068584.29</v>
      </c>
    </row>
    <row r="2048" spans="1:7" x14ac:dyDescent="0.3">
      <c r="A2048" s="198">
        <v>71634855</v>
      </c>
      <c r="B2048" s="192" t="s">
        <v>1723</v>
      </c>
      <c r="C2048" s="196">
        <v>-164850</v>
      </c>
      <c r="D2048" s="196">
        <v>0</v>
      </c>
      <c r="E2048" s="196">
        <v>222390</v>
      </c>
      <c r="F2048" s="196">
        <v>-222390</v>
      </c>
      <c r="G2048" s="196">
        <v>-387240</v>
      </c>
    </row>
    <row r="2049" spans="1:7" x14ac:dyDescent="0.3">
      <c r="A2049" s="198">
        <v>900895205</v>
      </c>
      <c r="B2049" s="192" t="s">
        <v>1665</v>
      </c>
      <c r="C2049" s="196">
        <v>0</v>
      </c>
      <c r="D2049" s="196">
        <v>1577410</v>
      </c>
      <c r="E2049" s="196">
        <v>1577410</v>
      </c>
      <c r="F2049" s="196">
        <v>0</v>
      </c>
      <c r="G2049" s="196">
        <v>0</v>
      </c>
    </row>
    <row r="2050" spans="1:7" x14ac:dyDescent="0.3">
      <c r="A2050" s="198">
        <v>890929073</v>
      </c>
      <c r="B2050" s="192" t="s">
        <v>1666</v>
      </c>
      <c r="C2050" s="196">
        <v>0</v>
      </c>
      <c r="D2050" s="196">
        <v>288129</v>
      </c>
      <c r="E2050" s="196">
        <v>288129</v>
      </c>
      <c r="F2050" s="196">
        <v>0</v>
      </c>
      <c r="G2050" s="196">
        <v>0</v>
      </c>
    </row>
    <row r="2051" spans="1:7" x14ac:dyDescent="0.3">
      <c r="A2051" s="198">
        <v>1128280938</v>
      </c>
      <c r="B2051" s="192" t="s">
        <v>1794</v>
      </c>
      <c r="C2051" s="196">
        <v>-1580001</v>
      </c>
      <c r="D2051" s="196">
        <v>0</v>
      </c>
      <c r="E2051" s="196">
        <v>0</v>
      </c>
      <c r="F2051" s="196">
        <v>0</v>
      </c>
      <c r="G2051" s="196">
        <v>-1580001</v>
      </c>
    </row>
    <row r="2052" spans="1:7" x14ac:dyDescent="0.3">
      <c r="A2052" s="198">
        <v>1046668853</v>
      </c>
      <c r="B2052" s="192" t="s">
        <v>1755</v>
      </c>
      <c r="C2052" s="196">
        <v>-1400000</v>
      </c>
      <c r="D2052" s="196">
        <v>0</v>
      </c>
      <c r="E2052" s="196">
        <v>0</v>
      </c>
      <c r="F2052" s="196">
        <v>0</v>
      </c>
      <c r="G2052" s="196">
        <v>-1400000</v>
      </c>
    </row>
    <row r="2053" spans="1:7" x14ac:dyDescent="0.3">
      <c r="A2053" s="198">
        <v>1017192980</v>
      </c>
      <c r="B2053" s="192" t="s">
        <v>1456</v>
      </c>
      <c r="C2053" s="196">
        <v>-28486395</v>
      </c>
      <c r="D2053" s="196">
        <v>2614250</v>
      </c>
      <c r="E2053" s="196">
        <v>14424635</v>
      </c>
      <c r="F2053" s="196">
        <v>-11810385</v>
      </c>
      <c r="G2053" s="196">
        <v>-40296780</v>
      </c>
    </row>
    <row r="2054" spans="1:7" x14ac:dyDescent="0.3">
      <c r="A2054" s="198">
        <v>890903407</v>
      </c>
      <c r="B2054" s="192" t="s">
        <v>1669</v>
      </c>
      <c r="C2054" s="196">
        <v>-19518332</v>
      </c>
      <c r="D2054" s="196">
        <v>3148798</v>
      </c>
      <c r="E2054" s="196">
        <v>0</v>
      </c>
      <c r="F2054" s="196">
        <v>3148798</v>
      </c>
      <c r="G2054" s="196">
        <v>-16369534</v>
      </c>
    </row>
    <row r="2055" spans="1:7" x14ac:dyDescent="0.3">
      <c r="A2055" s="198">
        <v>811036875</v>
      </c>
      <c r="B2055" s="192" t="s">
        <v>1955</v>
      </c>
      <c r="C2055" s="196">
        <v>0</v>
      </c>
      <c r="D2055" s="196">
        <v>410010</v>
      </c>
      <c r="E2055" s="196">
        <v>410010</v>
      </c>
      <c r="F2055" s="196">
        <v>0</v>
      </c>
      <c r="G2055" s="196">
        <v>0</v>
      </c>
    </row>
    <row r="2056" spans="1:7" x14ac:dyDescent="0.3">
      <c r="A2056" s="198">
        <v>1053775065</v>
      </c>
      <c r="B2056" s="192" t="s">
        <v>1956</v>
      </c>
      <c r="C2056" s="196">
        <v>-471185</v>
      </c>
      <c r="D2056" s="196">
        <v>471185</v>
      </c>
      <c r="E2056" s="196">
        <v>0</v>
      </c>
      <c r="F2056" s="196">
        <v>471185</v>
      </c>
      <c r="G2056" s="196">
        <v>0</v>
      </c>
    </row>
    <row r="2057" spans="1:7" x14ac:dyDescent="0.3">
      <c r="A2057" s="198">
        <v>901095797</v>
      </c>
      <c r="B2057" s="192" t="s">
        <v>1957</v>
      </c>
      <c r="C2057" s="196">
        <v>-1292655</v>
      </c>
      <c r="D2057" s="196">
        <v>2161249</v>
      </c>
      <c r="E2057" s="196">
        <v>4368594</v>
      </c>
      <c r="F2057" s="196">
        <v>-2207345</v>
      </c>
      <c r="G2057" s="196">
        <v>-3500000</v>
      </c>
    </row>
    <row r="2058" spans="1:7" x14ac:dyDescent="0.3">
      <c r="A2058" s="198">
        <v>800242106</v>
      </c>
      <c r="B2058" s="192" t="s">
        <v>1757</v>
      </c>
      <c r="C2058" s="196">
        <v>-259800</v>
      </c>
      <c r="D2058" s="196">
        <v>940200</v>
      </c>
      <c r="E2058" s="196">
        <v>940200</v>
      </c>
      <c r="F2058" s="196">
        <v>0</v>
      </c>
      <c r="G2058" s="196">
        <v>-259800</v>
      </c>
    </row>
    <row r="2059" spans="1:7" x14ac:dyDescent="0.3">
      <c r="A2059" s="198">
        <v>900245870</v>
      </c>
      <c r="B2059" s="192" t="s">
        <v>1958</v>
      </c>
      <c r="C2059" s="196">
        <v>-24125399</v>
      </c>
      <c r="D2059" s="196">
        <v>23582075</v>
      </c>
      <c r="E2059" s="196">
        <v>30677583</v>
      </c>
      <c r="F2059" s="196">
        <v>-7095508</v>
      </c>
      <c r="G2059" s="196">
        <v>-31220907</v>
      </c>
    </row>
    <row r="2060" spans="1:7" x14ac:dyDescent="0.3">
      <c r="A2060" s="198">
        <v>900943243</v>
      </c>
      <c r="B2060" s="192" t="s">
        <v>1758</v>
      </c>
      <c r="C2060" s="196">
        <v>0</v>
      </c>
      <c r="D2060" s="196">
        <v>83500</v>
      </c>
      <c r="E2060" s="196">
        <v>83500</v>
      </c>
      <c r="F2060" s="196">
        <v>0</v>
      </c>
      <c r="G2060" s="196">
        <v>0</v>
      </c>
    </row>
    <row r="2061" spans="1:7" x14ac:dyDescent="0.3">
      <c r="A2061" s="198">
        <v>900565011</v>
      </c>
      <c r="B2061" s="192" t="s">
        <v>1959</v>
      </c>
      <c r="C2061" s="196">
        <v>0</v>
      </c>
      <c r="D2061" s="196">
        <v>11022596</v>
      </c>
      <c r="E2061" s="196">
        <v>11022596</v>
      </c>
      <c r="F2061" s="196">
        <v>0</v>
      </c>
      <c r="G2061" s="196">
        <v>0</v>
      </c>
    </row>
    <row r="2062" spans="1:7" x14ac:dyDescent="0.3">
      <c r="A2062" s="198">
        <v>43984772</v>
      </c>
      <c r="B2062" s="192" t="s">
        <v>1960</v>
      </c>
      <c r="C2062" s="196">
        <v>0</v>
      </c>
      <c r="D2062" s="196">
        <v>3580500</v>
      </c>
      <c r="E2062" s="196">
        <v>3580500</v>
      </c>
      <c r="F2062" s="196">
        <v>0</v>
      </c>
      <c r="G2062" s="196">
        <v>0</v>
      </c>
    </row>
    <row r="2063" spans="1:7" x14ac:dyDescent="0.3">
      <c r="A2063" s="198">
        <v>900181068</v>
      </c>
      <c r="B2063" s="192" t="s">
        <v>1961</v>
      </c>
      <c r="C2063" s="196">
        <v>-4374014</v>
      </c>
      <c r="D2063" s="196">
        <v>4374014</v>
      </c>
      <c r="E2063" s="196">
        <v>2877033</v>
      </c>
      <c r="F2063" s="196">
        <v>1496981</v>
      </c>
      <c r="G2063" s="196">
        <v>-2877033</v>
      </c>
    </row>
    <row r="2064" spans="1:7" x14ac:dyDescent="0.3">
      <c r="A2064" s="198">
        <v>1128270317</v>
      </c>
      <c r="B2064" s="192" t="s">
        <v>1962</v>
      </c>
      <c r="C2064" s="196">
        <v>-8220000</v>
      </c>
      <c r="D2064" s="196">
        <v>0</v>
      </c>
      <c r="E2064" s="196">
        <v>1430000</v>
      </c>
      <c r="F2064" s="196">
        <v>-1430000</v>
      </c>
      <c r="G2064" s="196">
        <v>-9650000</v>
      </c>
    </row>
    <row r="2065" spans="1:7" x14ac:dyDescent="0.3">
      <c r="A2065" s="198">
        <v>900053978</v>
      </c>
      <c r="B2065" s="192" t="s">
        <v>1963</v>
      </c>
      <c r="C2065" s="196">
        <v>-27600</v>
      </c>
      <c r="D2065" s="196">
        <v>0</v>
      </c>
      <c r="E2065" s="196">
        <v>0</v>
      </c>
      <c r="F2065" s="196">
        <v>0</v>
      </c>
      <c r="G2065" s="196">
        <v>-27600</v>
      </c>
    </row>
    <row r="2066" spans="1:7" x14ac:dyDescent="0.3">
      <c r="A2066" s="198">
        <v>901205178</v>
      </c>
      <c r="B2066" s="192" t="s">
        <v>1964</v>
      </c>
      <c r="C2066" s="196">
        <v>-4600000</v>
      </c>
      <c r="D2066" s="196">
        <v>4600000</v>
      </c>
      <c r="E2066" s="196">
        <v>4600000</v>
      </c>
      <c r="F2066" s="196">
        <v>0</v>
      </c>
      <c r="G2066" s="196">
        <v>-4600000</v>
      </c>
    </row>
    <row r="2067" spans="1:7" x14ac:dyDescent="0.3">
      <c r="A2067" s="198">
        <v>830004892</v>
      </c>
      <c r="B2067" s="192" t="s">
        <v>1773</v>
      </c>
      <c r="C2067" s="196">
        <v>-63358382</v>
      </c>
      <c r="D2067" s="196">
        <v>63358382</v>
      </c>
      <c r="E2067" s="196">
        <v>0</v>
      </c>
      <c r="F2067" s="196">
        <v>63358382</v>
      </c>
      <c r="G2067" s="196">
        <v>0</v>
      </c>
    </row>
    <row r="2068" spans="1:7" x14ac:dyDescent="0.3">
      <c r="A2068" s="198">
        <v>900494362</v>
      </c>
      <c r="B2068" s="192" t="s">
        <v>1672</v>
      </c>
      <c r="C2068" s="196">
        <v>0</v>
      </c>
      <c r="D2068" s="196">
        <v>2096180</v>
      </c>
      <c r="E2068" s="196">
        <v>2500730</v>
      </c>
      <c r="F2068" s="196">
        <v>-404550</v>
      </c>
      <c r="G2068" s="196">
        <v>-404550</v>
      </c>
    </row>
    <row r="2069" spans="1:7" x14ac:dyDescent="0.3">
      <c r="A2069" s="198">
        <v>900046486</v>
      </c>
      <c r="B2069" s="192" t="s">
        <v>1965</v>
      </c>
      <c r="C2069" s="196">
        <v>-2096780</v>
      </c>
      <c r="D2069" s="196">
        <v>2116376</v>
      </c>
      <c r="E2069" s="196">
        <v>2141089</v>
      </c>
      <c r="F2069" s="196">
        <v>-24713</v>
      </c>
      <c r="G2069" s="196">
        <v>-2121493</v>
      </c>
    </row>
    <row r="2070" spans="1:7" x14ac:dyDescent="0.3">
      <c r="A2070" s="198">
        <v>900092385</v>
      </c>
      <c r="B2070" s="192" t="s">
        <v>1673</v>
      </c>
      <c r="C2070" s="196">
        <v>-1244156</v>
      </c>
      <c r="D2070" s="196">
        <v>0</v>
      </c>
      <c r="E2070" s="196">
        <v>31573</v>
      </c>
      <c r="F2070" s="196">
        <v>-31573</v>
      </c>
      <c r="G2070" s="196">
        <v>-1275729</v>
      </c>
    </row>
    <row r="2071" spans="1:7" x14ac:dyDescent="0.3">
      <c r="A2071" s="198">
        <v>901143440</v>
      </c>
      <c r="B2071" s="192" t="s">
        <v>1966</v>
      </c>
      <c r="C2071" s="196">
        <v>0</v>
      </c>
      <c r="D2071" s="196">
        <v>10153362</v>
      </c>
      <c r="E2071" s="196">
        <v>10153362</v>
      </c>
      <c r="F2071" s="196">
        <v>0</v>
      </c>
      <c r="G2071" s="196">
        <v>0</v>
      </c>
    </row>
    <row r="2072" spans="1:7" x14ac:dyDescent="0.3">
      <c r="A2072" s="198">
        <v>901438954</v>
      </c>
      <c r="B2072" s="192" t="s">
        <v>1967</v>
      </c>
      <c r="C2072" s="196">
        <v>-40000</v>
      </c>
      <c r="D2072" s="196">
        <v>0</v>
      </c>
      <c r="E2072" s="196">
        <v>0</v>
      </c>
      <c r="F2072" s="196">
        <v>0</v>
      </c>
      <c r="G2072" s="196">
        <v>-40000</v>
      </c>
    </row>
    <row r="2073" spans="1:7" x14ac:dyDescent="0.3">
      <c r="A2073" s="198">
        <v>900505356</v>
      </c>
      <c r="B2073" s="192" t="s">
        <v>1968</v>
      </c>
      <c r="C2073" s="196">
        <v>-23688600</v>
      </c>
      <c r="D2073" s="196">
        <v>0</v>
      </c>
      <c r="E2073" s="196">
        <v>2934750</v>
      </c>
      <c r="F2073" s="196">
        <v>-2934750</v>
      </c>
      <c r="G2073" s="196">
        <v>-26623350</v>
      </c>
    </row>
    <row r="2074" spans="1:7" x14ac:dyDescent="0.3">
      <c r="A2074" s="198">
        <v>67000885</v>
      </c>
      <c r="B2074" s="192" t="s">
        <v>1969</v>
      </c>
      <c r="C2074" s="196">
        <v>-17592593</v>
      </c>
      <c r="D2074" s="196">
        <v>5180467</v>
      </c>
      <c r="E2074" s="196">
        <v>9504153</v>
      </c>
      <c r="F2074" s="196">
        <v>-4323686</v>
      </c>
      <c r="G2074" s="196">
        <v>-21916279</v>
      </c>
    </row>
    <row r="2075" spans="1:7" x14ac:dyDescent="0.3">
      <c r="A2075" s="198">
        <v>1037574661</v>
      </c>
      <c r="B2075" s="192" t="s">
        <v>1970</v>
      </c>
      <c r="C2075" s="196">
        <v>-5109100</v>
      </c>
      <c r="D2075" s="196">
        <v>860288</v>
      </c>
      <c r="E2075" s="196">
        <v>2708475</v>
      </c>
      <c r="F2075" s="196">
        <v>-1848187</v>
      </c>
      <c r="G2075" s="196">
        <v>-6957287</v>
      </c>
    </row>
    <row r="2076" spans="1:7" x14ac:dyDescent="0.3">
      <c r="A2076" s="198">
        <v>1037574361</v>
      </c>
      <c r="B2076" s="192" t="s">
        <v>1726</v>
      </c>
      <c r="C2076" s="196">
        <v>-223090</v>
      </c>
      <c r="D2076" s="196">
        <v>0</v>
      </c>
      <c r="E2076" s="196">
        <v>207620</v>
      </c>
      <c r="F2076" s="196">
        <v>-207620</v>
      </c>
      <c r="G2076" s="196">
        <v>-430710</v>
      </c>
    </row>
    <row r="2077" spans="1:7" x14ac:dyDescent="0.3">
      <c r="A2077" s="198">
        <v>1128384292</v>
      </c>
      <c r="B2077" s="192" t="s">
        <v>1675</v>
      </c>
      <c r="C2077" s="196">
        <v>-15263791</v>
      </c>
      <c r="D2077" s="196">
        <v>9543327</v>
      </c>
      <c r="E2077" s="196">
        <v>3138130</v>
      </c>
      <c r="F2077" s="196">
        <v>6405197</v>
      </c>
      <c r="G2077" s="196">
        <v>-8858594</v>
      </c>
    </row>
    <row r="2078" spans="1:7" x14ac:dyDescent="0.3">
      <c r="A2078" s="198">
        <v>22050502</v>
      </c>
      <c r="B2078" s="192" t="s">
        <v>1971</v>
      </c>
      <c r="C2078" s="196">
        <v>-1714776166</v>
      </c>
      <c r="D2078" s="196">
        <v>4665478</v>
      </c>
      <c r="E2078" s="196">
        <v>0</v>
      </c>
      <c r="F2078" s="196">
        <v>4665478</v>
      </c>
      <c r="G2078" s="196">
        <v>-1710110688</v>
      </c>
    </row>
    <row r="2079" spans="1:7" x14ac:dyDescent="0.3">
      <c r="A2079" s="198">
        <v>860019041</v>
      </c>
      <c r="B2079" s="192" t="s">
        <v>1647</v>
      </c>
      <c r="C2079" s="196">
        <v>-1714776166</v>
      </c>
      <c r="D2079" s="196">
        <v>4665478</v>
      </c>
      <c r="E2079" s="196">
        <v>0</v>
      </c>
      <c r="F2079" s="196">
        <v>4665478</v>
      </c>
      <c r="G2079" s="196">
        <v>-1710110688</v>
      </c>
    </row>
    <row r="2080" spans="1:7" x14ac:dyDescent="0.3">
      <c r="A2080" s="197">
        <v>23</v>
      </c>
      <c r="B2080" s="191" t="s">
        <v>1972</v>
      </c>
      <c r="C2080" s="195">
        <v>-349233482.77999997</v>
      </c>
      <c r="D2080" s="195">
        <v>63308355.590000004</v>
      </c>
      <c r="E2080" s="195">
        <v>104945345.19</v>
      </c>
      <c r="F2080" s="195">
        <v>-41636989.600000001</v>
      </c>
      <c r="G2080" s="195">
        <v>-390870472.38</v>
      </c>
    </row>
    <row r="2081" spans="1:7" x14ac:dyDescent="0.3">
      <c r="A2081" s="197">
        <v>2335</v>
      </c>
      <c r="B2081" s="191" t="s">
        <v>1973</v>
      </c>
      <c r="C2081" s="195">
        <v>-24649825.48</v>
      </c>
      <c r="D2081" s="195">
        <v>0</v>
      </c>
      <c r="E2081" s="195">
        <v>0</v>
      </c>
      <c r="F2081" s="195">
        <v>0</v>
      </c>
      <c r="G2081" s="195">
        <v>-24649825.48</v>
      </c>
    </row>
    <row r="2082" spans="1:7" x14ac:dyDescent="0.3">
      <c r="A2082" s="197">
        <v>233505</v>
      </c>
      <c r="B2082" s="191" t="s">
        <v>1973</v>
      </c>
      <c r="C2082" s="195">
        <v>-24649825.48</v>
      </c>
      <c r="D2082" s="195">
        <v>0</v>
      </c>
      <c r="E2082" s="195">
        <v>0</v>
      </c>
      <c r="F2082" s="195">
        <v>0</v>
      </c>
      <c r="G2082" s="195">
        <v>-24649825.48</v>
      </c>
    </row>
    <row r="2083" spans="1:7" x14ac:dyDescent="0.3">
      <c r="A2083" s="198">
        <v>23350501</v>
      </c>
      <c r="B2083" s="192" t="s">
        <v>1974</v>
      </c>
      <c r="C2083" s="196">
        <v>-24649825.48</v>
      </c>
      <c r="D2083" s="196">
        <v>0</v>
      </c>
      <c r="E2083" s="196">
        <v>0</v>
      </c>
      <c r="F2083" s="196">
        <v>0</v>
      </c>
      <c r="G2083" s="196">
        <v>-24649825.48</v>
      </c>
    </row>
    <row r="2084" spans="1:7" x14ac:dyDescent="0.3">
      <c r="A2084" s="198">
        <v>901630573</v>
      </c>
      <c r="B2084" s="192" t="s">
        <v>107</v>
      </c>
      <c r="C2084" s="196">
        <v>-22488625</v>
      </c>
      <c r="D2084" s="196">
        <v>0</v>
      </c>
      <c r="E2084" s="196">
        <v>0</v>
      </c>
      <c r="F2084" s="196">
        <v>0</v>
      </c>
      <c r="G2084" s="196">
        <v>-22488625</v>
      </c>
    </row>
    <row r="2085" spans="1:7" x14ac:dyDescent="0.3">
      <c r="A2085" s="198">
        <v>900412290</v>
      </c>
      <c r="B2085" s="192" t="s">
        <v>1975</v>
      </c>
      <c r="C2085" s="196">
        <v>-0.48</v>
      </c>
      <c r="D2085" s="196">
        <v>0</v>
      </c>
      <c r="E2085" s="196">
        <v>0</v>
      </c>
      <c r="F2085" s="196">
        <v>0</v>
      </c>
      <c r="G2085" s="196">
        <v>-0.48</v>
      </c>
    </row>
    <row r="2086" spans="1:7" x14ac:dyDescent="0.3">
      <c r="A2086" s="198">
        <v>71527531</v>
      </c>
      <c r="B2086" s="192" t="s">
        <v>124</v>
      </c>
      <c r="C2086" s="196">
        <v>-2157600</v>
      </c>
      <c r="D2086" s="196">
        <v>0</v>
      </c>
      <c r="E2086" s="196">
        <v>0</v>
      </c>
      <c r="F2086" s="196">
        <v>0</v>
      </c>
      <c r="G2086" s="196">
        <v>-2157600</v>
      </c>
    </row>
    <row r="2087" spans="1:7" x14ac:dyDescent="0.3">
      <c r="A2087" s="198">
        <v>1035004985</v>
      </c>
      <c r="B2087" s="192" t="s">
        <v>1976</v>
      </c>
      <c r="C2087" s="196">
        <v>-3600</v>
      </c>
      <c r="D2087" s="196">
        <v>0</v>
      </c>
      <c r="E2087" s="196">
        <v>0</v>
      </c>
      <c r="F2087" s="196">
        <v>0</v>
      </c>
      <c r="G2087" s="196">
        <v>-3600</v>
      </c>
    </row>
    <row r="2088" spans="1:7" x14ac:dyDescent="0.3">
      <c r="A2088" s="197">
        <v>2345</v>
      </c>
      <c r="B2088" s="191" t="s">
        <v>1977</v>
      </c>
      <c r="C2088" s="195">
        <v>-230166754.55000001</v>
      </c>
      <c r="D2088" s="195">
        <v>0</v>
      </c>
      <c r="E2088" s="195">
        <v>0</v>
      </c>
      <c r="F2088" s="195">
        <v>0</v>
      </c>
      <c r="G2088" s="195">
        <v>-230166754.55000001</v>
      </c>
    </row>
    <row r="2089" spans="1:7" x14ac:dyDescent="0.3">
      <c r="A2089" s="197">
        <v>234505</v>
      </c>
      <c r="B2089" s="191" t="s">
        <v>1978</v>
      </c>
      <c r="C2089" s="195">
        <v>-230166754.55000001</v>
      </c>
      <c r="D2089" s="195">
        <v>0</v>
      </c>
      <c r="E2089" s="195">
        <v>0</v>
      </c>
      <c r="F2089" s="195">
        <v>0</v>
      </c>
      <c r="G2089" s="195">
        <v>-230166754.55000001</v>
      </c>
    </row>
    <row r="2090" spans="1:7" x14ac:dyDescent="0.3">
      <c r="A2090" s="198">
        <v>23450501</v>
      </c>
      <c r="B2090" s="192" t="s">
        <v>1979</v>
      </c>
      <c r="C2090" s="196">
        <v>-60472869.549999997</v>
      </c>
      <c r="D2090" s="196">
        <v>0</v>
      </c>
      <c r="E2090" s="196">
        <v>0</v>
      </c>
      <c r="F2090" s="196">
        <v>0</v>
      </c>
      <c r="G2090" s="196">
        <v>-60472869.549999997</v>
      </c>
    </row>
    <row r="2091" spans="1:7" x14ac:dyDescent="0.3">
      <c r="A2091" s="198">
        <v>890331949</v>
      </c>
      <c r="B2091" s="192" t="s">
        <v>1632</v>
      </c>
      <c r="C2091" s="196">
        <v>-82000</v>
      </c>
      <c r="D2091" s="196">
        <v>0</v>
      </c>
      <c r="E2091" s="196">
        <v>0</v>
      </c>
      <c r="F2091" s="196">
        <v>0</v>
      </c>
      <c r="G2091" s="196">
        <v>-82000</v>
      </c>
    </row>
    <row r="2092" spans="1:7" x14ac:dyDescent="0.3">
      <c r="A2092" s="198">
        <v>800197268</v>
      </c>
      <c r="B2092" s="192" t="s">
        <v>1693</v>
      </c>
      <c r="C2092" s="196">
        <v>-60390869.549999997</v>
      </c>
      <c r="D2092" s="196">
        <v>0</v>
      </c>
      <c r="E2092" s="196">
        <v>0</v>
      </c>
      <c r="F2092" s="196">
        <v>0</v>
      </c>
      <c r="G2092" s="196">
        <v>-60390869.549999997</v>
      </c>
    </row>
    <row r="2093" spans="1:7" x14ac:dyDescent="0.3">
      <c r="A2093" s="198">
        <v>23450502</v>
      </c>
      <c r="B2093" s="192" t="s">
        <v>1980</v>
      </c>
      <c r="C2093" s="196">
        <v>-169693885</v>
      </c>
      <c r="D2093" s="196">
        <v>0</v>
      </c>
      <c r="E2093" s="196">
        <v>0</v>
      </c>
      <c r="F2093" s="196">
        <v>0</v>
      </c>
      <c r="G2093" s="196">
        <v>-169693885</v>
      </c>
    </row>
    <row r="2094" spans="1:7" x14ac:dyDescent="0.3">
      <c r="A2094" s="198">
        <v>890905211</v>
      </c>
      <c r="B2094" s="192" t="s">
        <v>1981</v>
      </c>
      <c r="C2094" s="196">
        <v>-169693885</v>
      </c>
      <c r="D2094" s="196">
        <v>0</v>
      </c>
      <c r="E2094" s="196">
        <v>0</v>
      </c>
      <c r="F2094" s="196">
        <v>0</v>
      </c>
      <c r="G2094" s="196">
        <v>-169693885</v>
      </c>
    </row>
    <row r="2095" spans="1:7" x14ac:dyDescent="0.3">
      <c r="A2095" s="197">
        <v>2365</v>
      </c>
      <c r="B2095" s="191" t="s">
        <v>1682</v>
      </c>
      <c r="C2095" s="195">
        <v>-59688048.939999998</v>
      </c>
      <c r="D2095" s="195">
        <v>59947374.590000004</v>
      </c>
      <c r="E2095" s="195">
        <v>60160031.43</v>
      </c>
      <c r="F2095" s="195">
        <v>-212656.84</v>
      </c>
      <c r="G2095" s="195">
        <v>-59900705.780000001</v>
      </c>
    </row>
    <row r="2096" spans="1:7" x14ac:dyDescent="0.3">
      <c r="A2096" s="197">
        <v>236505</v>
      </c>
      <c r="B2096" s="191" t="s">
        <v>1982</v>
      </c>
      <c r="C2096" s="195">
        <v>-3500000</v>
      </c>
      <c r="D2096" s="195">
        <v>3716000</v>
      </c>
      <c r="E2096" s="195">
        <v>5988000</v>
      </c>
      <c r="F2096" s="195">
        <v>-2272000</v>
      </c>
      <c r="G2096" s="195">
        <v>-5772000</v>
      </c>
    </row>
    <row r="2097" spans="1:7" x14ac:dyDescent="0.3">
      <c r="A2097" s="198">
        <v>23650501</v>
      </c>
      <c r="B2097" s="192" t="s">
        <v>1982</v>
      </c>
      <c r="C2097" s="196">
        <v>-5991000</v>
      </c>
      <c r="D2097" s="196">
        <v>0</v>
      </c>
      <c r="E2097" s="196">
        <v>1198000</v>
      </c>
      <c r="F2097" s="196">
        <v>-1198000</v>
      </c>
      <c r="G2097" s="196">
        <v>-7189000</v>
      </c>
    </row>
    <row r="2098" spans="1:7" x14ac:dyDescent="0.3">
      <c r="A2098" s="198">
        <v>31948684</v>
      </c>
      <c r="B2098" s="192" t="s">
        <v>165</v>
      </c>
      <c r="C2098" s="196">
        <v>-4083000</v>
      </c>
      <c r="D2098" s="196">
        <v>0</v>
      </c>
      <c r="E2098" s="196">
        <v>743000</v>
      </c>
      <c r="F2098" s="196">
        <v>-743000</v>
      </c>
      <c r="G2098" s="196">
        <v>-4826000</v>
      </c>
    </row>
    <row r="2099" spans="1:7" x14ac:dyDescent="0.3">
      <c r="A2099" s="198">
        <v>1127941794</v>
      </c>
      <c r="B2099" s="192" t="s">
        <v>1274</v>
      </c>
      <c r="C2099" s="196">
        <v>-1820000</v>
      </c>
      <c r="D2099" s="196">
        <v>0</v>
      </c>
      <c r="E2099" s="196">
        <v>455000</v>
      </c>
      <c r="F2099" s="196">
        <v>-455000</v>
      </c>
      <c r="G2099" s="196">
        <v>-2275000</v>
      </c>
    </row>
    <row r="2100" spans="1:7" x14ac:dyDescent="0.3">
      <c r="A2100" s="198">
        <v>1214732527</v>
      </c>
      <c r="B2100" s="192" t="s">
        <v>1983</v>
      </c>
      <c r="C2100" s="196">
        <v>-88000</v>
      </c>
      <c r="D2100" s="196">
        <v>0</v>
      </c>
      <c r="E2100" s="196">
        <v>0</v>
      </c>
      <c r="F2100" s="196">
        <v>0</v>
      </c>
      <c r="G2100" s="196">
        <v>-88000</v>
      </c>
    </row>
    <row r="2101" spans="1:7" x14ac:dyDescent="0.3">
      <c r="A2101" s="198">
        <v>23650510</v>
      </c>
      <c r="B2101" s="192" t="s">
        <v>1984</v>
      </c>
      <c r="C2101" s="196">
        <v>-25124000</v>
      </c>
      <c r="D2101" s="196">
        <v>0</v>
      </c>
      <c r="E2101" s="196">
        <v>4790000</v>
      </c>
      <c r="F2101" s="196">
        <v>-4790000</v>
      </c>
      <c r="G2101" s="196">
        <v>-29914000</v>
      </c>
    </row>
    <row r="2102" spans="1:7" x14ac:dyDescent="0.3">
      <c r="A2102" s="198">
        <v>52884070</v>
      </c>
      <c r="B2102" s="192" t="s">
        <v>790</v>
      </c>
      <c r="C2102" s="196">
        <v>-3347000</v>
      </c>
      <c r="D2102" s="196">
        <v>0</v>
      </c>
      <c r="E2102" s="196">
        <v>3210000</v>
      </c>
      <c r="F2102" s="196">
        <v>-3210000</v>
      </c>
      <c r="G2102" s="196">
        <v>-6557000</v>
      </c>
    </row>
    <row r="2103" spans="1:7" x14ac:dyDescent="0.3">
      <c r="A2103" s="198">
        <v>1144068250</v>
      </c>
      <c r="B2103" s="192" t="s">
        <v>1645</v>
      </c>
      <c r="C2103" s="196">
        <v>-7081000</v>
      </c>
      <c r="D2103" s="196">
        <v>0</v>
      </c>
      <c r="E2103" s="196">
        <v>0</v>
      </c>
      <c r="F2103" s="196">
        <v>0</v>
      </c>
      <c r="G2103" s="196">
        <v>-7081000</v>
      </c>
    </row>
    <row r="2104" spans="1:7" x14ac:dyDescent="0.3">
      <c r="A2104" s="198">
        <v>1063167578</v>
      </c>
      <c r="B2104" s="192" t="s">
        <v>1926</v>
      </c>
      <c r="C2104" s="196">
        <v>-1309000</v>
      </c>
      <c r="D2104" s="196">
        <v>0</v>
      </c>
      <c r="E2104" s="196">
        <v>0</v>
      </c>
      <c r="F2104" s="196">
        <v>0</v>
      </c>
      <c r="G2104" s="196">
        <v>-1309000</v>
      </c>
    </row>
    <row r="2105" spans="1:7" x14ac:dyDescent="0.3">
      <c r="A2105" s="198">
        <v>1017192980</v>
      </c>
      <c r="B2105" s="192" t="s">
        <v>1456</v>
      </c>
      <c r="C2105" s="196">
        <v>-12570000</v>
      </c>
      <c r="D2105" s="196">
        <v>0</v>
      </c>
      <c r="E2105" s="196">
        <v>1245000</v>
      </c>
      <c r="F2105" s="196">
        <v>-1245000</v>
      </c>
      <c r="G2105" s="196">
        <v>-13815000</v>
      </c>
    </row>
    <row r="2106" spans="1:7" x14ac:dyDescent="0.3">
      <c r="A2106" s="198">
        <v>67000885</v>
      </c>
      <c r="B2106" s="192" t="s">
        <v>1969</v>
      </c>
      <c r="C2106" s="196">
        <v>-817000</v>
      </c>
      <c r="D2106" s="196">
        <v>0</v>
      </c>
      <c r="E2106" s="196">
        <v>335000</v>
      </c>
      <c r="F2106" s="196">
        <v>-335000</v>
      </c>
      <c r="G2106" s="196">
        <v>-1152000</v>
      </c>
    </row>
    <row r="2107" spans="1:7" x14ac:dyDescent="0.3">
      <c r="A2107" s="198">
        <v>23650597</v>
      </c>
      <c r="B2107" s="192" t="s">
        <v>1985</v>
      </c>
      <c r="C2107" s="196">
        <v>27615000</v>
      </c>
      <c r="D2107" s="196">
        <v>3716000</v>
      </c>
      <c r="E2107" s="196">
        <v>0</v>
      </c>
      <c r="F2107" s="196">
        <v>3716000</v>
      </c>
      <c r="G2107" s="196">
        <v>31331000</v>
      </c>
    </row>
    <row r="2108" spans="1:7" x14ac:dyDescent="0.3">
      <c r="A2108" s="198">
        <v>800197268</v>
      </c>
      <c r="B2108" s="192" t="s">
        <v>1693</v>
      </c>
      <c r="C2108" s="196">
        <v>27615000</v>
      </c>
      <c r="D2108" s="196">
        <v>3716000</v>
      </c>
      <c r="E2108" s="196">
        <v>0</v>
      </c>
      <c r="F2108" s="196">
        <v>3716000</v>
      </c>
      <c r="G2108" s="196">
        <v>31331000</v>
      </c>
    </row>
    <row r="2109" spans="1:7" x14ac:dyDescent="0.3">
      <c r="A2109" s="197">
        <v>236515</v>
      </c>
      <c r="B2109" s="191" t="s">
        <v>1986</v>
      </c>
      <c r="C2109" s="195">
        <v>-37790988.490000002</v>
      </c>
      <c r="D2109" s="195">
        <v>33865000</v>
      </c>
      <c r="E2109" s="195">
        <v>28463534.920000002</v>
      </c>
      <c r="F2109" s="195">
        <v>5401465.0800000001</v>
      </c>
      <c r="G2109" s="195">
        <v>-32389523.41</v>
      </c>
    </row>
    <row r="2110" spans="1:7" x14ac:dyDescent="0.3">
      <c r="A2110" s="198">
        <v>23651501</v>
      </c>
      <c r="B2110" s="192" t="s">
        <v>1987</v>
      </c>
      <c r="C2110" s="196">
        <v>-2988424.7</v>
      </c>
      <c r="D2110" s="196">
        <v>0</v>
      </c>
      <c r="E2110" s="196">
        <v>0</v>
      </c>
      <c r="F2110" s="196">
        <v>0</v>
      </c>
      <c r="G2110" s="196">
        <v>-2988424.7</v>
      </c>
    </row>
    <row r="2111" spans="1:7" x14ac:dyDescent="0.3">
      <c r="A2111" s="198">
        <v>98548052</v>
      </c>
      <c r="B2111" s="192" t="s">
        <v>1988</v>
      </c>
      <c r="C2111" s="196">
        <v>-1000000</v>
      </c>
      <c r="D2111" s="196">
        <v>0</v>
      </c>
      <c r="E2111" s="196">
        <v>0</v>
      </c>
      <c r="F2111" s="196">
        <v>0</v>
      </c>
      <c r="G2111" s="196">
        <v>-1000000</v>
      </c>
    </row>
    <row r="2112" spans="1:7" x14ac:dyDescent="0.3">
      <c r="A2112" s="198">
        <v>1037574661</v>
      </c>
      <c r="B2112" s="192" t="s">
        <v>1970</v>
      </c>
      <c r="C2112" s="196">
        <v>-1988424.7</v>
      </c>
      <c r="D2112" s="196">
        <v>0</v>
      </c>
      <c r="E2112" s="196">
        <v>0</v>
      </c>
      <c r="F2112" s="196">
        <v>0</v>
      </c>
      <c r="G2112" s="196">
        <v>-1988424.7</v>
      </c>
    </row>
    <row r="2113" spans="1:7" x14ac:dyDescent="0.3">
      <c r="A2113" s="198">
        <v>23651502</v>
      </c>
      <c r="B2113" s="192" t="s">
        <v>1683</v>
      </c>
      <c r="C2113" s="196">
        <v>-180009563.78999999</v>
      </c>
      <c r="D2113" s="196">
        <v>0</v>
      </c>
      <c r="E2113" s="196">
        <v>28463534.920000002</v>
      </c>
      <c r="F2113" s="196">
        <v>-28463534.920000002</v>
      </c>
      <c r="G2113" s="196">
        <v>-208473098.71000001</v>
      </c>
    </row>
    <row r="2114" spans="1:7" x14ac:dyDescent="0.3">
      <c r="A2114" s="198">
        <v>901630573</v>
      </c>
      <c r="B2114" s="192" t="s">
        <v>107</v>
      </c>
      <c r="C2114" s="196">
        <v>0</v>
      </c>
      <c r="D2114" s="196">
        <v>0</v>
      </c>
      <c r="E2114" s="196">
        <v>1136718</v>
      </c>
      <c r="F2114" s="196">
        <v>-1136718</v>
      </c>
      <c r="G2114" s="196">
        <v>-1136718</v>
      </c>
    </row>
    <row r="2115" spans="1:7" x14ac:dyDescent="0.3">
      <c r="A2115" s="198">
        <v>901503425</v>
      </c>
      <c r="B2115" s="192" t="s">
        <v>118</v>
      </c>
      <c r="C2115" s="196">
        <v>-378723.62</v>
      </c>
      <c r="D2115" s="196">
        <v>0</v>
      </c>
      <c r="E2115" s="196">
        <v>0</v>
      </c>
      <c r="F2115" s="196">
        <v>0</v>
      </c>
      <c r="G2115" s="196">
        <v>-378723.62</v>
      </c>
    </row>
    <row r="2116" spans="1:7" x14ac:dyDescent="0.3">
      <c r="A2116" s="198">
        <v>901269126</v>
      </c>
      <c r="B2116" s="192" t="s">
        <v>1890</v>
      </c>
      <c r="C2116" s="196">
        <v>-664439.6</v>
      </c>
      <c r="D2116" s="196">
        <v>0</v>
      </c>
      <c r="E2116" s="196">
        <v>111642.85</v>
      </c>
      <c r="F2116" s="196">
        <v>-111642.85</v>
      </c>
      <c r="G2116" s="196">
        <v>-776082.45</v>
      </c>
    </row>
    <row r="2117" spans="1:7" x14ac:dyDescent="0.3">
      <c r="A2117" s="198">
        <v>901904222</v>
      </c>
      <c r="B2117" s="192" t="s">
        <v>1989</v>
      </c>
      <c r="C2117" s="196">
        <v>-1828090</v>
      </c>
      <c r="D2117" s="196">
        <v>0</v>
      </c>
      <c r="E2117" s="196">
        <v>0</v>
      </c>
      <c r="F2117" s="196">
        <v>0</v>
      </c>
      <c r="G2117" s="196">
        <v>-1828090</v>
      </c>
    </row>
    <row r="2118" spans="1:7" x14ac:dyDescent="0.3">
      <c r="A2118" s="198">
        <v>901492487</v>
      </c>
      <c r="B2118" s="192" t="s">
        <v>1901</v>
      </c>
      <c r="C2118" s="196">
        <v>-1356851.87</v>
      </c>
      <c r="D2118" s="196">
        <v>0</v>
      </c>
      <c r="E2118" s="196">
        <v>590023.61</v>
      </c>
      <c r="F2118" s="196">
        <v>-590023.61</v>
      </c>
      <c r="G2118" s="196">
        <v>-1946875.48</v>
      </c>
    </row>
    <row r="2119" spans="1:7" x14ac:dyDescent="0.3">
      <c r="A2119" s="198">
        <v>71527531</v>
      </c>
      <c r="B2119" s="192" t="s">
        <v>124</v>
      </c>
      <c r="C2119" s="196">
        <v>0</v>
      </c>
      <c r="D2119" s="196">
        <v>0</v>
      </c>
      <c r="E2119" s="196">
        <v>6271870</v>
      </c>
      <c r="F2119" s="196">
        <v>-6271870</v>
      </c>
      <c r="G2119" s="196">
        <v>-6271870</v>
      </c>
    </row>
    <row r="2120" spans="1:7" x14ac:dyDescent="0.3">
      <c r="A2120" s="198">
        <v>1144068250</v>
      </c>
      <c r="B2120" s="192" t="s">
        <v>1645</v>
      </c>
      <c r="C2120" s="196">
        <v>-25338069.899999999</v>
      </c>
      <c r="D2120" s="196">
        <v>0</v>
      </c>
      <c r="E2120" s="196">
        <v>0</v>
      </c>
      <c r="F2120" s="196">
        <v>0</v>
      </c>
      <c r="G2120" s="196">
        <v>-25338069.899999999</v>
      </c>
    </row>
    <row r="2121" spans="1:7" x14ac:dyDescent="0.3">
      <c r="A2121" s="198">
        <v>900430124</v>
      </c>
      <c r="B2121" s="192" t="s">
        <v>1990</v>
      </c>
      <c r="C2121" s="196">
        <v>-593659</v>
      </c>
      <c r="D2121" s="196">
        <v>0</v>
      </c>
      <c r="E2121" s="196">
        <v>0</v>
      </c>
      <c r="F2121" s="196">
        <v>0</v>
      </c>
      <c r="G2121" s="196">
        <v>-593659</v>
      </c>
    </row>
    <row r="2122" spans="1:7" x14ac:dyDescent="0.3">
      <c r="A2122" s="198">
        <v>700178622</v>
      </c>
      <c r="B2122" s="192" t="s">
        <v>1924</v>
      </c>
      <c r="C2122" s="196">
        <v>-11220000</v>
      </c>
      <c r="D2122" s="196">
        <v>0</v>
      </c>
      <c r="E2122" s="196">
        <v>3630000</v>
      </c>
      <c r="F2122" s="196">
        <v>-3630000</v>
      </c>
      <c r="G2122" s="196">
        <v>-14850000</v>
      </c>
    </row>
    <row r="2123" spans="1:7" x14ac:dyDescent="0.3">
      <c r="A2123" s="198">
        <v>80550424</v>
      </c>
      <c r="B2123" s="192" t="s">
        <v>1619</v>
      </c>
      <c r="C2123" s="196">
        <v>-46252310.719999999</v>
      </c>
      <c r="D2123" s="196">
        <v>0</v>
      </c>
      <c r="E2123" s="196">
        <v>2270109.27</v>
      </c>
      <c r="F2123" s="196">
        <v>-2270109.27</v>
      </c>
      <c r="G2123" s="196">
        <v>-48522419.990000002</v>
      </c>
    </row>
    <row r="2124" spans="1:7" x14ac:dyDescent="0.3">
      <c r="A2124" s="198">
        <v>1127941794</v>
      </c>
      <c r="B2124" s="192" t="s">
        <v>1274</v>
      </c>
      <c r="C2124" s="196">
        <v>-83213282.790000007</v>
      </c>
      <c r="D2124" s="196">
        <v>0</v>
      </c>
      <c r="E2124" s="196">
        <v>13037663.65</v>
      </c>
      <c r="F2124" s="196">
        <v>-13037663.65</v>
      </c>
      <c r="G2124" s="196">
        <v>-96250946.439999998</v>
      </c>
    </row>
    <row r="2125" spans="1:7" x14ac:dyDescent="0.3">
      <c r="A2125" s="198">
        <v>1037607033</v>
      </c>
      <c r="B2125" s="192" t="s">
        <v>1657</v>
      </c>
      <c r="C2125" s="196">
        <v>-8045496.79</v>
      </c>
      <c r="D2125" s="196">
        <v>0</v>
      </c>
      <c r="E2125" s="196">
        <v>1415507.54</v>
      </c>
      <c r="F2125" s="196">
        <v>-1415507.54</v>
      </c>
      <c r="G2125" s="196">
        <v>-9461004.3300000001</v>
      </c>
    </row>
    <row r="2126" spans="1:7" x14ac:dyDescent="0.3">
      <c r="A2126" s="198">
        <v>67000885</v>
      </c>
      <c r="B2126" s="192" t="s">
        <v>1969</v>
      </c>
      <c r="C2126" s="196">
        <v>-1118639.5</v>
      </c>
      <c r="D2126" s="196">
        <v>0</v>
      </c>
      <c r="E2126" s="196">
        <v>0</v>
      </c>
      <c r="F2126" s="196">
        <v>0</v>
      </c>
      <c r="G2126" s="196">
        <v>-1118639.5</v>
      </c>
    </row>
    <row r="2127" spans="1:7" x14ac:dyDescent="0.3">
      <c r="A2127" s="198">
        <v>23651597</v>
      </c>
      <c r="B2127" s="192" t="s">
        <v>1991</v>
      </c>
      <c r="C2127" s="196">
        <v>145207000</v>
      </c>
      <c r="D2127" s="196">
        <v>33865000</v>
      </c>
      <c r="E2127" s="196">
        <v>0</v>
      </c>
      <c r="F2127" s="196">
        <v>33865000</v>
      </c>
      <c r="G2127" s="196">
        <v>179072000</v>
      </c>
    </row>
    <row r="2128" spans="1:7" x14ac:dyDescent="0.3">
      <c r="A2128" s="198">
        <v>800197268</v>
      </c>
      <c r="B2128" s="192" t="s">
        <v>1693</v>
      </c>
      <c r="C2128" s="196">
        <v>145207000</v>
      </c>
      <c r="D2128" s="196">
        <v>33865000</v>
      </c>
      <c r="E2128" s="196">
        <v>0</v>
      </c>
      <c r="F2128" s="196">
        <v>33865000</v>
      </c>
      <c r="G2128" s="196">
        <v>179072000</v>
      </c>
    </row>
    <row r="2129" spans="1:7" x14ac:dyDescent="0.3">
      <c r="A2129" s="197">
        <v>236520</v>
      </c>
      <c r="B2129" s="191" t="s">
        <v>1992</v>
      </c>
      <c r="C2129" s="195">
        <v>0</v>
      </c>
      <c r="D2129" s="195">
        <v>110825</v>
      </c>
      <c r="E2129" s="195">
        <v>110825</v>
      </c>
      <c r="F2129" s="195">
        <v>0</v>
      </c>
      <c r="G2129" s="195">
        <v>0</v>
      </c>
    </row>
    <row r="2130" spans="1:7" x14ac:dyDescent="0.3">
      <c r="A2130" s="198">
        <v>23652002</v>
      </c>
      <c r="B2130" s="192" t="s">
        <v>1993</v>
      </c>
      <c r="C2130" s="196">
        <v>0</v>
      </c>
      <c r="D2130" s="196">
        <v>110825</v>
      </c>
      <c r="E2130" s="196">
        <v>110825</v>
      </c>
      <c r="F2130" s="196">
        <v>0</v>
      </c>
      <c r="G2130" s="196">
        <v>0</v>
      </c>
    </row>
    <row r="2131" spans="1:7" x14ac:dyDescent="0.3">
      <c r="A2131" s="198">
        <v>901216768</v>
      </c>
      <c r="B2131" s="192" t="s">
        <v>97</v>
      </c>
      <c r="C2131" s="196">
        <v>0</v>
      </c>
      <c r="D2131" s="196">
        <v>110825</v>
      </c>
      <c r="E2131" s="196">
        <v>110825</v>
      </c>
      <c r="F2131" s="196">
        <v>0</v>
      </c>
      <c r="G2131" s="196">
        <v>0</v>
      </c>
    </row>
    <row r="2132" spans="1:7" x14ac:dyDescent="0.3">
      <c r="A2132" s="197">
        <v>236525</v>
      </c>
      <c r="B2132" s="191" t="s">
        <v>1994</v>
      </c>
      <c r="C2132" s="195">
        <v>-1998978.35</v>
      </c>
      <c r="D2132" s="195">
        <v>2228834.59</v>
      </c>
      <c r="E2132" s="195">
        <v>1802168.03</v>
      </c>
      <c r="F2132" s="195">
        <v>426666.56</v>
      </c>
      <c r="G2132" s="195">
        <v>-1572311.79</v>
      </c>
    </row>
    <row r="2133" spans="1:7" x14ac:dyDescent="0.3">
      <c r="A2133" s="198">
        <v>23652501</v>
      </c>
      <c r="B2133" s="192" t="s">
        <v>1995</v>
      </c>
      <c r="C2133" s="196">
        <v>-28381.45</v>
      </c>
      <c r="D2133" s="196">
        <v>0</v>
      </c>
      <c r="E2133" s="196">
        <v>0</v>
      </c>
      <c r="F2133" s="196">
        <v>0</v>
      </c>
      <c r="G2133" s="196">
        <v>-28381.45</v>
      </c>
    </row>
    <row r="2134" spans="1:7" x14ac:dyDescent="0.3">
      <c r="A2134" s="198">
        <v>43206080</v>
      </c>
      <c r="B2134" s="192" t="s">
        <v>1770</v>
      </c>
      <c r="C2134" s="196">
        <v>-28381.45</v>
      </c>
      <c r="D2134" s="196">
        <v>0</v>
      </c>
      <c r="E2134" s="196">
        <v>0</v>
      </c>
      <c r="F2134" s="196">
        <v>0</v>
      </c>
      <c r="G2134" s="196">
        <v>-28381.45</v>
      </c>
    </row>
    <row r="2135" spans="1:7" x14ac:dyDescent="0.3">
      <c r="A2135" s="198">
        <v>23652503</v>
      </c>
      <c r="B2135" s="192" t="s">
        <v>1996</v>
      </c>
      <c r="C2135" s="196">
        <v>-821223.2</v>
      </c>
      <c r="D2135" s="196">
        <v>0</v>
      </c>
      <c r="E2135" s="196">
        <v>0</v>
      </c>
      <c r="F2135" s="196">
        <v>0</v>
      </c>
      <c r="G2135" s="196">
        <v>-821223.2</v>
      </c>
    </row>
    <row r="2136" spans="1:7" x14ac:dyDescent="0.3">
      <c r="A2136" s="198">
        <v>901361537</v>
      </c>
      <c r="B2136" s="192" t="s">
        <v>1997</v>
      </c>
      <c r="C2136" s="196">
        <v>-255973.2</v>
      </c>
      <c r="D2136" s="196">
        <v>0</v>
      </c>
      <c r="E2136" s="196">
        <v>0</v>
      </c>
      <c r="F2136" s="196">
        <v>0</v>
      </c>
      <c r="G2136" s="196">
        <v>-255973.2</v>
      </c>
    </row>
    <row r="2137" spans="1:7" x14ac:dyDescent="0.3">
      <c r="A2137" s="198">
        <v>700215370</v>
      </c>
      <c r="B2137" s="192" t="s">
        <v>1663</v>
      </c>
      <c r="C2137" s="196">
        <v>-565250</v>
      </c>
      <c r="D2137" s="196">
        <v>0</v>
      </c>
      <c r="E2137" s="196">
        <v>0</v>
      </c>
      <c r="F2137" s="196">
        <v>0</v>
      </c>
      <c r="G2137" s="196">
        <v>-565250</v>
      </c>
    </row>
    <row r="2138" spans="1:7" x14ac:dyDescent="0.3">
      <c r="A2138" s="198">
        <v>23652504</v>
      </c>
      <c r="B2138" s="192" t="s">
        <v>1998</v>
      </c>
      <c r="C2138" s="196">
        <v>-7923772.5999999996</v>
      </c>
      <c r="D2138" s="196">
        <v>506834.59</v>
      </c>
      <c r="E2138" s="196">
        <v>1788383.41</v>
      </c>
      <c r="F2138" s="196">
        <v>-1281548.82</v>
      </c>
      <c r="G2138" s="196">
        <v>-9205321.4199999999</v>
      </c>
    </row>
    <row r="2139" spans="1:7" x14ac:dyDescent="0.3">
      <c r="A2139" s="198">
        <v>900869110</v>
      </c>
      <c r="B2139" s="192" t="s">
        <v>1850</v>
      </c>
      <c r="C2139" s="196">
        <v>-849705.04</v>
      </c>
      <c r="D2139" s="196">
        <v>0</v>
      </c>
      <c r="E2139" s="196">
        <v>0</v>
      </c>
      <c r="F2139" s="196">
        <v>0</v>
      </c>
      <c r="G2139" s="196">
        <v>-849705.04</v>
      </c>
    </row>
    <row r="2140" spans="1:7" x14ac:dyDescent="0.3">
      <c r="A2140" s="198">
        <v>900723785</v>
      </c>
      <c r="B2140" s="192" t="s">
        <v>1627</v>
      </c>
      <c r="C2140" s="196">
        <v>-6928.32</v>
      </c>
      <c r="D2140" s="196">
        <v>0</v>
      </c>
      <c r="E2140" s="196">
        <v>0</v>
      </c>
      <c r="F2140" s="196">
        <v>0</v>
      </c>
      <c r="G2140" s="196">
        <v>-6928.32</v>
      </c>
    </row>
    <row r="2141" spans="1:7" x14ac:dyDescent="0.3">
      <c r="A2141" s="198">
        <v>901516127</v>
      </c>
      <c r="B2141" s="192" t="s">
        <v>1745</v>
      </c>
      <c r="C2141" s="196">
        <v>-184320</v>
      </c>
      <c r="D2141" s="196">
        <v>0</v>
      </c>
      <c r="E2141" s="196">
        <v>0</v>
      </c>
      <c r="F2141" s="196">
        <v>0</v>
      </c>
      <c r="G2141" s="196">
        <v>-184320</v>
      </c>
    </row>
    <row r="2142" spans="1:7" x14ac:dyDescent="0.3">
      <c r="A2142" s="198">
        <v>98778941</v>
      </c>
      <c r="B2142" s="192" t="s">
        <v>1999</v>
      </c>
      <c r="C2142" s="196">
        <v>-34000</v>
      </c>
      <c r="D2142" s="196">
        <v>0</v>
      </c>
      <c r="E2142" s="196">
        <v>0</v>
      </c>
      <c r="F2142" s="196">
        <v>0</v>
      </c>
      <c r="G2142" s="196">
        <v>-34000</v>
      </c>
    </row>
    <row r="2143" spans="1:7" x14ac:dyDescent="0.3">
      <c r="A2143" s="198">
        <v>901893782</v>
      </c>
      <c r="B2143" s="192" t="s">
        <v>1917</v>
      </c>
      <c r="C2143" s="196">
        <v>-1079793.8</v>
      </c>
      <c r="D2143" s="196">
        <v>204348.03</v>
      </c>
      <c r="E2143" s="196">
        <v>408696.07</v>
      </c>
      <c r="F2143" s="196">
        <v>-204348.04</v>
      </c>
      <c r="G2143" s="196">
        <v>-1284141.8400000001</v>
      </c>
    </row>
    <row r="2144" spans="1:7" x14ac:dyDescent="0.3">
      <c r="A2144" s="198">
        <v>35851205</v>
      </c>
      <c r="B2144" s="192" t="s">
        <v>1946</v>
      </c>
      <c r="C2144" s="196">
        <v>-7200</v>
      </c>
      <c r="D2144" s="196">
        <v>0</v>
      </c>
      <c r="E2144" s="196">
        <v>0</v>
      </c>
      <c r="F2144" s="196">
        <v>0</v>
      </c>
      <c r="G2144" s="196">
        <v>-7200</v>
      </c>
    </row>
    <row r="2145" spans="1:7" x14ac:dyDescent="0.3">
      <c r="A2145" s="198">
        <v>900245870</v>
      </c>
      <c r="B2145" s="192" t="s">
        <v>1958</v>
      </c>
      <c r="C2145" s="196">
        <v>-2954447.6</v>
      </c>
      <c r="D2145" s="196">
        <v>302486.56</v>
      </c>
      <c r="E2145" s="196">
        <v>953079.94</v>
      </c>
      <c r="F2145" s="196">
        <v>-650593.38</v>
      </c>
      <c r="G2145" s="196">
        <v>-3605040.98</v>
      </c>
    </row>
    <row r="2146" spans="1:7" x14ac:dyDescent="0.3">
      <c r="A2146" s="198">
        <v>830004892</v>
      </c>
      <c r="B2146" s="192" t="s">
        <v>1773</v>
      </c>
      <c r="C2146" s="196">
        <v>-252120</v>
      </c>
      <c r="D2146" s="196">
        <v>0</v>
      </c>
      <c r="E2146" s="196">
        <v>0</v>
      </c>
      <c r="F2146" s="196">
        <v>0</v>
      </c>
      <c r="G2146" s="196">
        <v>-252120</v>
      </c>
    </row>
    <row r="2147" spans="1:7" x14ac:dyDescent="0.3">
      <c r="A2147" s="198">
        <v>900046486</v>
      </c>
      <c r="B2147" s="192" t="s">
        <v>1965</v>
      </c>
      <c r="C2147" s="196">
        <v>-436295.44</v>
      </c>
      <c r="D2147" s="196">
        <v>0</v>
      </c>
      <c r="E2147" s="196">
        <v>73447</v>
      </c>
      <c r="F2147" s="196">
        <v>-73447</v>
      </c>
      <c r="G2147" s="196">
        <v>-509742.44</v>
      </c>
    </row>
    <row r="2148" spans="1:7" x14ac:dyDescent="0.3">
      <c r="A2148" s="198">
        <v>901143440</v>
      </c>
      <c r="B2148" s="192" t="s">
        <v>1966</v>
      </c>
      <c r="C2148" s="196">
        <v>-2118962.4</v>
      </c>
      <c r="D2148" s="196">
        <v>0</v>
      </c>
      <c r="E2148" s="196">
        <v>353160.4</v>
      </c>
      <c r="F2148" s="196">
        <v>-353160.4</v>
      </c>
      <c r="G2148" s="196">
        <v>-2472122.7999999998</v>
      </c>
    </row>
    <row r="2149" spans="1:7" x14ac:dyDescent="0.3">
      <c r="A2149" s="198">
        <v>23652507</v>
      </c>
      <c r="B2149" s="192" t="s">
        <v>2000</v>
      </c>
      <c r="C2149" s="196">
        <v>-3157601.1</v>
      </c>
      <c r="D2149" s="196">
        <v>0</v>
      </c>
      <c r="E2149" s="196">
        <v>13784.62</v>
      </c>
      <c r="F2149" s="196">
        <v>-13784.62</v>
      </c>
      <c r="G2149" s="196">
        <v>-3171385.72</v>
      </c>
    </row>
    <row r="2150" spans="1:7" x14ac:dyDescent="0.3">
      <c r="A2150" s="198">
        <v>900869110</v>
      </c>
      <c r="B2150" s="192" t="s">
        <v>1850</v>
      </c>
      <c r="C2150" s="196">
        <v>0</v>
      </c>
      <c r="D2150" s="196">
        <v>0</v>
      </c>
      <c r="E2150" s="196">
        <v>13784.62</v>
      </c>
      <c r="F2150" s="196">
        <v>-13784.62</v>
      </c>
      <c r="G2150" s="196">
        <v>-13784.62</v>
      </c>
    </row>
    <row r="2151" spans="1:7" x14ac:dyDescent="0.3">
      <c r="A2151" s="198">
        <v>900399128</v>
      </c>
      <c r="B2151" s="192" t="s">
        <v>1741</v>
      </c>
      <c r="C2151" s="196">
        <v>-2336883.56</v>
      </c>
      <c r="D2151" s="196">
        <v>0</v>
      </c>
      <c r="E2151" s="196">
        <v>0</v>
      </c>
      <c r="F2151" s="196">
        <v>0</v>
      </c>
      <c r="G2151" s="196">
        <v>-2336883.56</v>
      </c>
    </row>
    <row r="2152" spans="1:7" x14ac:dyDescent="0.3">
      <c r="A2152" s="198">
        <v>900953638</v>
      </c>
      <c r="B2152" s="192" t="s">
        <v>1754</v>
      </c>
      <c r="C2152" s="196">
        <v>-820717.54</v>
      </c>
      <c r="D2152" s="196">
        <v>0</v>
      </c>
      <c r="E2152" s="196">
        <v>0</v>
      </c>
      <c r="F2152" s="196">
        <v>0</v>
      </c>
      <c r="G2152" s="196">
        <v>-820717.54</v>
      </c>
    </row>
    <row r="2153" spans="1:7" x14ac:dyDescent="0.3">
      <c r="A2153" s="198">
        <v>23652599</v>
      </c>
      <c r="B2153" s="192" t="s">
        <v>2001</v>
      </c>
      <c r="C2153" s="196">
        <v>9932000</v>
      </c>
      <c r="D2153" s="196">
        <v>1722000</v>
      </c>
      <c r="E2153" s="196">
        <v>0</v>
      </c>
      <c r="F2153" s="196">
        <v>1722000</v>
      </c>
      <c r="G2153" s="196">
        <v>11654000</v>
      </c>
    </row>
    <row r="2154" spans="1:7" x14ac:dyDescent="0.3">
      <c r="A2154" s="198">
        <v>800197268</v>
      </c>
      <c r="B2154" s="192" t="s">
        <v>1693</v>
      </c>
      <c r="C2154" s="196">
        <v>9932000</v>
      </c>
      <c r="D2154" s="196">
        <v>1722000</v>
      </c>
      <c r="E2154" s="196">
        <v>0</v>
      </c>
      <c r="F2154" s="196">
        <v>1722000</v>
      </c>
      <c r="G2154" s="196">
        <v>11654000</v>
      </c>
    </row>
    <row r="2155" spans="1:7" x14ac:dyDescent="0.3">
      <c r="A2155" s="197">
        <v>236530</v>
      </c>
      <c r="B2155" s="191" t="s">
        <v>2002</v>
      </c>
      <c r="C2155" s="195">
        <v>-832790.44</v>
      </c>
      <c r="D2155" s="195">
        <v>810000</v>
      </c>
      <c r="E2155" s="195">
        <v>809099.26</v>
      </c>
      <c r="F2155" s="195">
        <v>900.74</v>
      </c>
      <c r="G2155" s="195">
        <v>-831889.7</v>
      </c>
    </row>
    <row r="2156" spans="1:7" x14ac:dyDescent="0.3">
      <c r="A2156" s="198">
        <v>23653001</v>
      </c>
      <c r="B2156" s="192" t="s">
        <v>2003</v>
      </c>
      <c r="C2156" s="196">
        <v>-960000</v>
      </c>
      <c r="D2156" s="196">
        <v>0</v>
      </c>
      <c r="E2156" s="196">
        <v>160000</v>
      </c>
      <c r="F2156" s="196">
        <v>-160000</v>
      </c>
      <c r="G2156" s="196">
        <v>-1120000</v>
      </c>
    </row>
    <row r="2157" spans="1:7" x14ac:dyDescent="0.3">
      <c r="A2157" s="198">
        <v>901205178</v>
      </c>
      <c r="B2157" s="192" t="s">
        <v>1964</v>
      </c>
      <c r="C2157" s="196">
        <v>-960000</v>
      </c>
      <c r="D2157" s="196">
        <v>0</v>
      </c>
      <c r="E2157" s="196">
        <v>160000</v>
      </c>
      <c r="F2157" s="196">
        <v>-160000</v>
      </c>
      <c r="G2157" s="196">
        <v>-1120000</v>
      </c>
    </row>
    <row r="2158" spans="1:7" x14ac:dyDescent="0.3">
      <c r="A2158" s="198">
        <v>23653002</v>
      </c>
      <c r="B2158" s="192" t="s">
        <v>2004</v>
      </c>
      <c r="C2158" s="196">
        <v>-3834790.44</v>
      </c>
      <c r="D2158" s="196">
        <v>0</v>
      </c>
      <c r="E2158" s="196">
        <v>649099.26</v>
      </c>
      <c r="F2158" s="196">
        <v>-649099.26</v>
      </c>
      <c r="G2158" s="196">
        <v>-4483889.7</v>
      </c>
    </row>
    <row r="2159" spans="1:7" x14ac:dyDescent="0.3">
      <c r="A2159" s="198">
        <v>43556607</v>
      </c>
      <c r="B2159" s="192" t="s">
        <v>1857</v>
      </c>
      <c r="C2159" s="196">
        <v>-906007.2</v>
      </c>
      <c r="D2159" s="196">
        <v>0</v>
      </c>
      <c r="E2159" s="196">
        <v>151001.20000000001</v>
      </c>
      <c r="F2159" s="196">
        <v>-151001.20000000001</v>
      </c>
      <c r="G2159" s="196">
        <v>-1057008.3999999999</v>
      </c>
    </row>
    <row r="2160" spans="1:7" x14ac:dyDescent="0.3">
      <c r="A2160" s="198">
        <v>900585869</v>
      </c>
      <c r="B2160" s="192" t="s">
        <v>1654</v>
      </c>
      <c r="C2160" s="196">
        <v>-333480</v>
      </c>
      <c r="D2160" s="196">
        <v>0</v>
      </c>
      <c r="E2160" s="196">
        <v>55580</v>
      </c>
      <c r="F2160" s="196">
        <v>-55580</v>
      </c>
      <c r="G2160" s="196">
        <v>-389060</v>
      </c>
    </row>
    <row r="2161" spans="1:7" x14ac:dyDescent="0.3">
      <c r="A2161" s="198">
        <v>900565011</v>
      </c>
      <c r="B2161" s="192" t="s">
        <v>1959</v>
      </c>
      <c r="C2161" s="196">
        <v>-2004108.36</v>
      </c>
      <c r="D2161" s="196">
        <v>0</v>
      </c>
      <c r="E2161" s="196">
        <v>334018.06</v>
      </c>
      <c r="F2161" s="196">
        <v>-334018.06</v>
      </c>
      <c r="G2161" s="196">
        <v>-2338126.42</v>
      </c>
    </row>
    <row r="2162" spans="1:7" x14ac:dyDescent="0.3">
      <c r="A2162" s="198">
        <v>43984772</v>
      </c>
      <c r="B2162" s="192" t="s">
        <v>1960</v>
      </c>
      <c r="C2162" s="196">
        <v>-591194.88</v>
      </c>
      <c r="D2162" s="196">
        <v>0</v>
      </c>
      <c r="E2162" s="196">
        <v>108500</v>
      </c>
      <c r="F2162" s="196">
        <v>-108500</v>
      </c>
      <c r="G2162" s="196">
        <v>-699694.88</v>
      </c>
    </row>
    <row r="2163" spans="1:7" x14ac:dyDescent="0.3">
      <c r="A2163" s="198">
        <v>23653097</v>
      </c>
      <c r="B2163" s="192" t="s">
        <v>2005</v>
      </c>
      <c r="C2163" s="196">
        <v>3962000</v>
      </c>
      <c r="D2163" s="196">
        <v>810000</v>
      </c>
      <c r="E2163" s="196">
        <v>0</v>
      </c>
      <c r="F2163" s="196">
        <v>810000</v>
      </c>
      <c r="G2163" s="196">
        <v>4772000</v>
      </c>
    </row>
    <row r="2164" spans="1:7" x14ac:dyDescent="0.3">
      <c r="A2164" s="198">
        <v>800197268</v>
      </c>
      <c r="B2164" s="192" t="s">
        <v>1693</v>
      </c>
      <c r="C2164" s="196">
        <v>3962000</v>
      </c>
      <c r="D2164" s="196">
        <v>810000</v>
      </c>
      <c r="E2164" s="196">
        <v>0</v>
      </c>
      <c r="F2164" s="196">
        <v>810000</v>
      </c>
      <c r="G2164" s="196">
        <v>4772000</v>
      </c>
    </row>
    <row r="2165" spans="1:7" x14ac:dyDescent="0.3">
      <c r="A2165" s="197">
        <v>236535</v>
      </c>
      <c r="B2165" s="191" t="s">
        <v>2006</v>
      </c>
      <c r="C2165" s="195">
        <v>-449573.77</v>
      </c>
      <c r="D2165" s="195">
        <v>272000</v>
      </c>
      <c r="E2165" s="195">
        <v>264155.5</v>
      </c>
      <c r="F2165" s="195">
        <v>7844.5</v>
      </c>
      <c r="G2165" s="195">
        <v>-441729.27</v>
      </c>
    </row>
    <row r="2166" spans="1:7" x14ac:dyDescent="0.3">
      <c r="A2166" s="198">
        <v>23653501</v>
      </c>
      <c r="B2166" s="192" t="s">
        <v>2007</v>
      </c>
      <c r="C2166" s="196">
        <v>-1266573.77</v>
      </c>
      <c r="D2166" s="196">
        <v>0</v>
      </c>
      <c r="E2166" s="196">
        <v>264155.5</v>
      </c>
      <c r="F2166" s="196">
        <v>-264155.5</v>
      </c>
      <c r="G2166" s="196">
        <v>-1530729.27</v>
      </c>
    </row>
    <row r="2167" spans="1:7" x14ac:dyDescent="0.3">
      <c r="A2167" s="198">
        <v>901160048</v>
      </c>
      <c r="B2167" s="192" t="s">
        <v>1664</v>
      </c>
      <c r="C2167" s="196">
        <v>-1266573.77</v>
      </c>
      <c r="D2167" s="196">
        <v>0</v>
      </c>
      <c r="E2167" s="196">
        <v>264155.5</v>
      </c>
      <c r="F2167" s="196">
        <v>-264155.5</v>
      </c>
      <c r="G2167" s="196">
        <v>-1530729.27</v>
      </c>
    </row>
    <row r="2168" spans="1:7" x14ac:dyDescent="0.3">
      <c r="A2168" s="198">
        <v>23653597</v>
      </c>
      <c r="B2168" s="192" t="s">
        <v>2008</v>
      </c>
      <c r="C2168" s="196">
        <v>817000</v>
      </c>
      <c r="D2168" s="196">
        <v>272000</v>
      </c>
      <c r="E2168" s="196">
        <v>0</v>
      </c>
      <c r="F2168" s="196">
        <v>272000</v>
      </c>
      <c r="G2168" s="196">
        <v>1089000</v>
      </c>
    </row>
    <row r="2169" spans="1:7" x14ac:dyDescent="0.3">
      <c r="A2169" s="198">
        <v>800197268</v>
      </c>
      <c r="B2169" s="192" t="s">
        <v>1693</v>
      </c>
      <c r="C2169" s="196">
        <v>817000</v>
      </c>
      <c r="D2169" s="196">
        <v>272000</v>
      </c>
      <c r="E2169" s="196">
        <v>0</v>
      </c>
      <c r="F2169" s="196">
        <v>272000</v>
      </c>
      <c r="G2169" s="196">
        <v>1089000</v>
      </c>
    </row>
    <row r="2170" spans="1:7" x14ac:dyDescent="0.3">
      <c r="A2170" s="197">
        <v>236540</v>
      </c>
      <c r="B2170" s="191" t="s">
        <v>2009</v>
      </c>
      <c r="C2170" s="195">
        <v>1305282.1100000001</v>
      </c>
      <c r="D2170" s="195">
        <v>1821715</v>
      </c>
      <c r="E2170" s="195">
        <v>4528248.72</v>
      </c>
      <c r="F2170" s="195">
        <v>-2706533.72</v>
      </c>
      <c r="G2170" s="195">
        <v>-1401251.61</v>
      </c>
    </row>
    <row r="2171" spans="1:7" x14ac:dyDescent="0.3">
      <c r="A2171" s="198">
        <v>23654001</v>
      </c>
      <c r="B2171" s="192" t="s">
        <v>2010</v>
      </c>
      <c r="C2171" s="196">
        <v>-29287717.890000001</v>
      </c>
      <c r="D2171" s="196">
        <v>92715</v>
      </c>
      <c r="E2171" s="196">
        <v>4528248.72</v>
      </c>
      <c r="F2171" s="196">
        <v>-4435533.72</v>
      </c>
      <c r="G2171" s="196">
        <v>-33723251.609999999</v>
      </c>
    </row>
    <row r="2172" spans="1:7" x14ac:dyDescent="0.3">
      <c r="A2172" s="198">
        <v>901092093</v>
      </c>
      <c r="B2172" s="192" t="s">
        <v>2011</v>
      </c>
      <c r="C2172" s="196">
        <v>-21008.400000000001</v>
      </c>
      <c r="D2172" s="196">
        <v>0</v>
      </c>
      <c r="E2172" s="196">
        <v>0</v>
      </c>
      <c r="F2172" s="196">
        <v>0</v>
      </c>
      <c r="G2172" s="196">
        <v>-21008.400000000001</v>
      </c>
    </row>
    <row r="2173" spans="1:7" x14ac:dyDescent="0.3">
      <c r="A2173" s="198">
        <v>901598492</v>
      </c>
      <c r="B2173" s="192" t="s">
        <v>1853</v>
      </c>
      <c r="C2173" s="196">
        <v>-89250</v>
      </c>
      <c r="D2173" s="196">
        <v>0</v>
      </c>
      <c r="E2173" s="196">
        <v>16500</v>
      </c>
      <c r="F2173" s="196">
        <v>-16500</v>
      </c>
      <c r="G2173" s="196">
        <v>-105750</v>
      </c>
    </row>
    <row r="2174" spans="1:7" x14ac:dyDescent="0.3">
      <c r="A2174" s="198">
        <v>901054145</v>
      </c>
      <c r="B2174" s="192" t="s">
        <v>1622</v>
      </c>
      <c r="C2174" s="196">
        <v>-206139.99</v>
      </c>
      <c r="D2174" s="196">
        <v>0</v>
      </c>
      <c r="E2174" s="196">
        <v>19965</v>
      </c>
      <c r="F2174" s="196">
        <v>-19965</v>
      </c>
      <c r="G2174" s="196">
        <v>-226104.99</v>
      </c>
    </row>
    <row r="2175" spans="1:7" x14ac:dyDescent="0.3">
      <c r="A2175" s="198">
        <v>830064049</v>
      </c>
      <c r="B2175" s="192" t="s">
        <v>1858</v>
      </c>
      <c r="C2175" s="196">
        <v>-819260.5</v>
      </c>
      <c r="D2175" s="196">
        <v>0</v>
      </c>
      <c r="E2175" s="196">
        <v>472500</v>
      </c>
      <c r="F2175" s="196">
        <v>-472500</v>
      </c>
      <c r="G2175" s="196">
        <v>-1291760.5</v>
      </c>
    </row>
    <row r="2176" spans="1:7" x14ac:dyDescent="0.3">
      <c r="A2176" s="198">
        <v>830103910</v>
      </c>
      <c r="B2176" s="192" t="s">
        <v>1859</v>
      </c>
      <c r="C2176" s="196">
        <v>-5642189.5</v>
      </c>
      <c r="D2176" s="196">
        <v>0</v>
      </c>
      <c r="E2176" s="196">
        <v>1596937.5</v>
      </c>
      <c r="F2176" s="196">
        <v>-1596937.5</v>
      </c>
      <c r="G2176" s="196">
        <v>-7239127</v>
      </c>
    </row>
    <row r="2177" spans="1:7" x14ac:dyDescent="0.3">
      <c r="A2177" s="198">
        <v>830512658</v>
      </c>
      <c r="B2177" s="192" t="s">
        <v>1738</v>
      </c>
      <c r="C2177" s="196">
        <v>-83375</v>
      </c>
      <c r="D2177" s="196">
        <v>0</v>
      </c>
      <c r="E2177" s="196">
        <v>0</v>
      </c>
      <c r="F2177" s="196">
        <v>0</v>
      </c>
      <c r="G2177" s="196">
        <v>-83375</v>
      </c>
    </row>
    <row r="2178" spans="1:7" x14ac:dyDescent="0.3">
      <c r="A2178" s="198">
        <v>830021262</v>
      </c>
      <c r="B2178" s="192" t="s">
        <v>2012</v>
      </c>
      <c r="C2178" s="196">
        <v>-29000</v>
      </c>
      <c r="D2178" s="196">
        <v>0</v>
      </c>
      <c r="E2178" s="196">
        <v>0</v>
      </c>
      <c r="F2178" s="196">
        <v>0</v>
      </c>
      <c r="G2178" s="196">
        <v>-29000</v>
      </c>
    </row>
    <row r="2179" spans="1:7" x14ac:dyDescent="0.3">
      <c r="A2179" s="198">
        <v>901112882</v>
      </c>
      <c r="B2179" s="192" t="s">
        <v>1864</v>
      </c>
      <c r="C2179" s="196">
        <v>-498912.5</v>
      </c>
      <c r="D2179" s="196">
        <v>0</v>
      </c>
      <c r="E2179" s="196">
        <v>223450</v>
      </c>
      <c r="F2179" s="196">
        <v>-223450</v>
      </c>
      <c r="G2179" s="196">
        <v>-722362.5</v>
      </c>
    </row>
    <row r="2180" spans="1:7" x14ac:dyDescent="0.3">
      <c r="A2180" s="198">
        <v>800130961</v>
      </c>
      <c r="B2180" s="192" t="s">
        <v>1740</v>
      </c>
      <c r="C2180" s="196">
        <v>-421850</v>
      </c>
      <c r="D2180" s="196">
        <v>0</v>
      </c>
      <c r="E2180" s="196">
        <v>0</v>
      </c>
      <c r="F2180" s="196">
        <v>0</v>
      </c>
      <c r="G2180" s="196">
        <v>-421850</v>
      </c>
    </row>
    <row r="2181" spans="1:7" x14ac:dyDescent="0.3">
      <c r="A2181" s="198">
        <v>890331949</v>
      </c>
      <c r="B2181" s="192" t="s">
        <v>1632</v>
      </c>
      <c r="C2181" s="196">
        <v>-377520.05</v>
      </c>
      <c r="D2181" s="196">
        <v>0</v>
      </c>
      <c r="E2181" s="196">
        <v>80412.350000000006</v>
      </c>
      <c r="F2181" s="196">
        <v>-80412.350000000006</v>
      </c>
      <c r="G2181" s="196">
        <v>-457932.4</v>
      </c>
    </row>
    <row r="2182" spans="1:7" x14ac:dyDescent="0.3">
      <c r="A2182" s="198">
        <v>811042584</v>
      </c>
      <c r="B2182" s="192" t="s">
        <v>1871</v>
      </c>
      <c r="C2182" s="196">
        <v>-221885.47</v>
      </c>
      <c r="D2182" s="196">
        <v>0</v>
      </c>
      <c r="E2182" s="196">
        <v>39915</v>
      </c>
      <c r="F2182" s="196">
        <v>-39915</v>
      </c>
      <c r="G2182" s="196">
        <v>-261800.47</v>
      </c>
    </row>
    <row r="2183" spans="1:7" x14ac:dyDescent="0.3">
      <c r="A2183" s="198">
        <v>900399128</v>
      </c>
      <c r="B2183" s="192" t="s">
        <v>1741</v>
      </c>
      <c r="C2183" s="196">
        <v>-313876.5</v>
      </c>
      <c r="D2183" s="196">
        <v>0</v>
      </c>
      <c r="E2183" s="196">
        <v>0</v>
      </c>
      <c r="F2183" s="196">
        <v>0</v>
      </c>
      <c r="G2183" s="196">
        <v>-313876.5</v>
      </c>
    </row>
    <row r="2184" spans="1:7" x14ac:dyDescent="0.3">
      <c r="A2184" s="198">
        <v>1037583982</v>
      </c>
      <c r="B2184" s="192" t="s">
        <v>1798</v>
      </c>
      <c r="C2184" s="196">
        <v>-83625</v>
      </c>
      <c r="D2184" s="196">
        <v>0</v>
      </c>
      <c r="E2184" s="196">
        <v>0</v>
      </c>
      <c r="F2184" s="196">
        <v>0</v>
      </c>
      <c r="G2184" s="196">
        <v>-83625</v>
      </c>
    </row>
    <row r="2185" spans="1:7" x14ac:dyDescent="0.3">
      <c r="A2185" s="198">
        <v>1007045915</v>
      </c>
      <c r="B2185" s="192" t="s">
        <v>1634</v>
      </c>
      <c r="C2185" s="196">
        <v>-1279350</v>
      </c>
      <c r="D2185" s="196">
        <v>0</v>
      </c>
      <c r="E2185" s="196">
        <v>0</v>
      </c>
      <c r="F2185" s="196">
        <v>0</v>
      </c>
      <c r="G2185" s="196">
        <v>-1279350</v>
      </c>
    </row>
    <row r="2186" spans="1:7" x14ac:dyDescent="0.3">
      <c r="A2186" s="198">
        <v>811000620</v>
      </c>
      <c r="B2186" s="192" t="s">
        <v>1875</v>
      </c>
      <c r="C2186" s="196">
        <v>-6399939.9699999997</v>
      </c>
      <c r="D2186" s="196">
        <v>0</v>
      </c>
      <c r="E2186" s="196">
        <v>0</v>
      </c>
      <c r="F2186" s="196">
        <v>0</v>
      </c>
      <c r="G2186" s="196">
        <v>-6399939.9699999997</v>
      </c>
    </row>
    <row r="2187" spans="1:7" x14ac:dyDescent="0.3">
      <c r="A2187" s="198">
        <v>890939027</v>
      </c>
      <c r="B2187" s="192" t="s">
        <v>1787</v>
      </c>
      <c r="C2187" s="196">
        <v>-157070</v>
      </c>
      <c r="D2187" s="196">
        <v>0</v>
      </c>
      <c r="E2187" s="196">
        <v>0</v>
      </c>
      <c r="F2187" s="196">
        <v>0</v>
      </c>
      <c r="G2187" s="196">
        <v>-157070</v>
      </c>
    </row>
    <row r="2188" spans="1:7" x14ac:dyDescent="0.3">
      <c r="A2188" s="198">
        <v>901504270</v>
      </c>
      <c r="B2188" s="192" t="s">
        <v>1885</v>
      </c>
      <c r="C2188" s="196">
        <v>-962564.02</v>
      </c>
      <c r="D2188" s="196">
        <v>0</v>
      </c>
      <c r="E2188" s="196">
        <v>142360.5</v>
      </c>
      <c r="F2188" s="196">
        <v>-142360.5</v>
      </c>
      <c r="G2188" s="196">
        <v>-1104924.52</v>
      </c>
    </row>
    <row r="2189" spans="1:7" x14ac:dyDescent="0.3">
      <c r="A2189" s="198">
        <v>901516127</v>
      </c>
      <c r="B2189" s="192" t="s">
        <v>1745</v>
      </c>
      <c r="C2189" s="196">
        <v>-558591.93000000005</v>
      </c>
      <c r="D2189" s="196">
        <v>0</v>
      </c>
      <c r="E2189" s="196">
        <v>0</v>
      </c>
      <c r="F2189" s="196">
        <v>0</v>
      </c>
      <c r="G2189" s="196">
        <v>-558591.93000000005</v>
      </c>
    </row>
    <row r="2190" spans="1:7" x14ac:dyDescent="0.3">
      <c r="A2190" s="198">
        <v>900488499</v>
      </c>
      <c r="B2190" s="192" t="s">
        <v>1893</v>
      </c>
      <c r="C2190" s="196">
        <v>0</v>
      </c>
      <c r="D2190" s="196">
        <v>0</v>
      </c>
      <c r="E2190" s="196">
        <v>82257.5</v>
      </c>
      <c r="F2190" s="196">
        <v>-82257.5</v>
      </c>
      <c r="G2190" s="196">
        <v>-82257.5</v>
      </c>
    </row>
    <row r="2191" spans="1:7" x14ac:dyDescent="0.3">
      <c r="A2191" s="198">
        <v>900177200</v>
      </c>
      <c r="B2191" s="192" t="s">
        <v>1894</v>
      </c>
      <c r="C2191" s="196">
        <v>-111051.91</v>
      </c>
      <c r="D2191" s="196">
        <v>0</v>
      </c>
      <c r="E2191" s="196">
        <v>0</v>
      </c>
      <c r="F2191" s="196">
        <v>0</v>
      </c>
      <c r="G2191" s="196">
        <v>-111051.91</v>
      </c>
    </row>
    <row r="2192" spans="1:7" x14ac:dyDescent="0.3">
      <c r="A2192" s="198">
        <v>900924527</v>
      </c>
      <c r="B2192" s="192" t="s">
        <v>1899</v>
      </c>
      <c r="C2192" s="196">
        <v>-36529.43</v>
      </c>
      <c r="D2192" s="196">
        <v>0</v>
      </c>
      <c r="E2192" s="196">
        <v>0</v>
      </c>
      <c r="F2192" s="196">
        <v>0</v>
      </c>
      <c r="G2192" s="196">
        <v>-36529.43</v>
      </c>
    </row>
    <row r="2193" spans="1:7" x14ac:dyDescent="0.3">
      <c r="A2193" s="198">
        <v>901007452</v>
      </c>
      <c r="B2193" s="192" t="s">
        <v>2013</v>
      </c>
      <c r="C2193" s="196">
        <v>-61750</v>
      </c>
      <c r="D2193" s="196">
        <v>0</v>
      </c>
      <c r="E2193" s="196">
        <v>0</v>
      </c>
      <c r="F2193" s="196">
        <v>0</v>
      </c>
      <c r="G2193" s="196">
        <v>-61750</v>
      </c>
    </row>
    <row r="2194" spans="1:7" x14ac:dyDescent="0.3">
      <c r="A2194" s="198">
        <v>900467517</v>
      </c>
      <c r="B2194" s="192" t="s">
        <v>1640</v>
      </c>
      <c r="C2194" s="196">
        <v>-140000</v>
      </c>
      <c r="D2194" s="196">
        <v>0</v>
      </c>
      <c r="E2194" s="196">
        <v>210000</v>
      </c>
      <c r="F2194" s="196">
        <v>-210000</v>
      </c>
      <c r="G2194" s="196">
        <v>-350000</v>
      </c>
    </row>
    <row r="2195" spans="1:7" x14ac:dyDescent="0.3">
      <c r="A2195" s="198">
        <v>901414564</v>
      </c>
      <c r="B2195" s="192" t="s">
        <v>1642</v>
      </c>
      <c r="C2195" s="196">
        <v>-27981.95</v>
      </c>
      <c r="D2195" s="196">
        <v>0</v>
      </c>
      <c r="E2195" s="196">
        <v>18358.75</v>
      </c>
      <c r="F2195" s="196">
        <v>-18358.75</v>
      </c>
      <c r="G2195" s="196">
        <v>-46340.7</v>
      </c>
    </row>
    <row r="2196" spans="1:7" x14ac:dyDescent="0.3">
      <c r="A2196" s="198">
        <v>900516123</v>
      </c>
      <c r="B2196" s="192" t="s">
        <v>1902</v>
      </c>
      <c r="C2196" s="196">
        <v>-925175.14</v>
      </c>
      <c r="D2196" s="196">
        <v>0</v>
      </c>
      <c r="E2196" s="196">
        <v>185104.66</v>
      </c>
      <c r="F2196" s="196">
        <v>-185104.66</v>
      </c>
      <c r="G2196" s="196">
        <v>-1110279.8</v>
      </c>
    </row>
    <row r="2197" spans="1:7" x14ac:dyDescent="0.3">
      <c r="A2197" s="198">
        <v>1094884306</v>
      </c>
      <c r="B2197" s="192" t="s">
        <v>1816</v>
      </c>
      <c r="C2197" s="196">
        <v>-143750</v>
      </c>
      <c r="D2197" s="196">
        <v>0</v>
      </c>
      <c r="E2197" s="196">
        <v>0</v>
      </c>
      <c r="F2197" s="196">
        <v>0</v>
      </c>
      <c r="G2197" s="196">
        <v>-143750</v>
      </c>
    </row>
    <row r="2198" spans="1:7" x14ac:dyDescent="0.3">
      <c r="A2198" s="198">
        <v>900551636</v>
      </c>
      <c r="B2198" s="192" t="s">
        <v>1915</v>
      </c>
      <c r="C2198" s="196">
        <v>-90000.06</v>
      </c>
      <c r="D2198" s="196">
        <v>0</v>
      </c>
      <c r="E2198" s="196">
        <v>0</v>
      </c>
      <c r="F2198" s="196">
        <v>0</v>
      </c>
      <c r="G2198" s="196">
        <v>-90000.06</v>
      </c>
    </row>
    <row r="2199" spans="1:7" x14ac:dyDescent="0.3">
      <c r="A2199" s="198">
        <v>802017441</v>
      </c>
      <c r="B2199" s="192" t="s">
        <v>1918</v>
      </c>
      <c r="C2199" s="196">
        <v>-641525.04</v>
      </c>
      <c r="D2199" s="196">
        <v>56525</v>
      </c>
      <c r="E2199" s="196">
        <v>318750</v>
      </c>
      <c r="F2199" s="196">
        <v>-262225</v>
      </c>
      <c r="G2199" s="196">
        <v>-903750.04</v>
      </c>
    </row>
    <row r="2200" spans="1:7" x14ac:dyDescent="0.3">
      <c r="A2200" s="198">
        <v>71703610</v>
      </c>
      <c r="B2200" s="192" t="s">
        <v>1651</v>
      </c>
      <c r="C2200" s="196">
        <v>-13625</v>
      </c>
      <c r="D2200" s="196">
        <v>0</v>
      </c>
      <c r="E2200" s="196">
        <v>0</v>
      </c>
      <c r="F2200" s="196">
        <v>0</v>
      </c>
      <c r="G2200" s="196">
        <v>-13625</v>
      </c>
    </row>
    <row r="2201" spans="1:7" x14ac:dyDescent="0.3">
      <c r="A2201" s="198">
        <v>94301641</v>
      </c>
      <c r="B2201" s="192" t="s">
        <v>2014</v>
      </c>
      <c r="C2201" s="196">
        <v>-22500</v>
      </c>
      <c r="D2201" s="196">
        <v>0</v>
      </c>
      <c r="E2201" s="196">
        <v>0</v>
      </c>
      <c r="F2201" s="196">
        <v>0</v>
      </c>
      <c r="G2201" s="196">
        <v>-22500</v>
      </c>
    </row>
    <row r="2202" spans="1:7" x14ac:dyDescent="0.3">
      <c r="A2202" s="198">
        <v>830142523</v>
      </c>
      <c r="B2202" s="192" t="s">
        <v>1653</v>
      </c>
      <c r="C2202" s="196">
        <v>-34846</v>
      </c>
      <c r="D2202" s="196">
        <v>0</v>
      </c>
      <c r="E2202" s="196">
        <v>0</v>
      </c>
      <c r="F2202" s="196">
        <v>0</v>
      </c>
      <c r="G2202" s="196">
        <v>-34846</v>
      </c>
    </row>
    <row r="2203" spans="1:7" x14ac:dyDescent="0.3">
      <c r="A2203" s="198">
        <v>43206080</v>
      </c>
      <c r="B2203" s="192" t="s">
        <v>1770</v>
      </c>
      <c r="C2203" s="196">
        <v>-3750000</v>
      </c>
      <c r="D2203" s="196">
        <v>0</v>
      </c>
      <c r="E2203" s="196">
        <v>0</v>
      </c>
      <c r="F2203" s="196">
        <v>0</v>
      </c>
      <c r="G2203" s="196">
        <v>-3750000</v>
      </c>
    </row>
    <row r="2204" spans="1:7" x14ac:dyDescent="0.3">
      <c r="A2204" s="198">
        <v>900135828</v>
      </c>
      <c r="B2204" s="192" t="s">
        <v>1939</v>
      </c>
      <c r="C2204" s="196">
        <v>-39810.019999999997</v>
      </c>
      <c r="D2204" s="196">
        <v>0</v>
      </c>
      <c r="E2204" s="196">
        <v>0</v>
      </c>
      <c r="F2204" s="196">
        <v>0</v>
      </c>
      <c r="G2204" s="196">
        <v>-39810.019999999997</v>
      </c>
    </row>
    <row r="2205" spans="1:7" x14ac:dyDescent="0.3">
      <c r="A2205" s="198">
        <v>830062565</v>
      </c>
      <c r="B2205" s="192" t="s">
        <v>1771</v>
      </c>
      <c r="C2205" s="196">
        <v>-428668.25</v>
      </c>
      <c r="D2205" s="196">
        <v>0</v>
      </c>
      <c r="E2205" s="196">
        <v>481875</v>
      </c>
      <c r="F2205" s="196">
        <v>-481875</v>
      </c>
      <c r="G2205" s="196">
        <v>-910543.25</v>
      </c>
    </row>
    <row r="2206" spans="1:7" x14ac:dyDescent="0.3">
      <c r="A2206" s="198">
        <v>811015697</v>
      </c>
      <c r="B2206" s="192" t="s">
        <v>2015</v>
      </c>
      <c r="C2206" s="196">
        <v>-41375</v>
      </c>
      <c r="D2206" s="196">
        <v>0</v>
      </c>
      <c r="E2206" s="196">
        <v>0</v>
      </c>
      <c r="F2206" s="196">
        <v>0</v>
      </c>
      <c r="G2206" s="196">
        <v>-41375</v>
      </c>
    </row>
    <row r="2207" spans="1:7" x14ac:dyDescent="0.3">
      <c r="A2207" s="198">
        <v>830011469</v>
      </c>
      <c r="B2207" s="192" t="s">
        <v>1943</v>
      </c>
      <c r="C2207" s="196">
        <v>-465500</v>
      </c>
      <c r="D2207" s="196">
        <v>0</v>
      </c>
      <c r="E2207" s="196">
        <v>158150</v>
      </c>
      <c r="F2207" s="196">
        <v>-158150</v>
      </c>
      <c r="G2207" s="196">
        <v>-623650</v>
      </c>
    </row>
    <row r="2208" spans="1:7" x14ac:dyDescent="0.3">
      <c r="A2208" s="198">
        <v>900066601</v>
      </c>
      <c r="B2208" s="192" t="s">
        <v>1949</v>
      </c>
      <c r="C2208" s="196">
        <v>-100265.02</v>
      </c>
      <c r="D2208" s="196">
        <v>36190</v>
      </c>
      <c r="E2208" s="196">
        <v>113438.76</v>
      </c>
      <c r="F2208" s="196">
        <v>-77248.759999999995</v>
      </c>
      <c r="G2208" s="196">
        <v>-177513.78</v>
      </c>
    </row>
    <row r="2209" spans="1:7" x14ac:dyDescent="0.3">
      <c r="A2209" s="198">
        <v>700215370</v>
      </c>
      <c r="B2209" s="192" t="s">
        <v>1663</v>
      </c>
      <c r="C2209" s="196">
        <v>-1406610</v>
      </c>
      <c r="D2209" s="196">
        <v>0</v>
      </c>
      <c r="E2209" s="196">
        <v>0</v>
      </c>
      <c r="F2209" s="196">
        <v>0</v>
      </c>
      <c r="G2209" s="196">
        <v>-1406610</v>
      </c>
    </row>
    <row r="2210" spans="1:7" x14ac:dyDescent="0.3">
      <c r="A2210" s="198">
        <v>900689727</v>
      </c>
      <c r="B2210" s="192" t="s">
        <v>1953</v>
      </c>
      <c r="C2210" s="196">
        <v>-696525.16</v>
      </c>
      <c r="D2210" s="196">
        <v>0</v>
      </c>
      <c r="E2210" s="196">
        <v>130290.94</v>
      </c>
      <c r="F2210" s="196">
        <v>-130290.94</v>
      </c>
      <c r="G2210" s="196">
        <v>-826816.1</v>
      </c>
    </row>
    <row r="2211" spans="1:7" x14ac:dyDescent="0.3">
      <c r="A2211" s="198">
        <v>8347349</v>
      </c>
      <c r="B2211" s="192" t="s">
        <v>1793</v>
      </c>
      <c r="C2211" s="196">
        <v>-55987.4</v>
      </c>
      <c r="D2211" s="196">
        <v>0</v>
      </c>
      <c r="E2211" s="196">
        <v>0</v>
      </c>
      <c r="F2211" s="196">
        <v>0</v>
      </c>
      <c r="G2211" s="196">
        <v>-55987.4</v>
      </c>
    </row>
    <row r="2212" spans="1:7" x14ac:dyDescent="0.3">
      <c r="A2212" s="198">
        <v>900895205</v>
      </c>
      <c r="B2212" s="192" t="s">
        <v>1665</v>
      </c>
      <c r="C2212" s="196">
        <v>-146145.48000000001</v>
      </c>
      <c r="D2212" s="196">
        <v>0</v>
      </c>
      <c r="E2212" s="196">
        <v>33850</v>
      </c>
      <c r="F2212" s="196">
        <v>-33850</v>
      </c>
      <c r="G2212" s="196">
        <v>-179995.48</v>
      </c>
    </row>
    <row r="2213" spans="1:7" x14ac:dyDescent="0.3">
      <c r="A2213" s="198">
        <v>830013731</v>
      </c>
      <c r="B2213" s="192" t="s">
        <v>1772</v>
      </c>
      <c r="C2213" s="196">
        <v>-87500</v>
      </c>
      <c r="D2213" s="196">
        <v>0</v>
      </c>
      <c r="E2213" s="196">
        <v>0</v>
      </c>
      <c r="F2213" s="196">
        <v>0</v>
      </c>
      <c r="G2213" s="196">
        <v>-87500</v>
      </c>
    </row>
    <row r="2214" spans="1:7" x14ac:dyDescent="0.3">
      <c r="A2214" s="198">
        <v>900245870</v>
      </c>
      <c r="B2214" s="192" t="s">
        <v>1958</v>
      </c>
      <c r="C2214" s="196">
        <v>-139519.98000000001</v>
      </c>
      <c r="D2214" s="196">
        <v>0</v>
      </c>
      <c r="E2214" s="196">
        <v>53803.48</v>
      </c>
      <c r="F2214" s="196">
        <v>-53803.48</v>
      </c>
      <c r="G2214" s="196">
        <v>-193323.46</v>
      </c>
    </row>
    <row r="2215" spans="1:7" x14ac:dyDescent="0.3">
      <c r="A2215" s="198">
        <v>900181068</v>
      </c>
      <c r="B2215" s="192" t="s">
        <v>1961</v>
      </c>
      <c r="C2215" s="196">
        <v>-452817.52</v>
      </c>
      <c r="D2215" s="196">
        <v>0</v>
      </c>
      <c r="E2215" s="196">
        <v>49609.75</v>
      </c>
      <c r="F2215" s="196">
        <v>-49609.75</v>
      </c>
      <c r="G2215" s="196">
        <v>-502427.27</v>
      </c>
    </row>
    <row r="2216" spans="1:7" x14ac:dyDescent="0.3">
      <c r="A2216" s="198">
        <v>830004892</v>
      </c>
      <c r="B2216" s="192" t="s">
        <v>1773</v>
      </c>
      <c r="C2216" s="196">
        <v>-180942.5</v>
      </c>
      <c r="D2216" s="196">
        <v>0</v>
      </c>
      <c r="E2216" s="196">
        <v>0</v>
      </c>
      <c r="F2216" s="196">
        <v>0</v>
      </c>
      <c r="G2216" s="196">
        <v>-180942.5</v>
      </c>
    </row>
    <row r="2217" spans="1:7" x14ac:dyDescent="0.3">
      <c r="A2217" s="198">
        <v>900494362</v>
      </c>
      <c r="B2217" s="192" t="s">
        <v>1672</v>
      </c>
      <c r="C2217" s="196">
        <v>-20733.2</v>
      </c>
      <c r="D2217" s="196">
        <v>0</v>
      </c>
      <c r="E2217" s="196">
        <v>25469.53</v>
      </c>
      <c r="F2217" s="196">
        <v>-25469.53</v>
      </c>
      <c r="G2217" s="196">
        <v>-46202.73</v>
      </c>
    </row>
    <row r="2218" spans="1:7" x14ac:dyDescent="0.3">
      <c r="A2218" s="198">
        <v>900505356</v>
      </c>
      <c r="B2218" s="192" t="s">
        <v>1968</v>
      </c>
      <c r="C2218" s="196">
        <v>-861175</v>
      </c>
      <c r="D2218" s="196">
        <v>0</v>
      </c>
      <c r="E2218" s="196">
        <v>75250</v>
      </c>
      <c r="F2218" s="196">
        <v>-75250</v>
      </c>
      <c r="G2218" s="196">
        <v>-936425</v>
      </c>
    </row>
    <row r="2219" spans="1:7" x14ac:dyDescent="0.3">
      <c r="A2219" s="198">
        <v>23654097</v>
      </c>
      <c r="B2219" s="192" t="s">
        <v>2016</v>
      </c>
      <c r="C2219" s="196">
        <v>30593000</v>
      </c>
      <c r="D2219" s="196">
        <v>1729000</v>
      </c>
      <c r="E2219" s="196">
        <v>0</v>
      </c>
      <c r="F2219" s="196">
        <v>1729000</v>
      </c>
      <c r="G2219" s="196">
        <v>32322000</v>
      </c>
    </row>
    <row r="2220" spans="1:7" x14ac:dyDescent="0.3">
      <c r="A2220" s="198">
        <v>800197268</v>
      </c>
      <c r="B2220" s="192" t="s">
        <v>1693</v>
      </c>
      <c r="C2220" s="196">
        <v>30593000</v>
      </c>
      <c r="D2220" s="196">
        <v>1729000</v>
      </c>
      <c r="E2220" s="196">
        <v>0</v>
      </c>
      <c r="F2220" s="196">
        <v>1729000</v>
      </c>
      <c r="G2220" s="196">
        <v>32322000</v>
      </c>
    </row>
    <row r="2221" spans="1:7" x14ac:dyDescent="0.3">
      <c r="A2221" s="197">
        <v>236575</v>
      </c>
      <c r="B2221" s="191" t="s">
        <v>2017</v>
      </c>
      <c r="C2221" s="195">
        <v>-16421000</v>
      </c>
      <c r="D2221" s="195">
        <v>17123000</v>
      </c>
      <c r="E2221" s="195">
        <v>18194000</v>
      </c>
      <c r="F2221" s="195">
        <v>-1071000</v>
      </c>
      <c r="G2221" s="195">
        <v>-17492000</v>
      </c>
    </row>
    <row r="2222" spans="1:7" x14ac:dyDescent="0.3">
      <c r="A2222" s="198">
        <v>23657501</v>
      </c>
      <c r="B2222" s="192" t="s">
        <v>1698</v>
      </c>
      <c r="C2222" s="196">
        <v>-16421000</v>
      </c>
      <c r="D2222" s="196">
        <v>17123000</v>
      </c>
      <c r="E2222" s="196">
        <v>18194000</v>
      </c>
      <c r="F2222" s="196">
        <v>-1071000</v>
      </c>
      <c r="G2222" s="196">
        <v>-17492000</v>
      </c>
    </row>
    <row r="2223" spans="1:7" x14ac:dyDescent="0.3">
      <c r="A2223" s="198">
        <v>900755062</v>
      </c>
      <c r="B2223" s="192" t="s">
        <v>1700</v>
      </c>
      <c r="C2223" s="196">
        <v>-97422000</v>
      </c>
      <c r="D2223" s="196">
        <v>0</v>
      </c>
      <c r="E2223" s="196">
        <v>18194000</v>
      </c>
      <c r="F2223" s="196">
        <v>-18194000</v>
      </c>
      <c r="G2223" s="196">
        <v>-115616000</v>
      </c>
    </row>
    <row r="2224" spans="1:7" x14ac:dyDescent="0.3">
      <c r="A2224" s="198">
        <v>800197268</v>
      </c>
      <c r="B2224" s="192" t="s">
        <v>1693</v>
      </c>
      <c r="C2224" s="196">
        <v>81001000</v>
      </c>
      <c r="D2224" s="196">
        <v>17123000</v>
      </c>
      <c r="E2224" s="196">
        <v>0</v>
      </c>
      <c r="F2224" s="196">
        <v>17123000</v>
      </c>
      <c r="G2224" s="196">
        <v>98124000</v>
      </c>
    </row>
    <row r="2225" spans="1:7" x14ac:dyDescent="0.3">
      <c r="A2225" s="197">
        <v>2367</v>
      </c>
      <c r="B2225" s="191" t="s">
        <v>2018</v>
      </c>
      <c r="C2225" s="195">
        <v>-1330374.76</v>
      </c>
      <c r="D2225" s="195">
        <v>1221000</v>
      </c>
      <c r="E2225" s="195">
        <v>1044645.76</v>
      </c>
      <c r="F2225" s="195">
        <v>176354.24</v>
      </c>
      <c r="G2225" s="195">
        <v>-1154020.52</v>
      </c>
    </row>
    <row r="2226" spans="1:7" x14ac:dyDescent="0.3">
      <c r="A2226" s="197">
        <v>236705</v>
      </c>
      <c r="B2226" s="191" t="s">
        <v>2019</v>
      </c>
      <c r="C2226" s="195">
        <v>-5070717.6900000004</v>
      </c>
      <c r="D2226" s="195">
        <v>0</v>
      </c>
      <c r="E2226" s="195">
        <v>1009447.01</v>
      </c>
      <c r="F2226" s="195">
        <v>-1009447.01</v>
      </c>
      <c r="G2226" s="195">
        <v>-6080164.7000000002</v>
      </c>
    </row>
    <row r="2227" spans="1:7" x14ac:dyDescent="0.3">
      <c r="A2227" s="198">
        <v>23670503</v>
      </c>
      <c r="B2227" s="192" t="s">
        <v>2020</v>
      </c>
      <c r="C2227" s="196">
        <v>-5070717.6900000004</v>
      </c>
      <c r="D2227" s="196">
        <v>0</v>
      </c>
      <c r="E2227" s="196">
        <v>1009447.01</v>
      </c>
      <c r="F2227" s="196">
        <v>-1009447.01</v>
      </c>
      <c r="G2227" s="196">
        <v>-6080164.7000000002</v>
      </c>
    </row>
    <row r="2228" spans="1:7" x14ac:dyDescent="0.3">
      <c r="A2228" s="198">
        <v>12604950</v>
      </c>
      <c r="B2228" s="192" t="s">
        <v>1626</v>
      </c>
      <c r="C2228" s="196">
        <v>-5070717.6900000004</v>
      </c>
      <c r="D2228" s="196">
        <v>0</v>
      </c>
      <c r="E2228" s="196">
        <v>1009447.01</v>
      </c>
      <c r="F2228" s="196">
        <v>-1009447.01</v>
      </c>
      <c r="G2228" s="196">
        <v>-6080164.7000000002</v>
      </c>
    </row>
    <row r="2229" spans="1:7" x14ac:dyDescent="0.3">
      <c r="A2229" s="197">
        <v>236710</v>
      </c>
      <c r="B2229" s="191" t="s">
        <v>2021</v>
      </c>
      <c r="C2229" s="195">
        <v>-1883657.07</v>
      </c>
      <c r="D2229" s="195">
        <v>0</v>
      </c>
      <c r="E2229" s="195">
        <v>35198.75</v>
      </c>
      <c r="F2229" s="195">
        <v>-35198.75</v>
      </c>
      <c r="G2229" s="195">
        <v>-1918855.82</v>
      </c>
    </row>
    <row r="2230" spans="1:7" x14ac:dyDescent="0.3">
      <c r="A2230" s="198">
        <v>23671001</v>
      </c>
      <c r="B2230" s="192" t="s">
        <v>2022</v>
      </c>
      <c r="C2230" s="196">
        <v>-1883657.07</v>
      </c>
      <c r="D2230" s="196">
        <v>0</v>
      </c>
      <c r="E2230" s="196">
        <v>35198.75</v>
      </c>
      <c r="F2230" s="196">
        <v>-35198.75</v>
      </c>
      <c r="G2230" s="196">
        <v>-1918855.82</v>
      </c>
    </row>
    <row r="2231" spans="1:7" x14ac:dyDescent="0.3">
      <c r="A2231" s="198">
        <v>12604950</v>
      </c>
      <c r="B2231" s="192" t="s">
        <v>1626</v>
      </c>
      <c r="C2231" s="196">
        <v>-1113643.01</v>
      </c>
      <c r="D2231" s="196">
        <v>0</v>
      </c>
      <c r="E2231" s="196">
        <v>0</v>
      </c>
      <c r="F2231" s="196">
        <v>0</v>
      </c>
      <c r="G2231" s="196">
        <v>-1113643.01</v>
      </c>
    </row>
    <row r="2232" spans="1:7" x14ac:dyDescent="0.3">
      <c r="A2232" s="198">
        <v>900740595</v>
      </c>
      <c r="B2232" s="192" t="s">
        <v>1630</v>
      </c>
      <c r="C2232" s="196">
        <v>-57000</v>
      </c>
      <c r="D2232" s="196">
        <v>0</v>
      </c>
      <c r="E2232" s="196">
        <v>16285.72</v>
      </c>
      <c r="F2232" s="196">
        <v>-16285.72</v>
      </c>
      <c r="G2232" s="196">
        <v>-73285.72</v>
      </c>
    </row>
    <row r="2233" spans="1:7" x14ac:dyDescent="0.3">
      <c r="A2233" s="198">
        <v>901872782</v>
      </c>
      <c r="B2233" s="192" t="s">
        <v>2023</v>
      </c>
      <c r="C2233" s="196">
        <v>-299.25</v>
      </c>
      <c r="D2233" s="196">
        <v>0</v>
      </c>
      <c r="E2233" s="196">
        <v>0</v>
      </c>
      <c r="F2233" s="196">
        <v>0</v>
      </c>
      <c r="G2233" s="196">
        <v>-299.25</v>
      </c>
    </row>
    <row r="2234" spans="1:7" x14ac:dyDescent="0.3">
      <c r="A2234" s="198">
        <v>900298420</v>
      </c>
      <c r="B2234" s="192" t="s">
        <v>1637</v>
      </c>
      <c r="C2234" s="196">
        <v>-373830.71</v>
      </c>
      <c r="D2234" s="196">
        <v>0</v>
      </c>
      <c r="E2234" s="196">
        <v>4502.57</v>
      </c>
      <c r="F2234" s="196">
        <v>-4502.57</v>
      </c>
      <c r="G2234" s="196">
        <v>-378333.28</v>
      </c>
    </row>
    <row r="2235" spans="1:7" x14ac:dyDescent="0.3">
      <c r="A2235" s="198">
        <v>901578799</v>
      </c>
      <c r="B2235" s="192" t="s">
        <v>1658</v>
      </c>
      <c r="C2235" s="196">
        <v>-286881</v>
      </c>
      <c r="D2235" s="196">
        <v>0</v>
      </c>
      <c r="E2235" s="196">
        <v>12255</v>
      </c>
      <c r="F2235" s="196">
        <v>-12255</v>
      </c>
      <c r="G2235" s="196">
        <v>-299136</v>
      </c>
    </row>
    <row r="2236" spans="1:7" x14ac:dyDescent="0.3">
      <c r="A2236" s="198">
        <v>901095797</v>
      </c>
      <c r="B2236" s="192" t="s">
        <v>1957</v>
      </c>
      <c r="C2236" s="196">
        <v>-52003.1</v>
      </c>
      <c r="D2236" s="196">
        <v>0</v>
      </c>
      <c r="E2236" s="196">
        <v>2155.46</v>
      </c>
      <c r="F2236" s="196">
        <v>-2155.46</v>
      </c>
      <c r="G2236" s="196">
        <v>-54158.559999999998</v>
      </c>
    </row>
    <row r="2237" spans="1:7" x14ac:dyDescent="0.3">
      <c r="A2237" s="197">
        <v>236795</v>
      </c>
      <c r="B2237" s="191" t="s">
        <v>2024</v>
      </c>
      <c r="C2237" s="195">
        <v>5624000</v>
      </c>
      <c r="D2237" s="195">
        <v>1221000</v>
      </c>
      <c r="E2237" s="195">
        <v>0</v>
      </c>
      <c r="F2237" s="195">
        <v>1221000</v>
      </c>
      <c r="G2237" s="195">
        <v>6845000</v>
      </c>
    </row>
    <row r="2238" spans="1:7" x14ac:dyDescent="0.3">
      <c r="A2238" s="198">
        <v>23679501</v>
      </c>
      <c r="B2238" s="192" t="s">
        <v>2024</v>
      </c>
      <c r="C2238" s="196">
        <v>5624000</v>
      </c>
      <c r="D2238" s="196">
        <v>1221000</v>
      </c>
      <c r="E2238" s="196">
        <v>0</v>
      </c>
      <c r="F2238" s="196">
        <v>1221000</v>
      </c>
      <c r="G2238" s="196">
        <v>6845000</v>
      </c>
    </row>
    <row r="2239" spans="1:7" x14ac:dyDescent="0.3">
      <c r="A2239" s="198">
        <v>800197268</v>
      </c>
      <c r="B2239" s="192" t="s">
        <v>1693</v>
      </c>
      <c r="C2239" s="196">
        <v>5624000</v>
      </c>
      <c r="D2239" s="196">
        <v>1221000</v>
      </c>
      <c r="E2239" s="196">
        <v>0</v>
      </c>
      <c r="F2239" s="196">
        <v>1221000</v>
      </c>
      <c r="G2239" s="196">
        <v>6845000</v>
      </c>
    </row>
    <row r="2240" spans="1:7" x14ac:dyDescent="0.3">
      <c r="A2240" s="197">
        <v>2370</v>
      </c>
      <c r="B2240" s="191" t="s">
        <v>2025</v>
      </c>
      <c r="C2240" s="195">
        <v>-11406769.689999999</v>
      </c>
      <c r="D2240" s="195">
        <v>2139981</v>
      </c>
      <c r="E2240" s="195">
        <v>17716857</v>
      </c>
      <c r="F2240" s="195">
        <v>-15576876</v>
      </c>
      <c r="G2240" s="195">
        <v>-26983645.690000001</v>
      </c>
    </row>
    <row r="2241" spans="1:7" x14ac:dyDescent="0.3">
      <c r="A2241" s="197">
        <v>237005</v>
      </c>
      <c r="B2241" s="191" t="s">
        <v>2026</v>
      </c>
      <c r="C2241" s="195">
        <v>-3510676.68</v>
      </c>
      <c r="D2241" s="195">
        <v>900</v>
      </c>
      <c r="E2241" s="195">
        <v>6910811</v>
      </c>
      <c r="F2241" s="195">
        <v>-6909911</v>
      </c>
      <c r="G2241" s="195">
        <v>-10420587.68</v>
      </c>
    </row>
    <row r="2242" spans="1:7" x14ac:dyDescent="0.3">
      <c r="A2242" s="198">
        <v>23700501</v>
      </c>
      <c r="B2242" s="192" t="s">
        <v>2027</v>
      </c>
      <c r="C2242" s="196">
        <v>-4336096.68</v>
      </c>
      <c r="D2242" s="196">
        <v>900</v>
      </c>
      <c r="E2242" s="196">
        <v>6910811</v>
      </c>
      <c r="F2242" s="196">
        <v>-6909911</v>
      </c>
      <c r="G2242" s="196">
        <v>-11246007.68</v>
      </c>
    </row>
    <row r="2243" spans="1:7" x14ac:dyDescent="0.3">
      <c r="A2243" s="198">
        <v>31948684</v>
      </c>
      <c r="B2243" s="192" t="s">
        <v>165</v>
      </c>
      <c r="C2243" s="196">
        <v>-6154107</v>
      </c>
      <c r="D2243" s="196">
        <v>0</v>
      </c>
      <c r="E2243" s="196">
        <v>0</v>
      </c>
      <c r="F2243" s="196">
        <v>0</v>
      </c>
      <c r="G2243" s="196">
        <v>-6154107</v>
      </c>
    </row>
    <row r="2244" spans="1:7" x14ac:dyDescent="0.3">
      <c r="A2244" s="198">
        <v>43685485</v>
      </c>
      <c r="B2244" s="192" t="s">
        <v>2028</v>
      </c>
      <c r="C2244" s="196">
        <v>-440000</v>
      </c>
      <c r="D2244" s="196">
        <v>0</v>
      </c>
      <c r="E2244" s="196">
        <v>0</v>
      </c>
      <c r="F2244" s="196">
        <v>0</v>
      </c>
      <c r="G2244" s="196">
        <v>-440000</v>
      </c>
    </row>
    <row r="2245" spans="1:7" x14ac:dyDescent="0.3">
      <c r="A2245" s="198">
        <v>32391236</v>
      </c>
      <c r="B2245" s="192" t="s">
        <v>2029</v>
      </c>
      <c r="C2245" s="196">
        <v>-720000</v>
      </c>
      <c r="D2245" s="196">
        <v>0</v>
      </c>
      <c r="E2245" s="196">
        <v>0</v>
      </c>
      <c r="F2245" s="196">
        <v>0</v>
      </c>
      <c r="G2245" s="196">
        <v>-720000</v>
      </c>
    </row>
    <row r="2246" spans="1:7" x14ac:dyDescent="0.3">
      <c r="A2246" s="198">
        <v>1037644962</v>
      </c>
      <c r="B2246" s="192" t="s">
        <v>260</v>
      </c>
      <c r="C2246" s="196">
        <v>-894010</v>
      </c>
      <c r="D2246" s="196">
        <v>0</v>
      </c>
      <c r="E2246" s="196">
        <v>0</v>
      </c>
      <c r="F2246" s="196">
        <v>0</v>
      </c>
      <c r="G2246" s="196">
        <v>-894010</v>
      </c>
    </row>
    <row r="2247" spans="1:7" x14ac:dyDescent="0.3">
      <c r="A2247" s="198">
        <v>1193166396</v>
      </c>
      <c r="B2247" s="192" t="s">
        <v>1625</v>
      </c>
      <c r="C2247" s="196">
        <v>-3194657</v>
      </c>
      <c r="D2247" s="196">
        <v>0</v>
      </c>
      <c r="E2247" s="196">
        <v>0</v>
      </c>
      <c r="F2247" s="196">
        <v>0</v>
      </c>
      <c r="G2247" s="196">
        <v>-3194657</v>
      </c>
    </row>
    <row r="2248" spans="1:7" x14ac:dyDescent="0.3">
      <c r="A2248" s="198">
        <v>1020423981</v>
      </c>
      <c r="B2248" s="192" t="s">
        <v>2030</v>
      </c>
      <c r="C2248" s="196">
        <v>-1389358</v>
      </c>
      <c r="D2248" s="196">
        <v>0</v>
      </c>
      <c r="E2248" s="196">
        <v>0</v>
      </c>
      <c r="F2248" s="196">
        <v>0</v>
      </c>
      <c r="G2248" s="196">
        <v>-1389358</v>
      </c>
    </row>
    <row r="2249" spans="1:7" x14ac:dyDescent="0.3">
      <c r="A2249" s="198">
        <v>1152689568</v>
      </c>
      <c r="B2249" s="192" t="s">
        <v>1705</v>
      </c>
      <c r="C2249" s="196">
        <v>-1612086</v>
      </c>
      <c r="D2249" s="196">
        <v>0</v>
      </c>
      <c r="E2249" s="196">
        <v>0</v>
      </c>
      <c r="F2249" s="196">
        <v>0</v>
      </c>
      <c r="G2249" s="196">
        <v>-1612086</v>
      </c>
    </row>
    <row r="2250" spans="1:7" x14ac:dyDescent="0.3">
      <c r="A2250" s="198">
        <v>1037266322</v>
      </c>
      <c r="B2250" s="192" t="s">
        <v>2031</v>
      </c>
      <c r="C2250" s="196">
        <v>-457933</v>
      </c>
      <c r="D2250" s="196">
        <v>0</v>
      </c>
      <c r="E2250" s="196">
        <v>0</v>
      </c>
      <c r="F2250" s="196">
        <v>0</v>
      </c>
      <c r="G2250" s="196">
        <v>-457933</v>
      </c>
    </row>
    <row r="2251" spans="1:7" x14ac:dyDescent="0.3">
      <c r="A2251" s="198">
        <v>32144343</v>
      </c>
      <c r="B2251" s="192" t="s">
        <v>1706</v>
      </c>
      <c r="C2251" s="196">
        <v>-932697</v>
      </c>
      <c r="D2251" s="196">
        <v>0</v>
      </c>
      <c r="E2251" s="196">
        <v>0</v>
      </c>
      <c r="F2251" s="196">
        <v>0</v>
      </c>
      <c r="G2251" s="196">
        <v>-932697</v>
      </c>
    </row>
    <row r="2252" spans="1:7" x14ac:dyDescent="0.3">
      <c r="A2252" s="198">
        <v>800088702</v>
      </c>
      <c r="B2252" s="192" t="s">
        <v>2032</v>
      </c>
      <c r="C2252" s="196">
        <v>62387222.32</v>
      </c>
      <c r="D2252" s="196">
        <v>900</v>
      </c>
      <c r="E2252" s="196">
        <v>6441811</v>
      </c>
      <c r="F2252" s="196">
        <v>-6440911</v>
      </c>
      <c r="G2252" s="196">
        <v>55946311.32</v>
      </c>
    </row>
    <row r="2253" spans="1:7" x14ac:dyDescent="0.3">
      <c r="A2253" s="198">
        <v>1037583982</v>
      </c>
      <c r="B2253" s="192" t="s">
        <v>1798</v>
      </c>
      <c r="C2253" s="196">
        <v>-2419198</v>
      </c>
      <c r="D2253" s="196">
        <v>0</v>
      </c>
      <c r="E2253" s="196">
        <v>0</v>
      </c>
      <c r="F2253" s="196">
        <v>0</v>
      </c>
      <c r="G2253" s="196">
        <v>-2419198</v>
      </c>
    </row>
    <row r="2254" spans="1:7" x14ac:dyDescent="0.3">
      <c r="A2254" s="198">
        <v>1017266622</v>
      </c>
      <c r="B2254" s="192" t="s">
        <v>1707</v>
      </c>
      <c r="C2254" s="196">
        <v>-1694678</v>
      </c>
      <c r="D2254" s="196">
        <v>0</v>
      </c>
      <c r="E2254" s="196">
        <v>0</v>
      </c>
      <c r="F2254" s="196">
        <v>0</v>
      </c>
      <c r="G2254" s="196">
        <v>-1694678</v>
      </c>
    </row>
    <row r="2255" spans="1:7" x14ac:dyDescent="0.3">
      <c r="A2255" s="198">
        <v>1041229735</v>
      </c>
      <c r="B2255" s="192" t="s">
        <v>2033</v>
      </c>
      <c r="C2255" s="196">
        <v>-1173002</v>
      </c>
      <c r="D2255" s="196">
        <v>0</v>
      </c>
      <c r="E2255" s="196">
        <v>0</v>
      </c>
      <c r="F2255" s="196">
        <v>0</v>
      </c>
      <c r="G2255" s="196">
        <v>-1173002</v>
      </c>
    </row>
    <row r="2256" spans="1:7" x14ac:dyDescent="0.3">
      <c r="A2256" s="198">
        <v>1036641303</v>
      </c>
      <c r="B2256" s="192" t="s">
        <v>2034</v>
      </c>
      <c r="C2256" s="196">
        <v>-1448053</v>
      </c>
      <c r="D2256" s="196">
        <v>0</v>
      </c>
      <c r="E2256" s="196">
        <v>0</v>
      </c>
      <c r="F2256" s="196">
        <v>0</v>
      </c>
      <c r="G2256" s="196">
        <v>-1448053</v>
      </c>
    </row>
    <row r="2257" spans="1:7" x14ac:dyDescent="0.3">
      <c r="A2257" s="198">
        <v>1037570707</v>
      </c>
      <c r="B2257" s="192" t="s">
        <v>1677</v>
      </c>
      <c r="C2257" s="196">
        <v>-1355178</v>
      </c>
      <c r="D2257" s="196">
        <v>0</v>
      </c>
      <c r="E2257" s="196">
        <v>0</v>
      </c>
      <c r="F2257" s="196">
        <v>0</v>
      </c>
      <c r="G2257" s="196">
        <v>-1355178</v>
      </c>
    </row>
    <row r="2258" spans="1:7" x14ac:dyDescent="0.3">
      <c r="A2258" s="198">
        <v>3901013</v>
      </c>
      <c r="B2258" s="192" t="s">
        <v>1709</v>
      </c>
      <c r="C2258" s="196">
        <v>-3696567</v>
      </c>
      <c r="D2258" s="196">
        <v>0</v>
      </c>
      <c r="E2258" s="196">
        <v>0</v>
      </c>
      <c r="F2258" s="196">
        <v>0</v>
      </c>
      <c r="G2258" s="196">
        <v>-3696567</v>
      </c>
    </row>
    <row r="2259" spans="1:7" x14ac:dyDescent="0.3">
      <c r="A2259" s="198">
        <v>800251440</v>
      </c>
      <c r="B2259" s="192" t="s">
        <v>2035</v>
      </c>
      <c r="C2259" s="196">
        <v>-531700</v>
      </c>
      <c r="D2259" s="196">
        <v>0</v>
      </c>
      <c r="E2259" s="196">
        <v>175800</v>
      </c>
      <c r="F2259" s="196">
        <v>-175800</v>
      </c>
      <c r="G2259" s="196">
        <v>-707500</v>
      </c>
    </row>
    <row r="2260" spans="1:7" x14ac:dyDescent="0.3">
      <c r="A2260" s="198">
        <v>1216716838</v>
      </c>
      <c r="B2260" s="192" t="s">
        <v>2036</v>
      </c>
      <c r="C2260" s="196">
        <v>-1025600</v>
      </c>
      <c r="D2260" s="196">
        <v>0</v>
      </c>
      <c r="E2260" s="196">
        <v>0</v>
      </c>
      <c r="F2260" s="196">
        <v>0</v>
      </c>
      <c r="G2260" s="196">
        <v>-1025600</v>
      </c>
    </row>
    <row r="2261" spans="1:7" x14ac:dyDescent="0.3">
      <c r="A2261" s="198">
        <v>43605890</v>
      </c>
      <c r="B2261" s="192" t="s">
        <v>565</v>
      </c>
      <c r="C2261" s="196">
        <v>-2910250</v>
      </c>
      <c r="D2261" s="196">
        <v>0</v>
      </c>
      <c r="E2261" s="196">
        <v>0</v>
      </c>
      <c r="F2261" s="196">
        <v>0</v>
      </c>
      <c r="G2261" s="196">
        <v>-2910250</v>
      </c>
    </row>
    <row r="2262" spans="1:7" x14ac:dyDescent="0.3">
      <c r="A2262" s="198">
        <v>71526513</v>
      </c>
      <c r="B2262" s="192" t="s">
        <v>1643</v>
      </c>
      <c r="C2262" s="196">
        <v>-2050517</v>
      </c>
      <c r="D2262" s="196">
        <v>0</v>
      </c>
      <c r="E2262" s="196">
        <v>0</v>
      </c>
      <c r="F2262" s="196">
        <v>0</v>
      </c>
      <c r="G2262" s="196">
        <v>-2050517</v>
      </c>
    </row>
    <row r="2263" spans="1:7" x14ac:dyDescent="0.3">
      <c r="A2263" s="198">
        <v>1042458852</v>
      </c>
      <c r="B2263" s="192" t="s">
        <v>1711</v>
      </c>
      <c r="C2263" s="196">
        <v>-2857867</v>
      </c>
      <c r="D2263" s="196">
        <v>0</v>
      </c>
      <c r="E2263" s="196">
        <v>0</v>
      </c>
      <c r="F2263" s="196">
        <v>0</v>
      </c>
      <c r="G2263" s="196">
        <v>-2857867</v>
      </c>
    </row>
    <row r="2264" spans="1:7" x14ac:dyDescent="0.3">
      <c r="A2264" s="198">
        <v>1093744869</v>
      </c>
      <c r="B2264" s="192" t="s">
        <v>1906</v>
      </c>
      <c r="C2264" s="196">
        <v>-358722</v>
      </c>
      <c r="D2264" s="196">
        <v>0</v>
      </c>
      <c r="E2264" s="196">
        <v>0</v>
      </c>
      <c r="F2264" s="196">
        <v>0</v>
      </c>
      <c r="G2264" s="196">
        <v>-358722</v>
      </c>
    </row>
    <row r="2265" spans="1:7" x14ac:dyDescent="0.3">
      <c r="A2265" s="198">
        <v>1007551247</v>
      </c>
      <c r="B2265" s="192" t="s">
        <v>1712</v>
      </c>
      <c r="C2265" s="196">
        <v>-1249245</v>
      </c>
      <c r="D2265" s="196">
        <v>0</v>
      </c>
      <c r="E2265" s="196">
        <v>0</v>
      </c>
      <c r="F2265" s="196">
        <v>0</v>
      </c>
      <c r="G2265" s="196">
        <v>-1249245</v>
      </c>
    </row>
    <row r="2266" spans="1:7" x14ac:dyDescent="0.3">
      <c r="A2266" s="198">
        <v>1017133284</v>
      </c>
      <c r="B2266" s="192" t="s">
        <v>2037</v>
      </c>
      <c r="C2266" s="196">
        <v>-177336</v>
      </c>
      <c r="D2266" s="196">
        <v>0</v>
      </c>
      <c r="E2266" s="196">
        <v>0</v>
      </c>
      <c r="F2266" s="196">
        <v>0</v>
      </c>
      <c r="G2266" s="196">
        <v>-177336</v>
      </c>
    </row>
    <row r="2267" spans="1:7" x14ac:dyDescent="0.3">
      <c r="A2267" s="198">
        <v>1127953609</v>
      </c>
      <c r="B2267" s="192" t="s">
        <v>2038</v>
      </c>
      <c r="C2267" s="196">
        <v>-150788</v>
      </c>
      <c r="D2267" s="196">
        <v>0</v>
      </c>
      <c r="E2267" s="196">
        <v>0</v>
      </c>
      <c r="F2267" s="196">
        <v>0</v>
      </c>
      <c r="G2267" s="196">
        <v>-150788</v>
      </c>
    </row>
    <row r="2268" spans="1:7" x14ac:dyDescent="0.3">
      <c r="A2268" s="198">
        <v>1152440998</v>
      </c>
      <c r="B2268" s="192" t="s">
        <v>2039</v>
      </c>
      <c r="C2268" s="196">
        <v>-1559077</v>
      </c>
      <c r="D2268" s="196">
        <v>0</v>
      </c>
      <c r="E2268" s="196">
        <v>0</v>
      </c>
      <c r="F2268" s="196">
        <v>0</v>
      </c>
      <c r="G2268" s="196">
        <v>-1559077</v>
      </c>
    </row>
    <row r="2269" spans="1:7" x14ac:dyDescent="0.3">
      <c r="A2269" s="198">
        <v>1020436418</v>
      </c>
      <c r="B2269" s="192" t="s">
        <v>2040</v>
      </c>
      <c r="C2269" s="196">
        <v>-106400</v>
      </c>
      <c r="D2269" s="196">
        <v>0</v>
      </c>
      <c r="E2269" s="196">
        <v>0</v>
      </c>
      <c r="F2269" s="196">
        <v>0</v>
      </c>
      <c r="G2269" s="196">
        <v>-106400</v>
      </c>
    </row>
    <row r="2270" spans="1:7" x14ac:dyDescent="0.3">
      <c r="A2270" s="198">
        <v>1144039609</v>
      </c>
      <c r="B2270" s="192" t="s">
        <v>2041</v>
      </c>
      <c r="C2270" s="196">
        <v>-463279</v>
      </c>
      <c r="D2270" s="196">
        <v>0</v>
      </c>
      <c r="E2270" s="196">
        <v>0</v>
      </c>
      <c r="F2270" s="196">
        <v>0</v>
      </c>
      <c r="G2270" s="196">
        <v>-463279</v>
      </c>
    </row>
    <row r="2271" spans="1:7" x14ac:dyDescent="0.3">
      <c r="A2271" s="198">
        <v>1216723387</v>
      </c>
      <c r="B2271" s="192" t="s">
        <v>1713</v>
      </c>
      <c r="C2271" s="196">
        <v>-1780997</v>
      </c>
      <c r="D2271" s="196">
        <v>0</v>
      </c>
      <c r="E2271" s="196">
        <v>0</v>
      </c>
      <c r="F2271" s="196">
        <v>0</v>
      </c>
      <c r="G2271" s="196">
        <v>-1780997</v>
      </c>
    </row>
    <row r="2272" spans="1:7" x14ac:dyDescent="0.3">
      <c r="A2272" s="198">
        <v>1040752245</v>
      </c>
      <c r="B2272" s="192" t="s">
        <v>1678</v>
      </c>
      <c r="C2272" s="196">
        <v>-1255434</v>
      </c>
      <c r="D2272" s="196">
        <v>0</v>
      </c>
      <c r="E2272" s="196">
        <v>0</v>
      </c>
      <c r="F2272" s="196">
        <v>0</v>
      </c>
      <c r="G2272" s="196">
        <v>-1255434</v>
      </c>
    </row>
    <row r="2273" spans="1:7" x14ac:dyDescent="0.3">
      <c r="A2273" s="198">
        <v>1037636353</v>
      </c>
      <c r="B2273" s="192" t="s">
        <v>2042</v>
      </c>
      <c r="C2273" s="196">
        <v>-486400</v>
      </c>
      <c r="D2273" s="196">
        <v>0</v>
      </c>
      <c r="E2273" s="196">
        <v>0</v>
      </c>
      <c r="F2273" s="196">
        <v>0</v>
      </c>
      <c r="G2273" s="196">
        <v>-486400</v>
      </c>
    </row>
    <row r="2274" spans="1:7" x14ac:dyDescent="0.3">
      <c r="A2274" s="198">
        <v>6549128</v>
      </c>
      <c r="B2274" s="192" t="s">
        <v>2043</v>
      </c>
      <c r="C2274" s="196">
        <v>-2000000</v>
      </c>
      <c r="D2274" s="196">
        <v>0</v>
      </c>
      <c r="E2274" s="196">
        <v>0</v>
      </c>
      <c r="F2274" s="196">
        <v>0</v>
      </c>
      <c r="G2274" s="196">
        <v>-2000000</v>
      </c>
    </row>
    <row r="2275" spans="1:7" x14ac:dyDescent="0.3">
      <c r="A2275" s="198">
        <v>1128385262</v>
      </c>
      <c r="B2275" s="192" t="s">
        <v>1714</v>
      </c>
      <c r="C2275" s="196">
        <v>-824478</v>
      </c>
      <c r="D2275" s="196">
        <v>0</v>
      </c>
      <c r="E2275" s="196">
        <v>0</v>
      </c>
      <c r="F2275" s="196">
        <v>0</v>
      </c>
      <c r="G2275" s="196">
        <v>-824478</v>
      </c>
    </row>
    <row r="2276" spans="1:7" x14ac:dyDescent="0.3">
      <c r="A2276" s="198">
        <v>1000646763</v>
      </c>
      <c r="B2276" s="192" t="s">
        <v>2044</v>
      </c>
      <c r="C2276" s="196">
        <v>-1673148</v>
      </c>
      <c r="D2276" s="196">
        <v>0</v>
      </c>
      <c r="E2276" s="196">
        <v>0</v>
      </c>
      <c r="F2276" s="196">
        <v>0</v>
      </c>
      <c r="G2276" s="196">
        <v>-1673148</v>
      </c>
    </row>
    <row r="2277" spans="1:7" x14ac:dyDescent="0.3">
      <c r="A2277" s="198">
        <v>32554996</v>
      </c>
      <c r="B2277" s="192" t="s">
        <v>2045</v>
      </c>
      <c r="C2277" s="196">
        <v>-19200</v>
      </c>
      <c r="D2277" s="196">
        <v>0</v>
      </c>
      <c r="E2277" s="196">
        <v>0</v>
      </c>
      <c r="F2277" s="196">
        <v>0</v>
      </c>
      <c r="G2277" s="196">
        <v>-19200</v>
      </c>
    </row>
    <row r="2278" spans="1:7" x14ac:dyDescent="0.3">
      <c r="A2278" s="198">
        <v>1026158953</v>
      </c>
      <c r="B2278" s="192" t="s">
        <v>2046</v>
      </c>
      <c r="C2278" s="196">
        <v>-290000</v>
      </c>
      <c r="D2278" s="196">
        <v>0</v>
      </c>
      <c r="E2278" s="196">
        <v>0</v>
      </c>
      <c r="F2278" s="196">
        <v>0</v>
      </c>
      <c r="G2278" s="196">
        <v>-290000</v>
      </c>
    </row>
    <row r="2279" spans="1:7" x14ac:dyDescent="0.3">
      <c r="A2279" s="198">
        <v>1035858442</v>
      </c>
      <c r="B2279" s="192" t="s">
        <v>1927</v>
      </c>
      <c r="C2279" s="196">
        <v>-1517053</v>
      </c>
      <c r="D2279" s="196">
        <v>0</v>
      </c>
      <c r="E2279" s="196">
        <v>0</v>
      </c>
      <c r="F2279" s="196">
        <v>0</v>
      </c>
      <c r="G2279" s="196">
        <v>-1517053</v>
      </c>
    </row>
    <row r="2280" spans="1:7" x14ac:dyDescent="0.3">
      <c r="A2280" s="198">
        <v>1036639954</v>
      </c>
      <c r="B2280" s="192" t="s">
        <v>2047</v>
      </c>
      <c r="C2280" s="196">
        <v>-382765</v>
      </c>
      <c r="D2280" s="196">
        <v>0</v>
      </c>
      <c r="E2280" s="196">
        <v>0</v>
      </c>
      <c r="F2280" s="196">
        <v>0</v>
      </c>
      <c r="G2280" s="196">
        <v>-382765</v>
      </c>
    </row>
    <row r="2281" spans="1:7" x14ac:dyDescent="0.3">
      <c r="A2281" s="198">
        <v>43843451</v>
      </c>
      <c r="B2281" s="192" t="s">
        <v>2048</v>
      </c>
      <c r="C2281" s="196">
        <v>-512728</v>
      </c>
      <c r="D2281" s="196">
        <v>0</v>
      </c>
      <c r="E2281" s="196">
        <v>0</v>
      </c>
      <c r="F2281" s="196">
        <v>0</v>
      </c>
      <c r="G2281" s="196">
        <v>-512728</v>
      </c>
    </row>
    <row r="2282" spans="1:7" x14ac:dyDescent="0.3">
      <c r="A2282" s="198">
        <v>1027740123</v>
      </c>
      <c r="B2282" s="192" t="s">
        <v>1928</v>
      </c>
      <c r="C2282" s="196">
        <v>-883918</v>
      </c>
      <c r="D2282" s="196">
        <v>0</v>
      </c>
      <c r="E2282" s="196">
        <v>0</v>
      </c>
      <c r="F2282" s="196">
        <v>0</v>
      </c>
      <c r="G2282" s="196">
        <v>-883918</v>
      </c>
    </row>
    <row r="2283" spans="1:7" x14ac:dyDescent="0.3">
      <c r="A2283" s="198">
        <v>43256222</v>
      </c>
      <c r="B2283" s="192" t="s">
        <v>2049</v>
      </c>
      <c r="C2283" s="196">
        <v>-39400</v>
      </c>
      <c r="D2283" s="196">
        <v>0</v>
      </c>
      <c r="E2283" s="196">
        <v>0</v>
      </c>
      <c r="F2283" s="196">
        <v>0</v>
      </c>
      <c r="G2283" s="196">
        <v>-39400</v>
      </c>
    </row>
    <row r="2284" spans="1:7" x14ac:dyDescent="0.3">
      <c r="A2284" s="198">
        <v>1017284611</v>
      </c>
      <c r="B2284" s="192" t="s">
        <v>1715</v>
      </c>
      <c r="C2284" s="196">
        <v>-1088938</v>
      </c>
      <c r="D2284" s="196">
        <v>0</v>
      </c>
      <c r="E2284" s="196">
        <v>0</v>
      </c>
      <c r="F2284" s="196">
        <v>0</v>
      </c>
      <c r="G2284" s="196">
        <v>-1088938</v>
      </c>
    </row>
    <row r="2285" spans="1:7" x14ac:dyDescent="0.3">
      <c r="A2285" s="198">
        <v>1127941794</v>
      </c>
      <c r="B2285" s="192" t="s">
        <v>1274</v>
      </c>
      <c r="C2285" s="196">
        <v>-432000</v>
      </c>
      <c r="D2285" s="196">
        <v>0</v>
      </c>
      <c r="E2285" s="196">
        <v>0</v>
      </c>
      <c r="F2285" s="196">
        <v>0</v>
      </c>
      <c r="G2285" s="196">
        <v>-432000</v>
      </c>
    </row>
    <row r="2286" spans="1:7" x14ac:dyDescent="0.3">
      <c r="A2286" s="198">
        <v>1214732527</v>
      </c>
      <c r="B2286" s="192" t="s">
        <v>1983</v>
      </c>
      <c r="C2286" s="196">
        <v>-2249457</v>
      </c>
      <c r="D2286" s="196">
        <v>0</v>
      </c>
      <c r="E2286" s="196">
        <v>0</v>
      </c>
      <c r="F2286" s="196">
        <v>0</v>
      </c>
      <c r="G2286" s="196">
        <v>-2249457</v>
      </c>
    </row>
    <row r="2287" spans="1:7" x14ac:dyDescent="0.3">
      <c r="A2287" s="198">
        <v>900156264</v>
      </c>
      <c r="B2287" s="192" t="s">
        <v>2050</v>
      </c>
      <c r="C2287" s="196">
        <v>-174000</v>
      </c>
      <c r="D2287" s="196">
        <v>0</v>
      </c>
      <c r="E2287" s="196">
        <v>116000</v>
      </c>
      <c r="F2287" s="196">
        <v>-116000</v>
      </c>
      <c r="G2287" s="196">
        <v>-290000</v>
      </c>
    </row>
    <row r="2288" spans="1:7" x14ac:dyDescent="0.3">
      <c r="A2288" s="198">
        <v>43597511</v>
      </c>
      <c r="B2288" s="192" t="s">
        <v>2051</v>
      </c>
      <c r="C2288" s="196">
        <v>-56940</v>
      </c>
      <c r="D2288" s="196">
        <v>0</v>
      </c>
      <c r="E2288" s="196">
        <v>0</v>
      </c>
      <c r="F2288" s="196">
        <v>0</v>
      </c>
      <c r="G2288" s="196">
        <v>-56940</v>
      </c>
    </row>
    <row r="2289" spans="1:7" x14ac:dyDescent="0.3">
      <c r="A2289" s="198">
        <v>800130907</v>
      </c>
      <c r="B2289" s="192" t="s">
        <v>2052</v>
      </c>
      <c r="C2289" s="196">
        <v>-529800</v>
      </c>
      <c r="D2289" s="196">
        <v>0</v>
      </c>
      <c r="E2289" s="196">
        <v>177200</v>
      </c>
      <c r="F2289" s="196">
        <v>-177200</v>
      </c>
      <c r="G2289" s="196">
        <v>-707000</v>
      </c>
    </row>
    <row r="2290" spans="1:7" x14ac:dyDescent="0.3">
      <c r="A2290" s="198">
        <v>809106</v>
      </c>
      <c r="B2290" s="192" t="s">
        <v>1680</v>
      </c>
      <c r="C2290" s="196">
        <v>-1157801</v>
      </c>
      <c r="D2290" s="196">
        <v>0</v>
      </c>
      <c r="E2290" s="196">
        <v>0</v>
      </c>
      <c r="F2290" s="196">
        <v>0</v>
      </c>
      <c r="G2290" s="196">
        <v>-1157801</v>
      </c>
    </row>
    <row r="2291" spans="1:7" x14ac:dyDescent="0.3">
      <c r="A2291" s="198">
        <v>1017184852</v>
      </c>
      <c r="B2291" s="192" t="s">
        <v>1716</v>
      </c>
      <c r="C2291" s="196">
        <v>-229313</v>
      </c>
      <c r="D2291" s="196">
        <v>0</v>
      </c>
      <c r="E2291" s="196">
        <v>0</v>
      </c>
      <c r="F2291" s="196">
        <v>0</v>
      </c>
      <c r="G2291" s="196">
        <v>-229313</v>
      </c>
    </row>
    <row r="2292" spans="1:7" x14ac:dyDescent="0.3">
      <c r="A2292" s="198">
        <v>1128423802</v>
      </c>
      <c r="B2292" s="192" t="s">
        <v>2053</v>
      </c>
      <c r="C2292" s="196">
        <v>-182850</v>
      </c>
      <c r="D2292" s="196">
        <v>0</v>
      </c>
      <c r="E2292" s="196">
        <v>0</v>
      </c>
      <c r="F2292" s="196">
        <v>0</v>
      </c>
      <c r="G2292" s="196">
        <v>-182850</v>
      </c>
    </row>
    <row r="2293" spans="1:7" x14ac:dyDescent="0.3">
      <c r="A2293" s="198">
        <v>1035854432</v>
      </c>
      <c r="B2293" s="192" t="s">
        <v>2054</v>
      </c>
      <c r="C2293" s="196">
        <v>-395600</v>
      </c>
      <c r="D2293" s="196">
        <v>0</v>
      </c>
      <c r="E2293" s="196">
        <v>0</v>
      </c>
      <c r="F2293" s="196">
        <v>0</v>
      </c>
      <c r="G2293" s="196">
        <v>-395600</v>
      </c>
    </row>
    <row r="2294" spans="1:7" x14ac:dyDescent="0.3">
      <c r="A2294" s="198">
        <v>1040748779</v>
      </c>
      <c r="B2294" s="192" t="s">
        <v>2055</v>
      </c>
      <c r="C2294" s="196">
        <v>-1838493</v>
      </c>
      <c r="D2294" s="196">
        <v>0</v>
      </c>
      <c r="E2294" s="196">
        <v>0</v>
      </c>
      <c r="F2294" s="196">
        <v>0</v>
      </c>
      <c r="G2294" s="196">
        <v>-1838493</v>
      </c>
    </row>
    <row r="2295" spans="1:7" x14ac:dyDescent="0.3">
      <c r="A2295" s="198">
        <v>1152207950</v>
      </c>
      <c r="B2295" s="192" t="s">
        <v>2056</v>
      </c>
      <c r="C2295" s="196">
        <v>-726400</v>
      </c>
      <c r="D2295" s="196">
        <v>0</v>
      </c>
      <c r="E2295" s="196">
        <v>0</v>
      </c>
      <c r="F2295" s="196">
        <v>0</v>
      </c>
      <c r="G2295" s="196">
        <v>-726400</v>
      </c>
    </row>
    <row r="2296" spans="1:7" x14ac:dyDescent="0.3">
      <c r="A2296" s="198">
        <v>1001764247</v>
      </c>
      <c r="B2296" s="192" t="s">
        <v>2057</v>
      </c>
      <c r="C2296" s="196">
        <v>-1636319</v>
      </c>
      <c r="D2296" s="196">
        <v>0</v>
      </c>
      <c r="E2296" s="196">
        <v>0</v>
      </c>
      <c r="F2296" s="196">
        <v>0</v>
      </c>
      <c r="G2296" s="196">
        <v>-1636319</v>
      </c>
    </row>
    <row r="2297" spans="1:7" x14ac:dyDescent="0.3">
      <c r="A2297" s="198">
        <v>1000639361</v>
      </c>
      <c r="B2297" s="192" t="s">
        <v>2058</v>
      </c>
      <c r="C2297" s="196">
        <v>-310664</v>
      </c>
      <c r="D2297" s="196">
        <v>0</v>
      </c>
      <c r="E2297" s="196">
        <v>0</v>
      </c>
      <c r="F2297" s="196">
        <v>0</v>
      </c>
      <c r="G2297" s="196">
        <v>-310664</v>
      </c>
    </row>
    <row r="2298" spans="1:7" x14ac:dyDescent="0.3">
      <c r="A2298" s="198">
        <v>1027616481</v>
      </c>
      <c r="B2298" s="192" t="s">
        <v>2059</v>
      </c>
      <c r="C2298" s="196">
        <v>-48000</v>
      </c>
      <c r="D2298" s="196">
        <v>0</v>
      </c>
      <c r="E2298" s="196">
        <v>0</v>
      </c>
      <c r="F2298" s="196">
        <v>0</v>
      </c>
      <c r="G2298" s="196">
        <v>-48000</v>
      </c>
    </row>
    <row r="2299" spans="1:7" x14ac:dyDescent="0.3">
      <c r="A2299" s="198">
        <v>32299587</v>
      </c>
      <c r="B2299" s="192" t="s">
        <v>2060</v>
      </c>
      <c r="C2299" s="196">
        <v>-760225</v>
      </c>
      <c r="D2299" s="196">
        <v>0</v>
      </c>
      <c r="E2299" s="196">
        <v>0</v>
      </c>
      <c r="F2299" s="196">
        <v>0</v>
      </c>
      <c r="G2299" s="196">
        <v>-760225</v>
      </c>
    </row>
    <row r="2300" spans="1:7" x14ac:dyDescent="0.3">
      <c r="A2300" s="198">
        <v>43972279</v>
      </c>
      <c r="B2300" s="192" t="s">
        <v>2061</v>
      </c>
      <c r="C2300" s="196">
        <v>-352800</v>
      </c>
      <c r="D2300" s="196">
        <v>0</v>
      </c>
      <c r="E2300" s="196">
        <v>0</v>
      </c>
      <c r="F2300" s="196">
        <v>0</v>
      </c>
      <c r="G2300" s="196">
        <v>-352800</v>
      </c>
    </row>
    <row r="2301" spans="1:7" x14ac:dyDescent="0.3">
      <c r="A2301" s="198">
        <v>1001510696</v>
      </c>
      <c r="B2301" s="192" t="s">
        <v>2062</v>
      </c>
      <c r="C2301" s="196">
        <v>-1865893</v>
      </c>
      <c r="D2301" s="196">
        <v>0</v>
      </c>
      <c r="E2301" s="196">
        <v>0</v>
      </c>
      <c r="F2301" s="196">
        <v>0</v>
      </c>
      <c r="G2301" s="196">
        <v>-1865893</v>
      </c>
    </row>
    <row r="2302" spans="1:7" x14ac:dyDescent="0.3">
      <c r="A2302" s="198">
        <v>23700503</v>
      </c>
      <c r="B2302" s="192" t="s">
        <v>2063</v>
      </c>
      <c r="C2302" s="196">
        <v>395300</v>
      </c>
      <c r="D2302" s="196">
        <v>0</v>
      </c>
      <c r="E2302" s="196">
        <v>0</v>
      </c>
      <c r="F2302" s="196">
        <v>0</v>
      </c>
      <c r="G2302" s="196">
        <v>395300</v>
      </c>
    </row>
    <row r="2303" spans="1:7" x14ac:dyDescent="0.3">
      <c r="A2303" s="198">
        <v>43190602</v>
      </c>
      <c r="B2303" s="192" t="s">
        <v>1708</v>
      </c>
      <c r="C2303" s="196">
        <v>-990147</v>
      </c>
      <c r="D2303" s="196">
        <v>0</v>
      </c>
      <c r="E2303" s="196">
        <v>0</v>
      </c>
      <c r="F2303" s="196">
        <v>0</v>
      </c>
      <c r="G2303" s="196">
        <v>-990147</v>
      </c>
    </row>
    <row r="2304" spans="1:7" x14ac:dyDescent="0.3">
      <c r="A2304" s="198">
        <v>1036679554</v>
      </c>
      <c r="B2304" s="192" t="s">
        <v>2064</v>
      </c>
      <c r="C2304" s="196">
        <v>-157622</v>
      </c>
      <c r="D2304" s="196">
        <v>0</v>
      </c>
      <c r="E2304" s="196">
        <v>0</v>
      </c>
      <c r="F2304" s="196">
        <v>0</v>
      </c>
      <c r="G2304" s="196">
        <v>-157622</v>
      </c>
    </row>
    <row r="2305" spans="1:7" x14ac:dyDescent="0.3">
      <c r="A2305" s="198">
        <v>1020431035</v>
      </c>
      <c r="B2305" s="192" t="s">
        <v>1923</v>
      </c>
      <c r="C2305" s="196">
        <v>-21467</v>
      </c>
      <c r="D2305" s="196">
        <v>0</v>
      </c>
      <c r="E2305" s="196">
        <v>0</v>
      </c>
      <c r="F2305" s="196">
        <v>0</v>
      </c>
      <c r="G2305" s="196">
        <v>-21467</v>
      </c>
    </row>
    <row r="2306" spans="1:7" x14ac:dyDescent="0.3">
      <c r="A2306" s="198">
        <v>800130907</v>
      </c>
      <c r="B2306" s="192" t="s">
        <v>2052</v>
      </c>
      <c r="C2306" s="196">
        <v>1564536</v>
      </c>
      <c r="D2306" s="196">
        <v>0</v>
      </c>
      <c r="E2306" s="196">
        <v>0</v>
      </c>
      <c r="F2306" s="196">
        <v>0</v>
      </c>
      <c r="G2306" s="196">
        <v>1564536</v>
      </c>
    </row>
    <row r="2307" spans="1:7" x14ac:dyDescent="0.3">
      <c r="A2307" s="198">
        <v>23700504</v>
      </c>
      <c r="B2307" s="192" t="s">
        <v>2065</v>
      </c>
      <c r="C2307" s="196">
        <v>56300</v>
      </c>
      <c r="D2307" s="196">
        <v>0</v>
      </c>
      <c r="E2307" s="196">
        <v>0</v>
      </c>
      <c r="F2307" s="196">
        <v>0</v>
      </c>
      <c r="G2307" s="196">
        <v>56300</v>
      </c>
    </row>
    <row r="2308" spans="1:7" x14ac:dyDescent="0.3">
      <c r="A2308" s="198">
        <v>1020489861</v>
      </c>
      <c r="B2308" s="192" t="s">
        <v>1704</v>
      </c>
      <c r="C2308" s="196">
        <v>-462183</v>
      </c>
      <c r="D2308" s="196">
        <v>0</v>
      </c>
      <c r="E2308" s="196">
        <v>0</v>
      </c>
      <c r="F2308" s="196">
        <v>0</v>
      </c>
      <c r="G2308" s="196">
        <v>-462183</v>
      </c>
    </row>
    <row r="2309" spans="1:7" x14ac:dyDescent="0.3">
      <c r="A2309" s="198">
        <v>1036685923</v>
      </c>
      <c r="B2309" s="192" t="s">
        <v>1710</v>
      </c>
      <c r="C2309" s="196">
        <v>-1381200</v>
      </c>
      <c r="D2309" s="196">
        <v>0</v>
      </c>
      <c r="E2309" s="196">
        <v>0</v>
      </c>
      <c r="F2309" s="196">
        <v>0</v>
      </c>
      <c r="G2309" s="196">
        <v>-1381200</v>
      </c>
    </row>
    <row r="2310" spans="1:7" x14ac:dyDescent="0.3">
      <c r="A2310" s="198">
        <v>900156264</v>
      </c>
      <c r="B2310" s="192" t="s">
        <v>2050</v>
      </c>
      <c r="C2310" s="196">
        <v>1899683</v>
      </c>
      <c r="D2310" s="196">
        <v>0</v>
      </c>
      <c r="E2310" s="196">
        <v>0</v>
      </c>
      <c r="F2310" s="196">
        <v>0</v>
      </c>
      <c r="G2310" s="196">
        <v>1899683</v>
      </c>
    </row>
    <row r="2311" spans="1:7" x14ac:dyDescent="0.3">
      <c r="A2311" s="198">
        <v>23700505</v>
      </c>
      <c r="B2311" s="192" t="s">
        <v>2066</v>
      </c>
      <c r="C2311" s="196">
        <v>373820</v>
      </c>
      <c r="D2311" s="196">
        <v>0</v>
      </c>
      <c r="E2311" s="196">
        <v>0</v>
      </c>
      <c r="F2311" s="196">
        <v>0</v>
      </c>
      <c r="G2311" s="196">
        <v>373820</v>
      </c>
    </row>
    <row r="2312" spans="1:7" x14ac:dyDescent="0.3">
      <c r="A2312" s="198">
        <v>43190602</v>
      </c>
      <c r="B2312" s="192" t="s">
        <v>1708</v>
      </c>
      <c r="C2312" s="196">
        <v>-39400</v>
      </c>
      <c r="D2312" s="196">
        <v>0</v>
      </c>
      <c r="E2312" s="196">
        <v>0</v>
      </c>
      <c r="F2312" s="196">
        <v>0</v>
      </c>
      <c r="G2312" s="196">
        <v>-39400</v>
      </c>
    </row>
    <row r="2313" spans="1:7" x14ac:dyDescent="0.3">
      <c r="A2313" s="198">
        <v>800251440</v>
      </c>
      <c r="B2313" s="192" t="s">
        <v>2035</v>
      </c>
      <c r="C2313" s="196">
        <v>2041805</v>
      </c>
      <c r="D2313" s="196">
        <v>0</v>
      </c>
      <c r="E2313" s="196">
        <v>0</v>
      </c>
      <c r="F2313" s="196">
        <v>0</v>
      </c>
      <c r="G2313" s="196">
        <v>2041805</v>
      </c>
    </row>
    <row r="2314" spans="1:7" x14ac:dyDescent="0.3">
      <c r="A2314" s="198">
        <v>43256222</v>
      </c>
      <c r="B2314" s="192" t="s">
        <v>2049</v>
      </c>
      <c r="C2314" s="196">
        <v>-1113601</v>
      </c>
      <c r="D2314" s="196">
        <v>0</v>
      </c>
      <c r="E2314" s="196">
        <v>0</v>
      </c>
      <c r="F2314" s="196">
        <v>0</v>
      </c>
      <c r="G2314" s="196">
        <v>-1113601</v>
      </c>
    </row>
    <row r="2315" spans="1:7" x14ac:dyDescent="0.3">
      <c r="A2315" s="198">
        <v>800130907</v>
      </c>
      <c r="B2315" s="192" t="s">
        <v>2052</v>
      </c>
      <c r="C2315" s="196">
        <v>-100</v>
      </c>
      <c r="D2315" s="196">
        <v>0</v>
      </c>
      <c r="E2315" s="196">
        <v>0</v>
      </c>
      <c r="F2315" s="196">
        <v>0</v>
      </c>
      <c r="G2315" s="196">
        <v>-100</v>
      </c>
    </row>
    <row r="2316" spans="1:7" x14ac:dyDescent="0.3">
      <c r="A2316" s="198">
        <v>1028042115</v>
      </c>
      <c r="B2316" s="192" t="s">
        <v>2067</v>
      </c>
      <c r="C2316" s="196">
        <v>-514884</v>
      </c>
      <c r="D2316" s="196">
        <v>0</v>
      </c>
      <c r="E2316" s="196">
        <v>0</v>
      </c>
      <c r="F2316" s="196">
        <v>0</v>
      </c>
      <c r="G2316" s="196">
        <v>-514884</v>
      </c>
    </row>
    <row r="2317" spans="1:7" x14ac:dyDescent="0.3">
      <c r="A2317" s="197">
        <v>237006</v>
      </c>
      <c r="B2317" s="191" t="s">
        <v>2068</v>
      </c>
      <c r="C2317" s="195">
        <v>-1276600</v>
      </c>
      <c r="D2317" s="195">
        <v>0</v>
      </c>
      <c r="E2317" s="195">
        <v>1613600</v>
      </c>
      <c r="F2317" s="195">
        <v>-1613600</v>
      </c>
      <c r="G2317" s="195">
        <v>-2890200</v>
      </c>
    </row>
    <row r="2318" spans="1:7" x14ac:dyDescent="0.3">
      <c r="A2318" s="198">
        <v>23700601</v>
      </c>
      <c r="B2318" s="192" t="s">
        <v>2068</v>
      </c>
      <c r="C2318" s="196">
        <v>-1276600</v>
      </c>
      <c r="D2318" s="196">
        <v>0</v>
      </c>
      <c r="E2318" s="196">
        <v>1613600</v>
      </c>
      <c r="F2318" s="196">
        <v>-1613600</v>
      </c>
      <c r="G2318" s="196">
        <v>-2890200</v>
      </c>
    </row>
    <row r="2319" spans="1:7" x14ac:dyDescent="0.3">
      <c r="A2319" s="198">
        <v>800226175</v>
      </c>
      <c r="B2319" s="192" t="s">
        <v>2069</v>
      </c>
      <c r="C2319" s="196">
        <v>-1357690</v>
      </c>
      <c r="D2319" s="196">
        <v>0</v>
      </c>
      <c r="E2319" s="196">
        <v>1613600</v>
      </c>
      <c r="F2319" s="196">
        <v>-1613600</v>
      </c>
      <c r="G2319" s="196">
        <v>-2971290</v>
      </c>
    </row>
    <row r="2320" spans="1:7" x14ac:dyDescent="0.3">
      <c r="A2320" s="198">
        <v>890903790</v>
      </c>
      <c r="B2320" s="192" t="s">
        <v>1466</v>
      </c>
      <c r="C2320" s="196">
        <v>81090</v>
      </c>
      <c r="D2320" s="196">
        <v>0</v>
      </c>
      <c r="E2320" s="196">
        <v>0</v>
      </c>
      <c r="F2320" s="196">
        <v>0</v>
      </c>
      <c r="G2320" s="196">
        <v>81090</v>
      </c>
    </row>
    <row r="2321" spans="1:7" x14ac:dyDescent="0.3">
      <c r="A2321" s="197">
        <v>237010</v>
      </c>
      <c r="B2321" s="191" t="s">
        <v>2070</v>
      </c>
      <c r="C2321" s="195">
        <v>-6838900</v>
      </c>
      <c r="D2321" s="195">
        <v>0</v>
      </c>
      <c r="E2321" s="195">
        <v>6861700</v>
      </c>
      <c r="F2321" s="195">
        <v>-6861700</v>
      </c>
      <c r="G2321" s="195">
        <v>-13700600</v>
      </c>
    </row>
    <row r="2322" spans="1:7" x14ac:dyDescent="0.3">
      <c r="A2322" s="198">
        <v>23701001</v>
      </c>
      <c r="B2322" s="192" t="s">
        <v>2070</v>
      </c>
      <c r="C2322" s="196">
        <v>-6838900</v>
      </c>
      <c r="D2322" s="196">
        <v>0</v>
      </c>
      <c r="E2322" s="196">
        <v>6861700</v>
      </c>
      <c r="F2322" s="196">
        <v>-6861700</v>
      </c>
      <c r="G2322" s="196">
        <v>-13700600</v>
      </c>
    </row>
    <row r="2323" spans="1:7" x14ac:dyDescent="0.3">
      <c r="A2323" s="198">
        <v>890900841</v>
      </c>
      <c r="B2323" s="192" t="s">
        <v>1866</v>
      </c>
      <c r="C2323" s="196">
        <v>-6728400</v>
      </c>
      <c r="D2323" s="196">
        <v>0</v>
      </c>
      <c r="E2323" s="196">
        <v>6861700</v>
      </c>
      <c r="F2323" s="196">
        <v>-6861700</v>
      </c>
      <c r="G2323" s="196">
        <v>-13590100</v>
      </c>
    </row>
    <row r="2324" spans="1:7" x14ac:dyDescent="0.3">
      <c r="A2324" s="198">
        <v>32865167</v>
      </c>
      <c r="B2324" s="192" t="s">
        <v>2071</v>
      </c>
      <c r="C2324" s="196">
        <v>-110500</v>
      </c>
      <c r="D2324" s="196">
        <v>0</v>
      </c>
      <c r="E2324" s="196">
        <v>0</v>
      </c>
      <c r="F2324" s="196">
        <v>0</v>
      </c>
      <c r="G2324" s="196">
        <v>-110500</v>
      </c>
    </row>
    <row r="2325" spans="1:7" x14ac:dyDescent="0.3">
      <c r="A2325" s="197">
        <v>237025</v>
      </c>
      <c r="B2325" s="191" t="s">
        <v>2072</v>
      </c>
      <c r="C2325" s="195">
        <v>-630000</v>
      </c>
      <c r="D2325" s="195">
        <v>0</v>
      </c>
      <c r="E2325" s="195">
        <v>630000</v>
      </c>
      <c r="F2325" s="195">
        <v>-630000</v>
      </c>
      <c r="G2325" s="195">
        <v>-1260000</v>
      </c>
    </row>
    <row r="2326" spans="1:7" x14ac:dyDescent="0.3">
      <c r="A2326" s="198">
        <v>23702501</v>
      </c>
      <c r="B2326" s="192" t="s">
        <v>2072</v>
      </c>
      <c r="C2326" s="196">
        <v>-630000</v>
      </c>
      <c r="D2326" s="196">
        <v>0</v>
      </c>
      <c r="E2326" s="196">
        <v>630000</v>
      </c>
      <c r="F2326" s="196">
        <v>-630000</v>
      </c>
      <c r="G2326" s="196">
        <v>-1260000</v>
      </c>
    </row>
    <row r="2327" spans="1:7" x14ac:dyDescent="0.3">
      <c r="A2327" s="198">
        <v>890903938</v>
      </c>
      <c r="B2327" s="192" t="s">
        <v>1691</v>
      </c>
      <c r="C2327" s="196">
        <v>-630000</v>
      </c>
      <c r="D2327" s="196">
        <v>0</v>
      </c>
      <c r="E2327" s="196">
        <v>630000</v>
      </c>
      <c r="F2327" s="196">
        <v>-630000</v>
      </c>
      <c r="G2327" s="196">
        <v>-1260000</v>
      </c>
    </row>
    <row r="2328" spans="1:7" x14ac:dyDescent="0.3">
      <c r="A2328" s="197">
        <v>237030</v>
      </c>
      <c r="B2328" s="191" t="s">
        <v>2073</v>
      </c>
      <c r="C2328" s="195">
        <v>849407</v>
      </c>
      <c r="D2328" s="195">
        <v>2139081</v>
      </c>
      <c r="E2328" s="195">
        <v>1700746</v>
      </c>
      <c r="F2328" s="195">
        <v>438335</v>
      </c>
      <c r="G2328" s="195">
        <v>1287742</v>
      </c>
    </row>
    <row r="2329" spans="1:7" x14ac:dyDescent="0.3">
      <c r="A2329" s="198">
        <v>23703001</v>
      </c>
      <c r="B2329" s="192" t="s">
        <v>2073</v>
      </c>
      <c r="C2329" s="196">
        <v>849407</v>
      </c>
      <c r="D2329" s="196">
        <v>2139081</v>
      </c>
      <c r="E2329" s="196">
        <v>1700746</v>
      </c>
      <c r="F2329" s="196">
        <v>438335</v>
      </c>
      <c r="G2329" s="196">
        <v>1287742</v>
      </c>
    </row>
    <row r="2330" spans="1:7" x14ac:dyDescent="0.3">
      <c r="A2330" s="198">
        <v>890900841</v>
      </c>
      <c r="B2330" s="192" t="s">
        <v>1866</v>
      </c>
      <c r="C2330" s="196">
        <v>-1528197</v>
      </c>
      <c r="D2330" s="196">
        <v>0</v>
      </c>
      <c r="E2330" s="196">
        <v>1700746</v>
      </c>
      <c r="F2330" s="196">
        <v>-1700746</v>
      </c>
      <c r="G2330" s="196">
        <v>-3228943</v>
      </c>
    </row>
    <row r="2331" spans="1:7" x14ac:dyDescent="0.3">
      <c r="A2331" s="198">
        <v>32144343</v>
      </c>
      <c r="B2331" s="192" t="s">
        <v>1706</v>
      </c>
      <c r="C2331" s="196">
        <v>282609</v>
      </c>
      <c r="D2331" s="196">
        <v>282609</v>
      </c>
      <c r="E2331" s="196">
        <v>0</v>
      </c>
      <c r="F2331" s="196">
        <v>282609</v>
      </c>
      <c r="G2331" s="196">
        <v>565218</v>
      </c>
    </row>
    <row r="2332" spans="1:7" x14ac:dyDescent="0.3">
      <c r="A2332" s="198">
        <v>1037570707</v>
      </c>
      <c r="B2332" s="192" t="s">
        <v>1677</v>
      </c>
      <c r="C2332" s="196">
        <v>53884</v>
      </c>
      <c r="D2332" s="196">
        <v>175932</v>
      </c>
      <c r="E2332" s="196">
        <v>0</v>
      </c>
      <c r="F2332" s="196">
        <v>175932</v>
      </c>
      <c r="G2332" s="196">
        <v>229816</v>
      </c>
    </row>
    <row r="2333" spans="1:7" x14ac:dyDescent="0.3">
      <c r="A2333" s="198">
        <v>3901013</v>
      </c>
      <c r="B2333" s="192" t="s">
        <v>1709</v>
      </c>
      <c r="C2333" s="196">
        <v>1332526</v>
      </c>
      <c r="D2333" s="196">
        <v>166432</v>
      </c>
      <c r="E2333" s="196">
        <v>0</v>
      </c>
      <c r="F2333" s="196">
        <v>166432</v>
      </c>
      <c r="G2333" s="196">
        <v>1498958</v>
      </c>
    </row>
    <row r="2334" spans="1:7" x14ac:dyDescent="0.3">
      <c r="A2334" s="198">
        <v>1036685923</v>
      </c>
      <c r="B2334" s="192" t="s">
        <v>1710</v>
      </c>
      <c r="C2334" s="196">
        <v>21</v>
      </c>
      <c r="D2334" s="196">
        <v>162921</v>
      </c>
      <c r="E2334" s="196">
        <v>0</v>
      </c>
      <c r="F2334" s="196">
        <v>162921</v>
      </c>
      <c r="G2334" s="196">
        <v>162942</v>
      </c>
    </row>
    <row r="2335" spans="1:7" x14ac:dyDescent="0.3">
      <c r="A2335" s="198">
        <v>1036679554</v>
      </c>
      <c r="B2335" s="192" t="s">
        <v>2064</v>
      </c>
      <c r="C2335" s="196">
        <v>168613</v>
      </c>
      <c r="D2335" s="196">
        <v>0</v>
      </c>
      <c r="E2335" s="196">
        <v>0</v>
      </c>
      <c r="F2335" s="196">
        <v>0</v>
      </c>
      <c r="G2335" s="196">
        <v>168613</v>
      </c>
    </row>
    <row r="2336" spans="1:7" x14ac:dyDescent="0.3">
      <c r="A2336" s="198">
        <v>6549128</v>
      </c>
      <c r="B2336" s="192" t="s">
        <v>2043</v>
      </c>
      <c r="C2336" s="196">
        <v>0</v>
      </c>
      <c r="D2336" s="196">
        <v>578010</v>
      </c>
      <c r="E2336" s="196">
        <v>0</v>
      </c>
      <c r="F2336" s="196">
        <v>578010</v>
      </c>
      <c r="G2336" s="196">
        <v>578010</v>
      </c>
    </row>
    <row r="2337" spans="1:7" x14ac:dyDescent="0.3">
      <c r="A2337" s="198">
        <v>1026158953</v>
      </c>
      <c r="B2337" s="192" t="s">
        <v>2046</v>
      </c>
      <c r="C2337" s="196">
        <v>255629</v>
      </c>
      <c r="D2337" s="196">
        <v>255629</v>
      </c>
      <c r="E2337" s="196">
        <v>0</v>
      </c>
      <c r="F2337" s="196">
        <v>255629</v>
      </c>
      <c r="G2337" s="196">
        <v>511258</v>
      </c>
    </row>
    <row r="2338" spans="1:7" x14ac:dyDescent="0.3">
      <c r="A2338" s="198">
        <v>1017284611</v>
      </c>
      <c r="B2338" s="192" t="s">
        <v>1715</v>
      </c>
      <c r="C2338" s="196">
        <v>-54124</v>
      </c>
      <c r="D2338" s="196">
        <v>216083</v>
      </c>
      <c r="E2338" s="196">
        <v>0</v>
      </c>
      <c r="F2338" s="196">
        <v>216083</v>
      </c>
      <c r="G2338" s="196">
        <v>161959</v>
      </c>
    </row>
    <row r="2339" spans="1:7" x14ac:dyDescent="0.3">
      <c r="A2339" s="198">
        <v>300809106</v>
      </c>
      <c r="B2339" s="192" t="s">
        <v>1679</v>
      </c>
      <c r="C2339" s="196">
        <v>155036</v>
      </c>
      <c r="D2339" s="196">
        <v>301465</v>
      </c>
      <c r="E2339" s="196">
        <v>0</v>
      </c>
      <c r="F2339" s="196">
        <v>301465</v>
      </c>
      <c r="G2339" s="196">
        <v>456501</v>
      </c>
    </row>
    <row r="2340" spans="1:7" x14ac:dyDescent="0.3">
      <c r="A2340" s="198">
        <v>809106</v>
      </c>
      <c r="B2340" s="192" t="s">
        <v>1680</v>
      </c>
      <c r="C2340" s="196">
        <v>183410</v>
      </c>
      <c r="D2340" s="196">
        <v>0</v>
      </c>
      <c r="E2340" s="196">
        <v>0</v>
      </c>
      <c r="F2340" s="196">
        <v>0</v>
      </c>
      <c r="G2340" s="196">
        <v>183410</v>
      </c>
    </row>
    <row r="2341" spans="1:7" x14ac:dyDescent="0.3">
      <c r="A2341" s="197">
        <v>237045</v>
      </c>
      <c r="B2341" s="191" t="s">
        <v>2074</v>
      </c>
      <c r="C2341" s="195">
        <v>-0.01</v>
      </c>
      <c r="D2341" s="195">
        <v>0</v>
      </c>
      <c r="E2341" s="195">
        <v>0</v>
      </c>
      <c r="F2341" s="195">
        <v>0</v>
      </c>
      <c r="G2341" s="195">
        <v>-0.01</v>
      </c>
    </row>
    <row r="2342" spans="1:7" x14ac:dyDescent="0.3">
      <c r="A2342" s="198">
        <v>23704501</v>
      </c>
      <c r="B2342" s="192" t="s">
        <v>2075</v>
      </c>
      <c r="C2342" s="196">
        <v>-0.01</v>
      </c>
      <c r="D2342" s="196">
        <v>0</v>
      </c>
      <c r="E2342" s="196">
        <v>0</v>
      </c>
      <c r="F2342" s="196">
        <v>0</v>
      </c>
      <c r="G2342" s="196">
        <v>-0.01</v>
      </c>
    </row>
    <row r="2343" spans="1:7" x14ac:dyDescent="0.3">
      <c r="A2343" s="198">
        <v>1152689568</v>
      </c>
      <c r="B2343" s="192" t="s">
        <v>1705</v>
      </c>
      <c r="C2343" s="196">
        <v>-694989.98</v>
      </c>
      <c r="D2343" s="196">
        <v>0</v>
      </c>
      <c r="E2343" s="196">
        <v>0</v>
      </c>
      <c r="F2343" s="196">
        <v>0</v>
      </c>
      <c r="G2343" s="196">
        <v>-694989.98</v>
      </c>
    </row>
    <row r="2344" spans="1:7" x14ac:dyDescent="0.3">
      <c r="A2344" s="198">
        <v>1037570707</v>
      </c>
      <c r="B2344" s="192" t="s">
        <v>1677</v>
      </c>
      <c r="C2344" s="196">
        <v>-685932</v>
      </c>
      <c r="D2344" s="196">
        <v>0</v>
      </c>
      <c r="E2344" s="196">
        <v>0</v>
      </c>
      <c r="F2344" s="196">
        <v>0</v>
      </c>
      <c r="G2344" s="196">
        <v>-685932</v>
      </c>
    </row>
    <row r="2345" spans="1:7" x14ac:dyDescent="0.3">
      <c r="A2345" s="198">
        <v>32108182</v>
      </c>
      <c r="B2345" s="192" t="s">
        <v>2076</v>
      </c>
      <c r="C2345" s="196">
        <v>-127197</v>
      </c>
      <c r="D2345" s="196">
        <v>0</v>
      </c>
      <c r="E2345" s="196">
        <v>0</v>
      </c>
      <c r="F2345" s="196">
        <v>0</v>
      </c>
      <c r="G2345" s="196">
        <v>-127197</v>
      </c>
    </row>
    <row r="2346" spans="1:7" x14ac:dyDescent="0.3">
      <c r="A2346" s="198">
        <v>39355612</v>
      </c>
      <c r="B2346" s="192" t="s">
        <v>2077</v>
      </c>
      <c r="C2346" s="196">
        <v>-20000</v>
      </c>
      <c r="D2346" s="196">
        <v>0</v>
      </c>
      <c r="E2346" s="196">
        <v>0</v>
      </c>
      <c r="F2346" s="196">
        <v>0</v>
      </c>
      <c r="G2346" s="196">
        <v>-20000</v>
      </c>
    </row>
    <row r="2347" spans="1:7" x14ac:dyDescent="0.3">
      <c r="A2347" s="198">
        <v>574816</v>
      </c>
      <c r="B2347" s="192" t="s">
        <v>2078</v>
      </c>
      <c r="C2347" s="196">
        <v>-782937.64</v>
      </c>
      <c r="D2347" s="196">
        <v>0</v>
      </c>
      <c r="E2347" s="196">
        <v>0</v>
      </c>
      <c r="F2347" s="196">
        <v>0</v>
      </c>
      <c r="G2347" s="196">
        <v>-782937.64</v>
      </c>
    </row>
    <row r="2348" spans="1:7" x14ac:dyDescent="0.3">
      <c r="A2348" s="198">
        <v>800229739</v>
      </c>
      <c r="B2348" s="192" t="s">
        <v>2079</v>
      </c>
      <c r="C2348" s="196">
        <v>2311056.61</v>
      </c>
      <c r="D2348" s="196">
        <v>0</v>
      </c>
      <c r="E2348" s="196">
        <v>0</v>
      </c>
      <c r="F2348" s="196">
        <v>0</v>
      </c>
      <c r="G2348" s="196">
        <v>2311056.61</v>
      </c>
    </row>
    <row r="2349" spans="1:7" x14ac:dyDescent="0.3">
      <c r="A2349" s="197">
        <v>2380</v>
      </c>
      <c r="B2349" s="191" t="s">
        <v>2080</v>
      </c>
      <c r="C2349" s="195">
        <v>-21991709.359999999</v>
      </c>
      <c r="D2349" s="195">
        <v>0</v>
      </c>
      <c r="E2349" s="195">
        <v>26023811</v>
      </c>
      <c r="F2349" s="195">
        <v>-26023811</v>
      </c>
      <c r="G2349" s="195">
        <v>-48015520.359999999</v>
      </c>
    </row>
    <row r="2350" spans="1:7" x14ac:dyDescent="0.3">
      <c r="A2350" s="197">
        <v>238030</v>
      </c>
      <c r="B2350" s="191" t="s">
        <v>2081</v>
      </c>
      <c r="C2350" s="195">
        <v>-22054649.760000002</v>
      </c>
      <c r="D2350" s="195">
        <v>0</v>
      </c>
      <c r="E2350" s="195">
        <v>26023811</v>
      </c>
      <c r="F2350" s="195">
        <v>-26023811</v>
      </c>
      <c r="G2350" s="195">
        <v>-48078460.759999998</v>
      </c>
    </row>
    <row r="2351" spans="1:7" x14ac:dyDescent="0.3">
      <c r="A2351" s="198">
        <v>23803001</v>
      </c>
      <c r="B2351" s="192" t="s">
        <v>2082</v>
      </c>
      <c r="C2351" s="196">
        <v>21616754.09</v>
      </c>
      <c r="D2351" s="196">
        <v>0</v>
      </c>
      <c r="E2351" s="196">
        <v>0</v>
      </c>
      <c r="F2351" s="196">
        <v>0</v>
      </c>
      <c r="G2351" s="196">
        <v>21616754.09</v>
      </c>
    </row>
    <row r="2352" spans="1:7" x14ac:dyDescent="0.3">
      <c r="A2352" s="198">
        <v>32391236</v>
      </c>
      <c r="B2352" s="192" t="s">
        <v>2029</v>
      </c>
      <c r="C2352" s="196">
        <v>-720000</v>
      </c>
      <c r="D2352" s="196">
        <v>0</v>
      </c>
      <c r="E2352" s="196">
        <v>0</v>
      </c>
      <c r="F2352" s="196">
        <v>0</v>
      </c>
      <c r="G2352" s="196">
        <v>-720000</v>
      </c>
    </row>
    <row r="2353" spans="1:7" x14ac:dyDescent="0.3">
      <c r="A2353" s="198">
        <v>1037644962</v>
      </c>
      <c r="B2353" s="192" t="s">
        <v>260</v>
      </c>
      <c r="C2353" s="196">
        <v>-894010</v>
      </c>
      <c r="D2353" s="196">
        <v>0</v>
      </c>
      <c r="E2353" s="196">
        <v>0</v>
      </c>
      <c r="F2353" s="196">
        <v>0</v>
      </c>
      <c r="G2353" s="196">
        <v>-894010</v>
      </c>
    </row>
    <row r="2354" spans="1:7" x14ac:dyDescent="0.3">
      <c r="A2354" s="198">
        <v>1020489861</v>
      </c>
      <c r="B2354" s="192" t="s">
        <v>1704</v>
      </c>
      <c r="C2354" s="196">
        <v>-462183</v>
      </c>
      <c r="D2354" s="196">
        <v>0</v>
      </c>
      <c r="E2354" s="196">
        <v>0</v>
      </c>
      <c r="F2354" s="196">
        <v>0</v>
      </c>
      <c r="G2354" s="196">
        <v>-462183</v>
      </c>
    </row>
    <row r="2355" spans="1:7" x14ac:dyDescent="0.3">
      <c r="A2355" s="198">
        <v>1152689568</v>
      </c>
      <c r="B2355" s="192" t="s">
        <v>1705</v>
      </c>
      <c r="C2355" s="196">
        <v>-1512126</v>
      </c>
      <c r="D2355" s="196">
        <v>0</v>
      </c>
      <c r="E2355" s="196">
        <v>0</v>
      </c>
      <c r="F2355" s="196">
        <v>0</v>
      </c>
      <c r="G2355" s="196">
        <v>-1512126</v>
      </c>
    </row>
    <row r="2356" spans="1:7" x14ac:dyDescent="0.3">
      <c r="A2356" s="198">
        <v>1017266622</v>
      </c>
      <c r="B2356" s="192" t="s">
        <v>1707</v>
      </c>
      <c r="C2356" s="196">
        <v>-1694678</v>
      </c>
      <c r="D2356" s="196">
        <v>0</v>
      </c>
      <c r="E2356" s="196">
        <v>0</v>
      </c>
      <c r="F2356" s="196">
        <v>0</v>
      </c>
      <c r="G2356" s="196">
        <v>-1694678</v>
      </c>
    </row>
    <row r="2357" spans="1:7" x14ac:dyDescent="0.3">
      <c r="A2357" s="198">
        <v>3901013</v>
      </c>
      <c r="B2357" s="192" t="s">
        <v>1709</v>
      </c>
      <c r="C2357" s="196">
        <v>-4016567</v>
      </c>
      <c r="D2357" s="196">
        <v>0</v>
      </c>
      <c r="E2357" s="196">
        <v>0</v>
      </c>
      <c r="F2357" s="196">
        <v>0</v>
      </c>
      <c r="G2357" s="196">
        <v>-4016567</v>
      </c>
    </row>
    <row r="2358" spans="1:7" x14ac:dyDescent="0.3">
      <c r="A2358" s="198">
        <v>1007551247</v>
      </c>
      <c r="B2358" s="192" t="s">
        <v>1712</v>
      </c>
      <c r="C2358" s="196">
        <v>-1249245</v>
      </c>
      <c r="D2358" s="196">
        <v>0</v>
      </c>
      <c r="E2358" s="196">
        <v>0</v>
      </c>
      <c r="F2358" s="196">
        <v>0</v>
      </c>
      <c r="G2358" s="196">
        <v>-1249245</v>
      </c>
    </row>
    <row r="2359" spans="1:7" x14ac:dyDescent="0.3">
      <c r="A2359" s="198">
        <v>1017133284</v>
      </c>
      <c r="B2359" s="192" t="s">
        <v>2037</v>
      </c>
      <c r="C2359" s="196">
        <v>-177336</v>
      </c>
      <c r="D2359" s="196">
        <v>0</v>
      </c>
      <c r="E2359" s="196">
        <v>0</v>
      </c>
      <c r="F2359" s="196">
        <v>0</v>
      </c>
      <c r="G2359" s="196">
        <v>-177336</v>
      </c>
    </row>
    <row r="2360" spans="1:7" x14ac:dyDescent="0.3">
      <c r="A2360" s="198">
        <v>1127953609</v>
      </c>
      <c r="B2360" s="192" t="s">
        <v>2038</v>
      </c>
      <c r="C2360" s="196">
        <v>-158380</v>
      </c>
      <c r="D2360" s="196">
        <v>0</v>
      </c>
      <c r="E2360" s="196">
        <v>0</v>
      </c>
      <c r="F2360" s="196">
        <v>0</v>
      </c>
      <c r="G2360" s="196">
        <v>-158380</v>
      </c>
    </row>
    <row r="2361" spans="1:7" x14ac:dyDescent="0.3">
      <c r="A2361" s="198">
        <v>1216723387</v>
      </c>
      <c r="B2361" s="192" t="s">
        <v>1713</v>
      </c>
      <c r="C2361" s="196">
        <v>-1700997</v>
      </c>
      <c r="D2361" s="196">
        <v>0</v>
      </c>
      <c r="E2361" s="196">
        <v>0</v>
      </c>
      <c r="F2361" s="196">
        <v>0</v>
      </c>
      <c r="G2361" s="196">
        <v>-1700997</v>
      </c>
    </row>
    <row r="2362" spans="1:7" x14ac:dyDescent="0.3">
      <c r="A2362" s="198">
        <v>1040752245</v>
      </c>
      <c r="B2362" s="192" t="s">
        <v>1678</v>
      </c>
      <c r="C2362" s="196">
        <v>-1255434</v>
      </c>
      <c r="D2362" s="196">
        <v>0</v>
      </c>
      <c r="E2362" s="196">
        <v>0</v>
      </c>
      <c r="F2362" s="196">
        <v>0</v>
      </c>
      <c r="G2362" s="196">
        <v>-1255434</v>
      </c>
    </row>
    <row r="2363" spans="1:7" x14ac:dyDescent="0.3">
      <c r="A2363" s="198">
        <v>6549128</v>
      </c>
      <c r="B2363" s="192" t="s">
        <v>2043</v>
      </c>
      <c r="C2363" s="196">
        <v>-2000000</v>
      </c>
      <c r="D2363" s="196">
        <v>0</v>
      </c>
      <c r="E2363" s="196">
        <v>0</v>
      </c>
      <c r="F2363" s="196">
        <v>0</v>
      </c>
      <c r="G2363" s="196">
        <v>-2000000</v>
      </c>
    </row>
    <row r="2364" spans="1:7" x14ac:dyDescent="0.3">
      <c r="A2364" s="198">
        <v>1020431035</v>
      </c>
      <c r="B2364" s="192" t="s">
        <v>1923</v>
      </c>
      <c r="C2364" s="196">
        <v>-21467</v>
      </c>
      <c r="D2364" s="196">
        <v>0</v>
      </c>
      <c r="E2364" s="196">
        <v>0</v>
      </c>
      <c r="F2364" s="196">
        <v>0</v>
      </c>
      <c r="G2364" s="196">
        <v>-21467</v>
      </c>
    </row>
    <row r="2365" spans="1:7" x14ac:dyDescent="0.3">
      <c r="A2365" s="198">
        <v>1026158953</v>
      </c>
      <c r="B2365" s="192" t="s">
        <v>2046</v>
      </c>
      <c r="C2365" s="196">
        <v>-290000</v>
      </c>
      <c r="D2365" s="196">
        <v>0</v>
      </c>
      <c r="E2365" s="196">
        <v>0</v>
      </c>
      <c r="F2365" s="196">
        <v>0</v>
      </c>
      <c r="G2365" s="196">
        <v>-290000</v>
      </c>
    </row>
    <row r="2366" spans="1:7" x14ac:dyDescent="0.3">
      <c r="A2366" s="198">
        <v>1035858442</v>
      </c>
      <c r="B2366" s="192" t="s">
        <v>1927</v>
      </c>
      <c r="C2366" s="196">
        <v>-1517053</v>
      </c>
      <c r="D2366" s="196">
        <v>0</v>
      </c>
      <c r="E2366" s="196">
        <v>0</v>
      </c>
      <c r="F2366" s="196">
        <v>0</v>
      </c>
      <c r="G2366" s="196">
        <v>-1517053</v>
      </c>
    </row>
    <row r="2367" spans="1:7" x14ac:dyDescent="0.3">
      <c r="A2367" s="198">
        <v>1036639954</v>
      </c>
      <c r="B2367" s="192" t="s">
        <v>2047</v>
      </c>
      <c r="C2367" s="196">
        <v>-382765</v>
      </c>
      <c r="D2367" s="196">
        <v>0</v>
      </c>
      <c r="E2367" s="196">
        <v>0</v>
      </c>
      <c r="F2367" s="196">
        <v>0</v>
      </c>
      <c r="G2367" s="196">
        <v>-382765</v>
      </c>
    </row>
    <row r="2368" spans="1:7" x14ac:dyDescent="0.3">
      <c r="A2368" s="198">
        <v>1027740123</v>
      </c>
      <c r="B2368" s="192" t="s">
        <v>1928</v>
      </c>
      <c r="C2368" s="196">
        <v>-902858</v>
      </c>
      <c r="D2368" s="196">
        <v>0</v>
      </c>
      <c r="E2368" s="196">
        <v>0</v>
      </c>
      <c r="F2368" s="196">
        <v>0</v>
      </c>
      <c r="G2368" s="196">
        <v>-902858</v>
      </c>
    </row>
    <row r="2369" spans="1:7" x14ac:dyDescent="0.3">
      <c r="A2369" s="198">
        <v>43256222</v>
      </c>
      <c r="B2369" s="192" t="s">
        <v>2049</v>
      </c>
      <c r="C2369" s="196">
        <v>-1153001</v>
      </c>
      <c r="D2369" s="196">
        <v>0</v>
      </c>
      <c r="E2369" s="196">
        <v>0</v>
      </c>
      <c r="F2369" s="196">
        <v>0</v>
      </c>
      <c r="G2369" s="196">
        <v>-1153001</v>
      </c>
    </row>
    <row r="2370" spans="1:7" x14ac:dyDescent="0.3">
      <c r="A2370" s="198">
        <v>43597511</v>
      </c>
      <c r="B2370" s="192" t="s">
        <v>2051</v>
      </c>
      <c r="C2370" s="196">
        <v>-56940</v>
      </c>
      <c r="D2370" s="196">
        <v>0</v>
      </c>
      <c r="E2370" s="196">
        <v>0</v>
      </c>
      <c r="F2370" s="196">
        <v>0</v>
      </c>
      <c r="G2370" s="196">
        <v>-56940</v>
      </c>
    </row>
    <row r="2371" spans="1:7" x14ac:dyDescent="0.3">
      <c r="A2371" s="198">
        <v>800229739</v>
      </c>
      <c r="B2371" s="192" t="s">
        <v>2079</v>
      </c>
      <c r="C2371" s="196">
        <v>45988802.090000004</v>
      </c>
      <c r="D2371" s="196">
        <v>0</v>
      </c>
      <c r="E2371" s="196">
        <v>0</v>
      </c>
      <c r="F2371" s="196">
        <v>0</v>
      </c>
      <c r="G2371" s="196">
        <v>45988802.090000004</v>
      </c>
    </row>
    <row r="2372" spans="1:7" x14ac:dyDescent="0.3">
      <c r="A2372" s="198">
        <v>809106</v>
      </c>
      <c r="B2372" s="192" t="s">
        <v>1680</v>
      </c>
      <c r="C2372" s="196">
        <v>-1126601</v>
      </c>
      <c r="D2372" s="196">
        <v>0</v>
      </c>
      <c r="E2372" s="196">
        <v>0</v>
      </c>
      <c r="F2372" s="196">
        <v>0</v>
      </c>
      <c r="G2372" s="196">
        <v>-1126601</v>
      </c>
    </row>
    <row r="2373" spans="1:7" x14ac:dyDescent="0.3">
      <c r="A2373" s="198">
        <v>1128423802</v>
      </c>
      <c r="B2373" s="192" t="s">
        <v>2053</v>
      </c>
      <c r="C2373" s="196">
        <v>-182850</v>
      </c>
      <c r="D2373" s="196">
        <v>0</v>
      </c>
      <c r="E2373" s="196">
        <v>0</v>
      </c>
      <c r="F2373" s="196">
        <v>0</v>
      </c>
      <c r="G2373" s="196">
        <v>-182850</v>
      </c>
    </row>
    <row r="2374" spans="1:7" x14ac:dyDescent="0.3">
      <c r="A2374" s="198">
        <v>1035854432</v>
      </c>
      <c r="B2374" s="192" t="s">
        <v>2054</v>
      </c>
      <c r="C2374" s="196">
        <v>-395600</v>
      </c>
      <c r="D2374" s="196">
        <v>0</v>
      </c>
      <c r="E2374" s="196">
        <v>0</v>
      </c>
      <c r="F2374" s="196">
        <v>0</v>
      </c>
      <c r="G2374" s="196">
        <v>-395600</v>
      </c>
    </row>
    <row r="2375" spans="1:7" x14ac:dyDescent="0.3">
      <c r="A2375" s="198">
        <v>1040748779</v>
      </c>
      <c r="B2375" s="192" t="s">
        <v>2055</v>
      </c>
      <c r="C2375" s="196">
        <v>-1838493</v>
      </c>
      <c r="D2375" s="196">
        <v>0</v>
      </c>
      <c r="E2375" s="196">
        <v>0</v>
      </c>
      <c r="F2375" s="196">
        <v>0</v>
      </c>
      <c r="G2375" s="196">
        <v>-1838493</v>
      </c>
    </row>
    <row r="2376" spans="1:7" x14ac:dyDescent="0.3">
      <c r="A2376" s="198">
        <v>1000639361</v>
      </c>
      <c r="B2376" s="192" t="s">
        <v>2058</v>
      </c>
      <c r="C2376" s="196">
        <v>-310664</v>
      </c>
      <c r="D2376" s="196">
        <v>0</v>
      </c>
      <c r="E2376" s="196">
        <v>0</v>
      </c>
      <c r="F2376" s="196">
        <v>0</v>
      </c>
      <c r="G2376" s="196">
        <v>-310664</v>
      </c>
    </row>
    <row r="2377" spans="1:7" x14ac:dyDescent="0.3">
      <c r="A2377" s="198">
        <v>43972279</v>
      </c>
      <c r="B2377" s="192" t="s">
        <v>2061</v>
      </c>
      <c r="C2377" s="196">
        <v>-352800</v>
      </c>
      <c r="D2377" s="196">
        <v>0</v>
      </c>
      <c r="E2377" s="196">
        <v>0</v>
      </c>
      <c r="F2377" s="196">
        <v>0</v>
      </c>
      <c r="G2377" s="196">
        <v>-352800</v>
      </c>
    </row>
    <row r="2378" spans="1:7" x14ac:dyDescent="0.3">
      <c r="A2378" s="198">
        <v>23803002</v>
      </c>
      <c r="B2378" s="192" t="s">
        <v>2083</v>
      </c>
      <c r="C2378" s="196">
        <v>21122585.149999999</v>
      </c>
      <c r="D2378" s="196">
        <v>0</v>
      </c>
      <c r="E2378" s="196">
        <v>0</v>
      </c>
      <c r="F2378" s="196">
        <v>0</v>
      </c>
      <c r="G2378" s="196">
        <v>21122585.149999999</v>
      </c>
    </row>
    <row r="2379" spans="1:7" x14ac:dyDescent="0.3">
      <c r="A2379" s="198">
        <v>1193166396</v>
      </c>
      <c r="B2379" s="192" t="s">
        <v>1625</v>
      </c>
      <c r="C2379" s="196">
        <v>-3313657</v>
      </c>
      <c r="D2379" s="196">
        <v>0</v>
      </c>
      <c r="E2379" s="196">
        <v>0</v>
      </c>
      <c r="F2379" s="196">
        <v>0</v>
      </c>
      <c r="G2379" s="196">
        <v>-3313657</v>
      </c>
    </row>
    <row r="2380" spans="1:7" x14ac:dyDescent="0.3">
      <c r="A2380" s="198">
        <v>1020423981</v>
      </c>
      <c r="B2380" s="192" t="s">
        <v>2030</v>
      </c>
      <c r="C2380" s="196">
        <v>-1656958</v>
      </c>
      <c r="D2380" s="196">
        <v>0</v>
      </c>
      <c r="E2380" s="196">
        <v>0</v>
      </c>
      <c r="F2380" s="196">
        <v>0</v>
      </c>
      <c r="G2380" s="196">
        <v>-1656958</v>
      </c>
    </row>
    <row r="2381" spans="1:7" x14ac:dyDescent="0.3">
      <c r="A2381" s="198">
        <v>1152689568</v>
      </c>
      <c r="B2381" s="192" t="s">
        <v>1705</v>
      </c>
      <c r="C2381" s="196">
        <v>-99960</v>
      </c>
      <c r="D2381" s="196">
        <v>0</v>
      </c>
      <c r="E2381" s="196">
        <v>0</v>
      </c>
      <c r="F2381" s="196">
        <v>0</v>
      </c>
      <c r="G2381" s="196">
        <v>-99960</v>
      </c>
    </row>
    <row r="2382" spans="1:7" x14ac:dyDescent="0.3">
      <c r="A2382" s="198">
        <v>1037266322</v>
      </c>
      <c r="B2382" s="192" t="s">
        <v>2031</v>
      </c>
      <c r="C2382" s="196">
        <v>-412118</v>
      </c>
      <c r="D2382" s="196">
        <v>0</v>
      </c>
      <c r="E2382" s="196">
        <v>0</v>
      </c>
      <c r="F2382" s="196">
        <v>0</v>
      </c>
      <c r="G2382" s="196">
        <v>-412118</v>
      </c>
    </row>
    <row r="2383" spans="1:7" x14ac:dyDescent="0.3">
      <c r="A2383" s="198">
        <v>1017266622</v>
      </c>
      <c r="B2383" s="192" t="s">
        <v>1707</v>
      </c>
      <c r="C2383" s="196">
        <v>-48021</v>
      </c>
      <c r="D2383" s="196">
        <v>0</v>
      </c>
      <c r="E2383" s="196">
        <v>0</v>
      </c>
      <c r="F2383" s="196">
        <v>0</v>
      </c>
      <c r="G2383" s="196">
        <v>-48021</v>
      </c>
    </row>
    <row r="2384" spans="1:7" x14ac:dyDescent="0.3">
      <c r="A2384" s="198">
        <v>1036641303</v>
      </c>
      <c r="B2384" s="192" t="s">
        <v>2034</v>
      </c>
      <c r="C2384" s="196">
        <v>-1400032</v>
      </c>
      <c r="D2384" s="196">
        <v>0</v>
      </c>
      <c r="E2384" s="196">
        <v>0</v>
      </c>
      <c r="F2384" s="196">
        <v>0</v>
      </c>
      <c r="G2384" s="196">
        <v>-1400032</v>
      </c>
    </row>
    <row r="2385" spans="1:7" x14ac:dyDescent="0.3">
      <c r="A2385" s="198">
        <v>1042458852</v>
      </c>
      <c r="B2385" s="192" t="s">
        <v>1711</v>
      </c>
      <c r="C2385" s="196">
        <v>-2857867</v>
      </c>
      <c r="D2385" s="196">
        <v>0</v>
      </c>
      <c r="E2385" s="196">
        <v>0</v>
      </c>
      <c r="F2385" s="196">
        <v>0</v>
      </c>
      <c r="G2385" s="196">
        <v>-2857867</v>
      </c>
    </row>
    <row r="2386" spans="1:7" x14ac:dyDescent="0.3">
      <c r="A2386" s="198">
        <v>1036679554</v>
      </c>
      <c r="B2386" s="192" t="s">
        <v>2064</v>
      </c>
      <c r="C2386" s="196">
        <v>-157622</v>
      </c>
      <c r="D2386" s="196">
        <v>0</v>
      </c>
      <c r="E2386" s="196">
        <v>0</v>
      </c>
      <c r="F2386" s="196">
        <v>0</v>
      </c>
      <c r="G2386" s="196">
        <v>-157622</v>
      </c>
    </row>
    <row r="2387" spans="1:7" x14ac:dyDescent="0.3">
      <c r="A2387" s="198">
        <v>1152440998</v>
      </c>
      <c r="B2387" s="192" t="s">
        <v>2039</v>
      </c>
      <c r="C2387" s="196">
        <v>-1559077</v>
      </c>
      <c r="D2387" s="196">
        <v>0</v>
      </c>
      <c r="E2387" s="196">
        <v>0</v>
      </c>
      <c r="F2387" s="196">
        <v>0</v>
      </c>
      <c r="G2387" s="196">
        <v>-1559077</v>
      </c>
    </row>
    <row r="2388" spans="1:7" x14ac:dyDescent="0.3">
      <c r="A2388" s="198">
        <v>1020436418</v>
      </c>
      <c r="B2388" s="192" t="s">
        <v>2040</v>
      </c>
      <c r="C2388" s="196">
        <v>-106400</v>
      </c>
      <c r="D2388" s="196">
        <v>0</v>
      </c>
      <c r="E2388" s="196">
        <v>0</v>
      </c>
      <c r="F2388" s="196">
        <v>0</v>
      </c>
      <c r="G2388" s="196">
        <v>-106400</v>
      </c>
    </row>
    <row r="2389" spans="1:7" x14ac:dyDescent="0.3">
      <c r="A2389" s="198">
        <v>1144039609</v>
      </c>
      <c r="B2389" s="192" t="s">
        <v>2041</v>
      </c>
      <c r="C2389" s="196">
        <v>-463279</v>
      </c>
      <c r="D2389" s="196">
        <v>0</v>
      </c>
      <c r="E2389" s="196">
        <v>0</v>
      </c>
      <c r="F2389" s="196">
        <v>0</v>
      </c>
      <c r="G2389" s="196">
        <v>-463279</v>
      </c>
    </row>
    <row r="2390" spans="1:7" x14ac:dyDescent="0.3">
      <c r="A2390" s="198">
        <v>1000646763</v>
      </c>
      <c r="B2390" s="192" t="s">
        <v>2044</v>
      </c>
      <c r="C2390" s="196">
        <v>-1673148</v>
      </c>
      <c r="D2390" s="196">
        <v>0</v>
      </c>
      <c r="E2390" s="196">
        <v>0</v>
      </c>
      <c r="F2390" s="196">
        <v>0</v>
      </c>
      <c r="G2390" s="196">
        <v>-1673148</v>
      </c>
    </row>
    <row r="2391" spans="1:7" x14ac:dyDescent="0.3">
      <c r="A2391" s="198">
        <v>1214732527</v>
      </c>
      <c r="B2391" s="192" t="s">
        <v>1983</v>
      </c>
      <c r="C2391" s="196">
        <v>-2249457</v>
      </c>
      <c r="D2391" s="196">
        <v>0</v>
      </c>
      <c r="E2391" s="196">
        <v>0</v>
      </c>
      <c r="F2391" s="196">
        <v>0</v>
      </c>
      <c r="G2391" s="196">
        <v>-2249457</v>
      </c>
    </row>
    <row r="2392" spans="1:7" x14ac:dyDescent="0.3">
      <c r="A2392" s="198">
        <v>43550437</v>
      </c>
      <c r="B2392" s="192" t="s">
        <v>1936</v>
      </c>
      <c r="C2392" s="196">
        <v>-202564</v>
      </c>
      <c r="D2392" s="196">
        <v>0</v>
      </c>
      <c r="E2392" s="196">
        <v>0</v>
      </c>
      <c r="F2392" s="196">
        <v>0</v>
      </c>
      <c r="G2392" s="196">
        <v>-202564</v>
      </c>
    </row>
    <row r="2393" spans="1:7" x14ac:dyDescent="0.3">
      <c r="A2393" s="198">
        <v>800224808</v>
      </c>
      <c r="B2393" s="192" t="s">
        <v>2084</v>
      </c>
      <c r="C2393" s="196">
        <v>38612029.149999999</v>
      </c>
      <c r="D2393" s="196">
        <v>0</v>
      </c>
      <c r="E2393" s="196">
        <v>0</v>
      </c>
      <c r="F2393" s="196">
        <v>0</v>
      </c>
      <c r="G2393" s="196">
        <v>38612029.149999999</v>
      </c>
    </row>
    <row r="2394" spans="1:7" x14ac:dyDescent="0.3">
      <c r="A2394" s="198">
        <v>1028042115</v>
      </c>
      <c r="B2394" s="192" t="s">
        <v>2067</v>
      </c>
      <c r="C2394" s="196">
        <v>-514884</v>
      </c>
      <c r="D2394" s="196">
        <v>0</v>
      </c>
      <c r="E2394" s="196">
        <v>0</v>
      </c>
      <c r="F2394" s="196">
        <v>0</v>
      </c>
      <c r="G2394" s="196">
        <v>-514884</v>
      </c>
    </row>
    <row r="2395" spans="1:7" x14ac:dyDescent="0.3">
      <c r="A2395" s="198">
        <v>1152207950</v>
      </c>
      <c r="B2395" s="192" t="s">
        <v>2056</v>
      </c>
      <c r="C2395" s="196">
        <v>-726400</v>
      </c>
      <c r="D2395" s="196">
        <v>0</v>
      </c>
      <c r="E2395" s="196">
        <v>0</v>
      </c>
      <c r="F2395" s="196">
        <v>0</v>
      </c>
      <c r="G2395" s="196">
        <v>-726400</v>
      </c>
    </row>
    <row r="2396" spans="1:7" x14ac:dyDescent="0.3">
      <c r="A2396" s="198">
        <v>1027616481</v>
      </c>
      <c r="B2396" s="192" t="s">
        <v>2059</v>
      </c>
      <c r="C2396" s="196">
        <v>-48000</v>
      </c>
      <c r="D2396" s="196">
        <v>0</v>
      </c>
      <c r="E2396" s="196">
        <v>0</v>
      </c>
      <c r="F2396" s="196">
        <v>0</v>
      </c>
      <c r="G2396" s="196">
        <v>-48000</v>
      </c>
    </row>
    <row r="2397" spans="1:7" x14ac:dyDescent="0.3">
      <c r="A2397" s="198">
        <v>23803003</v>
      </c>
      <c r="B2397" s="192" t="s">
        <v>2085</v>
      </c>
      <c r="C2397" s="196">
        <v>-66633921</v>
      </c>
      <c r="D2397" s="196">
        <v>0</v>
      </c>
      <c r="E2397" s="196">
        <v>26023811</v>
      </c>
      <c r="F2397" s="196">
        <v>-26023811</v>
      </c>
      <c r="G2397" s="196">
        <v>-92657732</v>
      </c>
    </row>
    <row r="2398" spans="1:7" x14ac:dyDescent="0.3">
      <c r="A2398" s="198">
        <v>900336004</v>
      </c>
      <c r="B2398" s="192" t="s">
        <v>2086</v>
      </c>
      <c r="C2398" s="196">
        <v>4802184</v>
      </c>
      <c r="D2398" s="196">
        <v>0</v>
      </c>
      <c r="E2398" s="196">
        <v>7700900</v>
      </c>
      <c r="F2398" s="196">
        <v>-7700900</v>
      </c>
      <c r="G2398" s="196">
        <v>-2898716</v>
      </c>
    </row>
    <row r="2399" spans="1:7" x14ac:dyDescent="0.3">
      <c r="A2399" s="198">
        <v>43685485</v>
      </c>
      <c r="B2399" s="192" t="s">
        <v>2028</v>
      </c>
      <c r="C2399" s="196">
        <v>-440000</v>
      </c>
      <c r="D2399" s="196">
        <v>0</v>
      </c>
      <c r="E2399" s="196">
        <v>0</v>
      </c>
      <c r="F2399" s="196">
        <v>0</v>
      </c>
      <c r="G2399" s="196">
        <v>-440000</v>
      </c>
    </row>
    <row r="2400" spans="1:7" x14ac:dyDescent="0.3">
      <c r="A2400" s="198">
        <v>32144343</v>
      </c>
      <c r="B2400" s="192" t="s">
        <v>1706</v>
      </c>
      <c r="C2400" s="196">
        <v>-934595</v>
      </c>
      <c r="D2400" s="196">
        <v>0</v>
      </c>
      <c r="E2400" s="196">
        <v>0</v>
      </c>
      <c r="F2400" s="196">
        <v>0</v>
      </c>
      <c r="G2400" s="196">
        <v>-934595</v>
      </c>
    </row>
    <row r="2401" spans="1:7" x14ac:dyDescent="0.3">
      <c r="A2401" s="198">
        <v>800227940</v>
      </c>
      <c r="B2401" s="192" t="s">
        <v>2087</v>
      </c>
      <c r="C2401" s="196">
        <v>-6642532</v>
      </c>
      <c r="D2401" s="196">
        <v>0</v>
      </c>
      <c r="E2401" s="196">
        <v>1971800</v>
      </c>
      <c r="F2401" s="196">
        <v>-1971800</v>
      </c>
      <c r="G2401" s="196">
        <v>-8614332</v>
      </c>
    </row>
    <row r="2402" spans="1:7" x14ac:dyDescent="0.3">
      <c r="A2402" s="198">
        <v>1037583982</v>
      </c>
      <c r="B2402" s="192" t="s">
        <v>1798</v>
      </c>
      <c r="C2402" s="196">
        <v>-2499198</v>
      </c>
      <c r="D2402" s="196">
        <v>0</v>
      </c>
      <c r="E2402" s="196">
        <v>0</v>
      </c>
      <c r="F2402" s="196">
        <v>0</v>
      </c>
      <c r="G2402" s="196">
        <v>-2499198</v>
      </c>
    </row>
    <row r="2403" spans="1:7" x14ac:dyDescent="0.3">
      <c r="A2403" s="198">
        <v>1041229735</v>
      </c>
      <c r="B2403" s="192" t="s">
        <v>2033</v>
      </c>
      <c r="C2403" s="196">
        <v>-1173002</v>
      </c>
      <c r="D2403" s="196">
        <v>0</v>
      </c>
      <c r="E2403" s="196">
        <v>0</v>
      </c>
      <c r="F2403" s="196">
        <v>0</v>
      </c>
      <c r="G2403" s="196">
        <v>-1173002</v>
      </c>
    </row>
    <row r="2404" spans="1:7" x14ac:dyDescent="0.3">
      <c r="A2404" s="198">
        <v>1037570707</v>
      </c>
      <c r="B2404" s="192" t="s">
        <v>1677</v>
      </c>
      <c r="C2404" s="196">
        <v>-1398461</v>
      </c>
      <c r="D2404" s="196">
        <v>0</v>
      </c>
      <c r="E2404" s="196">
        <v>0</v>
      </c>
      <c r="F2404" s="196">
        <v>0</v>
      </c>
      <c r="G2404" s="196">
        <v>-1398461</v>
      </c>
    </row>
    <row r="2405" spans="1:7" x14ac:dyDescent="0.3">
      <c r="A2405" s="198">
        <v>43190602</v>
      </c>
      <c r="B2405" s="192" t="s">
        <v>1708</v>
      </c>
      <c r="C2405" s="196">
        <v>-1029547</v>
      </c>
      <c r="D2405" s="196">
        <v>0</v>
      </c>
      <c r="E2405" s="196">
        <v>0</v>
      </c>
      <c r="F2405" s="196">
        <v>0</v>
      </c>
      <c r="G2405" s="196">
        <v>-1029547</v>
      </c>
    </row>
    <row r="2406" spans="1:7" x14ac:dyDescent="0.3">
      <c r="A2406" s="198">
        <v>43605890</v>
      </c>
      <c r="B2406" s="192" t="s">
        <v>565</v>
      </c>
      <c r="C2406" s="196">
        <v>-2814250</v>
      </c>
      <c r="D2406" s="196">
        <v>0</v>
      </c>
      <c r="E2406" s="196">
        <v>0</v>
      </c>
      <c r="F2406" s="196">
        <v>0</v>
      </c>
      <c r="G2406" s="196">
        <v>-2814250</v>
      </c>
    </row>
    <row r="2407" spans="1:7" x14ac:dyDescent="0.3">
      <c r="A2407" s="198">
        <v>1036685923</v>
      </c>
      <c r="B2407" s="192" t="s">
        <v>1710</v>
      </c>
      <c r="C2407" s="196">
        <v>-1335200</v>
      </c>
      <c r="D2407" s="196">
        <v>0</v>
      </c>
      <c r="E2407" s="196">
        <v>0</v>
      </c>
      <c r="F2407" s="196">
        <v>0</v>
      </c>
      <c r="G2407" s="196">
        <v>-1335200</v>
      </c>
    </row>
    <row r="2408" spans="1:7" x14ac:dyDescent="0.3">
      <c r="A2408" s="198">
        <v>1093744869</v>
      </c>
      <c r="B2408" s="192" t="s">
        <v>1906</v>
      </c>
      <c r="C2408" s="196">
        <v>-364416</v>
      </c>
      <c r="D2408" s="196">
        <v>0</v>
      </c>
      <c r="E2408" s="196">
        <v>0</v>
      </c>
      <c r="F2408" s="196">
        <v>0</v>
      </c>
      <c r="G2408" s="196">
        <v>-364416</v>
      </c>
    </row>
    <row r="2409" spans="1:7" x14ac:dyDescent="0.3">
      <c r="A2409" s="198">
        <v>32554996</v>
      </c>
      <c r="B2409" s="192" t="s">
        <v>2045</v>
      </c>
      <c r="C2409" s="196">
        <v>-19200</v>
      </c>
      <c r="D2409" s="196">
        <v>0</v>
      </c>
      <c r="E2409" s="196">
        <v>0</v>
      </c>
      <c r="F2409" s="196">
        <v>0</v>
      </c>
      <c r="G2409" s="196">
        <v>-19200</v>
      </c>
    </row>
    <row r="2410" spans="1:7" x14ac:dyDescent="0.3">
      <c r="A2410" s="198">
        <v>43843451</v>
      </c>
      <c r="B2410" s="192" t="s">
        <v>2048</v>
      </c>
      <c r="C2410" s="196">
        <v>-512728</v>
      </c>
      <c r="D2410" s="196">
        <v>0</v>
      </c>
      <c r="E2410" s="196">
        <v>0</v>
      </c>
      <c r="F2410" s="196">
        <v>0</v>
      </c>
      <c r="G2410" s="196">
        <v>-512728</v>
      </c>
    </row>
    <row r="2411" spans="1:7" x14ac:dyDescent="0.3">
      <c r="A2411" s="198">
        <v>1017284611</v>
      </c>
      <c r="B2411" s="192" t="s">
        <v>1715</v>
      </c>
      <c r="C2411" s="196">
        <v>-1088938</v>
      </c>
      <c r="D2411" s="196">
        <v>0</v>
      </c>
      <c r="E2411" s="196">
        <v>0</v>
      </c>
      <c r="F2411" s="196">
        <v>0</v>
      </c>
      <c r="G2411" s="196">
        <v>-1088938</v>
      </c>
    </row>
    <row r="2412" spans="1:7" x14ac:dyDescent="0.3">
      <c r="A2412" s="198">
        <v>1127941794</v>
      </c>
      <c r="B2412" s="192" t="s">
        <v>1274</v>
      </c>
      <c r="C2412" s="196">
        <v>-540000</v>
      </c>
      <c r="D2412" s="196">
        <v>0</v>
      </c>
      <c r="E2412" s="196">
        <v>0</v>
      </c>
      <c r="F2412" s="196">
        <v>0</v>
      </c>
      <c r="G2412" s="196">
        <v>-540000</v>
      </c>
    </row>
    <row r="2413" spans="1:7" x14ac:dyDescent="0.3">
      <c r="A2413" s="198">
        <v>800224808</v>
      </c>
      <c r="B2413" s="192" t="s">
        <v>2084</v>
      </c>
      <c r="C2413" s="196">
        <v>-19490758</v>
      </c>
      <c r="D2413" s="196">
        <v>0</v>
      </c>
      <c r="E2413" s="196">
        <v>6639500</v>
      </c>
      <c r="F2413" s="196">
        <v>-6639500</v>
      </c>
      <c r="G2413" s="196">
        <v>-26130258</v>
      </c>
    </row>
    <row r="2414" spans="1:7" x14ac:dyDescent="0.3">
      <c r="A2414" s="198">
        <v>800229739</v>
      </c>
      <c r="B2414" s="192" t="s">
        <v>2079</v>
      </c>
      <c r="C2414" s="196">
        <v>-27390555</v>
      </c>
      <c r="D2414" s="196">
        <v>0</v>
      </c>
      <c r="E2414" s="196">
        <v>9711611</v>
      </c>
      <c r="F2414" s="196">
        <v>-9711611</v>
      </c>
      <c r="G2414" s="196">
        <v>-37102166</v>
      </c>
    </row>
    <row r="2415" spans="1:7" x14ac:dyDescent="0.3">
      <c r="A2415" s="198">
        <v>809106</v>
      </c>
      <c r="B2415" s="192" t="s">
        <v>1680</v>
      </c>
      <c r="C2415" s="196">
        <v>-31200</v>
      </c>
      <c r="D2415" s="196">
        <v>0</v>
      </c>
      <c r="E2415" s="196">
        <v>0</v>
      </c>
      <c r="F2415" s="196">
        <v>0</v>
      </c>
      <c r="G2415" s="196">
        <v>-31200</v>
      </c>
    </row>
    <row r="2416" spans="1:7" x14ac:dyDescent="0.3">
      <c r="A2416" s="198">
        <v>1017184852</v>
      </c>
      <c r="B2416" s="192" t="s">
        <v>1716</v>
      </c>
      <c r="C2416" s="196">
        <v>-229313</v>
      </c>
      <c r="D2416" s="196">
        <v>0</v>
      </c>
      <c r="E2416" s="196">
        <v>0</v>
      </c>
      <c r="F2416" s="196">
        <v>0</v>
      </c>
      <c r="G2416" s="196">
        <v>-229313</v>
      </c>
    </row>
    <row r="2417" spans="1:7" x14ac:dyDescent="0.3">
      <c r="A2417" s="198">
        <v>1001764247</v>
      </c>
      <c r="B2417" s="192" t="s">
        <v>2057</v>
      </c>
      <c r="C2417" s="196">
        <v>-1636319</v>
      </c>
      <c r="D2417" s="196">
        <v>0</v>
      </c>
      <c r="E2417" s="196">
        <v>0</v>
      </c>
      <c r="F2417" s="196">
        <v>0</v>
      </c>
      <c r="G2417" s="196">
        <v>-1636319</v>
      </c>
    </row>
    <row r="2418" spans="1:7" x14ac:dyDescent="0.3">
      <c r="A2418" s="198">
        <v>1001510696</v>
      </c>
      <c r="B2418" s="192" t="s">
        <v>2062</v>
      </c>
      <c r="C2418" s="196">
        <v>-1865893</v>
      </c>
      <c r="D2418" s="196">
        <v>0</v>
      </c>
      <c r="E2418" s="196">
        <v>0</v>
      </c>
      <c r="F2418" s="196">
        <v>0</v>
      </c>
      <c r="G2418" s="196">
        <v>-1865893</v>
      </c>
    </row>
    <row r="2419" spans="1:7" x14ac:dyDescent="0.3">
      <c r="A2419" s="198">
        <v>23803004</v>
      </c>
      <c r="B2419" s="192" t="s">
        <v>2088</v>
      </c>
      <c r="C2419" s="196">
        <v>1839932</v>
      </c>
      <c r="D2419" s="196">
        <v>0</v>
      </c>
      <c r="E2419" s="196">
        <v>0</v>
      </c>
      <c r="F2419" s="196">
        <v>0</v>
      </c>
      <c r="G2419" s="196">
        <v>1839932</v>
      </c>
    </row>
    <row r="2420" spans="1:7" x14ac:dyDescent="0.3">
      <c r="A2420" s="198">
        <v>800227940</v>
      </c>
      <c r="B2420" s="192" t="s">
        <v>2087</v>
      </c>
      <c r="C2420" s="196">
        <v>6987152</v>
      </c>
      <c r="D2420" s="196">
        <v>0</v>
      </c>
      <c r="E2420" s="196">
        <v>0</v>
      </c>
      <c r="F2420" s="196">
        <v>0</v>
      </c>
      <c r="G2420" s="196">
        <v>6987152</v>
      </c>
    </row>
    <row r="2421" spans="1:7" x14ac:dyDescent="0.3">
      <c r="A2421" s="198">
        <v>1216716838</v>
      </c>
      <c r="B2421" s="192" t="s">
        <v>2036</v>
      </c>
      <c r="C2421" s="196">
        <v>-1025600</v>
      </c>
      <c r="D2421" s="196">
        <v>0</v>
      </c>
      <c r="E2421" s="196">
        <v>0</v>
      </c>
      <c r="F2421" s="196">
        <v>0</v>
      </c>
      <c r="G2421" s="196">
        <v>-1025600</v>
      </c>
    </row>
    <row r="2422" spans="1:7" x14ac:dyDescent="0.3">
      <c r="A2422" s="198">
        <v>71526513</v>
      </c>
      <c r="B2422" s="192" t="s">
        <v>1643</v>
      </c>
      <c r="C2422" s="196">
        <v>-2050517</v>
      </c>
      <c r="D2422" s="196">
        <v>0</v>
      </c>
      <c r="E2422" s="196">
        <v>0</v>
      </c>
      <c r="F2422" s="196">
        <v>0</v>
      </c>
      <c r="G2422" s="196">
        <v>-2050517</v>
      </c>
    </row>
    <row r="2423" spans="1:7" x14ac:dyDescent="0.3">
      <c r="A2423" s="198">
        <v>1037636353</v>
      </c>
      <c r="B2423" s="192" t="s">
        <v>2042</v>
      </c>
      <c r="C2423" s="196">
        <v>-486400</v>
      </c>
      <c r="D2423" s="196">
        <v>0</v>
      </c>
      <c r="E2423" s="196">
        <v>0</v>
      </c>
      <c r="F2423" s="196">
        <v>0</v>
      </c>
      <c r="G2423" s="196">
        <v>-486400</v>
      </c>
    </row>
    <row r="2424" spans="1:7" x14ac:dyDescent="0.3">
      <c r="A2424" s="198">
        <v>1128385262</v>
      </c>
      <c r="B2424" s="192" t="s">
        <v>1714</v>
      </c>
      <c r="C2424" s="196">
        <v>-824478</v>
      </c>
      <c r="D2424" s="196">
        <v>0</v>
      </c>
      <c r="E2424" s="196">
        <v>0</v>
      </c>
      <c r="F2424" s="196">
        <v>0</v>
      </c>
      <c r="G2424" s="196">
        <v>-824478</v>
      </c>
    </row>
    <row r="2425" spans="1:7" x14ac:dyDescent="0.3">
      <c r="A2425" s="198">
        <v>32299587</v>
      </c>
      <c r="B2425" s="192" t="s">
        <v>2060</v>
      </c>
      <c r="C2425" s="196">
        <v>-760225</v>
      </c>
      <c r="D2425" s="196">
        <v>0</v>
      </c>
      <c r="E2425" s="196">
        <v>0</v>
      </c>
      <c r="F2425" s="196">
        <v>0</v>
      </c>
      <c r="G2425" s="196">
        <v>-760225</v>
      </c>
    </row>
    <row r="2426" spans="1:7" x14ac:dyDescent="0.3">
      <c r="A2426" s="198">
        <v>23809502</v>
      </c>
      <c r="B2426" s="192" t="s">
        <v>2089</v>
      </c>
      <c r="C2426" s="196">
        <v>62940</v>
      </c>
      <c r="D2426" s="196">
        <v>0</v>
      </c>
      <c r="E2426" s="196">
        <v>0</v>
      </c>
      <c r="F2426" s="196">
        <v>0</v>
      </c>
      <c r="G2426" s="196">
        <v>62940</v>
      </c>
    </row>
    <row r="2427" spans="1:7" x14ac:dyDescent="0.3">
      <c r="A2427" s="198">
        <v>900755062</v>
      </c>
      <c r="B2427" s="192" t="s">
        <v>1700</v>
      </c>
      <c r="C2427" s="196">
        <v>12940</v>
      </c>
      <c r="D2427" s="196">
        <v>0</v>
      </c>
      <c r="E2427" s="196">
        <v>0</v>
      </c>
      <c r="F2427" s="196">
        <v>0</v>
      </c>
      <c r="G2427" s="196">
        <v>12940</v>
      </c>
    </row>
    <row r="2428" spans="1:7" x14ac:dyDescent="0.3">
      <c r="A2428" s="198">
        <v>1028042115</v>
      </c>
      <c r="B2428" s="192" t="s">
        <v>2067</v>
      </c>
      <c r="C2428" s="196">
        <v>50000</v>
      </c>
      <c r="D2428" s="196">
        <v>0</v>
      </c>
      <c r="E2428" s="196">
        <v>0</v>
      </c>
      <c r="F2428" s="196">
        <v>0</v>
      </c>
      <c r="G2428" s="196">
        <v>50000</v>
      </c>
    </row>
    <row r="2429" spans="1:7" x14ac:dyDescent="0.3">
      <c r="A2429" s="197">
        <v>28095</v>
      </c>
      <c r="B2429" s="191" t="s">
        <v>2090</v>
      </c>
      <c r="C2429" s="195">
        <v>0.4</v>
      </c>
      <c r="D2429" s="195">
        <v>0</v>
      </c>
      <c r="E2429" s="195">
        <v>0</v>
      </c>
      <c r="F2429" s="195">
        <v>0</v>
      </c>
      <c r="G2429" s="195">
        <v>0.4</v>
      </c>
    </row>
    <row r="2430" spans="1:7" x14ac:dyDescent="0.3">
      <c r="A2430" s="198">
        <v>23809501</v>
      </c>
      <c r="B2430" s="192" t="s">
        <v>2091</v>
      </c>
      <c r="C2430" s="196">
        <v>0.4</v>
      </c>
      <c r="D2430" s="196">
        <v>0</v>
      </c>
      <c r="E2430" s="196">
        <v>0</v>
      </c>
      <c r="F2430" s="196">
        <v>0</v>
      </c>
      <c r="G2430" s="196">
        <v>0.4</v>
      </c>
    </row>
    <row r="2431" spans="1:7" x14ac:dyDescent="0.3">
      <c r="A2431" s="198">
        <v>1037573974</v>
      </c>
      <c r="B2431" s="192" t="s">
        <v>1909</v>
      </c>
      <c r="C2431" s="196">
        <v>0.4</v>
      </c>
      <c r="D2431" s="196">
        <v>0</v>
      </c>
      <c r="E2431" s="196">
        <v>0</v>
      </c>
      <c r="F2431" s="196">
        <v>0</v>
      </c>
      <c r="G2431" s="196">
        <v>0.4</v>
      </c>
    </row>
    <row r="2432" spans="1:7" x14ac:dyDescent="0.3">
      <c r="A2432" s="197">
        <v>24</v>
      </c>
      <c r="B2432" s="191" t="s">
        <v>2092</v>
      </c>
      <c r="C2432" s="195">
        <v>-386705450</v>
      </c>
      <c r="D2432" s="195">
        <v>0</v>
      </c>
      <c r="E2432" s="195">
        <v>7369240</v>
      </c>
      <c r="F2432" s="195">
        <v>-7369240</v>
      </c>
      <c r="G2432" s="195">
        <v>-394074690</v>
      </c>
    </row>
    <row r="2433" spans="1:7" x14ac:dyDescent="0.3">
      <c r="A2433" s="197">
        <v>2404</v>
      </c>
      <c r="B2433" s="191" t="s">
        <v>2093</v>
      </c>
      <c r="C2433" s="195">
        <v>-386705450</v>
      </c>
      <c r="D2433" s="195">
        <v>0</v>
      </c>
      <c r="E2433" s="195">
        <v>7369240</v>
      </c>
      <c r="F2433" s="195">
        <v>-7369240</v>
      </c>
      <c r="G2433" s="195">
        <v>-394074690</v>
      </c>
    </row>
    <row r="2434" spans="1:7" x14ac:dyDescent="0.3">
      <c r="A2434" s="197">
        <v>240405</v>
      </c>
      <c r="B2434" s="191" t="s">
        <v>2093</v>
      </c>
      <c r="C2434" s="195">
        <v>-386705450</v>
      </c>
      <c r="D2434" s="195">
        <v>0</v>
      </c>
      <c r="E2434" s="195">
        <v>7369240</v>
      </c>
      <c r="F2434" s="195">
        <v>-7369240</v>
      </c>
      <c r="G2434" s="195">
        <v>-394074690</v>
      </c>
    </row>
    <row r="2435" spans="1:7" x14ac:dyDescent="0.3">
      <c r="A2435" s="198">
        <v>24040501</v>
      </c>
      <c r="B2435" s="192" t="s">
        <v>2094</v>
      </c>
      <c r="C2435" s="196">
        <v>-386705450</v>
      </c>
      <c r="D2435" s="196">
        <v>0</v>
      </c>
      <c r="E2435" s="196">
        <v>7369240</v>
      </c>
      <c r="F2435" s="196">
        <v>-7369240</v>
      </c>
      <c r="G2435" s="196">
        <v>-394074690</v>
      </c>
    </row>
    <row r="2436" spans="1:7" x14ac:dyDescent="0.3">
      <c r="A2436" s="197">
        <v>2408</v>
      </c>
      <c r="B2436" s="191" t="s">
        <v>2095</v>
      </c>
      <c r="C2436" s="195">
        <v>0</v>
      </c>
      <c r="D2436" s="195">
        <v>0</v>
      </c>
      <c r="E2436" s="195">
        <v>0</v>
      </c>
      <c r="F2436" s="195">
        <v>0</v>
      </c>
      <c r="G2436" s="195">
        <v>0</v>
      </c>
    </row>
    <row r="2437" spans="1:7" x14ac:dyDescent="0.3">
      <c r="A2437" s="197">
        <v>240801</v>
      </c>
      <c r="B2437" s="191" t="s">
        <v>2096</v>
      </c>
      <c r="C2437" s="195">
        <v>-9206772.0299999993</v>
      </c>
      <c r="D2437" s="195">
        <v>0</v>
      </c>
      <c r="E2437" s="195">
        <v>0</v>
      </c>
      <c r="F2437" s="195">
        <v>0</v>
      </c>
      <c r="G2437" s="195">
        <v>-9206772.0299999993</v>
      </c>
    </row>
    <row r="2438" spans="1:7" x14ac:dyDescent="0.3">
      <c r="A2438" s="198">
        <v>24080101</v>
      </c>
      <c r="B2438" s="192" t="s">
        <v>2097</v>
      </c>
      <c r="C2438" s="196">
        <v>-9331708.8699999992</v>
      </c>
      <c r="D2438" s="196">
        <v>0</v>
      </c>
      <c r="E2438" s="196">
        <v>0</v>
      </c>
      <c r="F2438" s="196">
        <v>0</v>
      </c>
      <c r="G2438" s="196">
        <v>-9331708.8699999992</v>
      </c>
    </row>
    <row r="2439" spans="1:7" x14ac:dyDescent="0.3">
      <c r="A2439" s="198">
        <v>370322</v>
      </c>
      <c r="B2439" s="192" t="s">
        <v>2098</v>
      </c>
      <c r="C2439" s="196">
        <v>-139865.54999999999</v>
      </c>
      <c r="D2439" s="196">
        <v>0</v>
      </c>
      <c r="E2439" s="196">
        <v>0</v>
      </c>
      <c r="F2439" s="196">
        <v>0</v>
      </c>
      <c r="G2439" s="196">
        <v>-139865.54999999999</v>
      </c>
    </row>
    <row r="2440" spans="1:7" x14ac:dyDescent="0.3">
      <c r="A2440" s="198">
        <v>31948684</v>
      </c>
      <c r="B2440" s="192" t="s">
        <v>165</v>
      </c>
      <c r="C2440" s="196">
        <v>-46001.01</v>
      </c>
      <c r="D2440" s="196">
        <v>0</v>
      </c>
      <c r="E2440" s="196">
        <v>0</v>
      </c>
      <c r="F2440" s="196">
        <v>0</v>
      </c>
      <c r="G2440" s="196">
        <v>-46001.01</v>
      </c>
    </row>
    <row r="2441" spans="1:7" x14ac:dyDescent="0.3">
      <c r="A2441" s="198">
        <v>43627139</v>
      </c>
      <c r="B2441" s="192" t="s">
        <v>2099</v>
      </c>
      <c r="C2441" s="196">
        <v>-137310.92000000001</v>
      </c>
      <c r="D2441" s="196">
        <v>0</v>
      </c>
      <c r="E2441" s="196">
        <v>0</v>
      </c>
      <c r="F2441" s="196">
        <v>0</v>
      </c>
      <c r="G2441" s="196">
        <v>-137310.92000000001</v>
      </c>
    </row>
    <row r="2442" spans="1:7" x14ac:dyDescent="0.3">
      <c r="A2442" s="198">
        <v>43821030</v>
      </c>
      <c r="B2442" s="192" t="s">
        <v>2100</v>
      </c>
      <c r="C2442" s="196">
        <v>-72071.31</v>
      </c>
      <c r="D2442" s="196">
        <v>0</v>
      </c>
      <c r="E2442" s="196">
        <v>0</v>
      </c>
      <c r="F2442" s="196">
        <v>0</v>
      </c>
      <c r="G2442" s="196">
        <v>-72071.31</v>
      </c>
    </row>
    <row r="2443" spans="1:7" x14ac:dyDescent="0.3">
      <c r="A2443" s="198">
        <v>39433761</v>
      </c>
      <c r="B2443" s="192" t="s">
        <v>2101</v>
      </c>
      <c r="C2443" s="196">
        <v>-16285.72</v>
      </c>
      <c r="D2443" s="196">
        <v>0</v>
      </c>
      <c r="E2443" s="196">
        <v>0</v>
      </c>
      <c r="F2443" s="196">
        <v>0</v>
      </c>
      <c r="G2443" s="196">
        <v>-16285.72</v>
      </c>
    </row>
    <row r="2444" spans="1:7" x14ac:dyDescent="0.3">
      <c r="A2444" s="198">
        <v>1000591330</v>
      </c>
      <c r="B2444" s="192" t="s">
        <v>2102</v>
      </c>
      <c r="C2444" s="196">
        <v>-15966.39</v>
      </c>
      <c r="D2444" s="196">
        <v>0</v>
      </c>
      <c r="E2444" s="196">
        <v>0</v>
      </c>
      <c r="F2444" s="196">
        <v>0</v>
      </c>
      <c r="G2444" s="196">
        <v>-15966.39</v>
      </c>
    </row>
    <row r="2445" spans="1:7" x14ac:dyDescent="0.3">
      <c r="A2445" s="198">
        <v>23750889</v>
      </c>
      <c r="B2445" s="192" t="s">
        <v>2103</v>
      </c>
      <c r="C2445" s="196">
        <v>-81973.13</v>
      </c>
      <c r="D2445" s="196">
        <v>0</v>
      </c>
      <c r="E2445" s="196">
        <v>0</v>
      </c>
      <c r="F2445" s="196">
        <v>0</v>
      </c>
      <c r="G2445" s="196">
        <v>-81973.13</v>
      </c>
    </row>
    <row r="2446" spans="1:7" x14ac:dyDescent="0.3">
      <c r="A2446" s="198">
        <v>8407934</v>
      </c>
      <c r="B2446" s="192" t="s">
        <v>2104</v>
      </c>
      <c r="C2446" s="196">
        <v>-107493.16</v>
      </c>
      <c r="D2446" s="196">
        <v>0</v>
      </c>
      <c r="E2446" s="196">
        <v>0</v>
      </c>
      <c r="F2446" s="196">
        <v>0</v>
      </c>
      <c r="G2446" s="196">
        <v>-107493.16</v>
      </c>
    </row>
    <row r="2447" spans="1:7" x14ac:dyDescent="0.3">
      <c r="A2447" s="198">
        <v>380507</v>
      </c>
      <c r="B2447" s="192" t="s">
        <v>2105</v>
      </c>
      <c r="C2447" s="196">
        <v>-57000</v>
      </c>
      <c r="D2447" s="196">
        <v>0</v>
      </c>
      <c r="E2447" s="196">
        <v>0</v>
      </c>
      <c r="F2447" s="196">
        <v>0</v>
      </c>
      <c r="G2447" s="196">
        <v>-57000</v>
      </c>
    </row>
    <row r="2448" spans="1:7" x14ac:dyDescent="0.3">
      <c r="A2448" s="198">
        <v>1023654860</v>
      </c>
      <c r="B2448" s="192" t="s">
        <v>2106</v>
      </c>
      <c r="C2448" s="196">
        <v>-32664.83</v>
      </c>
      <c r="D2448" s="196">
        <v>0</v>
      </c>
      <c r="E2448" s="196">
        <v>0</v>
      </c>
      <c r="F2448" s="196">
        <v>0</v>
      </c>
      <c r="G2448" s="196">
        <v>-32664.83</v>
      </c>
    </row>
    <row r="2449" spans="1:7" x14ac:dyDescent="0.3">
      <c r="A2449" s="198">
        <v>1027663463</v>
      </c>
      <c r="B2449" s="192" t="s">
        <v>2107</v>
      </c>
      <c r="C2449" s="196">
        <v>-46111.58</v>
      </c>
      <c r="D2449" s="196">
        <v>0</v>
      </c>
      <c r="E2449" s="196">
        <v>0</v>
      </c>
      <c r="F2449" s="196">
        <v>0</v>
      </c>
      <c r="G2449" s="196">
        <v>-46111.58</v>
      </c>
    </row>
    <row r="2450" spans="1:7" x14ac:dyDescent="0.3">
      <c r="A2450" s="198">
        <v>1090454652</v>
      </c>
      <c r="B2450" s="192" t="s">
        <v>2108</v>
      </c>
      <c r="C2450" s="196">
        <v>-52443.28</v>
      </c>
      <c r="D2450" s="196">
        <v>0</v>
      </c>
      <c r="E2450" s="196">
        <v>0</v>
      </c>
      <c r="F2450" s="196">
        <v>0</v>
      </c>
      <c r="G2450" s="196">
        <v>-52443.28</v>
      </c>
    </row>
    <row r="2451" spans="1:7" x14ac:dyDescent="0.3">
      <c r="A2451" s="198">
        <v>719645</v>
      </c>
      <c r="B2451" s="192" t="s">
        <v>2109</v>
      </c>
      <c r="C2451" s="196">
        <v>-177705.88</v>
      </c>
      <c r="D2451" s="196">
        <v>0</v>
      </c>
      <c r="E2451" s="196">
        <v>0</v>
      </c>
      <c r="F2451" s="196">
        <v>0</v>
      </c>
      <c r="G2451" s="196">
        <v>-177705.88</v>
      </c>
    </row>
    <row r="2452" spans="1:7" x14ac:dyDescent="0.3">
      <c r="A2452" s="198">
        <v>1033430</v>
      </c>
      <c r="B2452" s="192" t="s">
        <v>2110</v>
      </c>
      <c r="C2452" s="196">
        <v>-34884</v>
      </c>
      <c r="D2452" s="196">
        <v>0</v>
      </c>
      <c r="E2452" s="196">
        <v>0</v>
      </c>
      <c r="F2452" s="196">
        <v>0</v>
      </c>
      <c r="G2452" s="196">
        <v>-34884</v>
      </c>
    </row>
    <row r="2453" spans="1:7" x14ac:dyDescent="0.3">
      <c r="A2453" s="198">
        <v>1038116953</v>
      </c>
      <c r="B2453" s="192" t="s">
        <v>2111</v>
      </c>
      <c r="C2453" s="196">
        <v>-116437</v>
      </c>
      <c r="D2453" s="196">
        <v>0</v>
      </c>
      <c r="E2453" s="196">
        <v>0</v>
      </c>
      <c r="F2453" s="196">
        <v>0</v>
      </c>
      <c r="G2453" s="196">
        <v>-116437</v>
      </c>
    </row>
    <row r="2454" spans="1:7" x14ac:dyDescent="0.3">
      <c r="A2454" s="198">
        <v>830064723</v>
      </c>
      <c r="B2454" s="192" t="s">
        <v>2112</v>
      </c>
      <c r="C2454" s="196">
        <v>-14250</v>
      </c>
      <c r="D2454" s="196">
        <v>0</v>
      </c>
      <c r="E2454" s="196">
        <v>0</v>
      </c>
      <c r="F2454" s="196">
        <v>0</v>
      </c>
      <c r="G2454" s="196">
        <v>-14250</v>
      </c>
    </row>
    <row r="2455" spans="1:7" x14ac:dyDescent="0.3">
      <c r="A2455" s="198">
        <v>43908982</v>
      </c>
      <c r="B2455" s="192" t="s">
        <v>2113</v>
      </c>
      <c r="C2455" s="196">
        <v>-15428</v>
      </c>
      <c r="D2455" s="196">
        <v>0</v>
      </c>
      <c r="E2455" s="196">
        <v>0</v>
      </c>
      <c r="F2455" s="196">
        <v>0</v>
      </c>
      <c r="G2455" s="196">
        <v>-15428</v>
      </c>
    </row>
    <row r="2456" spans="1:7" x14ac:dyDescent="0.3">
      <c r="A2456" s="198">
        <v>43074859</v>
      </c>
      <c r="B2456" s="192" t="s">
        <v>2114</v>
      </c>
      <c r="C2456" s="196">
        <v>-24225</v>
      </c>
      <c r="D2456" s="196">
        <v>0</v>
      </c>
      <c r="E2456" s="196">
        <v>0</v>
      </c>
      <c r="F2456" s="196">
        <v>0</v>
      </c>
      <c r="G2456" s="196">
        <v>-24225</v>
      </c>
    </row>
    <row r="2457" spans="1:7" x14ac:dyDescent="0.3">
      <c r="A2457" s="198">
        <v>1007702533</v>
      </c>
      <c r="B2457" s="192" t="s">
        <v>2115</v>
      </c>
      <c r="C2457" s="196">
        <v>-94307.11</v>
      </c>
      <c r="D2457" s="196">
        <v>0</v>
      </c>
      <c r="E2457" s="196">
        <v>0</v>
      </c>
      <c r="F2457" s="196">
        <v>0</v>
      </c>
      <c r="G2457" s="196">
        <v>-94307.11</v>
      </c>
    </row>
    <row r="2458" spans="1:7" x14ac:dyDescent="0.3">
      <c r="A2458" s="198">
        <v>830510787</v>
      </c>
      <c r="B2458" s="192" t="s">
        <v>2116</v>
      </c>
      <c r="C2458" s="196">
        <v>-95798.32</v>
      </c>
      <c r="D2458" s="196">
        <v>0</v>
      </c>
      <c r="E2458" s="196">
        <v>0</v>
      </c>
      <c r="F2458" s="196">
        <v>0</v>
      </c>
      <c r="G2458" s="196">
        <v>-95798.32</v>
      </c>
    </row>
    <row r="2459" spans="1:7" x14ac:dyDescent="0.3">
      <c r="A2459" s="198">
        <v>380398</v>
      </c>
      <c r="B2459" s="192" t="s">
        <v>2117</v>
      </c>
      <c r="C2459" s="196">
        <v>-24825.78</v>
      </c>
      <c r="D2459" s="196">
        <v>0</v>
      </c>
      <c r="E2459" s="196">
        <v>0</v>
      </c>
      <c r="F2459" s="196">
        <v>0</v>
      </c>
      <c r="G2459" s="196">
        <v>-24825.78</v>
      </c>
    </row>
    <row r="2460" spans="1:7" x14ac:dyDescent="0.3">
      <c r="A2460" s="198">
        <v>1020322363</v>
      </c>
      <c r="B2460" s="192" t="s">
        <v>2118</v>
      </c>
      <c r="C2460" s="196">
        <v>-10218.48</v>
      </c>
      <c r="D2460" s="196">
        <v>0</v>
      </c>
      <c r="E2460" s="196">
        <v>0</v>
      </c>
      <c r="F2460" s="196">
        <v>0</v>
      </c>
      <c r="G2460" s="196">
        <v>-10218.48</v>
      </c>
    </row>
    <row r="2461" spans="1:7" x14ac:dyDescent="0.3">
      <c r="A2461" s="198">
        <v>43757811</v>
      </c>
      <c r="B2461" s="192" t="s">
        <v>2119</v>
      </c>
      <c r="C2461" s="196">
        <v>-4790</v>
      </c>
      <c r="D2461" s="196">
        <v>0</v>
      </c>
      <c r="E2461" s="196">
        <v>0</v>
      </c>
      <c r="F2461" s="196">
        <v>0</v>
      </c>
      <c r="G2461" s="196">
        <v>-4790</v>
      </c>
    </row>
    <row r="2462" spans="1:7" x14ac:dyDescent="0.3">
      <c r="A2462" s="198">
        <v>43151275</v>
      </c>
      <c r="B2462" s="192" t="s">
        <v>2120</v>
      </c>
      <c r="C2462" s="196">
        <v>-31549.5</v>
      </c>
      <c r="D2462" s="196">
        <v>0</v>
      </c>
      <c r="E2462" s="196">
        <v>0</v>
      </c>
      <c r="F2462" s="196">
        <v>0</v>
      </c>
      <c r="G2462" s="196">
        <v>-31549.5</v>
      </c>
    </row>
    <row r="2463" spans="1:7" x14ac:dyDescent="0.3">
      <c r="A2463" s="198">
        <v>38142691</v>
      </c>
      <c r="B2463" s="192" t="s">
        <v>2121</v>
      </c>
      <c r="C2463" s="196">
        <v>-48222</v>
      </c>
      <c r="D2463" s="196">
        <v>0</v>
      </c>
      <c r="E2463" s="196">
        <v>0</v>
      </c>
      <c r="F2463" s="196">
        <v>0</v>
      </c>
      <c r="G2463" s="196">
        <v>-48222</v>
      </c>
    </row>
    <row r="2464" spans="1:7" x14ac:dyDescent="0.3">
      <c r="A2464" s="198">
        <v>1152689568</v>
      </c>
      <c r="B2464" s="192" t="s">
        <v>1705</v>
      </c>
      <c r="C2464" s="196">
        <v>-49459.38</v>
      </c>
      <c r="D2464" s="196">
        <v>0</v>
      </c>
      <c r="E2464" s="196">
        <v>0</v>
      </c>
      <c r="F2464" s="196">
        <v>0</v>
      </c>
      <c r="G2464" s="196">
        <v>-49459.38</v>
      </c>
    </row>
    <row r="2465" spans="1:7" x14ac:dyDescent="0.3">
      <c r="A2465" s="198">
        <v>42825960</v>
      </c>
      <c r="B2465" s="192" t="s">
        <v>2122</v>
      </c>
      <c r="C2465" s="196">
        <v>-67284.23</v>
      </c>
      <c r="D2465" s="196">
        <v>0</v>
      </c>
      <c r="E2465" s="196">
        <v>0</v>
      </c>
      <c r="F2465" s="196">
        <v>0</v>
      </c>
      <c r="G2465" s="196">
        <v>-67284.23</v>
      </c>
    </row>
    <row r="2466" spans="1:7" x14ac:dyDescent="0.3">
      <c r="A2466" s="198">
        <v>1111788781</v>
      </c>
      <c r="B2466" s="192" t="s">
        <v>2123</v>
      </c>
      <c r="C2466" s="196">
        <v>-295378.31</v>
      </c>
      <c r="D2466" s="196">
        <v>0</v>
      </c>
      <c r="E2466" s="196">
        <v>0</v>
      </c>
      <c r="F2466" s="196">
        <v>0</v>
      </c>
      <c r="G2466" s="196">
        <v>-295378.31</v>
      </c>
    </row>
    <row r="2467" spans="1:7" x14ac:dyDescent="0.3">
      <c r="A2467" s="198">
        <v>901353331</v>
      </c>
      <c r="B2467" s="192" t="s">
        <v>2124</v>
      </c>
      <c r="C2467" s="196">
        <v>-48203.18</v>
      </c>
      <c r="D2467" s="196">
        <v>0</v>
      </c>
      <c r="E2467" s="196">
        <v>0</v>
      </c>
      <c r="F2467" s="196">
        <v>0</v>
      </c>
      <c r="G2467" s="196">
        <v>-48203.18</v>
      </c>
    </row>
    <row r="2468" spans="1:7" x14ac:dyDescent="0.3">
      <c r="A2468" s="198">
        <v>900429718</v>
      </c>
      <c r="B2468" s="192" t="s">
        <v>2125</v>
      </c>
      <c r="C2468" s="196">
        <v>-96843</v>
      </c>
      <c r="D2468" s="196">
        <v>0</v>
      </c>
      <c r="E2468" s="196">
        <v>0</v>
      </c>
      <c r="F2468" s="196">
        <v>0</v>
      </c>
      <c r="G2468" s="196">
        <v>-96843</v>
      </c>
    </row>
    <row r="2469" spans="1:7" x14ac:dyDescent="0.3">
      <c r="A2469" s="198">
        <v>32447780</v>
      </c>
      <c r="B2469" s="192" t="s">
        <v>2126</v>
      </c>
      <c r="C2469" s="196">
        <v>-24907.56</v>
      </c>
      <c r="D2469" s="196">
        <v>0</v>
      </c>
      <c r="E2469" s="196">
        <v>0</v>
      </c>
      <c r="F2469" s="196">
        <v>0</v>
      </c>
      <c r="G2469" s="196">
        <v>-24907.56</v>
      </c>
    </row>
    <row r="2470" spans="1:7" x14ac:dyDescent="0.3">
      <c r="A2470" s="198">
        <v>1021924432</v>
      </c>
      <c r="B2470" s="192" t="s">
        <v>2127</v>
      </c>
      <c r="C2470" s="196">
        <v>-170307.45</v>
      </c>
      <c r="D2470" s="196">
        <v>0</v>
      </c>
      <c r="E2470" s="196">
        <v>0</v>
      </c>
      <c r="F2470" s="196">
        <v>0</v>
      </c>
      <c r="G2470" s="196">
        <v>-170307.45</v>
      </c>
    </row>
    <row r="2471" spans="1:7" x14ac:dyDescent="0.3">
      <c r="A2471" s="198">
        <v>1045048363</v>
      </c>
      <c r="B2471" s="192" t="s">
        <v>2128</v>
      </c>
      <c r="C2471" s="196">
        <v>-31932.77</v>
      </c>
      <c r="D2471" s="196">
        <v>0</v>
      </c>
      <c r="E2471" s="196">
        <v>0</v>
      </c>
      <c r="F2471" s="196">
        <v>0</v>
      </c>
      <c r="G2471" s="196">
        <v>-31932.77</v>
      </c>
    </row>
    <row r="2472" spans="1:7" x14ac:dyDescent="0.3">
      <c r="A2472" s="198">
        <v>1152184769</v>
      </c>
      <c r="B2472" s="192" t="s">
        <v>2129</v>
      </c>
      <c r="C2472" s="196">
        <v>-103781.51</v>
      </c>
      <c r="D2472" s="196">
        <v>0</v>
      </c>
      <c r="E2472" s="196">
        <v>0</v>
      </c>
      <c r="F2472" s="196">
        <v>0</v>
      </c>
      <c r="G2472" s="196">
        <v>-103781.51</v>
      </c>
    </row>
    <row r="2473" spans="1:7" x14ac:dyDescent="0.3">
      <c r="A2473" s="198">
        <v>1034994617</v>
      </c>
      <c r="B2473" s="192" t="s">
        <v>2130</v>
      </c>
      <c r="C2473" s="196">
        <v>-38475</v>
      </c>
      <c r="D2473" s="196">
        <v>0</v>
      </c>
      <c r="E2473" s="196">
        <v>0</v>
      </c>
      <c r="F2473" s="196">
        <v>0</v>
      </c>
      <c r="G2473" s="196">
        <v>-38475</v>
      </c>
    </row>
    <row r="2474" spans="1:7" x14ac:dyDescent="0.3">
      <c r="A2474" s="198">
        <v>1037325434</v>
      </c>
      <c r="B2474" s="192" t="s">
        <v>2131</v>
      </c>
      <c r="C2474" s="196">
        <v>-31932.77</v>
      </c>
      <c r="D2474" s="196">
        <v>0</v>
      </c>
      <c r="E2474" s="196">
        <v>0</v>
      </c>
      <c r="F2474" s="196">
        <v>0</v>
      </c>
      <c r="G2474" s="196">
        <v>-31932.77</v>
      </c>
    </row>
    <row r="2475" spans="1:7" x14ac:dyDescent="0.3">
      <c r="A2475" s="198">
        <v>1037641181</v>
      </c>
      <c r="B2475" s="192" t="s">
        <v>2132</v>
      </c>
      <c r="C2475" s="196">
        <v>-130736.87</v>
      </c>
      <c r="D2475" s="196">
        <v>0</v>
      </c>
      <c r="E2475" s="196">
        <v>0</v>
      </c>
      <c r="F2475" s="196">
        <v>0</v>
      </c>
      <c r="G2475" s="196">
        <v>-130736.87</v>
      </c>
    </row>
    <row r="2476" spans="1:7" x14ac:dyDescent="0.3">
      <c r="A2476" s="198">
        <v>1004009789</v>
      </c>
      <c r="B2476" s="192" t="s">
        <v>2133</v>
      </c>
      <c r="C2476" s="196">
        <v>-16625</v>
      </c>
      <c r="D2476" s="196">
        <v>0</v>
      </c>
      <c r="E2476" s="196">
        <v>0</v>
      </c>
      <c r="F2476" s="196">
        <v>0</v>
      </c>
      <c r="G2476" s="196">
        <v>-16625</v>
      </c>
    </row>
    <row r="2477" spans="1:7" x14ac:dyDescent="0.3">
      <c r="A2477" s="198">
        <v>9500657</v>
      </c>
      <c r="B2477" s="192" t="s">
        <v>2134</v>
      </c>
      <c r="C2477" s="196">
        <v>-15960</v>
      </c>
      <c r="D2477" s="196">
        <v>0</v>
      </c>
      <c r="E2477" s="196">
        <v>0</v>
      </c>
      <c r="F2477" s="196">
        <v>0</v>
      </c>
      <c r="G2477" s="196">
        <v>-15960</v>
      </c>
    </row>
    <row r="2478" spans="1:7" x14ac:dyDescent="0.3">
      <c r="A2478" s="198">
        <v>1017134180</v>
      </c>
      <c r="B2478" s="192" t="s">
        <v>2135</v>
      </c>
      <c r="C2478" s="196">
        <v>-111126.05</v>
      </c>
      <c r="D2478" s="196">
        <v>0</v>
      </c>
      <c r="E2478" s="196">
        <v>0</v>
      </c>
      <c r="F2478" s="196">
        <v>0</v>
      </c>
      <c r="G2478" s="196">
        <v>-111126.05</v>
      </c>
    </row>
    <row r="2479" spans="1:7" x14ac:dyDescent="0.3">
      <c r="A2479" s="198">
        <v>22173383</v>
      </c>
      <c r="B2479" s="192" t="s">
        <v>2136</v>
      </c>
      <c r="C2479" s="196">
        <v>-28443</v>
      </c>
      <c r="D2479" s="196">
        <v>0</v>
      </c>
      <c r="E2479" s="196">
        <v>0</v>
      </c>
      <c r="F2479" s="196">
        <v>0</v>
      </c>
      <c r="G2479" s="196">
        <v>-28443</v>
      </c>
    </row>
    <row r="2480" spans="1:7" x14ac:dyDescent="0.3">
      <c r="A2480" s="198">
        <v>71718309</v>
      </c>
      <c r="B2480" s="192" t="s">
        <v>2137</v>
      </c>
      <c r="C2480" s="196">
        <v>-20862</v>
      </c>
      <c r="D2480" s="196">
        <v>0</v>
      </c>
      <c r="E2480" s="196">
        <v>0</v>
      </c>
      <c r="F2480" s="196">
        <v>0</v>
      </c>
      <c r="G2480" s="196">
        <v>-20862</v>
      </c>
    </row>
    <row r="2481" spans="1:7" x14ac:dyDescent="0.3">
      <c r="A2481" s="198">
        <v>888482</v>
      </c>
      <c r="B2481" s="192" t="s">
        <v>2138</v>
      </c>
      <c r="C2481" s="196">
        <v>-93250.559999999998</v>
      </c>
      <c r="D2481" s="196">
        <v>0</v>
      </c>
      <c r="E2481" s="196">
        <v>0</v>
      </c>
      <c r="F2481" s="196">
        <v>0</v>
      </c>
      <c r="G2481" s="196">
        <v>-93250.559999999998</v>
      </c>
    </row>
    <row r="2482" spans="1:7" x14ac:dyDescent="0.3">
      <c r="A2482" s="198">
        <v>43545545</v>
      </c>
      <c r="B2482" s="192" t="s">
        <v>2139</v>
      </c>
      <c r="C2482" s="196">
        <v>-14250</v>
      </c>
      <c r="D2482" s="196">
        <v>0</v>
      </c>
      <c r="E2482" s="196">
        <v>0</v>
      </c>
      <c r="F2482" s="196">
        <v>0</v>
      </c>
      <c r="G2482" s="196">
        <v>-14250</v>
      </c>
    </row>
    <row r="2483" spans="1:7" x14ac:dyDescent="0.3">
      <c r="A2483" s="198">
        <v>43746217</v>
      </c>
      <c r="B2483" s="192" t="s">
        <v>2140</v>
      </c>
      <c r="C2483" s="196">
        <v>-182703.53</v>
      </c>
      <c r="D2483" s="196">
        <v>0</v>
      </c>
      <c r="E2483" s="196">
        <v>0</v>
      </c>
      <c r="F2483" s="196">
        <v>0</v>
      </c>
      <c r="G2483" s="196">
        <v>-182703.53</v>
      </c>
    </row>
    <row r="2484" spans="1:7" x14ac:dyDescent="0.3">
      <c r="A2484" s="198">
        <v>1039474675</v>
      </c>
      <c r="B2484" s="192" t="s">
        <v>2141</v>
      </c>
      <c r="C2484" s="196">
        <v>-99219.95</v>
      </c>
      <c r="D2484" s="196">
        <v>0</v>
      </c>
      <c r="E2484" s="196">
        <v>0</v>
      </c>
      <c r="F2484" s="196">
        <v>0</v>
      </c>
      <c r="G2484" s="196">
        <v>-99219.95</v>
      </c>
    </row>
    <row r="2485" spans="1:7" x14ac:dyDescent="0.3">
      <c r="A2485" s="198">
        <v>1077448793</v>
      </c>
      <c r="B2485" s="192" t="s">
        <v>2142</v>
      </c>
      <c r="C2485" s="196">
        <v>-30974.79</v>
      </c>
      <c r="D2485" s="196">
        <v>0</v>
      </c>
      <c r="E2485" s="196">
        <v>0</v>
      </c>
      <c r="F2485" s="196">
        <v>0</v>
      </c>
      <c r="G2485" s="196">
        <v>-30974.79</v>
      </c>
    </row>
    <row r="2486" spans="1:7" x14ac:dyDescent="0.3">
      <c r="A2486" s="198">
        <v>21431144</v>
      </c>
      <c r="B2486" s="192" t="s">
        <v>2143</v>
      </c>
      <c r="C2486" s="196">
        <v>-50662.55</v>
      </c>
      <c r="D2486" s="196">
        <v>0</v>
      </c>
      <c r="E2486" s="196">
        <v>0</v>
      </c>
      <c r="F2486" s="196">
        <v>0</v>
      </c>
      <c r="G2486" s="196">
        <v>-50662.55</v>
      </c>
    </row>
    <row r="2487" spans="1:7" x14ac:dyDescent="0.3">
      <c r="A2487" s="198">
        <v>1035005912</v>
      </c>
      <c r="B2487" s="192" t="s">
        <v>2144</v>
      </c>
      <c r="C2487" s="196">
        <v>-32594.5</v>
      </c>
      <c r="D2487" s="196">
        <v>0</v>
      </c>
      <c r="E2487" s="196">
        <v>0</v>
      </c>
      <c r="F2487" s="196">
        <v>0</v>
      </c>
      <c r="G2487" s="196">
        <v>-32594.5</v>
      </c>
    </row>
    <row r="2488" spans="1:7" x14ac:dyDescent="0.3">
      <c r="A2488" s="198">
        <v>3303923</v>
      </c>
      <c r="B2488" s="192" t="s">
        <v>2145</v>
      </c>
      <c r="C2488" s="196">
        <v>-137158.48000000001</v>
      </c>
      <c r="D2488" s="196">
        <v>0</v>
      </c>
      <c r="E2488" s="196">
        <v>0</v>
      </c>
      <c r="F2488" s="196">
        <v>0</v>
      </c>
      <c r="G2488" s="196">
        <v>-137158.48000000001</v>
      </c>
    </row>
    <row r="2489" spans="1:7" x14ac:dyDescent="0.3">
      <c r="A2489" s="198">
        <v>15349556</v>
      </c>
      <c r="B2489" s="192" t="s">
        <v>2146</v>
      </c>
      <c r="C2489" s="196">
        <v>-278074.5</v>
      </c>
      <c r="D2489" s="196">
        <v>0</v>
      </c>
      <c r="E2489" s="196">
        <v>0</v>
      </c>
      <c r="F2489" s="196">
        <v>0</v>
      </c>
      <c r="G2489" s="196">
        <v>-278074.5</v>
      </c>
    </row>
    <row r="2490" spans="1:7" x14ac:dyDescent="0.3">
      <c r="A2490" s="198">
        <v>70122407</v>
      </c>
      <c r="B2490" s="192" t="s">
        <v>2147</v>
      </c>
      <c r="C2490" s="196">
        <v>-28500</v>
      </c>
      <c r="D2490" s="196">
        <v>0</v>
      </c>
      <c r="E2490" s="196">
        <v>0</v>
      </c>
      <c r="F2490" s="196">
        <v>0</v>
      </c>
      <c r="G2490" s="196">
        <v>-28500</v>
      </c>
    </row>
    <row r="2491" spans="1:7" x14ac:dyDescent="0.3">
      <c r="A2491" s="198">
        <v>1034990759</v>
      </c>
      <c r="B2491" s="192" t="s">
        <v>645</v>
      </c>
      <c r="C2491" s="196">
        <v>-110661.32</v>
      </c>
      <c r="D2491" s="196">
        <v>0</v>
      </c>
      <c r="E2491" s="196">
        <v>0</v>
      </c>
      <c r="F2491" s="196">
        <v>0</v>
      </c>
      <c r="G2491" s="196">
        <v>-110661.32</v>
      </c>
    </row>
    <row r="2492" spans="1:7" x14ac:dyDescent="0.3">
      <c r="A2492" s="198">
        <v>900359174</v>
      </c>
      <c r="B2492" s="192" t="s">
        <v>2148</v>
      </c>
      <c r="C2492" s="196">
        <v>-73445.38</v>
      </c>
      <c r="D2492" s="196">
        <v>0</v>
      </c>
      <c r="E2492" s="196">
        <v>0</v>
      </c>
      <c r="F2492" s="196">
        <v>0</v>
      </c>
      <c r="G2492" s="196">
        <v>-73445.38</v>
      </c>
    </row>
    <row r="2493" spans="1:7" x14ac:dyDescent="0.3">
      <c r="A2493" s="198">
        <v>32679453</v>
      </c>
      <c r="B2493" s="192" t="s">
        <v>2149</v>
      </c>
      <c r="C2493" s="196">
        <v>-798</v>
      </c>
      <c r="D2493" s="196">
        <v>0</v>
      </c>
      <c r="E2493" s="196">
        <v>0</v>
      </c>
      <c r="F2493" s="196">
        <v>0</v>
      </c>
      <c r="G2493" s="196">
        <v>-798</v>
      </c>
    </row>
    <row r="2494" spans="1:7" x14ac:dyDescent="0.3">
      <c r="A2494" s="198">
        <v>21261374</v>
      </c>
      <c r="B2494" s="192" t="s">
        <v>2150</v>
      </c>
      <c r="C2494" s="196">
        <v>-34200</v>
      </c>
      <c r="D2494" s="196">
        <v>0</v>
      </c>
      <c r="E2494" s="196">
        <v>0</v>
      </c>
      <c r="F2494" s="196">
        <v>0</v>
      </c>
      <c r="G2494" s="196">
        <v>-34200</v>
      </c>
    </row>
    <row r="2495" spans="1:7" x14ac:dyDescent="0.3">
      <c r="A2495" s="198">
        <v>344681</v>
      </c>
      <c r="B2495" s="192" t="s">
        <v>2151</v>
      </c>
      <c r="C2495" s="196">
        <v>-48222</v>
      </c>
      <c r="D2495" s="196">
        <v>0</v>
      </c>
      <c r="E2495" s="196">
        <v>0</v>
      </c>
      <c r="F2495" s="196">
        <v>0</v>
      </c>
      <c r="G2495" s="196">
        <v>-48222</v>
      </c>
    </row>
    <row r="2496" spans="1:7" x14ac:dyDescent="0.3">
      <c r="A2496" s="198">
        <v>22591456</v>
      </c>
      <c r="B2496" s="192" t="s">
        <v>2152</v>
      </c>
      <c r="C2496" s="196">
        <v>-29206.799999999999</v>
      </c>
      <c r="D2496" s="196">
        <v>0</v>
      </c>
      <c r="E2496" s="196">
        <v>0</v>
      </c>
      <c r="F2496" s="196">
        <v>0</v>
      </c>
      <c r="G2496" s="196">
        <v>-29206.799999999999</v>
      </c>
    </row>
    <row r="2497" spans="1:7" x14ac:dyDescent="0.3">
      <c r="A2497" s="198">
        <v>1036961466</v>
      </c>
      <c r="B2497" s="192" t="s">
        <v>2153</v>
      </c>
      <c r="C2497" s="196">
        <v>-61791.8</v>
      </c>
      <c r="D2497" s="196">
        <v>0</v>
      </c>
      <c r="E2497" s="196">
        <v>0</v>
      </c>
      <c r="F2497" s="196">
        <v>0</v>
      </c>
      <c r="G2497" s="196">
        <v>-61791.8</v>
      </c>
    </row>
    <row r="2498" spans="1:7" x14ac:dyDescent="0.3">
      <c r="A2498" s="198">
        <v>1034989777</v>
      </c>
      <c r="B2498" s="192" t="s">
        <v>2154</v>
      </c>
      <c r="C2498" s="196">
        <v>-95798.32</v>
      </c>
      <c r="D2498" s="196">
        <v>0</v>
      </c>
      <c r="E2498" s="196">
        <v>0</v>
      </c>
      <c r="F2498" s="196">
        <v>0</v>
      </c>
      <c r="G2498" s="196">
        <v>-95798.32</v>
      </c>
    </row>
    <row r="2499" spans="1:7" x14ac:dyDescent="0.3">
      <c r="A2499" s="198">
        <v>1034988350</v>
      </c>
      <c r="B2499" s="192" t="s">
        <v>2155</v>
      </c>
      <c r="C2499" s="196">
        <v>-101766</v>
      </c>
      <c r="D2499" s="196">
        <v>0</v>
      </c>
      <c r="E2499" s="196">
        <v>0</v>
      </c>
      <c r="F2499" s="196">
        <v>0</v>
      </c>
      <c r="G2499" s="196">
        <v>-101766</v>
      </c>
    </row>
    <row r="2500" spans="1:7" x14ac:dyDescent="0.3">
      <c r="A2500" s="198">
        <v>1125248737</v>
      </c>
      <c r="B2500" s="192" t="s">
        <v>2156</v>
      </c>
      <c r="C2500" s="196">
        <v>-27462.19</v>
      </c>
      <c r="D2500" s="196">
        <v>0</v>
      </c>
      <c r="E2500" s="196">
        <v>0</v>
      </c>
      <c r="F2500" s="196">
        <v>0</v>
      </c>
      <c r="G2500" s="196">
        <v>-27462.19</v>
      </c>
    </row>
    <row r="2501" spans="1:7" x14ac:dyDescent="0.3">
      <c r="A2501" s="198">
        <v>1017194194</v>
      </c>
      <c r="B2501" s="192" t="s">
        <v>2157</v>
      </c>
      <c r="C2501" s="196">
        <v>-45951.27</v>
      </c>
      <c r="D2501" s="196">
        <v>0</v>
      </c>
      <c r="E2501" s="196">
        <v>0</v>
      </c>
      <c r="F2501" s="196">
        <v>0</v>
      </c>
      <c r="G2501" s="196">
        <v>-45951.27</v>
      </c>
    </row>
    <row r="2502" spans="1:7" x14ac:dyDescent="0.3">
      <c r="A2502" s="198">
        <v>1027741461</v>
      </c>
      <c r="B2502" s="192" t="s">
        <v>2158</v>
      </c>
      <c r="C2502" s="196">
        <v>-58548.74</v>
      </c>
      <c r="D2502" s="196">
        <v>0</v>
      </c>
      <c r="E2502" s="196">
        <v>0</v>
      </c>
      <c r="F2502" s="196">
        <v>0</v>
      </c>
      <c r="G2502" s="196">
        <v>-58548.74</v>
      </c>
    </row>
    <row r="2503" spans="1:7" x14ac:dyDescent="0.3">
      <c r="A2503" s="198">
        <v>1126423558</v>
      </c>
      <c r="B2503" s="192" t="s">
        <v>2159</v>
      </c>
      <c r="C2503" s="196">
        <v>-15487.4</v>
      </c>
      <c r="D2503" s="196">
        <v>0</v>
      </c>
      <c r="E2503" s="196">
        <v>0</v>
      </c>
      <c r="F2503" s="196">
        <v>0</v>
      </c>
      <c r="G2503" s="196">
        <v>-15487.4</v>
      </c>
    </row>
    <row r="2504" spans="1:7" x14ac:dyDescent="0.3">
      <c r="A2504" s="198">
        <v>43754799</v>
      </c>
      <c r="B2504" s="192" t="s">
        <v>2160</v>
      </c>
      <c r="C2504" s="196">
        <v>-31389.919999999998</v>
      </c>
      <c r="D2504" s="196">
        <v>0</v>
      </c>
      <c r="E2504" s="196">
        <v>0</v>
      </c>
      <c r="F2504" s="196">
        <v>0</v>
      </c>
      <c r="G2504" s="196">
        <v>-31389.919999999998</v>
      </c>
    </row>
    <row r="2505" spans="1:7" x14ac:dyDescent="0.3">
      <c r="A2505" s="198">
        <v>1126604735</v>
      </c>
      <c r="B2505" s="192" t="s">
        <v>2161</v>
      </c>
      <c r="C2505" s="196">
        <v>-83865.05</v>
      </c>
      <c r="D2505" s="196">
        <v>0</v>
      </c>
      <c r="E2505" s="196">
        <v>0</v>
      </c>
      <c r="F2505" s="196">
        <v>0</v>
      </c>
      <c r="G2505" s="196">
        <v>-83865.05</v>
      </c>
    </row>
    <row r="2506" spans="1:7" x14ac:dyDescent="0.3">
      <c r="A2506" s="198">
        <v>1125598328</v>
      </c>
      <c r="B2506" s="192" t="s">
        <v>2162</v>
      </c>
      <c r="C2506" s="196">
        <v>-22610</v>
      </c>
      <c r="D2506" s="196">
        <v>0</v>
      </c>
      <c r="E2506" s="196">
        <v>0</v>
      </c>
      <c r="F2506" s="196">
        <v>0</v>
      </c>
      <c r="G2506" s="196">
        <v>-22610</v>
      </c>
    </row>
    <row r="2507" spans="1:7" x14ac:dyDescent="0.3">
      <c r="A2507" s="198">
        <v>441138</v>
      </c>
      <c r="B2507" s="192" t="s">
        <v>2163</v>
      </c>
      <c r="C2507" s="196">
        <v>-48222</v>
      </c>
      <c r="D2507" s="196">
        <v>0</v>
      </c>
      <c r="E2507" s="196">
        <v>0</v>
      </c>
      <c r="F2507" s="196">
        <v>0</v>
      </c>
      <c r="G2507" s="196">
        <v>-48222</v>
      </c>
    </row>
    <row r="2508" spans="1:7" x14ac:dyDescent="0.3">
      <c r="A2508" s="198">
        <v>1034997065</v>
      </c>
      <c r="B2508" s="192" t="s">
        <v>2164</v>
      </c>
      <c r="C2508" s="196">
        <v>-31932.77</v>
      </c>
      <c r="D2508" s="196">
        <v>0</v>
      </c>
      <c r="E2508" s="196">
        <v>0</v>
      </c>
      <c r="F2508" s="196">
        <v>0</v>
      </c>
      <c r="G2508" s="196">
        <v>-31932.77</v>
      </c>
    </row>
    <row r="2509" spans="1:7" x14ac:dyDescent="0.3">
      <c r="A2509" s="198">
        <v>98563478</v>
      </c>
      <c r="B2509" s="192" t="s">
        <v>2165</v>
      </c>
      <c r="C2509" s="196">
        <v>-33941.599999999999</v>
      </c>
      <c r="D2509" s="196">
        <v>0</v>
      </c>
      <c r="E2509" s="196">
        <v>0</v>
      </c>
      <c r="F2509" s="196">
        <v>0</v>
      </c>
      <c r="G2509" s="196">
        <v>-33941.599999999999</v>
      </c>
    </row>
    <row r="2510" spans="1:7" x14ac:dyDescent="0.3">
      <c r="A2510" s="198">
        <v>71495800</v>
      </c>
      <c r="B2510" s="192" t="s">
        <v>2166</v>
      </c>
      <c r="C2510" s="196">
        <v>-114957.99</v>
      </c>
      <c r="D2510" s="196">
        <v>0</v>
      </c>
      <c r="E2510" s="196">
        <v>0</v>
      </c>
      <c r="F2510" s="196">
        <v>0</v>
      </c>
      <c r="G2510" s="196">
        <v>-114957.99</v>
      </c>
    </row>
    <row r="2511" spans="1:7" x14ac:dyDescent="0.3">
      <c r="A2511" s="198">
        <v>98555831</v>
      </c>
      <c r="B2511" s="192" t="s">
        <v>2167</v>
      </c>
      <c r="C2511" s="196">
        <v>-36337.5</v>
      </c>
      <c r="D2511" s="196">
        <v>0</v>
      </c>
      <c r="E2511" s="196">
        <v>0</v>
      </c>
      <c r="F2511" s="196">
        <v>0</v>
      </c>
      <c r="G2511" s="196">
        <v>-36337.5</v>
      </c>
    </row>
    <row r="2512" spans="1:7" x14ac:dyDescent="0.3">
      <c r="A2512" s="198">
        <v>1125659991</v>
      </c>
      <c r="B2512" s="192" t="s">
        <v>2168</v>
      </c>
      <c r="C2512" s="196">
        <v>-81750.98</v>
      </c>
      <c r="D2512" s="196">
        <v>0</v>
      </c>
      <c r="E2512" s="196">
        <v>0</v>
      </c>
      <c r="F2512" s="196">
        <v>0</v>
      </c>
      <c r="G2512" s="196">
        <v>-81750.98</v>
      </c>
    </row>
    <row r="2513" spans="1:7" x14ac:dyDescent="0.3">
      <c r="A2513" s="198">
        <v>8355306</v>
      </c>
      <c r="B2513" s="192" t="s">
        <v>2169</v>
      </c>
      <c r="C2513" s="196">
        <v>-14250</v>
      </c>
      <c r="D2513" s="196">
        <v>0</v>
      </c>
      <c r="E2513" s="196">
        <v>0</v>
      </c>
      <c r="F2513" s="196">
        <v>0</v>
      </c>
      <c r="G2513" s="196">
        <v>-14250</v>
      </c>
    </row>
    <row r="2514" spans="1:7" x14ac:dyDescent="0.3">
      <c r="A2514" s="198">
        <v>1128446116</v>
      </c>
      <c r="B2514" s="192" t="s">
        <v>2170</v>
      </c>
      <c r="C2514" s="196">
        <v>-106974.79</v>
      </c>
      <c r="D2514" s="196">
        <v>0</v>
      </c>
      <c r="E2514" s="196">
        <v>0</v>
      </c>
      <c r="F2514" s="196">
        <v>0</v>
      </c>
      <c r="G2514" s="196">
        <v>-106974.79</v>
      </c>
    </row>
    <row r="2515" spans="1:7" x14ac:dyDescent="0.3">
      <c r="A2515" s="198">
        <v>1001366474</v>
      </c>
      <c r="B2515" s="192" t="s">
        <v>2171</v>
      </c>
      <c r="C2515" s="196">
        <v>-113134.06</v>
      </c>
      <c r="D2515" s="196">
        <v>0</v>
      </c>
      <c r="E2515" s="196">
        <v>0</v>
      </c>
      <c r="F2515" s="196">
        <v>0</v>
      </c>
      <c r="G2515" s="196">
        <v>-113134.06</v>
      </c>
    </row>
    <row r="2516" spans="1:7" x14ac:dyDescent="0.3">
      <c r="A2516" s="198">
        <v>21788309</v>
      </c>
      <c r="B2516" s="192" t="s">
        <v>2172</v>
      </c>
      <c r="C2516" s="196">
        <v>-40375</v>
      </c>
      <c r="D2516" s="196">
        <v>0</v>
      </c>
      <c r="E2516" s="196">
        <v>0</v>
      </c>
      <c r="F2516" s="196">
        <v>0</v>
      </c>
      <c r="G2516" s="196">
        <v>-40375</v>
      </c>
    </row>
    <row r="2517" spans="1:7" x14ac:dyDescent="0.3">
      <c r="A2517" s="198">
        <v>52455526</v>
      </c>
      <c r="B2517" s="192" t="s">
        <v>2173</v>
      </c>
      <c r="C2517" s="196">
        <v>-36391.870000000003</v>
      </c>
      <c r="D2517" s="196">
        <v>0</v>
      </c>
      <c r="E2517" s="196">
        <v>0</v>
      </c>
      <c r="F2517" s="196">
        <v>0</v>
      </c>
      <c r="G2517" s="196">
        <v>-36391.870000000003</v>
      </c>
    </row>
    <row r="2518" spans="1:7" x14ac:dyDescent="0.3">
      <c r="A2518" s="198">
        <v>32836410</v>
      </c>
      <c r="B2518" s="192" t="s">
        <v>2174</v>
      </c>
      <c r="C2518" s="196">
        <v>-209899.18</v>
      </c>
      <c r="D2518" s="196">
        <v>0</v>
      </c>
      <c r="E2518" s="196">
        <v>0</v>
      </c>
      <c r="F2518" s="196">
        <v>0</v>
      </c>
      <c r="G2518" s="196">
        <v>-209899.18</v>
      </c>
    </row>
    <row r="2519" spans="1:7" x14ac:dyDescent="0.3">
      <c r="A2519" s="198">
        <v>43254873</v>
      </c>
      <c r="B2519" s="192" t="s">
        <v>2175</v>
      </c>
      <c r="C2519" s="196">
        <v>-112433.71</v>
      </c>
      <c r="D2519" s="196">
        <v>0</v>
      </c>
      <c r="E2519" s="196">
        <v>0</v>
      </c>
      <c r="F2519" s="196">
        <v>0</v>
      </c>
      <c r="G2519" s="196">
        <v>-112433.71</v>
      </c>
    </row>
    <row r="2520" spans="1:7" x14ac:dyDescent="0.3">
      <c r="A2520" s="198">
        <v>22810172</v>
      </c>
      <c r="B2520" s="192" t="s">
        <v>2176</v>
      </c>
      <c r="C2520" s="196">
        <v>-25593</v>
      </c>
      <c r="D2520" s="196">
        <v>0</v>
      </c>
      <c r="E2520" s="196">
        <v>0</v>
      </c>
      <c r="F2520" s="196">
        <v>0</v>
      </c>
      <c r="G2520" s="196">
        <v>-25593</v>
      </c>
    </row>
    <row r="2521" spans="1:7" x14ac:dyDescent="0.3">
      <c r="A2521" s="198">
        <v>39358655</v>
      </c>
      <c r="B2521" s="192" t="s">
        <v>2177</v>
      </c>
      <c r="C2521" s="196">
        <v>-162537.82</v>
      </c>
      <c r="D2521" s="196">
        <v>0</v>
      </c>
      <c r="E2521" s="196">
        <v>0</v>
      </c>
      <c r="F2521" s="196">
        <v>0</v>
      </c>
      <c r="G2521" s="196">
        <v>-162537.82</v>
      </c>
    </row>
    <row r="2522" spans="1:7" x14ac:dyDescent="0.3">
      <c r="A2522" s="198">
        <v>43573275</v>
      </c>
      <c r="B2522" s="192" t="s">
        <v>2178</v>
      </c>
      <c r="C2522" s="196">
        <v>-77924</v>
      </c>
      <c r="D2522" s="196">
        <v>0</v>
      </c>
      <c r="E2522" s="196">
        <v>0</v>
      </c>
      <c r="F2522" s="196">
        <v>0</v>
      </c>
      <c r="G2522" s="196">
        <v>-77924</v>
      </c>
    </row>
    <row r="2523" spans="1:7" x14ac:dyDescent="0.3">
      <c r="A2523" s="198">
        <v>1020434500</v>
      </c>
      <c r="B2523" s="192" t="s">
        <v>2179</v>
      </c>
      <c r="C2523" s="196">
        <v>-116436.75</v>
      </c>
      <c r="D2523" s="196">
        <v>0</v>
      </c>
      <c r="E2523" s="196">
        <v>0</v>
      </c>
      <c r="F2523" s="196">
        <v>0</v>
      </c>
      <c r="G2523" s="196">
        <v>-116436.75</v>
      </c>
    </row>
    <row r="2524" spans="1:7" x14ac:dyDescent="0.3">
      <c r="A2524" s="198">
        <v>724240393</v>
      </c>
      <c r="B2524" s="192" t="s">
        <v>2180</v>
      </c>
      <c r="C2524" s="196">
        <v>-80750</v>
      </c>
      <c r="D2524" s="196">
        <v>0</v>
      </c>
      <c r="E2524" s="196">
        <v>0</v>
      </c>
      <c r="F2524" s="196">
        <v>0</v>
      </c>
      <c r="G2524" s="196">
        <v>-80750</v>
      </c>
    </row>
    <row r="2525" spans="1:7" x14ac:dyDescent="0.3">
      <c r="A2525" s="198">
        <v>1001711804</v>
      </c>
      <c r="B2525" s="192" t="s">
        <v>2181</v>
      </c>
      <c r="C2525" s="196">
        <v>-4493.38</v>
      </c>
      <c r="D2525" s="196">
        <v>0</v>
      </c>
      <c r="E2525" s="196">
        <v>0</v>
      </c>
      <c r="F2525" s="196">
        <v>0</v>
      </c>
      <c r="G2525" s="196">
        <v>-4493.38</v>
      </c>
    </row>
    <row r="2526" spans="1:7" x14ac:dyDescent="0.3">
      <c r="A2526" s="198">
        <v>98661705</v>
      </c>
      <c r="B2526" s="192" t="s">
        <v>2182</v>
      </c>
      <c r="C2526" s="196">
        <v>-125380.05</v>
      </c>
      <c r="D2526" s="196">
        <v>0</v>
      </c>
      <c r="E2526" s="196">
        <v>0</v>
      </c>
      <c r="F2526" s="196">
        <v>0</v>
      </c>
      <c r="G2526" s="196">
        <v>-125380.05</v>
      </c>
    </row>
    <row r="2527" spans="1:7" x14ac:dyDescent="0.3">
      <c r="A2527" s="198">
        <v>2088755</v>
      </c>
      <c r="B2527" s="192" t="s">
        <v>2183</v>
      </c>
      <c r="C2527" s="196">
        <v>-52250</v>
      </c>
      <c r="D2527" s="196">
        <v>0</v>
      </c>
      <c r="E2527" s="196">
        <v>0</v>
      </c>
      <c r="F2527" s="196">
        <v>0</v>
      </c>
      <c r="G2527" s="196">
        <v>-52250</v>
      </c>
    </row>
    <row r="2528" spans="1:7" x14ac:dyDescent="0.3">
      <c r="A2528" s="198">
        <v>43344115</v>
      </c>
      <c r="B2528" s="192" t="s">
        <v>2184</v>
      </c>
      <c r="C2528" s="196">
        <v>-80750</v>
      </c>
      <c r="D2528" s="196">
        <v>0</v>
      </c>
      <c r="E2528" s="196">
        <v>0</v>
      </c>
      <c r="F2528" s="196">
        <v>0</v>
      </c>
      <c r="G2528" s="196">
        <v>-80750</v>
      </c>
    </row>
    <row r="2529" spans="1:7" x14ac:dyDescent="0.3">
      <c r="A2529" s="198">
        <v>32534886</v>
      </c>
      <c r="B2529" s="192" t="s">
        <v>2185</v>
      </c>
      <c r="C2529" s="196">
        <v>-77924</v>
      </c>
      <c r="D2529" s="196">
        <v>0</v>
      </c>
      <c r="E2529" s="196">
        <v>0</v>
      </c>
      <c r="F2529" s="196">
        <v>0</v>
      </c>
      <c r="G2529" s="196">
        <v>-77924</v>
      </c>
    </row>
    <row r="2530" spans="1:7" x14ac:dyDescent="0.3">
      <c r="A2530" s="198">
        <v>1214745300</v>
      </c>
      <c r="B2530" s="192" t="s">
        <v>2186</v>
      </c>
      <c r="C2530" s="196">
        <v>-94297.35</v>
      </c>
      <c r="D2530" s="196">
        <v>0</v>
      </c>
      <c r="E2530" s="196">
        <v>0</v>
      </c>
      <c r="F2530" s="196">
        <v>0</v>
      </c>
      <c r="G2530" s="196">
        <v>-94297.35</v>
      </c>
    </row>
    <row r="2531" spans="1:7" x14ac:dyDescent="0.3">
      <c r="A2531" s="198">
        <v>1027805216</v>
      </c>
      <c r="B2531" s="192" t="s">
        <v>2187</v>
      </c>
      <c r="C2531" s="196">
        <v>-79701.679999999993</v>
      </c>
      <c r="D2531" s="196">
        <v>0</v>
      </c>
      <c r="E2531" s="196">
        <v>0</v>
      </c>
      <c r="F2531" s="196">
        <v>0</v>
      </c>
      <c r="G2531" s="196">
        <v>-79701.679999999993</v>
      </c>
    </row>
    <row r="2532" spans="1:7" x14ac:dyDescent="0.3">
      <c r="A2532" s="198">
        <v>43267392</v>
      </c>
      <c r="B2532" s="192" t="s">
        <v>2188</v>
      </c>
      <c r="C2532" s="196">
        <v>-120147.06</v>
      </c>
      <c r="D2532" s="196">
        <v>0</v>
      </c>
      <c r="E2532" s="196">
        <v>0</v>
      </c>
      <c r="F2532" s="196">
        <v>0</v>
      </c>
      <c r="G2532" s="196">
        <v>-120147.06</v>
      </c>
    </row>
    <row r="2533" spans="1:7" x14ac:dyDescent="0.3">
      <c r="A2533" s="198">
        <v>43546831</v>
      </c>
      <c r="B2533" s="192" t="s">
        <v>2189</v>
      </c>
      <c r="C2533" s="196">
        <v>-75074.27</v>
      </c>
      <c r="D2533" s="196">
        <v>0</v>
      </c>
      <c r="E2533" s="196">
        <v>0</v>
      </c>
      <c r="F2533" s="196">
        <v>0</v>
      </c>
      <c r="G2533" s="196">
        <v>-75074.27</v>
      </c>
    </row>
    <row r="2534" spans="1:7" x14ac:dyDescent="0.3">
      <c r="A2534" s="198">
        <v>1013465624</v>
      </c>
      <c r="B2534" s="192" t="s">
        <v>2190</v>
      </c>
      <c r="C2534" s="196">
        <v>-27025.66</v>
      </c>
      <c r="D2534" s="196">
        <v>0</v>
      </c>
      <c r="E2534" s="196">
        <v>0</v>
      </c>
      <c r="F2534" s="196">
        <v>0</v>
      </c>
      <c r="G2534" s="196">
        <v>-27025.66</v>
      </c>
    </row>
    <row r="2535" spans="1:7" x14ac:dyDescent="0.3">
      <c r="A2535" s="198">
        <v>60275185</v>
      </c>
      <c r="B2535" s="192" t="s">
        <v>2191</v>
      </c>
      <c r="C2535" s="196">
        <v>-28500</v>
      </c>
      <c r="D2535" s="196">
        <v>0</v>
      </c>
      <c r="E2535" s="196">
        <v>0</v>
      </c>
      <c r="F2535" s="196">
        <v>0</v>
      </c>
      <c r="G2535" s="196">
        <v>-28500</v>
      </c>
    </row>
    <row r="2536" spans="1:7" x14ac:dyDescent="0.3">
      <c r="A2536" s="198">
        <v>1034995883</v>
      </c>
      <c r="B2536" s="192" t="s">
        <v>2192</v>
      </c>
      <c r="C2536" s="196">
        <v>-19159.66</v>
      </c>
      <c r="D2536" s="196">
        <v>0</v>
      </c>
      <c r="E2536" s="196">
        <v>0</v>
      </c>
      <c r="F2536" s="196">
        <v>0</v>
      </c>
      <c r="G2536" s="196">
        <v>-19159.66</v>
      </c>
    </row>
    <row r="2537" spans="1:7" x14ac:dyDescent="0.3">
      <c r="A2537" s="198">
        <v>42824421</v>
      </c>
      <c r="B2537" s="192" t="s">
        <v>2193</v>
      </c>
      <c r="C2537" s="196">
        <v>-21375</v>
      </c>
      <c r="D2537" s="196">
        <v>0</v>
      </c>
      <c r="E2537" s="196">
        <v>0</v>
      </c>
      <c r="F2537" s="196">
        <v>0</v>
      </c>
      <c r="G2537" s="196">
        <v>-21375</v>
      </c>
    </row>
    <row r="2538" spans="1:7" x14ac:dyDescent="0.3">
      <c r="A2538" s="198">
        <v>1034989786</v>
      </c>
      <c r="B2538" s="192" t="s">
        <v>2194</v>
      </c>
      <c r="C2538" s="196">
        <v>-31825</v>
      </c>
      <c r="D2538" s="196">
        <v>0</v>
      </c>
      <c r="E2538" s="196">
        <v>0</v>
      </c>
      <c r="F2538" s="196">
        <v>0</v>
      </c>
      <c r="G2538" s="196">
        <v>-31825</v>
      </c>
    </row>
    <row r="2539" spans="1:7" x14ac:dyDescent="0.3">
      <c r="A2539" s="198">
        <v>1017140072</v>
      </c>
      <c r="B2539" s="192" t="s">
        <v>2195</v>
      </c>
      <c r="C2539" s="196">
        <v>-56741.98</v>
      </c>
      <c r="D2539" s="196">
        <v>0</v>
      </c>
      <c r="E2539" s="196">
        <v>0</v>
      </c>
      <c r="F2539" s="196">
        <v>0</v>
      </c>
      <c r="G2539" s="196">
        <v>-56741.98</v>
      </c>
    </row>
    <row r="2540" spans="1:7" x14ac:dyDescent="0.3">
      <c r="A2540" s="198">
        <v>1027662671</v>
      </c>
      <c r="B2540" s="192" t="s">
        <v>2196</v>
      </c>
      <c r="C2540" s="196">
        <v>-83125</v>
      </c>
      <c r="D2540" s="196">
        <v>0</v>
      </c>
      <c r="E2540" s="196">
        <v>0</v>
      </c>
      <c r="F2540" s="196">
        <v>0</v>
      </c>
      <c r="G2540" s="196">
        <v>-83125</v>
      </c>
    </row>
    <row r="2541" spans="1:7" x14ac:dyDescent="0.3">
      <c r="A2541" s="198">
        <v>26282564</v>
      </c>
      <c r="B2541" s="192" t="s">
        <v>2197</v>
      </c>
      <c r="C2541" s="196">
        <v>-34714.92</v>
      </c>
      <c r="D2541" s="196">
        <v>0</v>
      </c>
      <c r="E2541" s="196">
        <v>0</v>
      </c>
      <c r="F2541" s="196">
        <v>0</v>
      </c>
      <c r="G2541" s="196">
        <v>-34714.92</v>
      </c>
    </row>
    <row r="2542" spans="1:7" x14ac:dyDescent="0.3">
      <c r="A2542" s="198">
        <v>21666610</v>
      </c>
      <c r="B2542" s="192" t="s">
        <v>2198</v>
      </c>
      <c r="C2542" s="196">
        <v>-28500</v>
      </c>
      <c r="D2542" s="196">
        <v>0</v>
      </c>
      <c r="E2542" s="196">
        <v>0</v>
      </c>
      <c r="F2542" s="196">
        <v>0</v>
      </c>
      <c r="G2542" s="196">
        <v>-28500</v>
      </c>
    </row>
    <row r="2543" spans="1:7" x14ac:dyDescent="0.3">
      <c r="A2543" s="198">
        <v>1013357207</v>
      </c>
      <c r="B2543" s="192" t="s">
        <v>2199</v>
      </c>
      <c r="C2543" s="196">
        <v>-37950.6</v>
      </c>
      <c r="D2543" s="196">
        <v>0</v>
      </c>
      <c r="E2543" s="196">
        <v>0</v>
      </c>
      <c r="F2543" s="196">
        <v>0</v>
      </c>
      <c r="G2543" s="196">
        <v>-37950.6</v>
      </c>
    </row>
    <row r="2544" spans="1:7" x14ac:dyDescent="0.3">
      <c r="A2544" s="198">
        <v>14444799</v>
      </c>
      <c r="B2544" s="192" t="s">
        <v>2200</v>
      </c>
      <c r="C2544" s="196">
        <v>-29792</v>
      </c>
      <c r="D2544" s="196">
        <v>0</v>
      </c>
      <c r="E2544" s="196">
        <v>0</v>
      </c>
      <c r="F2544" s="196">
        <v>0</v>
      </c>
      <c r="G2544" s="196">
        <v>-29792</v>
      </c>
    </row>
    <row r="2545" spans="1:7" x14ac:dyDescent="0.3">
      <c r="A2545" s="198">
        <v>26258758</v>
      </c>
      <c r="B2545" s="192" t="s">
        <v>2201</v>
      </c>
      <c r="C2545" s="196">
        <v>-51300</v>
      </c>
      <c r="D2545" s="196">
        <v>0</v>
      </c>
      <c r="E2545" s="196">
        <v>0</v>
      </c>
      <c r="F2545" s="196">
        <v>0</v>
      </c>
      <c r="G2545" s="196">
        <v>-51300</v>
      </c>
    </row>
    <row r="2546" spans="1:7" x14ac:dyDescent="0.3">
      <c r="A2546" s="198">
        <v>3376847</v>
      </c>
      <c r="B2546" s="192" t="s">
        <v>2202</v>
      </c>
      <c r="C2546" s="196">
        <v>-22352.94</v>
      </c>
      <c r="D2546" s="196">
        <v>0</v>
      </c>
      <c r="E2546" s="196">
        <v>0</v>
      </c>
      <c r="F2546" s="196">
        <v>0</v>
      </c>
      <c r="G2546" s="196">
        <v>-22352.94</v>
      </c>
    </row>
    <row r="2547" spans="1:7" x14ac:dyDescent="0.3">
      <c r="A2547" s="198">
        <v>5634659</v>
      </c>
      <c r="B2547" s="192" t="s">
        <v>2203</v>
      </c>
      <c r="C2547" s="196">
        <v>-28443</v>
      </c>
      <c r="D2547" s="196">
        <v>0</v>
      </c>
      <c r="E2547" s="196">
        <v>0</v>
      </c>
      <c r="F2547" s="196">
        <v>0</v>
      </c>
      <c r="G2547" s="196">
        <v>-28443</v>
      </c>
    </row>
    <row r="2548" spans="1:7" x14ac:dyDescent="0.3">
      <c r="A2548" s="198">
        <v>1042154641</v>
      </c>
      <c r="B2548" s="192" t="s">
        <v>2204</v>
      </c>
      <c r="C2548" s="196">
        <v>-27025.599999999999</v>
      </c>
      <c r="D2548" s="196">
        <v>0</v>
      </c>
      <c r="E2548" s="196">
        <v>0</v>
      </c>
      <c r="F2548" s="196">
        <v>0</v>
      </c>
      <c r="G2548" s="196">
        <v>-27025.599999999999</v>
      </c>
    </row>
    <row r="2549" spans="1:7" x14ac:dyDescent="0.3">
      <c r="A2549" s="198">
        <v>1001025423</v>
      </c>
      <c r="B2549" s="192" t="s">
        <v>2205</v>
      </c>
      <c r="C2549" s="196">
        <v>-34884</v>
      </c>
      <c r="D2549" s="196">
        <v>0</v>
      </c>
      <c r="E2549" s="196">
        <v>0</v>
      </c>
      <c r="F2549" s="196">
        <v>0</v>
      </c>
      <c r="G2549" s="196">
        <v>-34884</v>
      </c>
    </row>
    <row r="2550" spans="1:7" x14ac:dyDescent="0.3">
      <c r="A2550" s="198">
        <v>80550424</v>
      </c>
      <c r="B2550" s="192" t="s">
        <v>1619</v>
      </c>
      <c r="C2550" s="196">
        <v>-48382.55</v>
      </c>
      <c r="D2550" s="196">
        <v>0</v>
      </c>
      <c r="E2550" s="196">
        <v>0</v>
      </c>
      <c r="F2550" s="196">
        <v>0</v>
      </c>
      <c r="G2550" s="196">
        <v>-48382.55</v>
      </c>
    </row>
    <row r="2551" spans="1:7" x14ac:dyDescent="0.3">
      <c r="A2551" s="198">
        <v>1036458398</v>
      </c>
      <c r="B2551" s="192" t="s">
        <v>2206</v>
      </c>
      <c r="C2551" s="196">
        <v>-2394.96</v>
      </c>
      <c r="D2551" s="196">
        <v>0</v>
      </c>
      <c r="E2551" s="196">
        <v>0</v>
      </c>
      <c r="F2551" s="196">
        <v>0</v>
      </c>
      <c r="G2551" s="196">
        <v>-2394.96</v>
      </c>
    </row>
    <row r="2552" spans="1:7" x14ac:dyDescent="0.3">
      <c r="A2552" s="198">
        <v>574816</v>
      </c>
      <c r="B2552" s="192" t="s">
        <v>2078</v>
      </c>
      <c r="C2552" s="196">
        <v>-7185</v>
      </c>
      <c r="D2552" s="196">
        <v>0</v>
      </c>
      <c r="E2552" s="196">
        <v>0</v>
      </c>
      <c r="F2552" s="196">
        <v>0</v>
      </c>
      <c r="G2552" s="196">
        <v>-7185</v>
      </c>
    </row>
    <row r="2553" spans="1:7" x14ac:dyDescent="0.3">
      <c r="A2553" s="198">
        <v>8396313</v>
      </c>
      <c r="B2553" s="192" t="s">
        <v>2207</v>
      </c>
      <c r="C2553" s="196">
        <v>-28632.240000000002</v>
      </c>
      <c r="D2553" s="196">
        <v>0</v>
      </c>
      <c r="E2553" s="196">
        <v>0</v>
      </c>
      <c r="F2553" s="196">
        <v>0</v>
      </c>
      <c r="G2553" s="196">
        <v>-28632.240000000002</v>
      </c>
    </row>
    <row r="2554" spans="1:7" x14ac:dyDescent="0.3">
      <c r="A2554" s="198">
        <v>1141517559</v>
      </c>
      <c r="B2554" s="192" t="s">
        <v>2208</v>
      </c>
      <c r="C2554" s="196">
        <v>-21754.04</v>
      </c>
      <c r="D2554" s="196">
        <v>0</v>
      </c>
      <c r="E2554" s="196">
        <v>0</v>
      </c>
      <c r="F2554" s="196">
        <v>0</v>
      </c>
      <c r="G2554" s="196">
        <v>-21754.04</v>
      </c>
    </row>
    <row r="2555" spans="1:7" x14ac:dyDescent="0.3">
      <c r="A2555" s="198">
        <v>22175205</v>
      </c>
      <c r="B2555" s="192" t="s">
        <v>2209</v>
      </c>
      <c r="C2555" s="196">
        <v>-59966.05</v>
      </c>
      <c r="D2555" s="196">
        <v>0</v>
      </c>
      <c r="E2555" s="196">
        <v>0</v>
      </c>
      <c r="F2555" s="196">
        <v>0</v>
      </c>
      <c r="G2555" s="196">
        <v>-59966.05</v>
      </c>
    </row>
    <row r="2556" spans="1:7" x14ac:dyDescent="0.3">
      <c r="A2556" s="198">
        <v>39405950</v>
      </c>
      <c r="B2556" s="192" t="s">
        <v>2210</v>
      </c>
      <c r="C2556" s="196">
        <v>-24176.55</v>
      </c>
      <c r="D2556" s="196">
        <v>0</v>
      </c>
      <c r="E2556" s="196">
        <v>0</v>
      </c>
      <c r="F2556" s="196">
        <v>0</v>
      </c>
      <c r="G2556" s="196">
        <v>-24176.55</v>
      </c>
    </row>
    <row r="2557" spans="1:7" x14ac:dyDescent="0.3">
      <c r="A2557" s="198">
        <v>900145596</v>
      </c>
      <c r="B2557" s="192" t="s">
        <v>2211</v>
      </c>
      <c r="C2557" s="196">
        <v>-126122</v>
      </c>
      <c r="D2557" s="196">
        <v>0</v>
      </c>
      <c r="E2557" s="196">
        <v>0</v>
      </c>
      <c r="F2557" s="196">
        <v>0</v>
      </c>
      <c r="G2557" s="196">
        <v>-126122</v>
      </c>
    </row>
    <row r="2558" spans="1:7" x14ac:dyDescent="0.3">
      <c r="A2558" s="198">
        <v>43262103</v>
      </c>
      <c r="B2558" s="192" t="s">
        <v>2212</v>
      </c>
      <c r="C2558" s="196">
        <v>-195135.85</v>
      </c>
      <c r="D2558" s="196">
        <v>0</v>
      </c>
      <c r="E2558" s="196">
        <v>0</v>
      </c>
      <c r="F2558" s="196">
        <v>0</v>
      </c>
      <c r="G2558" s="196">
        <v>-195135.85</v>
      </c>
    </row>
    <row r="2559" spans="1:7" x14ac:dyDescent="0.3">
      <c r="A2559" s="198">
        <v>98542656</v>
      </c>
      <c r="B2559" s="192" t="s">
        <v>2213</v>
      </c>
      <c r="C2559" s="196">
        <v>-24225</v>
      </c>
      <c r="D2559" s="196">
        <v>0</v>
      </c>
      <c r="E2559" s="196">
        <v>0</v>
      </c>
      <c r="F2559" s="196">
        <v>0</v>
      </c>
      <c r="G2559" s="196">
        <v>-24225</v>
      </c>
    </row>
    <row r="2560" spans="1:7" x14ac:dyDescent="0.3">
      <c r="A2560" s="198">
        <v>8303802</v>
      </c>
      <c r="B2560" s="192" t="s">
        <v>2214</v>
      </c>
      <c r="C2560" s="196">
        <v>-19159.66</v>
      </c>
      <c r="D2560" s="196">
        <v>0</v>
      </c>
      <c r="E2560" s="196">
        <v>0</v>
      </c>
      <c r="F2560" s="196">
        <v>0</v>
      </c>
      <c r="G2560" s="196">
        <v>-19159.66</v>
      </c>
    </row>
    <row r="2561" spans="1:7" x14ac:dyDescent="0.3">
      <c r="A2561" s="198">
        <v>1040730839</v>
      </c>
      <c r="B2561" s="192" t="s">
        <v>2215</v>
      </c>
      <c r="C2561" s="196">
        <v>-140425.65</v>
      </c>
      <c r="D2561" s="196">
        <v>0</v>
      </c>
      <c r="E2561" s="196">
        <v>0</v>
      </c>
      <c r="F2561" s="196">
        <v>0</v>
      </c>
      <c r="G2561" s="196">
        <v>-140425.65</v>
      </c>
    </row>
    <row r="2562" spans="1:7" x14ac:dyDescent="0.3">
      <c r="A2562" s="198">
        <v>532797</v>
      </c>
      <c r="B2562" s="192" t="s">
        <v>2216</v>
      </c>
      <c r="C2562" s="196">
        <v>-15966.39</v>
      </c>
      <c r="D2562" s="196">
        <v>0</v>
      </c>
      <c r="E2562" s="196">
        <v>0</v>
      </c>
      <c r="F2562" s="196">
        <v>0</v>
      </c>
      <c r="G2562" s="196">
        <v>-15966.39</v>
      </c>
    </row>
    <row r="2563" spans="1:7" x14ac:dyDescent="0.3">
      <c r="A2563" s="198">
        <v>42890247</v>
      </c>
      <c r="B2563" s="192" t="s">
        <v>2217</v>
      </c>
      <c r="C2563" s="196">
        <v>-50423.63</v>
      </c>
      <c r="D2563" s="196">
        <v>0</v>
      </c>
      <c r="E2563" s="196">
        <v>0</v>
      </c>
      <c r="F2563" s="196">
        <v>0</v>
      </c>
      <c r="G2563" s="196">
        <v>-50423.63</v>
      </c>
    </row>
    <row r="2564" spans="1:7" x14ac:dyDescent="0.3">
      <c r="A2564" s="198">
        <v>43158729</v>
      </c>
      <c r="B2564" s="192" t="s">
        <v>2218</v>
      </c>
      <c r="C2564" s="196">
        <v>-116436.75</v>
      </c>
      <c r="D2564" s="196">
        <v>0</v>
      </c>
      <c r="E2564" s="196">
        <v>0</v>
      </c>
      <c r="F2564" s="196">
        <v>0</v>
      </c>
      <c r="G2564" s="196">
        <v>-116436.75</v>
      </c>
    </row>
    <row r="2565" spans="1:7" x14ac:dyDescent="0.3">
      <c r="A2565" s="198">
        <v>32351925</v>
      </c>
      <c r="B2565" s="192" t="s">
        <v>2219</v>
      </c>
      <c r="C2565" s="196">
        <v>-81707.22</v>
      </c>
      <c r="D2565" s="196">
        <v>0</v>
      </c>
      <c r="E2565" s="196">
        <v>0</v>
      </c>
      <c r="F2565" s="196">
        <v>0</v>
      </c>
      <c r="G2565" s="196">
        <v>-81707.22</v>
      </c>
    </row>
    <row r="2566" spans="1:7" x14ac:dyDescent="0.3">
      <c r="A2566" s="198">
        <v>900923000</v>
      </c>
      <c r="B2566" s="192" t="s">
        <v>2220</v>
      </c>
      <c r="C2566" s="196">
        <v>-117473.01</v>
      </c>
      <c r="D2566" s="196">
        <v>0</v>
      </c>
      <c r="E2566" s="196">
        <v>0</v>
      </c>
      <c r="F2566" s="196">
        <v>0</v>
      </c>
      <c r="G2566" s="196">
        <v>-117473.01</v>
      </c>
    </row>
    <row r="2567" spans="1:7" x14ac:dyDescent="0.3">
      <c r="A2567" s="198">
        <v>71332729</v>
      </c>
      <c r="B2567" s="192" t="s">
        <v>2221</v>
      </c>
      <c r="C2567" s="196">
        <v>-67857.14</v>
      </c>
      <c r="D2567" s="196">
        <v>0</v>
      </c>
      <c r="E2567" s="196">
        <v>0</v>
      </c>
      <c r="F2567" s="196">
        <v>0</v>
      </c>
      <c r="G2567" s="196">
        <v>-67857.14</v>
      </c>
    </row>
    <row r="2568" spans="1:7" x14ac:dyDescent="0.3">
      <c r="A2568" s="198">
        <v>462165</v>
      </c>
      <c r="B2568" s="192" t="s">
        <v>2222</v>
      </c>
      <c r="C2568" s="196">
        <v>-1915.97</v>
      </c>
      <c r="D2568" s="196">
        <v>0</v>
      </c>
      <c r="E2568" s="196">
        <v>0</v>
      </c>
      <c r="F2568" s="196">
        <v>0</v>
      </c>
      <c r="G2568" s="196">
        <v>-1915.97</v>
      </c>
    </row>
    <row r="2569" spans="1:7" x14ac:dyDescent="0.3">
      <c r="A2569" s="198">
        <v>1072189717</v>
      </c>
      <c r="B2569" s="192" t="s">
        <v>2223</v>
      </c>
      <c r="C2569" s="196">
        <v>-90358.37</v>
      </c>
      <c r="D2569" s="196">
        <v>0</v>
      </c>
      <c r="E2569" s="196">
        <v>0</v>
      </c>
      <c r="F2569" s="196">
        <v>0</v>
      </c>
      <c r="G2569" s="196">
        <v>-90358.37</v>
      </c>
    </row>
    <row r="2570" spans="1:7" x14ac:dyDescent="0.3">
      <c r="A2570" s="198">
        <v>71579266</v>
      </c>
      <c r="B2570" s="192" t="s">
        <v>2224</v>
      </c>
      <c r="C2570" s="196">
        <v>-39542.04</v>
      </c>
      <c r="D2570" s="196">
        <v>0</v>
      </c>
      <c r="E2570" s="196">
        <v>0</v>
      </c>
      <c r="F2570" s="196">
        <v>0</v>
      </c>
      <c r="G2570" s="196">
        <v>-39542.04</v>
      </c>
    </row>
    <row r="2571" spans="1:7" x14ac:dyDescent="0.3">
      <c r="A2571" s="198">
        <v>1021926649</v>
      </c>
      <c r="B2571" s="192" t="s">
        <v>2225</v>
      </c>
      <c r="C2571" s="196">
        <v>-73445.38</v>
      </c>
      <c r="D2571" s="196">
        <v>0</v>
      </c>
      <c r="E2571" s="196">
        <v>0</v>
      </c>
      <c r="F2571" s="196">
        <v>0</v>
      </c>
      <c r="G2571" s="196">
        <v>-73445.38</v>
      </c>
    </row>
    <row r="2572" spans="1:7" x14ac:dyDescent="0.3">
      <c r="A2572" s="198">
        <v>1038095330</v>
      </c>
      <c r="B2572" s="192" t="s">
        <v>2226</v>
      </c>
      <c r="C2572" s="196">
        <v>-30875</v>
      </c>
      <c r="D2572" s="196">
        <v>0</v>
      </c>
      <c r="E2572" s="196">
        <v>0</v>
      </c>
      <c r="F2572" s="196">
        <v>0</v>
      </c>
      <c r="G2572" s="196">
        <v>-30875</v>
      </c>
    </row>
    <row r="2573" spans="1:7" x14ac:dyDescent="0.3">
      <c r="A2573" s="198">
        <v>1011686593</v>
      </c>
      <c r="B2573" s="192" t="s">
        <v>2227</v>
      </c>
      <c r="C2573" s="196">
        <v>-38777.199999999997</v>
      </c>
      <c r="D2573" s="196">
        <v>0</v>
      </c>
      <c r="E2573" s="196">
        <v>0</v>
      </c>
      <c r="F2573" s="196">
        <v>0</v>
      </c>
      <c r="G2573" s="196">
        <v>-38777.199999999997</v>
      </c>
    </row>
    <row r="2574" spans="1:7" x14ac:dyDescent="0.3">
      <c r="A2574" s="198">
        <v>43984336</v>
      </c>
      <c r="B2574" s="192" t="s">
        <v>2228</v>
      </c>
      <c r="C2574" s="196">
        <v>-16625</v>
      </c>
      <c r="D2574" s="196">
        <v>0</v>
      </c>
      <c r="E2574" s="196">
        <v>0</v>
      </c>
      <c r="F2574" s="196">
        <v>0</v>
      </c>
      <c r="G2574" s="196">
        <v>-16625</v>
      </c>
    </row>
    <row r="2575" spans="1:7" x14ac:dyDescent="0.3">
      <c r="A2575" s="198">
        <v>1037600226</v>
      </c>
      <c r="B2575" s="192" t="s">
        <v>2229</v>
      </c>
      <c r="C2575" s="196">
        <v>-63900.23</v>
      </c>
      <c r="D2575" s="196">
        <v>0</v>
      </c>
      <c r="E2575" s="196">
        <v>0</v>
      </c>
      <c r="F2575" s="196">
        <v>0</v>
      </c>
      <c r="G2575" s="196">
        <v>-63900.23</v>
      </c>
    </row>
    <row r="2576" spans="1:7" x14ac:dyDescent="0.3">
      <c r="A2576" s="198">
        <v>1017175096</v>
      </c>
      <c r="B2576" s="192" t="s">
        <v>2230</v>
      </c>
      <c r="C2576" s="196">
        <v>-80161.039999999994</v>
      </c>
      <c r="D2576" s="196">
        <v>0</v>
      </c>
      <c r="E2576" s="196">
        <v>0</v>
      </c>
      <c r="F2576" s="196">
        <v>0</v>
      </c>
      <c r="G2576" s="196">
        <v>-80161.039999999994</v>
      </c>
    </row>
    <row r="2577" spans="1:7" x14ac:dyDescent="0.3">
      <c r="A2577" s="198">
        <v>1037665759</v>
      </c>
      <c r="B2577" s="192" t="s">
        <v>2231</v>
      </c>
      <c r="C2577" s="196">
        <v>-38475</v>
      </c>
      <c r="D2577" s="196">
        <v>0</v>
      </c>
      <c r="E2577" s="196">
        <v>0</v>
      </c>
      <c r="F2577" s="196">
        <v>0</v>
      </c>
      <c r="G2577" s="196">
        <v>-38475</v>
      </c>
    </row>
    <row r="2578" spans="1:7" x14ac:dyDescent="0.3">
      <c r="A2578" s="198">
        <v>901062311</v>
      </c>
      <c r="B2578" s="192" t="s">
        <v>2232</v>
      </c>
      <c r="C2578" s="196">
        <v>-36867.56</v>
      </c>
      <c r="D2578" s="196">
        <v>0</v>
      </c>
      <c r="E2578" s="196">
        <v>0</v>
      </c>
      <c r="F2578" s="196">
        <v>0</v>
      </c>
      <c r="G2578" s="196">
        <v>-36867.56</v>
      </c>
    </row>
    <row r="2579" spans="1:7" x14ac:dyDescent="0.3">
      <c r="A2579" s="198">
        <v>1041536274</v>
      </c>
      <c r="B2579" s="192" t="s">
        <v>2233</v>
      </c>
      <c r="C2579" s="196">
        <v>-98033.61</v>
      </c>
      <c r="D2579" s="196">
        <v>0</v>
      </c>
      <c r="E2579" s="196">
        <v>0</v>
      </c>
      <c r="F2579" s="196">
        <v>0</v>
      </c>
      <c r="G2579" s="196">
        <v>-98033.61</v>
      </c>
    </row>
    <row r="2580" spans="1:7" x14ac:dyDescent="0.3">
      <c r="A2580" s="198">
        <v>1001764247</v>
      </c>
      <c r="B2580" s="192" t="s">
        <v>2057</v>
      </c>
      <c r="C2580" s="196">
        <v>-79562.95</v>
      </c>
      <c r="D2580" s="196">
        <v>0</v>
      </c>
      <c r="E2580" s="196">
        <v>0</v>
      </c>
      <c r="F2580" s="196">
        <v>0</v>
      </c>
      <c r="G2580" s="196">
        <v>-79562.95</v>
      </c>
    </row>
    <row r="2581" spans="1:7" x14ac:dyDescent="0.3">
      <c r="A2581" s="198">
        <v>1036452957</v>
      </c>
      <c r="B2581" s="192" t="s">
        <v>2234</v>
      </c>
      <c r="C2581" s="196">
        <v>-14250</v>
      </c>
      <c r="D2581" s="196">
        <v>0</v>
      </c>
      <c r="E2581" s="196">
        <v>0</v>
      </c>
      <c r="F2581" s="196">
        <v>0</v>
      </c>
      <c r="G2581" s="196">
        <v>-14250</v>
      </c>
    </row>
    <row r="2582" spans="1:7" x14ac:dyDescent="0.3">
      <c r="A2582" s="198">
        <v>1018271858</v>
      </c>
      <c r="B2582" s="192" t="s">
        <v>2235</v>
      </c>
      <c r="C2582" s="196">
        <v>-21677</v>
      </c>
      <c r="D2582" s="196">
        <v>0</v>
      </c>
      <c r="E2582" s="196">
        <v>0</v>
      </c>
      <c r="F2582" s="196">
        <v>0</v>
      </c>
      <c r="G2582" s="196">
        <v>-21677</v>
      </c>
    </row>
    <row r="2583" spans="1:7" x14ac:dyDescent="0.3">
      <c r="A2583" s="198">
        <v>21741794</v>
      </c>
      <c r="B2583" s="192" t="s">
        <v>2236</v>
      </c>
      <c r="C2583" s="196">
        <v>-23183.33</v>
      </c>
      <c r="D2583" s="196">
        <v>0</v>
      </c>
      <c r="E2583" s="196">
        <v>0</v>
      </c>
      <c r="F2583" s="196">
        <v>0</v>
      </c>
      <c r="G2583" s="196">
        <v>-23183.33</v>
      </c>
    </row>
    <row r="2584" spans="1:7" x14ac:dyDescent="0.3">
      <c r="A2584" s="198">
        <v>1037586230</v>
      </c>
      <c r="B2584" s="192" t="s">
        <v>2237</v>
      </c>
      <c r="C2584" s="196">
        <v>-61410</v>
      </c>
      <c r="D2584" s="196">
        <v>0</v>
      </c>
      <c r="E2584" s="196">
        <v>0</v>
      </c>
      <c r="F2584" s="196">
        <v>0</v>
      </c>
      <c r="G2584" s="196">
        <v>-61410</v>
      </c>
    </row>
    <row r="2585" spans="1:7" x14ac:dyDescent="0.3">
      <c r="A2585" s="198">
        <v>1037587335</v>
      </c>
      <c r="B2585" s="192" t="s">
        <v>2238</v>
      </c>
      <c r="C2585" s="196">
        <v>-14896</v>
      </c>
      <c r="D2585" s="196">
        <v>0</v>
      </c>
      <c r="E2585" s="196">
        <v>0</v>
      </c>
      <c r="F2585" s="196">
        <v>0</v>
      </c>
      <c r="G2585" s="196">
        <v>-14896</v>
      </c>
    </row>
    <row r="2586" spans="1:7" x14ac:dyDescent="0.3">
      <c r="A2586" s="198">
        <v>39189686</v>
      </c>
      <c r="B2586" s="192" t="s">
        <v>2239</v>
      </c>
      <c r="C2586" s="196">
        <v>-75074.25</v>
      </c>
      <c r="D2586" s="196">
        <v>0</v>
      </c>
      <c r="E2586" s="196">
        <v>0</v>
      </c>
      <c r="F2586" s="196">
        <v>0</v>
      </c>
      <c r="G2586" s="196">
        <v>-75074.25</v>
      </c>
    </row>
    <row r="2587" spans="1:7" x14ac:dyDescent="0.3">
      <c r="A2587" s="198">
        <v>24080103</v>
      </c>
      <c r="B2587" s="192" t="s">
        <v>2240</v>
      </c>
      <c r="C2587" s="196">
        <v>124936.84</v>
      </c>
      <c r="D2587" s="196">
        <v>0</v>
      </c>
      <c r="E2587" s="196">
        <v>0</v>
      </c>
      <c r="F2587" s="196">
        <v>0</v>
      </c>
      <c r="G2587" s="196">
        <v>124936.84</v>
      </c>
    </row>
    <row r="2588" spans="1:7" x14ac:dyDescent="0.3">
      <c r="A2588" s="198">
        <v>1111788781</v>
      </c>
      <c r="B2588" s="192" t="s">
        <v>2123</v>
      </c>
      <c r="C2588" s="196">
        <v>103781.67</v>
      </c>
      <c r="D2588" s="196">
        <v>0</v>
      </c>
      <c r="E2588" s="196">
        <v>0</v>
      </c>
      <c r="F2588" s="196">
        <v>0</v>
      </c>
      <c r="G2588" s="196">
        <v>103781.67</v>
      </c>
    </row>
    <row r="2589" spans="1:7" x14ac:dyDescent="0.3">
      <c r="A2589" s="198">
        <v>43267392</v>
      </c>
      <c r="B2589" s="192" t="s">
        <v>2188</v>
      </c>
      <c r="C2589" s="196">
        <v>21155.17</v>
      </c>
      <c r="D2589" s="196">
        <v>0</v>
      </c>
      <c r="E2589" s="196">
        <v>0</v>
      </c>
      <c r="F2589" s="196">
        <v>0</v>
      </c>
      <c r="G2589" s="196">
        <v>21155.17</v>
      </c>
    </row>
    <row r="2590" spans="1:7" x14ac:dyDescent="0.3">
      <c r="A2590" s="197">
        <v>240830</v>
      </c>
      <c r="B2590" s="191" t="s">
        <v>2241</v>
      </c>
      <c r="C2590" s="195">
        <v>179152820.68000001</v>
      </c>
      <c r="D2590" s="195">
        <v>0</v>
      </c>
      <c r="E2590" s="195">
        <v>0</v>
      </c>
      <c r="F2590" s="195">
        <v>0</v>
      </c>
      <c r="G2590" s="195">
        <v>179152820.68000001</v>
      </c>
    </row>
    <row r="2591" spans="1:7" x14ac:dyDescent="0.3">
      <c r="A2591" s="198">
        <v>24083001</v>
      </c>
      <c r="B2591" s="192" t="s">
        <v>2242</v>
      </c>
      <c r="C2591" s="196">
        <v>89111193.349999994</v>
      </c>
      <c r="D2591" s="196">
        <v>0</v>
      </c>
      <c r="E2591" s="196">
        <v>0</v>
      </c>
      <c r="F2591" s="196">
        <v>0</v>
      </c>
      <c r="G2591" s="196">
        <v>89111193.349999994</v>
      </c>
    </row>
    <row r="2592" spans="1:7" x14ac:dyDescent="0.3">
      <c r="A2592" s="198">
        <v>901092093</v>
      </c>
      <c r="B2592" s="192" t="s">
        <v>2011</v>
      </c>
      <c r="C2592" s="196">
        <v>239400</v>
      </c>
      <c r="D2592" s="196">
        <v>0</v>
      </c>
      <c r="E2592" s="196">
        <v>0</v>
      </c>
      <c r="F2592" s="196">
        <v>0</v>
      </c>
      <c r="G2592" s="196">
        <v>239400</v>
      </c>
    </row>
    <row r="2593" spans="1:7" x14ac:dyDescent="0.3">
      <c r="A2593" s="198">
        <v>900389508</v>
      </c>
      <c r="B2593" s="192" t="s">
        <v>2243</v>
      </c>
      <c r="C2593" s="196">
        <v>3143</v>
      </c>
      <c r="D2593" s="196">
        <v>0</v>
      </c>
      <c r="E2593" s="196">
        <v>0</v>
      </c>
      <c r="F2593" s="196">
        <v>0</v>
      </c>
      <c r="G2593" s="196">
        <v>3143</v>
      </c>
    </row>
    <row r="2594" spans="1:7" x14ac:dyDescent="0.3">
      <c r="A2594" s="198">
        <v>890900608</v>
      </c>
      <c r="B2594" s="192" t="s">
        <v>1856</v>
      </c>
      <c r="C2594" s="196">
        <v>39815.19</v>
      </c>
      <c r="D2594" s="196">
        <v>0</v>
      </c>
      <c r="E2594" s="196">
        <v>0</v>
      </c>
      <c r="F2594" s="196">
        <v>0</v>
      </c>
      <c r="G2594" s="196">
        <v>39815.19</v>
      </c>
    </row>
    <row r="2595" spans="1:7" x14ac:dyDescent="0.3">
      <c r="A2595" s="198">
        <v>901197425</v>
      </c>
      <c r="B2595" s="192" t="s">
        <v>2244</v>
      </c>
      <c r="C2595" s="196">
        <v>231800</v>
      </c>
      <c r="D2595" s="196">
        <v>0</v>
      </c>
      <c r="E2595" s="196">
        <v>0</v>
      </c>
      <c r="F2595" s="196">
        <v>0</v>
      </c>
      <c r="G2595" s="196">
        <v>231800</v>
      </c>
    </row>
    <row r="2596" spans="1:7" x14ac:dyDescent="0.3">
      <c r="A2596" s="198">
        <v>900468085</v>
      </c>
      <c r="B2596" s="192" t="s">
        <v>2245</v>
      </c>
      <c r="C2596" s="196">
        <v>28723.439999999999</v>
      </c>
      <c r="D2596" s="196">
        <v>0</v>
      </c>
      <c r="E2596" s="196">
        <v>0</v>
      </c>
      <c r="F2596" s="196">
        <v>0</v>
      </c>
      <c r="G2596" s="196">
        <v>28723.439999999999</v>
      </c>
    </row>
    <row r="2597" spans="1:7" x14ac:dyDescent="0.3">
      <c r="A2597" s="198">
        <v>901168186</v>
      </c>
      <c r="B2597" s="192" t="s">
        <v>2246</v>
      </c>
      <c r="C2597" s="196">
        <v>214112.14</v>
      </c>
      <c r="D2597" s="196">
        <v>0</v>
      </c>
      <c r="E2597" s="196">
        <v>0</v>
      </c>
      <c r="F2597" s="196">
        <v>0</v>
      </c>
      <c r="G2597" s="196">
        <v>214112.14</v>
      </c>
    </row>
    <row r="2598" spans="1:7" x14ac:dyDescent="0.3">
      <c r="A2598" s="198">
        <v>830021262</v>
      </c>
      <c r="B2598" s="192" t="s">
        <v>2012</v>
      </c>
      <c r="C2598" s="196">
        <v>653018.6</v>
      </c>
      <c r="D2598" s="196">
        <v>0</v>
      </c>
      <c r="E2598" s="196">
        <v>0</v>
      </c>
      <c r="F2598" s="196">
        <v>0</v>
      </c>
      <c r="G2598" s="196">
        <v>653018.6</v>
      </c>
    </row>
    <row r="2599" spans="1:7" x14ac:dyDescent="0.3">
      <c r="A2599" s="198">
        <v>900740595</v>
      </c>
      <c r="B2599" s="192" t="s">
        <v>1630</v>
      </c>
      <c r="C2599" s="196">
        <v>62269.08</v>
      </c>
      <c r="D2599" s="196">
        <v>0</v>
      </c>
      <c r="E2599" s="196">
        <v>0</v>
      </c>
      <c r="F2599" s="196">
        <v>0</v>
      </c>
      <c r="G2599" s="196">
        <v>62269.08</v>
      </c>
    </row>
    <row r="2600" spans="1:7" x14ac:dyDescent="0.3">
      <c r="A2600" s="198">
        <v>901112882</v>
      </c>
      <c r="B2600" s="192" t="s">
        <v>1864</v>
      </c>
      <c r="C2600" s="196">
        <v>13167</v>
      </c>
      <c r="D2600" s="196">
        <v>0</v>
      </c>
      <c r="E2600" s="196">
        <v>0</v>
      </c>
      <c r="F2600" s="196">
        <v>0</v>
      </c>
      <c r="G2600" s="196">
        <v>13167</v>
      </c>
    </row>
    <row r="2601" spans="1:7" x14ac:dyDescent="0.3">
      <c r="A2601" s="198">
        <v>800033289</v>
      </c>
      <c r="B2601" s="192" t="s">
        <v>2247</v>
      </c>
      <c r="C2601" s="196">
        <v>577983.04</v>
      </c>
      <c r="D2601" s="196">
        <v>0</v>
      </c>
      <c r="E2601" s="196">
        <v>0</v>
      </c>
      <c r="F2601" s="196">
        <v>0</v>
      </c>
      <c r="G2601" s="196">
        <v>577983.04</v>
      </c>
    </row>
    <row r="2602" spans="1:7" x14ac:dyDescent="0.3">
      <c r="A2602" s="198">
        <v>890900943</v>
      </c>
      <c r="B2602" s="192" t="s">
        <v>1783</v>
      </c>
      <c r="C2602" s="196">
        <v>17531.11</v>
      </c>
      <c r="D2602" s="196">
        <v>0</v>
      </c>
      <c r="E2602" s="196">
        <v>0</v>
      </c>
      <c r="F2602" s="196">
        <v>0</v>
      </c>
      <c r="G2602" s="196">
        <v>17531.11</v>
      </c>
    </row>
    <row r="2603" spans="1:7" x14ac:dyDescent="0.3">
      <c r="A2603" s="198">
        <v>811042584</v>
      </c>
      <c r="B2603" s="192" t="s">
        <v>1871</v>
      </c>
      <c r="C2603" s="196">
        <v>107136.44</v>
      </c>
      <c r="D2603" s="196">
        <v>0</v>
      </c>
      <c r="E2603" s="196">
        <v>0</v>
      </c>
      <c r="F2603" s="196">
        <v>0</v>
      </c>
      <c r="G2603" s="196">
        <v>107136.44</v>
      </c>
    </row>
    <row r="2604" spans="1:7" x14ac:dyDescent="0.3">
      <c r="A2604" s="198">
        <v>900557608</v>
      </c>
      <c r="B2604" s="192" t="s">
        <v>2248</v>
      </c>
      <c r="C2604" s="196">
        <v>155978.98000000001</v>
      </c>
      <c r="D2604" s="196">
        <v>0</v>
      </c>
      <c r="E2604" s="196">
        <v>0</v>
      </c>
      <c r="F2604" s="196">
        <v>0</v>
      </c>
      <c r="G2604" s="196">
        <v>155978.98000000001</v>
      </c>
    </row>
    <row r="2605" spans="1:7" x14ac:dyDescent="0.3">
      <c r="A2605" s="198">
        <v>900321827</v>
      </c>
      <c r="B2605" s="192" t="s">
        <v>2249</v>
      </c>
      <c r="C2605" s="196">
        <v>16445.45</v>
      </c>
      <c r="D2605" s="196">
        <v>0</v>
      </c>
      <c r="E2605" s="196">
        <v>0</v>
      </c>
      <c r="F2605" s="196">
        <v>0</v>
      </c>
      <c r="G2605" s="196">
        <v>16445.45</v>
      </c>
    </row>
    <row r="2606" spans="1:7" x14ac:dyDescent="0.3">
      <c r="A2606" s="198">
        <v>900270303</v>
      </c>
      <c r="B2606" s="192" t="s">
        <v>2250</v>
      </c>
      <c r="C2606" s="196">
        <v>726712</v>
      </c>
      <c r="D2606" s="196">
        <v>0</v>
      </c>
      <c r="E2606" s="196">
        <v>0</v>
      </c>
      <c r="F2606" s="196">
        <v>0</v>
      </c>
      <c r="G2606" s="196">
        <v>726712</v>
      </c>
    </row>
    <row r="2607" spans="1:7" x14ac:dyDescent="0.3">
      <c r="A2607" s="198">
        <v>811007030</v>
      </c>
      <c r="B2607" s="192" t="s">
        <v>2251</v>
      </c>
      <c r="C2607" s="196">
        <v>605530</v>
      </c>
      <c r="D2607" s="196">
        <v>0</v>
      </c>
      <c r="E2607" s="196">
        <v>0</v>
      </c>
      <c r="F2607" s="196">
        <v>0</v>
      </c>
      <c r="G2607" s="196">
        <v>605530</v>
      </c>
    </row>
    <row r="2608" spans="1:7" x14ac:dyDescent="0.3">
      <c r="A2608" s="198">
        <v>900276962</v>
      </c>
      <c r="B2608" s="192" t="s">
        <v>2252</v>
      </c>
      <c r="C2608" s="196">
        <v>36214.379999999997</v>
      </c>
      <c r="D2608" s="196">
        <v>0</v>
      </c>
      <c r="E2608" s="196">
        <v>0</v>
      </c>
      <c r="F2608" s="196">
        <v>0</v>
      </c>
      <c r="G2608" s="196">
        <v>36214.379999999997</v>
      </c>
    </row>
    <row r="2609" spans="1:7" x14ac:dyDescent="0.3">
      <c r="A2609" s="198">
        <v>900330053</v>
      </c>
      <c r="B2609" s="192" t="s">
        <v>2253</v>
      </c>
      <c r="C2609" s="196">
        <v>6050.55</v>
      </c>
      <c r="D2609" s="196">
        <v>0</v>
      </c>
      <c r="E2609" s="196">
        <v>0</v>
      </c>
      <c r="F2609" s="196">
        <v>0</v>
      </c>
      <c r="G2609" s="196">
        <v>6050.55</v>
      </c>
    </row>
    <row r="2610" spans="1:7" x14ac:dyDescent="0.3">
      <c r="A2610" s="198">
        <v>811000620</v>
      </c>
      <c r="B2610" s="192" t="s">
        <v>1875</v>
      </c>
      <c r="C2610" s="196">
        <v>18809.38</v>
      </c>
      <c r="D2610" s="196">
        <v>0</v>
      </c>
      <c r="E2610" s="196">
        <v>0</v>
      </c>
      <c r="F2610" s="196">
        <v>0</v>
      </c>
      <c r="G2610" s="196">
        <v>18809.38</v>
      </c>
    </row>
    <row r="2611" spans="1:7" x14ac:dyDescent="0.3">
      <c r="A2611" s="198">
        <v>901324429</v>
      </c>
      <c r="B2611" s="192" t="s">
        <v>1785</v>
      </c>
      <c r="C2611" s="196">
        <v>304000</v>
      </c>
      <c r="D2611" s="196">
        <v>0</v>
      </c>
      <c r="E2611" s="196">
        <v>0</v>
      </c>
      <c r="F2611" s="196">
        <v>0</v>
      </c>
      <c r="G2611" s="196">
        <v>304000</v>
      </c>
    </row>
    <row r="2612" spans="1:7" x14ac:dyDescent="0.3">
      <c r="A2612" s="198">
        <v>900978168</v>
      </c>
      <c r="B2612" s="192" t="s">
        <v>1878</v>
      </c>
      <c r="C2612" s="196">
        <v>1916264.19</v>
      </c>
      <c r="D2612" s="196">
        <v>0</v>
      </c>
      <c r="E2612" s="196">
        <v>0</v>
      </c>
      <c r="F2612" s="196">
        <v>0</v>
      </c>
      <c r="G2612" s="196">
        <v>1916264.19</v>
      </c>
    </row>
    <row r="2613" spans="1:7" x14ac:dyDescent="0.3">
      <c r="A2613" s="198">
        <v>811037682</v>
      </c>
      <c r="B2613" s="192" t="s">
        <v>1786</v>
      </c>
      <c r="C2613" s="196">
        <v>246417.22</v>
      </c>
      <c r="D2613" s="196">
        <v>0</v>
      </c>
      <c r="E2613" s="196">
        <v>0</v>
      </c>
      <c r="F2613" s="196">
        <v>0</v>
      </c>
      <c r="G2613" s="196">
        <v>246417.22</v>
      </c>
    </row>
    <row r="2614" spans="1:7" x14ac:dyDescent="0.3">
      <c r="A2614" s="198">
        <v>900912248</v>
      </c>
      <c r="B2614" s="192" t="s">
        <v>2254</v>
      </c>
      <c r="C2614" s="196">
        <v>7344.07</v>
      </c>
      <c r="D2614" s="196">
        <v>0</v>
      </c>
      <c r="E2614" s="196">
        <v>0</v>
      </c>
      <c r="F2614" s="196">
        <v>0</v>
      </c>
      <c r="G2614" s="196">
        <v>7344.07</v>
      </c>
    </row>
    <row r="2615" spans="1:7" x14ac:dyDescent="0.3">
      <c r="A2615" s="198">
        <v>890939027</v>
      </c>
      <c r="B2615" s="192" t="s">
        <v>1787</v>
      </c>
      <c r="C2615" s="196">
        <v>101460</v>
      </c>
      <c r="D2615" s="196">
        <v>0</v>
      </c>
      <c r="E2615" s="196">
        <v>0</v>
      </c>
      <c r="F2615" s="196">
        <v>0</v>
      </c>
      <c r="G2615" s="196">
        <v>101460</v>
      </c>
    </row>
    <row r="2616" spans="1:7" x14ac:dyDescent="0.3">
      <c r="A2616" s="198">
        <v>901422635</v>
      </c>
      <c r="B2616" s="192" t="s">
        <v>2255</v>
      </c>
      <c r="C2616" s="196">
        <v>9579.83</v>
      </c>
      <c r="D2616" s="196">
        <v>0</v>
      </c>
      <c r="E2616" s="196">
        <v>0</v>
      </c>
      <c r="F2616" s="196">
        <v>0</v>
      </c>
      <c r="G2616" s="196">
        <v>9579.83</v>
      </c>
    </row>
    <row r="2617" spans="1:7" x14ac:dyDescent="0.3">
      <c r="A2617" s="198">
        <v>71799325</v>
      </c>
      <c r="B2617" s="192" t="s">
        <v>2256</v>
      </c>
      <c r="C2617" s="196">
        <v>800441.94</v>
      </c>
      <c r="D2617" s="196">
        <v>0</v>
      </c>
      <c r="E2617" s="196">
        <v>0</v>
      </c>
      <c r="F2617" s="196">
        <v>0</v>
      </c>
      <c r="G2617" s="196">
        <v>800441.94</v>
      </c>
    </row>
    <row r="2618" spans="1:7" x14ac:dyDescent="0.3">
      <c r="A2618" s="198">
        <v>43058932</v>
      </c>
      <c r="B2618" s="192" t="s">
        <v>2257</v>
      </c>
      <c r="C2618" s="196">
        <v>158210.87</v>
      </c>
      <c r="D2618" s="196">
        <v>0</v>
      </c>
      <c r="E2618" s="196">
        <v>0</v>
      </c>
      <c r="F2618" s="196">
        <v>0</v>
      </c>
      <c r="G2618" s="196">
        <v>158210.87</v>
      </c>
    </row>
    <row r="2619" spans="1:7" x14ac:dyDescent="0.3">
      <c r="A2619" s="198">
        <v>900308419</v>
      </c>
      <c r="B2619" s="192" t="s">
        <v>1767</v>
      </c>
      <c r="C2619" s="196">
        <v>83410</v>
      </c>
      <c r="D2619" s="196">
        <v>0</v>
      </c>
      <c r="E2619" s="196">
        <v>0</v>
      </c>
      <c r="F2619" s="196">
        <v>0</v>
      </c>
      <c r="G2619" s="196">
        <v>83410</v>
      </c>
    </row>
    <row r="2620" spans="1:7" x14ac:dyDescent="0.3">
      <c r="A2620" s="198">
        <v>800160884</v>
      </c>
      <c r="B2620" s="192" t="s">
        <v>2258</v>
      </c>
      <c r="C2620" s="196">
        <v>145350</v>
      </c>
      <c r="D2620" s="196">
        <v>0</v>
      </c>
      <c r="E2620" s="196">
        <v>0</v>
      </c>
      <c r="F2620" s="196">
        <v>0</v>
      </c>
      <c r="G2620" s="196">
        <v>145350</v>
      </c>
    </row>
    <row r="2621" spans="1:7" x14ac:dyDescent="0.3">
      <c r="A2621" s="198">
        <v>890903939</v>
      </c>
      <c r="B2621" s="192" t="s">
        <v>1889</v>
      </c>
      <c r="C2621" s="196">
        <v>38505.26</v>
      </c>
      <c r="D2621" s="196">
        <v>0</v>
      </c>
      <c r="E2621" s="196">
        <v>0</v>
      </c>
      <c r="F2621" s="196">
        <v>0</v>
      </c>
      <c r="G2621" s="196">
        <v>38505.26</v>
      </c>
    </row>
    <row r="2622" spans="1:7" x14ac:dyDescent="0.3">
      <c r="A2622" s="198">
        <v>900543667</v>
      </c>
      <c r="B2622" s="192" t="s">
        <v>2259</v>
      </c>
      <c r="C2622" s="196">
        <v>172436.97</v>
      </c>
      <c r="D2622" s="196">
        <v>0</v>
      </c>
      <c r="E2622" s="196">
        <v>0</v>
      </c>
      <c r="F2622" s="196">
        <v>0</v>
      </c>
      <c r="G2622" s="196">
        <v>172436.97</v>
      </c>
    </row>
    <row r="2623" spans="1:7" x14ac:dyDescent="0.3">
      <c r="A2623" s="198">
        <v>900924527</v>
      </c>
      <c r="B2623" s="192" t="s">
        <v>1899</v>
      </c>
      <c r="C2623" s="196">
        <v>63785.66</v>
      </c>
      <c r="D2623" s="196">
        <v>0</v>
      </c>
      <c r="E2623" s="196">
        <v>0</v>
      </c>
      <c r="F2623" s="196">
        <v>0</v>
      </c>
      <c r="G2623" s="196">
        <v>63785.66</v>
      </c>
    </row>
    <row r="2624" spans="1:7" x14ac:dyDescent="0.3">
      <c r="A2624" s="198">
        <v>900298420</v>
      </c>
      <c r="B2624" s="192" t="s">
        <v>1637</v>
      </c>
      <c r="C2624" s="196">
        <v>206413.34</v>
      </c>
      <c r="D2624" s="196">
        <v>0</v>
      </c>
      <c r="E2624" s="196">
        <v>0</v>
      </c>
      <c r="F2624" s="196">
        <v>0</v>
      </c>
      <c r="G2624" s="196">
        <v>206413.34</v>
      </c>
    </row>
    <row r="2625" spans="1:7" x14ac:dyDescent="0.3">
      <c r="A2625" s="198">
        <v>890922117</v>
      </c>
      <c r="B2625" s="192" t="s">
        <v>2260</v>
      </c>
      <c r="C2625" s="196">
        <v>28021.200000000001</v>
      </c>
      <c r="D2625" s="196">
        <v>0</v>
      </c>
      <c r="E2625" s="196">
        <v>0</v>
      </c>
      <c r="F2625" s="196">
        <v>0</v>
      </c>
      <c r="G2625" s="196">
        <v>28021.200000000001</v>
      </c>
    </row>
    <row r="2626" spans="1:7" x14ac:dyDescent="0.3">
      <c r="A2626" s="198">
        <v>800131750</v>
      </c>
      <c r="B2626" s="192" t="s">
        <v>1639</v>
      </c>
      <c r="C2626" s="196">
        <v>286399.92</v>
      </c>
      <c r="D2626" s="196">
        <v>0</v>
      </c>
      <c r="E2626" s="196">
        <v>0</v>
      </c>
      <c r="F2626" s="196">
        <v>0</v>
      </c>
      <c r="G2626" s="196">
        <v>286399.92</v>
      </c>
    </row>
    <row r="2627" spans="1:7" x14ac:dyDescent="0.3">
      <c r="A2627" s="198">
        <v>890900099</v>
      </c>
      <c r="B2627" s="192" t="s">
        <v>2261</v>
      </c>
      <c r="C2627" s="196">
        <v>95312.14</v>
      </c>
      <c r="D2627" s="196">
        <v>0</v>
      </c>
      <c r="E2627" s="196">
        <v>0</v>
      </c>
      <c r="F2627" s="196">
        <v>0</v>
      </c>
      <c r="G2627" s="196">
        <v>95312.14</v>
      </c>
    </row>
    <row r="2628" spans="1:7" x14ac:dyDescent="0.3">
      <c r="A2628" s="198">
        <v>901012653</v>
      </c>
      <c r="B2628" s="192" t="s">
        <v>2262</v>
      </c>
      <c r="C2628" s="196">
        <v>5890</v>
      </c>
      <c r="D2628" s="196">
        <v>0</v>
      </c>
      <c r="E2628" s="196">
        <v>0</v>
      </c>
      <c r="F2628" s="196">
        <v>0</v>
      </c>
      <c r="G2628" s="196">
        <v>5890</v>
      </c>
    </row>
    <row r="2629" spans="1:7" x14ac:dyDescent="0.3">
      <c r="A2629" s="198">
        <v>900738981</v>
      </c>
      <c r="B2629" s="192" t="s">
        <v>2263</v>
      </c>
      <c r="C2629" s="196">
        <v>5651.93</v>
      </c>
      <c r="D2629" s="196">
        <v>0</v>
      </c>
      <c r="E2629" s="196">
        <v>0</v>
      </c>
      <c r="F2629" s="196">
        <v>0</v>
      </c>
      <c r="G2629" s="196">
        <v>5651.93</v>
      </c>
    </row>
    <row r="2630" spans="1:7" x14ac:dyDescent="0.3">
      <c r="A2630" s="198">
        <v>900435571</v>
      </c>
      <c r="B2630" s="192" t="s">
        <v>2264</v>
      </c>
      <c r="C2630" s="196">
        <v>2090.7600000000002</v>
      </c>
      <c r="D2630" s="196">
        <v>0</v>
      </c>
      <c r="E2630" s="196">
        <v>0</v>
      </c>
      <c r="F2630" s="196">
        <v>0</v>
      </c>
      <c r="G2630" s="196">
        <v>2090.7600000000002</v>
      </c>
    </row>
    <row r="2631" spans="1:7" x14ac:dyDescent="0.3">
      <c r="A2631" s="198">
        <v>901087252</v>
      </c>
      <c r="B2631" s="192" t="s">
        <v>2265</v>
      </c>
      <c r="C2631" s="196">
        <v>11176.47</v>
      </c>
      <c r="D2631" s="196">
        <v>0</v>
      </c>
      <c r="E2631" s="196">
        <v>0</v>
      </c>
      <c r="F2631" s="196">
        <v>0</v>
      </c>
      <c r="G2631" s="196">
        <v>11176.47</v>
      </c>
    </row>
    <row r="2632" spans="1:7" x14ac:dyDescent="0.3">
      <c r="A2632" s="198">
        <v>890900652</v>
      </c>
      <c r="B2632" s="192" t="s">
        <v>2266</v>
      </c>
      <c r="C2632" s="196">
        <v>3097.1</v>
      </c>
      <c r="D2632" s="196">
        <v>0</v>
      </c>
      <c r="E2632" s="196">
        <v>0</v>
      </c>
      <c r="F2632" s="196">
        <v>0</v>
      </c>
      <c r="G2632" s="196">
        <v>3097.1</v>
      </c>
    </row>
    <row r="2633" spans="1:7" x14ac:dyDescent="0.3">
      <c r="A2633" s="198">
        <v>900354553</v>
      </c>
      <c r="B2633" s="192" t="s">
        <v>2267</v>
      </c>
      <c r="C2633" s="196">
        <v>77283.45</v>
      </c>
      <c r="D2633" s="196">
        <v>0</v>
      </c>
      <c r="E2633" s="196">
        <v>0</v>
      </c>
      <c r="F2633" s="196">
        <v>0</v>
      </c>
      <c r="G2633" s="196">
        <v>77283.45</v>
      </c>
    </row>
    <row r="2634" spans="1:7" x14ac:dyDescent="0.3">
      <c r="A2634" s="198">
        <v>860019041</v>
      </c>
      <c r="B2634" s="192" t="s">
        <v>1647</v>
      </c>
      <c r="C2634" s="196">
        <v>73301177.680000007</v>
      </c>
      <c r="D2634" s="196">
        <v>0</v>
      </c>
      <c r="E2634" s="196">
        <v>0</v>
      </c>
      <c r="F2634" s="196">
        <v>0</v>
      </c>
      <c r="G2634" s="196">
        <v>73301177.680000007</v>
      </c>
    </row>
    <row r="2635" spans="1:7" x14ac:dyDescent="0.3">
      <c r="A2635" s="198">
        <v>890940259</v>
      </c>
      <c r="B2635" s="192" t="s">
        <v>1648</v>
      </c>
      <c r="C2635" s="196">
        <v>61180</v>
      </c>
      <c r="D2635" s="196">
        <v>0</v>
      </c>
      <c r="E2635" s="196">
        <v>0</v>
      </c>
      <c r="F2635" s="196">
        <v>0</v>
      </c>
      <c r="G2635" s="196">
        <v>61180</v>
      </c>
    </row>
    <row r="2636" spans="1:7" x14ac:dyDescent="0.3">
      <c r="A2636" s="198">
        <v>79575001</v>
      </c>
      <c r="B2636" s="192" t="s">
        <v>2268</v>
      </c>
      <c r="C2636" s="196">
        <v>61215.81</v>
      </c>
      <c r="D2636" s="196">
        <v>0</v>
      </c>
      <c r="E2636" s="196">
        <v>0</v>
      </c>
      <c r="F2636" s="196">
        <v>0</v>
      </c>
      <c r="G2636" s="196">
        <v>61215.81</v>
      </c>
    </row>
    <row r="2637" spans="1:7" x14ac:dyDescent="0.3">
      <c r="A2637" s="198">
        <v>802017441</v>
      </c>
      <c r="B2637" s="192" t="s">
        <v>1918</v>
      </c>
      <c r="C2637" s="196">
        <v>125400</v>
      </c>
      <c r="D2637" s="196">
        <v>0</v>
      </c>
      <c r="E2637" s="196">
        <v>0</v>
      </c>
      <c r="F2637" s="196">
        <v>0</v>
      </c>
      <c r="G2637" s="196">
        <v>125400</v>
      </c>
    </row>
    <row r="2638" spans="1:7" x14ac:dyDescent="0.3">
      <c r="A2638" s="198">
        <v>80120231</v>
      </c>
      <c r="B2638" s="192" t="s">
        <v>2269</v>
      </c>
      <c r="C2638" s="196">
        <v>3512.53</v>
      </c>
      <c r="D2638" s="196">
        <v>0</v>
      </c>
      <c r="E2638" s="196">
        <v>0</v>
      </c>
      <c r="F2638" s="196">
        <v>0</v>
      </c>
      <c r="G2638" s="196">
        <v>3512.53</v>
      </c>
    </row>
    <row r="2639" spans="1:7" x14ac:dyDescent="0.3">
      <c r="A2639" s="198">
        <v>900557226</v>
      </c>
      <c r="B2639" s="192" t="s">
        <v>1920</v>
      </c>
      <c r="C2639" s="196">
        <v>244150</v>
      </c>
      <c r="D2639" s="196">
        <v>0</v>
      </c>
      <c r="E2639" s="196">
        <v>0</v>
      </c>
      <c r="F2639" s="196">
        <v>0</v>
      </c>
      <c r="G2639" s="196">
        <v>244150</v>
      </c>
    </row>
    <row r="2640" spans="1:7" x14ac:dyDescent="0.3">
      <c r="A2640" s="198">
        <v>860005114</v>
      </c>
      <c r="B2640" s="192" t="s">
        <v>1656</v>
      </c>
      <c r="C2640" s="196">
        <v>333640</v>
      </c>
      <c r="D2640" s="196">
        <v>0</v>
      </c>
      <c r="E2640" s="196">
        <v>0</v>
      </c>
      <c r="F2640" s="196">
        <v>0</v>
      </c>
      <c r="G2640" s="196">
        <v>333640</v>
      </c>
    </row>
    <row r="2641" spans="1:7" x14ac:dyDescent="0.3">
      <c r="A2641" s="198">
        <v>901137699</v>
      </c>
      <c r="B2641" s="192" t="s">
        <v>2270</v>
      </c>
      <c r="C2641" s="196">
        <v>3959.6</v>
      </c>
      <c r="D2641" s="196">
        <v>0</v>
      </c>
      <c r="E2641" s="196">
        <v>0</v>
      </c>
      <c r="F2641" s="196">
        <v>0</v>
      </c>
      <c r="G2641" s="196">
        <v>3959.6</v>
      </c>
    </row>
    <row r="2642" spans="1:7" x14ac:dyDescent="0.3">
      <c r="A2642" s="198">
        <v>901165781</v>
      </c>
      <c r="B2642" s="192" t="s">
        <v>2271</v>
      </c>
      <c r="C2642" s="196">
        <v>8142.84</v>
      </c>
      <c r="D2642" s="196">
        <v>0</v>
      </c>
      <c r="E2642" s="196">
        <v>0</v>
      </c>
      <c r="F2642" s="196">
        <v>0</v>
      </c>
      <c r="G2642" s="196">
        <v>8142.84</v>
      </c>
    </row>
    <row r="2643" spans="1:7" x14ac:dyDescent="0.3">
      <c r="A2643" s="198">
        <v>900577348</v>
      </c>
      <c r="B2643" s="192" t="s">
        <v>2272</v>
      </c>
      <c r="C2643" s="196">
        <v>70794.97</v>
      </c>
      <c r="D2643" s="196">
        <v>0</v>
      </c>
      <c r="E2643" s="196">
        <v>0</v>
      </c>
      <c r="F2643" s="196">
        <v>0</v>
      </c>
      <c r="G2643" s="196">
        <v>70794.97</v>
      </c>
    </row>
    <row r="2644" spans="1:7" x14ac:dyDescent="0.3">
      <c r="A2644" s="198">
        <v>860002130</v>
      </c>
      <c r="B2644" s="192" t="s">
        <v>1934</v>
      </c>
      <c r="C2644" s="196">
        <v>35478.089999999997</v>
      </c>
      <c r="D2644" s="196">
        <v>0</v>
      </c>
      <c r="E2644" s="196">
        <v>0</v>
      </c>
      <c r="F2644" s="196">
        <v>0</v>
      </c>
      <c r="G2644" s="196">
        <v>35478.089999999997</v>
      </c>
    </row>
    <row r="2645" spans="1:7" x14ac:dyDescent="0.3">
      <c r="A2645" s="198">
        <v>890107487</v>
      </c>
      <c r="B2645" s="192" t="s">
        <v>2273</v>
      </c>
      <c r="C2645" s="196">
        <v>44821.5</v>
      </c>
      <c r="D2645" s="196">
        <v>0</v>
      </c>
      <c r="E2645" s="196">
        <v>0</v>
      </c>
      <c r="F2645" s="196">
        <v>0</v>
      </c>
      <c r="G2645" s="196">
        <v>44821.5</v>
      </c>
    </row>
    <row r="2646" spans="1:7" x14ac:dyDescent="0.3">
      <c r="A2646" s="198">
        <v>811041041</v>
      </c>
      <c r="B2646" s="192" t="s">
        <v>2274</v>
      </c>
      <c r="C2646" s="196">
        <v>22021</v>
      </c>
      <c r="D2646" s="196">
        <v>0</v>
      </c>
      <c r="E2646" s="196">
        <v>0</v>
      </c>
      <c r="F2646" s="196">
        <v>0</v>
      </c>
      <c r="G2646" s="196">
        <v>22021</v>
      </c>
    </row>
    <row r="2647" spans="1:7" x14ac:dyDescent="0.3">
      <c r="A2647" s="198">
        <v>830062565</v>
      </c>
      <c r="B2647" s="192" t="s">
        <v>1771</v>
      </c>
      <c r="C2647" s="196">
        <v>603798.91</v>
      </c>
      <c r="D2647" s="196">
        <v>0</v>
      </c>
      <c r="E2647" s="196">
        <v>0</v>
      </c>
      <c r="F2647" s="196">
        <v>0</v>
      </c>
      <c r="G2647" s="196">
        <v>603798.91</v>
      </c>
    </row>
    <row r="2648" spans="1:7" x14ac:dyDescent="0.3">
      <c r="A2648" s="198">
        <v>830011469</v>
      </c>
      <c r="B2648" s="192" t="s">
        <v>1943</v>
      </c>
      <c r="C2648" s="196">
        <v>373920</v>
      </c>
      <c r="D2648" s="196">
        <v>0</v>
      </c>
      <c r="E2648" s="196">
        <v>0</v>
      </c>
      <c r="F2648" s="196">
        <v>0</v>
      </c>
      <c r="G2648" s="196">
        <v>373920</v>
      </c>
    </row>
    <row r="2649" spans="1:7" x14ac:dyDescent="0.3">
      <c r="A2649" s="198">
        <v>830037946</v>
      </c>
      <c r="B2649" s="192" t="s">
        <v>1944</v>
      </c>
      <c r="C2649" s="196">
        <v>13243.95</v>
      </c>
      <c r="D2649" s="196">
        <v>0</v>
      </c>
      <c r="E2649" s="196">
        <v>0</v>
      </c>
      <c r="F2649" s="196">
        <v>0</v>
      </c>
      <c r="G2649" s="196">
        <v>13243.95</v>
      </c>
    </row>
    <row r="2650" spans="1:7" x14ac:dyDescent="0.3">
      <c r="A2650" s="198">
        <v>800021033</v>
      </c>
      <c r="B2650" s="192" t="s">
        <v>2275</v>
      </c>
      <c r="C2650" s="196">
        <v>479855.9</v>
      </c>
      <c r="D2650" s="196">
        <v>0</v>
      </c>
      <c r="E2650" s="196">
        <v>0</v>
      </c>
      <c r="F2650" s="196">
        <v>0</v>
      </c>
      <c r="G2650" s="196">
        <v>479855.9</v>
      </c>
    </row>
    <row r="2651" spans="1:7" x14ac:dyDescent="0.3">
      <c r="A2651" s="198">
        <v>900066601</v>
      </c>
      <c r="B2651" s="192" t="s">
        <v>1949</v>
      </c>
      <c r="C2651" s="196">
        <v>80180</v>
      </c>
      <c r="D2651" s="196">
        <v>0</v>
      </c>
      <c r="E2651" s="196">
        <v>0</v>
      </c>
      <c r="F2651" s="196">
        <v>0</v>
      </c>
      <c r="G2651" s="196">
        <v>80180</v>
      </c>
    </row>
    <row r="2652" spans="1:7" x14ac:dyDescent="0.3">
      <c r="A2652" s="198">
        <v>800245448</v>
      </c>
      <c r="B2652" s="192" t="s">
        <v>2276</v>
      </c>
      <c r="C2652" s="196">
        <v>1117.58</v>
      </c>
      <c r="D2652" s="196">
        <v>0</v>
      </c>
      <c r="E2652" s="196">
        <v>0</v>
      </c>
      <c r="F2652" s="196">
        <v>0</v>
      </c>
      <c r="G2652" s="196">
        <v>1117.58</v>
      </c>
    </row>
    <row r="2653" spans="1:7" x14ac:dyDescent="0.3">
      <c r="A2653" s="198">
        <v>890929073</v>
      </c>
      <c r="B2653" s="192" t="s">
        <v>1666</v>
      </c>
      <c r="C2653" s="196">
        <v>1463</v>
      </c>
      <c r="D2653" s="196">
        <v>0</v>
      </c>
      <c r="E2653" s="196">
        <v>0</v>
      </c>
      <c r="F2653" s="196">
        <v>0</v>
      </c>
      <c r="G2653" s="196">
        <v>1463</v>
      </c>
    </row>
    <row r="2654" spans="1:7" x14ac:dyDescent="0.3">
      <c r="A2654" s="198">
        <v>811036875</v>
      </c>
      <c r="B2654" s="192" t="s">
        <v>1955</v>
      </c>
      <c r="C2654" s="196">
        <v>22138.61</v>
      </c>
      <c r="D2654" s="196">
        <v>0</v>
      </c>
      <c r="E2654" s="196">
        <v>0</v>
      </c>
      <c r="F2654" s="196">
        <v>0</v>
      </c>
      <c r="G2654" s="196">
        <v>22138.61</v>
      </c>
    </row>
    <row r="2655" spans="1:7" x14ac:dyDescent="0.3">
      <c r="A2655" s="198">
        <v>860508392</v>
      </c>
      <c r="B2655" s="192" t="s">
        <v>2277</v>
      </c>
      <c r="C2655" s="196">
        <v>1186873</v>
      </c>
      <c r="D2655" s="196">
        <v>0</v>
      </c>
      <c r="E2655" s="196">
        <v>0</v>
      </c>
      <c r="F2655" s="196">
        <v>0</v>
      </c>
      <c r="G2655" s="196">
        <v>1186873</v>
      </c>
    </row>
    <row r="2656" spans="1:7" x14ac:dyDescent="0.3">
      <c r="A2656" s="198">
        <v>830084433</v>
      </c>
      <c r="B2656" s="192" t="s">
        <v>1670</v>
      </c>
      <c r="C2656" s="196">
        <v>47500</v>
      </c>
      <c r="D2656" s="196">
        <v>0</v>
      </c>
      <c r="E2656" s="196">
        <v>0</v>
      </c>
      <c r="F2656" s="196">
        <v>0</v>
      </c>
      <c r="G2656" s="196">
        <v>47500</v>
      </c>
    </row>
    <row r="2657" spans="1:7" x14ac:dyDescent="0.3">
      <c r="A2657" s="198">
        <v>800242106</v>
      </c>
      <c r="B2657" s="192" t="s">
        <v>1757</v>
      </c>
      <c r="C2657" s="196">
        <v>668480.5</v>
      </c>
      <c r="D2657" s="196">
        <v>0</v>
      </c>
      <c r="E2657" s="196">
        <v>0</v>
      </c>
      <c r="F2657" s="196">
        <v>0</v>
      </c>
      <c r="G2657" s="196">
        <v>668480.5</v>
      </c>
    </row>
    <row r="2658" spans="1:7" x14ac:dyDescent="0.3">
      <c r="A2658" s="198">
        <v>900245870</v>
      </c>
      <c r="B2658" s="192" t="s">
        <v>1958</v>
      </c>
      <c r="C2658" s="196">
        <v>1560376.9</v>
      </c>
      <c r="D2658" s="196">
        <v>0</v>
      </c>
      <c r="E2658" s="196">
        <v>0</v>
      </c>
      <c r="F2658" s="196">
        <v>0</v>
      </c>
      <c r="G2658" s="196">
        <v>1560376.9</v>
      </c>
    </row>
    <row r="2659" spans="1:7" x14ac:dyDescent="0.3">
      <c r="A2659" s="198">
        <v>900943243</v>
      </c>
      <c r="B2659" s="192" t="s">
        <v>1758</v>
      </c>
      <c r="C2659" s="196">
        <v>76009.39</v>
      </c>
      <c r="D2659" s="196">
        <v>0</v>
      </c>
      <c r="E2659" s="196">
        <v>0</v>
      </c>
      <c r="F2659" s="196">
        <v>0</v>
      </c>
      <c r="G2659" s="196">
        <v>76009.39</v>
      </c>
    </row>
    <row r="2660" spans="1:7" x14ac:dyDescent="0.3">
      <c r="A2660" s="198">
        <v>830004892</v>
      </c>
      <c r="B2660" s="192" t="s">
        <v>1773</v>
      </c>
      <c r="C2660" s="196">
        <v>72523</v>
      </c>
      <c r="D2660" s="196">
        <v>0</v>
      </c>
      <c r="E2660" s="196">
        <v>0</v>
      </c>
      <c r="F2660" s="196">
        <v>0</v>
      </c>
      <c r="G2660" s="196">
        <v>72523</v>
      </c>
    </row>
    <row r="2661" spans="1:7" x14ac:dyDescent="0.3">
      <c r="A2661" s="198">
        <v>900494362</v>
      </c>
      <c r="B2661" s="192" t="s">
        <v>1672</v>
      </c>
      <c r="C2661" s="196">
        <v>423199.08</v>
      </c>
      <c r="D2661" s="196">
        <v>0</v>
      </c>
      <c r="E2661" s="196">
        <v>0</v>
      </c>
      <c r="F2661" s="196">
        <v>0</v>
      </c>
      <c r="G2661" s="196">
        <v>423199.08</v>
      </c>
    </row>
    <row r="2662" spans="1:7" x14ac:dyDescent="0.3">
      <c r="A2662" s="198">
        <v>901531343</v>
      </c>
      <c r="B2662" s="192" t="s">
        <v>2278</v>
      </c>
      <c r="C2662" s="196">
        <v>167394.82999999999</v>
      </c>
      <c r="D2662" s="196">
        <v>0</v>
      </c>
      <c r="E2662" s="196">
        <v>0</v>
      </c>
      <c r="F2662" s="196">
        <v>0</v>
      </c>
      <c r="G2662" s="196">
        <v>167394.82999999999</v>
      </c>
    </row>
    <row r="2663" spans="1:7" x14ac:dyDescent="0.3">
      <c r="A2663" s="198">
        <v>900581756</v>
      </c>
      <c r="B2663" s="192" t="s">
        <v>2279</v>
      </c>
      <c r="C2663" s="196">
        <v>122941.18</v>
      </c>
      <c r="D2663" s="196">
        <v>0</v>
      </c>
      <c r="E2663" s="196">
        <v>0</v>
      </c>
      <c r="F2663" s="196">
        <v>0</v>
      </c>
      <c r="G2663" s="196">
        <v>122941.18</v>
      </c>
    </row>
    <row r="2664" spans="1:7" x14ac:dyDescent="0.3">
      <c r="A2664" s="198">
        <v>900132642</v>
      </c>
      <c r="B2664" s="192" t="s">
        <v>2280</v>
      </c>
      <c r="C2664" s="196">
        <v>8317.99</v>
      </c>
      <c r="D2664" s="196">
        <v>0</v>
      </c>
      <c r="E2664" s="196">
        <v>0</v>
      </c>
      <c r="F2664" s="196">
        <v>0</v>
      </c>
      <c r="G2664" s="196">
        <v>8317.99</v>
      </c>
    </row>
    <row r="2665" spans="1:7" x14ac:dyDescent="0.3">
      <c r="A2665" s="198">
        <v>900252156</v>
      </c>
      <c r="B2665" s="192" t="s">
        <v>2281</v>
      </c>
      <c r="C2665" s="196">
        <v>19233.509999999998</v>
      </c>
      <c r="D2665" s="196">
        <v>0</v>
      </c>
      <c r="E2665" s="196">
        <v>0</v>
      </c>
      <c r="F2665" s="196">
        <v>0</v>
      </c>
      <c r="G2665" s="196">
        <v>19233.509999999998</v>
      </c>
    </row>
    <row r="2666" spans="1:7" x14ac:dyDescent="0.3">
      <c r="A2666" s="198">
        <v>900013663</v>
      </c>
      <c r="B2666" s="192" t="s">
        <v>2282</v>
      </c>
      <c r="C2666" s="196">
        <v>65968</v>
      </c>
      <c r="D2666" s="196">
        <v>0</v>
      </c>
      <c r="E2666" s="196">
        <v>0</v>
      </c>
      <c r="F2666" s="196">
        <v>0</v>
      </c>
      <c r="G2666" s="196">
        <v>65968</v>
      </c>
    </row>
    <row r="2667" spans="1:7" x14ac:dyDescent="0.3">
      <c r="A2667" s="198">
        <v>900046486</v>
      </c>
      <c r="B2667" s="192" t="s">
        <v>1965</v>
      </c>
      <c r="C2667" s="196">
        <v>7980</v>
      </c>
      <c r="D2667" s="196">
        <v>0</v>
      </c>
      <c r="E2667" s="196">
        <v>0</v>
      </c>
      <c r="F2667" s="196">
        <v>0</v>
      </c>
      <c r="G2667" s="196">
        <v>7980</v>
      </c>
    </row>
    <row r="2668" spans="1:7" x14ac:dyDescent="0.3">
      <c r="A2668" s="198">
        <v>900092385</v>
      </c>
      <c r="B2668" s="192" t="s">
        <v>1673</v>
      </c>
      <c r="C2668" s="196">
        <v>53441.9</v>
      </c>
      <c r="D2668" s="196">
        <v>0</v>
      </c>
      <c r="E2668" s="196">
        <v>0</v>
      </c>
      <c r="F2668" s="196">
        <v>0</v>
      </c>
      <c r="G2668" s="196">
        <v>53441.9</v>
      </c>
    </row>
    <row r="2669" spans="1:7" x14ac:dyDescent="0.3">
      <c r="A2669" s="198">
        <v>901280648</v>
      </c>
      <c r="B2669" s="192" t="s">
        <v>2283</v>
      </c>
      <c r="C2669" s="196">
        <v>217360</v>
      </c>
      <c r="D2669" s="196">
        <v>0</v>
      </c>
      <c r="E2669" s="196">
        <v>0</v>
      </c>
      <c r="F2669" s="196">
        <v>0</v>
      </c>
      <c r="G2669" s="196">
        <v>217360</v>
      </c>
    </row>
    <row r="2670" spans="1:7" x14ac:dyDescent="0.3">
      <c r="A2670" s="198">
        <v>24083002</v>
      </c>
      <c r="B2670" s="192" t="s">
        <v>2284</v>
      </c>
      <c r="C2670" s="196">
        <v>1208427</v>
      </c>
      <c r="D2670" s="196">
        <v>0</v>
      </c>
      <c r="E2670" s="196">
        <v>0</v>
      </c>
      <c r="F2670" s="196">
        <v>0</v>
      </c>
      <c r="G2670" s="196">
        <v>1208427</v>
      </c>
    </row>
    <row r="2671" spans="1:7" x14ac:dyDescent="0.3">
      <c r="A2671" s="198">
        <v>830021262</v>
      </c>
      <c r="B2671" s="192" t="s">
        <v>2012</v>
      </c>
      <c r="C2671" s="196">
        <v>49495</v>
      </c>
      <c r="D2671" s="196">
        <v>0</v>
      </c>
      <c r="E2671" s="196">
        <v>0</v>
      </c>
      <c r="F2671" s="196">
        <v>0</v>
      </c>
      <c r="G2671" s="196">
        <v>49495</v>
      </c>
    </row>
    <row r="2672" spans="1:7" x14ac:dyDescent="0.3">
      <c r="A2672" s="198">
        <v>71799325</v>
      </c>
      <c r="B2672" s="192" t="s">
        <v>2256</v>
      </c>
      <c r="C2672" s="196">
        <v>56397</v>
      </c>
      <c r="D2672" s="196">
        <v>0</v>
      </c>
      <c r="E2672" s="196">
        <v>0</v>
      </c>
      <c r="F2672" s="196">
        <v>0</v>
      </c>
      <c r="G2672" s="196">
        <v>56397</v>
      </c>
    </row>
    <row r="2673" spans="1:7" x14ac:dyDescent="0.3">
      <c r="A2673" s="198">
        <v>860019041</v>
      </c>
      <c r="B2673" s="192" t="s">
        <v>1647</v>
      </c>
      <c r="C2673" s="196">
        <v>433488</v>
      </c>
      <c r="D2673" s="196">
        <v>0</v>
      </c>
      <c r="E2673" s="196">
        <v>0</v>
      </c>
      <c r="F2673" s="196">
        <v>0</v>
      </c>
      <c r="G2673" s="196">
        <v>433488</v>
      </c>
    </row>
    <row r="2674" spans="1:7" x14ac:dyDescent="0.3">
      <c r="A2674" s="198">
        <v>800021033</v>
      </c>
      <c r="B2674" s="192" t="s">
        <v>2275</v>
      </c>
      <c r="C2674" s="196">
        <v>111206</v>
      </c>
      <c r="D2674" s="196">
        <v>0</v>
      </c>
      <c r="E2674" s="196">
        <v>0</v>
      </c>
      <c r="F2674" s="196">
        <v>0</v>
      </c>
      <c r="G2674" s="196">
        <v>111206</v>
      </c>
    </row>
    <row r="2675" spans="1:7" x14ac:dyDescent="0.3">
      <c r="A2675" s="198">
        <v>860508392</v>
      </c>
      <c r="B2675" s="192" t="s">
        <v>2277</v>
      </c>
      <c r="C2675" s="196">
        <v>543286</v>
      </c>
      <c r="D2675" s="196">
        <v>0</v>
      </c>
      <c r="E2675" s="196">
        <v>0</v>
      </c>
      <c r="F2675" s="196">
        <v>0</v>
      </c>
      <c r="G2675" s="196">
        <v>543286</v>
      </c>
    </row>
    <row r="2676" spans="1:7" x14ac:dyDescent="0.3">
      <c r="A2676" s="198">
        <v>900494362</v>
      </c>
      <c r="B2676" s="192" t="s">
        <v>1672</v>
      </c>
      <c r="C2676" s="196">
        <v>14555</v>
      </c>
      <c r="D2676" s="196">
        <v>0</v>
      </c>
      <c r="E2676" s="196">
        <v>0</v>
      </c>
      <c r="F2676" s="196">
        <v>0</v>
      </c>
      <c r="G2676" s="196">
        <v>14555</v>
      </c>
    </row>
    <row r="2677" spans="1:7" x14ac:dyDescent="0.3">
      <c r="A2677" s="198">
        <v>24083003</v>
      </c>
      <c r="B2677" s="192" t="s">
        <v>2285</v>
      </c>
      <c r="C2677" s="196">
        <v>90284284.109999999</v>
      </c>
      <c r="D2677" s="196">
        <v>0</v>
      </c>
      <c r="E2677" s="196">
        <v>0</v>
      </c>
      <c r="F2677" s="196">
        <v>0</v>
      </c>
      <c r="G2677" s="196">
        <v>90284284.109999999</v>
      </c>
    </row>
    <row r="2678" spans="1:7" x14ac:dyDescent="0.3">
      <c r="A2678" s="198">
        <v>900671570</v>
      </c>
      <c r="B2678" s="192" t="s">
        <v>2286</v>
      </c>
      <c r="C2678" s="196">
        <v>900600</v>
      </c>
      <c r="D2678" s="196">
        <v>0</v>
      </c>
      <c r="E2678" s="196">
        <v>0</v>
      </c>
      <c r="F2678" s="196">
        <v>0</v>
      </c>
      <c r="G2678" s="196">
        <v>900600</v>
      </c>
    </row>
    <row r="2679" spans="1:7" x14ac:dyDescent="0.3">
      <c r="A2679" s="198">
        <v>830053812</v>
      </c>
      <c r="B2679" s="192" t="s">
        <v>1623</v>
      </c>
      <c r="C2679" s="196">
        <v>33552053.260000002</v>
      </c>
      <c r="D2679" s="196">
        <v>0</v>
      </c>
      <c r="E2679" s="196">
        <v>0</v>
      </c>
      <c r="F2679" s="196">
        <v>0</v>
      </c>
      <c r="G2679" s="196">
        <v>33552053.260000002</v>
      </c>
    </row>
    <row r="2680" spans="1:7" x14ac:dyDescent="0.3">
      <c r="A2680" s="198">
        <v>900389508</v>
      </c>
      <c r="B2680" s="192" t="s">
        <v>2243</v>
      </c>
      <c r="C2680" s="196">
        <v>25145.19</v>
      </c>
      <c r="D2680" s="196">
        <v>0</v>
      </c>
      <c r="E2680" s="196">
        <v>0</v>
      </c>
      <c r="F2680" s="196">
        <v>0</v>
      </c>
      <c r="G2680" s="196">
        <v>25145.19</v>
      </c>
    </row>
    <row r="2681" spans="1:7" x14ac:dyDescent="0.3">
      <c r="A2681" s="198">
        <v>890900608</v>
      </c>
      <c r="B2681" s="192" t="s">
        <v>1856</v>
      </c>
      <c r="C2681" s="196">
        <v>61202.23</v>
      </c>
      <c r="D2681" s="196">
        <v>0</v>
      </c>
      <c r="E2681" s="196">
        <v>0</v>
      </c>
      <c r="F2681" s="196">
        <v>0</v>
      </c>
      <c r="G2681" s="196">
        <v>61202.23</v>
      </c>
    </row>
    <row r="2682" spans="1:7" x14ac:dyDescent="0.3">
      <c r="A2682" s="198">
        <v>890942924</v>
      </c>
      <c r="B2682" s="192" t="s">
        <v>1782</v>
      </c>
      <c r="C2682" s="196">
        <v>47500.38</v>
      </c>
      <c r="D2682" s="196">
        <v>0</v>
      </c>
      <c r="E2682" s="196">
        <v>0</v>
      </c>
      <c r="F2682" s="196">
        <v>0</v>
      </c>
      <c r="G2682" s="196">
        <v>47500.38</v>
      </c>
    </row>
    <row r="2683" spans="1:7" x14ac:dyDescent="0.3">
      <c r="A2683" s="198">
        <v>800146073</v>
      </c>
      <c r="B2683" s="192" t="s">
        <v>2287</v>
      </c>
      <c r="C2683" s="196">
        <v>349980</v>
      </c>
      <c r="D2683" s="196">
        <v>0</v>
      </c>
      <c r="E2683" s="196">
        <v>0</v>
      </c>
      <c r="F2683" s="196">
        <v>0</v>
      </c>
      <c r="G2683" s="196">
        <v>349980</v>
      </c>
    </row>
    <row r="2684" spans="1:7" x14ac:dyDescent="0.3">
      <c r="A2684" s="198">
        <v>901168186</v>
      </c>
      <c r="B2684" s="192" t="s">
        <v>2246</v>
      </c>
      <c r="C2684" s="196">
        <v>93403.81</v>
      </c>
      <c r="D2684" s="196">
        <v>0</v>
      </c>
      <c r="E2684" s="196">
        <v>0</v>
      </c>
      <c r="F2684" s="196">
        <v>0</v>
      </c>
      <c r="G2684" s="196">
        <v>93403.81</v>
      </c>
    </row>
    <row r="2685" spans="1:7" x14ac:dyDescent="0.3">
      <c r="A2685" s="198">
        <v>890903938</v>
      </c>
      <c r="B2685" s="192" t="s">
        <v>1691</v>
      </c>
      <c r="C2685" s="196">
        <v>1075373.83</v>
      </c>
      <c r="D2685" s="196">
        <v>0</v>
      </c>
      <c r="E2685" s="196">
        <v>0</v>
      </c>
      <c r="F2685" s="196">
        <v>0</v>
      </c>
      <c r="G2685" s="196">
        <v>1075373.83</v>
      </c>
    </row>
    <row r="2686" spans="1:7" x14ac:dyDescent="0.3">
      <c r="A2686" s="198">
        <v>860003020</v>
      </c>
      <c r="B2686" s="192" t="s">
        <v>2288</v>
      </c>
      <c r="C2686" s="196">
        <v>54948</v>
      </c>
      <c r="D2686" s="196">
        <v>0</v>
      </c>
      <c r="E2686" s="196">
        <v>0</v>
      </c>
      <c r="F2686" s="196">
        <v>0</v>
      </c>
      <c r="G2686" s="196">
        <v>54948</v>
      </c>
    </row>
    <row r="2687" spans="1:7" x14ac:dyDescent="0.3">
      <c r="A2687" s="198">
        <v>900293637</v>
      </c>
      <c r="B2687" s="192" t="s">
        <v>1868</v>
      </c>
      <c r="C2687" s="196">
        <v>25543.02</v>
      </c>
      <c r="D2687" s="196">
        <v>0</v>
      </c>
      <c r="E2687" s="196">
        <v>0</v>
      </c>
      <c r="F2687" s="196">
        <v>0</v>
      </c>
      <c r="G2687" s="196">
        <v>25543.02</v>
      </c>
    </row>
    <row r="2688" spans="1:7" x14ac:dyDescent="0.3">
      <c r="A2688" s="198">
        <v>900636132</v>
      </c>
      <c r="B2688" s="192" t="s">
        <v>2289</v>
      </c>
      <c r="C2688" s="196">
        <v>7695.76</v>
      </c>
      <c r="D2688" s="196">
        <v>0</v>
      </c>
      <c r="E2688" s="196">
        <v>0</v>
      </c>
      <c r="F2688" s="196">
        <v>0</v>
      </c>
      <c r="G2688" s="196">
        <v>7695.76</v>
      </c>
    </row>
    <row r="2689" spans="1:7" x14ac:dyDescent="0.3">
      <c r="A2689" s="198">
        <v>890900943</v>
      </c>
      <c r="B2689" s="192" t="s">
        <v>1783</v>
      </c>
      <c r="C2689" s="196">
        <v>187525.33</v>
      </c>
      <c r="D2689" s="196">
        <v>0</v>
      </c>
      <c r="E2689" s="196">
        <v>0</v>
      </c>
      <c r="F2689" s="196">
        <v>0</v>
      </c>
      <c r="G2689" s="196">
        <v>187525.33</v>
      </c>
    </row>
    <row r="2690" spans="1:7" x14ac:dyDescent="0.3">
      <c r="A2690" s="198">
        <v>901026837</v>
      </c>
      <c r="B2690" s="192" t="s">
        <v>2290</v>
      </c>
      <c r="C2690" s="196">
        <v>438048</v>
      </c>
      <c r="D2690" s="196">
        <v>0</v>
      </c>
      <c r="E2690" s="196">
        <v>0</v>
      </c>
      <c r="F2690" s="196">
        <v>0</v>
      </c>
      <c r="G2690" s="196">
        <v>438048</v>
      </c>
    </row>
    <row r="2691" spans="1:7" x14ac:dyDescent="0.3">
      <c r="A2691" s="198">
        <v>900241363</v>
      </c>
      <c r="B2691" s="192" t="s">
        <v>1633</v>
      </c>
      <c r="C2691" s="196">
        <v>5578666.1900000004</v>
      </c>
      <c r="D2691" s="196">
        <v>0</v>
      </c>
      <c r="E2691" s="196">
        <v>0</v>
      </c>
      <c r="F2691" s="196">
        <v>0</v>
      </c>
      <c r="G2691" s="196">
        <v>5578666.1900000004</v>
      </c>
    </row>
    <row r="2692" spans="1:7" x14ac:dyDescent="0.3">
      <c r="A2692" s="198">
        <v>901479006</v>
      </c>
      <c r="B2692" s="192" t="s">
        <v>2291</v>
      </c>
      <c r="C2692" s="196">
        <v>35131</v>
      </c>
      <c r="D2692" s="196">
        <v>0</v>
      </c>
      <c r="E2692" s="196">
        <v>0</v>
      </c>
      <c r="F2692" s="196">
        <v>0</v>
      </c>
      <c r="G2692" s="196">
        <v>35131</v>
      </c>
    </row>
    <row r="2693" spans="1:7" x14ac:dyDescent="0.3">
      <c r="A2693" s="198">
        <v>900725276</v>
      </c>
      <c r="B2693" s="192" t="s">
        <v>2292</v>
      </c>
      <c r="C2693" s="196">
        <v>10925</v>
      </c>
      <c r="D2693" s="196">
        <v>0</v>
      </c>
      <c r="E2693" s="196">
        <v>0</v>
      </c>
      <c r="F2693" s="196">
        <v>0</v>
      </c>
      <c r="G2693" s="196">
        <v>10925</v>
      </c>
    </row>
    <row r="2694" spans="1:7" x14ac:dyDescent="0.3">
      <c r="A2694" s="198">
        <v>901414090</v>
      </c>
      <c r="B2694" s="192" t="s">
        <v>1784</v>
      </c>
      <c r="C2694" s="196">
        <v>235600</v>
      </c>
      <c r="D2694" s="196">
        <v>0</v>
      </c>
      <c r="E2694" s="196">
        <v>0</v>
      </c>
      <c r="F2694" s="196">
        <v>0</v>
      </c>
      <c r="G2694" s="196">
        <v>235600</v>
      </c>
    </row>
    <row r="2695" spans="1:7" x14ac:dyDescent="0.3">
      <c r="A2695" s="198">
        <v>900412290</v>
      </c>
      <c r="B2695" s="192" t="s">
        <v>1975</v>
      </c>
      <c r="C2695" s="196">
        <v>2185000</v>
      </c>
      <c r="D2695" s="196">
        <v>0</v>
      </c>
      <c r="E2695" s="196">
        <v>0</v>
      </c>
      <c r="F2695" s="196">
        <v>0</v>
      </c>
      <c r="G2695" s="196">
        <v>2185000</v>
      </c>
    </row>
    <row r="2696" spans="1:7" x14ac:dyDescent="0.3">
      <c r="A2696" s="198">
        <v>860402272</v>
      </c>
      <c r="B2696" s="192" t="s">
        <v>2293</v>
      </c>
      <c r="C2696" s="196">
        <v>1382250</v>
      </c>
      <c r="D2696" s="196">
        <v>0</v>
      </c>
      <c r="E2696" s="196">
        <v>0</v>
      </c>
      <c r="F2696" s="196">
        <v>0</v>
      </c>
      <c r="G2696" s="196">
        <v>1382250</v>
      </c>
    </row>
    <row r="2697" spans="1:7" x14ac:dyDescent="0.3">
      <c r="A2697" s="198">
        <v>800039776</v>
      </c>
      <c r="B2697" s="192" t="s">
        <v>2294</v>
      </c>
      <c r="C2697" s="196">
        <v>20756.36</v>
      </c>
      <c r="D2697" s="196">
        <v>0</v>
      </c>
      <c r="E2697" s="196">
        <v>0</v>
      </c>
      <c r="F2697" s="196">
        <v>0</v>
      </c>
      <c r="G2697" s="196">
        <v>20756.36</v>
      </c>
    </row>
    <row r="2698" spans="1:7" x14ac:dyDescent="0.3">
      <c r="A2698" s="198">
        <v>900543667</v>
      </c>
      <c r="B2698" s="192" t="s">
        <v>2259</v>
      </c>
      <c r="C2698" s="196">
        <v>47899.38</v>
      </c>
      <c r="D2698" s="196">
        <v>0</v>
      </c>
      <c r="E2698" s="196">
        <v>0</v>
      </c>
      <c r="F2698" s="196">
        <v>0</v>
      </c>
      <c r="G2698" s="196">
        <v>47899.38</v>
      </c>
    </row>
    <row r="2699" spans="1:7" x14ac:dyDescent="0.3">
      <c r="A2699" s="198">
        <v>900500708</v>
      </c>
      <c r="B2699" s="192" t="s">
        <v>2295</v>
      </c>
      <c r="C2699" s="196">
        <v>289512.69</v>
      </c>
      <c r="D2699" s="196">
        <v>0</v>
      </c>
      <c r="E2699" s="196">
        <v>0</v>
      </c>
      <c r="F2699" s="196">
        <v>0</v>
      </c>
      <c r="G2699" s="196">
        <v>289512.69</v>
      </c>
    </row>
    <row r="2700" spans="1:7" x14ac:dyDescent="0.3">
      <c r="A2700" s="198">
        <v>901269126</v>
      </c>
      <c r="B2700" s="192" t="s">
        <v>1890</v>
      </c>
      <c r="C2700" s="196">
        <v>106400</v>
      </c>
      <c r="D2700" s="196">
        <v>0</v>
      </c>
      <c r="E2700" s="196">
        <v>0</v>
      </c>
      <c r="F2700" s="196">
        <v>0</v>
      </c>
      <c r="G2700" s="196">
        <v>106400</v>
      </c>
    </row>
    <row r="2701" spans="1:7" x14ac:dyDescent="0.3">
      <c r="A2701" s="198">
        <v>800213809</v>
      </c>
      <c r="B2701" s="192" t="s">
        <v>2296</v>
      </c>
      <c r="C2701" s="196">
        <v>789545</v>
      </c>
      <c r="D2701" s="196">
        <v>0</v>
      </c>
      <c r="E2701" s="196">
        <v>0</v>
      </c>
      <c r="F2701" s="196">
        <v>0</v>
      </c>
      <c r="G2701" s="196">
        <v>789545</v>
      </c>
    </row>
    <row r="2702" spans="1:7" x14ac:dyDescent="0.3">
      <c r="A2702" s="198">
        <v>900150913</v>
      </c>
      <c r="B2702" s="192" t="s">
        <v>2297</v>
      </c>
      <c r="C2702" s="196">
        <v>35126.050000000003</v>
      </c>
      <c r="D2702" s="196">
        <v>0</v>
      </c>
      <c r="E2702" s="196">
        <v>0</v>
      </c>
      <c r="F2702" s="196">
        <v>0</v>
      </c>
      <c r="G2702" s="196">
        <v>35126.050000000003</v>
      </c>
    </row>
    <row r="2703" spans="1:7" x14ac:dyDescent="0.3">
      <c r="A2703" s="198">
        <v>901374032</v>
      </c>
      <c r="B2703" s="192" t="s">
        <v>2298</v>
      </c>
      <c r="C2703" s="196">
        <v>304000</v>
      </c>
      <c r="D2703" s="196">
        <v>0</v>
      </c>
      <c r="E2703" s="196">
        <v>0</v>
      </c>
      <c r="F2703" s="196">
        <v>0</v>
      </c>
      <c r="G2703" s="196">
        <v>304000</v>
      </c>
    </row>
    <row r="2704" spans="1:7" x14ac:dyDescent="0.3">
      <c r="A2704" s="198">
        <v>900161280</v>
      </c>
      <c r="B2704" s="192" t="s">
        <v>2299</v>
      </c>
      <c r="C2704" s="196">
        <v>30400</v>
      </c>
      <c r="D2704" s="196">
        <v>0</v>
      </c>
      <c r="E2704" s="196">
        <v>0</v>
      </c>
      <c r="F2704" s="196">
        <v>0</v>
      </c>
      <c r="G2704" s="196">
        <v>30400</v>
      </c>
    </row>
    <row r="2705" spans="1:7" x14ac:dyDescent="0.3">
      <c r="A2705" s="198">
        <v>901012653</v>
      </c>
      <c r="B2705" s="192" t="s">
        <v>2262</v>
      </c>
      <c r="C2705" s="196">
        <v>1900</v>
      </c>
      <c r="D2705" s="196">
        <v>0</v>
      </c>
      <c r="E2705" s="196">
        <v>0</v>
      </c>
      <c r="F2705" s="196">
        <v>0</v>
      </c>
      <c r="G2705" s="196">
        <v>1900</v>
      </c>
    </row>
    <row r="2706" spans="1:7" x14ac:dyDescent="0.3">
      <c r="A2706" s="198">
        <v>901087252</v>
      </c>
      <c r="B2706" s="192" t="s">
        <v>2265</v>
      </c>
      <c r="C2706" s="196">
        <v>11176.47</v>
      </c>
      <c r="D2706" s="196">
        <v>0</v>
      </c>
      <c r="E2706" s="196">
        <v>0</v>
      </c>
      <c r="F2706" s="196">
        <v>0</v>
      </c>
      <c r="G2706" s="196">
        <v>11176.47</v>
      </c>
    </row>
    <row r="2707" spans="1:7" x14ac:dyDescent="0.3">
      <c r="A2707" s="198">
        <v>901249157</v>
      </c>
      <c r="B2707" s="192" t="s">
        <v>2300</v>
      </c>
      <c r="C2707" s="196">
        <v>16764.650000000001</v>
      </c>
      <c r="D2707" s="196">
        <v>0</v>
      </c>
      <c r="E2707" s="196">
        <v>0</v>
      </c>
      <c r="F2707" s="196">
        <v>0</v>
      </c>
      <c r="G2707" s="196">
        <v>16764.650000000001</v>
      </c>
    </row>
    <row r="2708" spans="1:7" x14ac:dyDescent="0.3">
      <c r="A2708" s="198">
        <v>860019041</v>
      </c>
      <c r="B2708" s="192" t="s">
        <v>1647</v>
      </c>
      <c r="C2708" s="196">
        <v>3202973.83</v>
      </c>
      <c r="D2708" s="196">
        <v>0</v>
      </c>
      <c r="E2708" s="196">
        <v>0</v>
      </c>
      <c r="F2708" s="196">
        <v>0</v>
      </c>
      <c r="G2708" s="196">
        <v>3202973.83</v>
      </c>
    </row>
    <row r="2709" spans="1:7" x14ac:dyDescent="0.3">
      <c r="A2709" s="198">
        <v>890940259</v>
      </c>
      <c r="B2709" s="192" t="s">
        <v>1648</v>
      </c>
      <c r="C2709" s="196">
        <v>35517.269999999997</v>
      </c>
      <c r="D2709" s="196">
        <v>0</v>
      </c>
      <c r="E2709" s="196">
        <v>0</v>
      </c>
      <c r="F2709" s="196">
        <v>0</v>
      </c>
      <c r="G2709" s="196">
        <v>35517.269999999997</v>
      </c>
    </row>
    <row r="2710" spans="1:7" x14ac:dyDescent="0.3">
      <c r="A2710" s="198">
        <v>901267901</v>
      </c>
      <c r="B2710" s="192" t="s">
        <v>2301</v>
      </c>
      <c r="C2710" s="196">
        <v>467400</v>
      </c>
      <c r="D2710" s="196">
        <v>0</v>
      </c>
      <c r="E2710" s="196">
        <v>0</v>
      </c>
      <c r="F2710" s="196">
        <v>0</v>
      </c>
      <c r="G2710" s="196">
        <v>467400</v>
      </c>
    </row>
    <row r="2711" spans="1:7" x14ac:dyDescent="0.3">
      <c r="A2711" s="198">
        <v>900108281</v>
      </c>
      <c r="B2711" s="192" t="s">
        <v>1650</v>
      </c>
      <c r="C2711" s="196">
        <v>4620058.43</v>
      </c>
      <c r="D2711" s="196">
        <v>0</v>
      </c>
      <c r="E2711" s="196">
        <v>0</v>
      </c>
      <c r="F2711" s="196">
        <v>0</v>
      </c>
      <c r="G2711" s="196">
        <v>4620058.43</v>
      </c>
    </row>
    <row r="2712" spans="1:7" x14ac:dyDescent="0.3">
      <c r="A2712" s="198">
        <v>43475563</v>
      </c>
      <c r="B2712" s="192" t="s">
        <v>2302</v>
      </c>
      <c r="C2712" s="196">
        <v>21554.55</v>
      </c>
      <c r="D2712" s="196">
        <v>0</v>
      </c>
      <c r="E2712" s="196">
        <v>0</v>
      </c>
      <c r="F2712" s="196">
        <v>0</v>
      </c>
      <c r="G2712" s="196">
        <v>21554.55</v>
      </c>
    </row>
    <row r="2713" spans="1:7" x14ac:dyDescent="0.3">
      <c r="A2713" s="198">
        <v>32329182</v>
      </c>
      <c r="B2713" s="192" t="s">
        <v>2303</v>
      </c>
      <c r="C2713" s="196">
        <v>1117.58</v>
      </c>
      <c r="D2713" s="196">
        <v>0</v>
      </c>
      <c r="E2713" s="196">
        <v>0</v>
      </c>
      <c r="F2713" s="196">
        <v>0</v>
      </c>
      <c r="G2713" s="196">
        <v>1117.58</v>
      </c>
    </row>
    <row r="2714" spans="1:7" x14ac:dyDescent="0.3">
      <c r="A2714" s="198">
        <v>900316475</v>
      </c>
      <c r="B2714" s="192" t="s">
        <v>2304</v>
      </c>
      <c r="C2714" s="196">
        <v>59660</v>
      </c>
      <c r="D2714" s="196">
        <v>0</v>
      </c>
      <c r="E2714" s="196">
        <v>0</v>
      </c>
      <c r="F2714" s="196">
        <v>0</v>
      </c>
      <c r="G2714" s="196">
        <v>59660</v>
      </c>
    </row>
    <row r="2715" spans="1:7" x14ac:dyDescent="0.3">
      <c r="A2715" s="198">
        <v>901097607</v>
      </c>
      <c r="B2715" s="192" t="s">
        <v>2305</v>
      </c>
      <c r="C2715" s="196">
        <v>24636.16</v>
      </c>
      <c r="D2715" s="196">
        <v>0</v>
      </c>
      <c r="E2715" s="196">
        <v>0</v>
      </c>
      <c r="F2715" s="196">
        <v>0</v>
      </c>
      <c r="G2715" s="196">
        <v>24636.16</v>
      </c>
    </row>
    <row r="2716" spans="1:7" x14ac:dyDescent="0.3">
      <c r="A2716" s="198">
        <v>901137699</v>
      </c>
      <c r="B2716" s="192" t="s">
        <v>2270</v>
      </c>
      <c r="C2716" s="196">
        <v>4119.2</v>
      </c>
      <c r="D2716" s="196">
        <v>0</v>
      </c>
      <c r="E2716" s="196">
        <v>0</v>
      </c>
      <c r="F2716" s="196">
        <v>0</v>
      </c>
      <c r="G2716" s="196">
        <v>4119.2</v>
      </c>
    </row>
    <row r="2717" spans="1:7" x14ac:dyDescent="0.3">
      <c r="A2717" s="198">
        <v>800151102</v>
      </c>
      <c r="B2717" s="192" t="s">
        <v>2306</v>
      </c>
      <c r="C2717" s="196">
        <v>293758.05</v>
      </c>
      <c r="D2717" s="196">
        <v>0</v>
      </c>
      <c r="E2717" s="196">
        <v>0</v>
      </c>
      <c r="F2717" s="196">
        <v>0</v>
      </c>
      <c r="G2717" s="196">
        <v>293758.05</v>
      </c>
    </row>
    <row r="2718" spans="1:7" x14ac:dyDescent="0.3">
      <c r="A2718" s="198">
        <v>71594219</v>
      </c>
      <c r="B2718" s="192" t="s">
        <v>1935</v>
      </c>
      <c r="C2718" s="196">
        <v>5814</v>
      </c>
      <c r="D2718" s="196">
        <v>0</v>
      </c>
      <c r="E2718" s="196">
        <v>0</v>
      </c>
      <c r="F2718" s="196">
        <v>0</v>
      </c>
      <c r="G2718" s="196">
        <v>5814</v>
      </c>
    </row>
    <row r="2719" spans="1:7" x14ac:dyDescent="0.3">
      <c r="A2719" s="198">
        <v>890107487</v>
      </c>
      <c r="B2719" s="192" t="s">
        <v>2273</v>
      </c>
      <c r="C2719" s="196">
        <v>13652.83</v>
      </c>
      <c r="D2719" s="196">
        <v>0</v>
      </c>
      <c r="E2719" s="196">
        <v>0</v>
      </c>
      <c r="F2719" s="196">
        <v>0</v>
      </c>
      <c r="G2719" s="196">
        <v>13652.83</v>
      </c>
    </row>
    <row r="2720" spans="1:7" x14ac:dyDescent="0.3">
      <c r="A2720" s="198">
        <v>830011469</v>
      </c>
      <c r="B2720" s="192" t="s">
        <v>1943</v>
      </c>
      <c r="C2720" s="196">
        <v>3990</v>
      </c>
      <c r="D2720" s="196">
        <v>0</v>
      </c>
      <c r="E2720" s="196">
        <v>0</v>
      </c>
      <c r="F2720" s="196">
        <v>0</v>
      </c>
      <c r="G2720" s="196">
        <v>3990</v>
      </c>
    </row>
    <row r="2721" spans="1:7" x14ac:dyDescent="0.3">
      <c r="A2721" s="198">
        <v>811012440</v>
      </c>
      <c r="B2721" s="192" t="s">
        <v>2307</v>
      </c>
      <c r="C2721" s="196">
        <v>110200</v>
      </c>
      <c r="D2721" s="196">
        <v>0</v>
      </c>
      <c r="E2721" s="196">
        <v>0</v>
      </c>
      <c r="F2721" s="196">
        <v>0</v>
      </c>
      <c r="G2721" s="196">
        <v>110200</v>
      </c>
    </row>
    <row r="2722" spans="1:7" x14ac:dyDescent="0.3">
      <c r="A2722" s="198">
        <v>900868211</v>
      </c>
      <c r="B2722" s="192" t="s">
        <v>2308</v>
      </c>
      <c r="C2722" s="196">
        <v>418000</v>
      </c>
      <c r="D2722" s="196">
        <v>0</v>
      </c>
      <c r="E2722" s="196">
        <v>0</v>
      </c>
      <c r="F2722" s="196">
        <v>0</v>
      </c>
      <c r="G2722" s="196">
        <v>418000</v>
      </c>
    </row>
    <row r="2723" spans="1:7" x14ac:dyDescent="0.3">
      <c r="A2723" s="198">
        <v>98548052</v>
      </c>
      <c r="B2723" s="192" t="s">
        <v>1988</v>
      </c>
      <c r="C2723" s="196">
        <v>1330000</v>
      </c>
      <c r="D2723" s="196">
        <v>0</v>
      </c>
      <c r="E2723" s="196">
        <v>0</v>
      </c>
      <c r="F2723" s="196">
        <v>0</v>
      </c>
      <c r="G2723" s="196">
        <v>1330000</v>
      </c>
    </row>
    <row r="2724" spans="1:7" x14ac:dyDescent="0.3">
      <c r="A2724" s="198">
        <v>890929073</v>
      </c>
      <c r="B2724" s="192" t="s">
        <v>1666</v>
      </c>
      <c r="C2724" s="196">
        <v>2926</v>
      </c>
      <c r="D2724" s="196">
        <v>0</v>
      </c>
      <c r="E2724" s="196">
        <v>0</v>
      </c>
      <c r="F2724" s="196">
        <v>0</v>
      </c>
      <c r="G2724" s="196">
        <v>2926</v>
      </c>
    </row>
    <row r="2725" spans="1:7" x14ac:dyDescent="0.3">
      <c r="A2725" s="198">
        <v>811036875</v>
      </c>
      <c r="B2725" s="192" t="s">
        <v>1955</v>
      </c>
      <c r="C2725" s="196">
        <v>97536.5</v>
      </c>
      <c r="D2725" s="196">
        <v>0</v>
      </c>
      <c r="E2725" s="196">
        <v>0</v>
      </c>
      <c r="F2725" s="196">
        <v>0</v>
      </c>
      <c r="G2725" s="196">
        <v>97536.5</v>
      </c>
    </row>
    <row r="2726" spans="1:7" x14ac:dyDescent="0.3">
      <c r="A2726" s="198">
        <v>860508392</v>
      </c>
      <c r="B2726" s="192" t="s">
        <v>2277</v>
      </c>
      <c r="C2726" s="196">
        <v>400064</v>
      </c>
      <c r="D2726" s="196">
        <v>0</v>
      </c>
      <c r="E2726" s="196">
        <v>0</v>
      </c>
      <c r="F2726" s="196">
        <v>0</v>
      </c>
      <c r="G2726" s="196">
        <v>400064</v>
      </c>
    </row>
    <row r="2727" spans="1:7" x14ac:dyDescent="0.3">
      <c r="A2727" s="198">
        <v>901095797</v>
      </c>
      <c r="B2727" s="192" t="s">
        <v>1957</v>
      </c>
      <c r="C2727" s="196">
        <v>298300</v>
      </c>
      <c r="D2727" s="196">
        <v>0</v>
      </c>
      <c r="E2727" s="196">
        <v>0</v>
      </c>
      <c r="F2727" s="196">
        <v>0</v>
      </c>
      <c r="G2727" s="196">
        <v>298300</v>
      </c>
    </row>
    <row r="2728" spans="1:7" x14ac:dyDescent="0.3">
      <c r="A2728" s="198">
        <v>900245870</v>
      </c>
      <c r="B2728" s="192" t="s">
        <v>1958</v>
      </c>
      <c r="C2728" s="196">
        <v>58865.04</v>
      </c>
      <c r="D2728" s="196">
        <v>0</v>
      </c>
      <c r="E2728" s="196">
        <v>0</v>
      </c>
      <c r="F2728" s="196">
        <v>0</v>
      </c>
      <c r="G2728" s="196">
        <v>58865.04</v>
      </c>
    </row>
    <row r="2729" spans="1:7" x14ac:dyDescent="0.3">
      <c r="A2729" s="198">
        <v>900943243</v>
      </c>
      <c r="B2729" s="192" t="s">
        <v>1758</v>
      </c>
      <c r="C2729" s="196">
        <v>114198.93</v>
      </c>
      <c r="D2729" s="196">
        <v>0</v>
      </c>
      <c r="E2729" s="196">
        <v>0</v>
      </c>
      <c r="F2729" s="196">
        <v>0</v>
      </c>
      <c r="G2729" s="196">
        <v>114198.93</v>
      </c>
    </row>
    <row r="2730" spans="1:7" x14ac:dyDescent="0.3">
      <c r="A2730" s="198">
        <v>900565011</v>
      </c>
      <c r="B2730" s="192" t="s">
        <v>1959</v>
      </c>
      <c r="C2730" s="196">
        <v>13853736</v>
      </c>
      <c r="D2730" s="196">
        <v>0</v>
      </c>
      <c r="E2730" s="196">
        <v>0</v>
      </c>
      <c r="F2730" s="196">
        <v>0</v>
      </c>
      <c r="G2730" s="196">
        <v>13853736</v>
      </c>
    </row>
    <row r="2731" spans="1:7" x14ac:dyDescent="0.3">
      <c r="A2731" s="198">
        <v>43984772</v>
      </c>
      <c r="B2731" s="192" t="s">
        <v>1960</v>
      </c>
      <c r="C2731" s="196">
        <v>3420000</v>
      </c>
      <c r="D2731" s="196">
        <v>0</v>
      </c>
      <c r="E2731" s="196">
        <v>0</v>
      </c>
      <c r="F2731" s="196">
        <v>0</v>
      </c>
      <c r="G2731" s="196">
        <v>3420000</v>
      </c>
    </row>
    <row r="2732" spans="1:7" x14ac:dyDescent="0.3">
      <c r="A2732" s="198">
        <v>900494362</v>
      </c>
      <c r="B2732" s="192" t="s">
        <v>1672</v>
      </c>
      <c r="C2732" s="196">
        <v>12331</v>
      </c>
      <c r="D2732" s="196">
        <v>0</v>
      </c>
      <c r="E2732" s="196">
        <v>0</v>
      </c>
      <c r="F2732" s="196">
        <v>0</v>
      </c>
      <c r="G2732" s="196">
        <v>12331</v>
      </c>
    </row>
    <row r="2733" spans="1:7" x14ac:dyDescent="0.3">
      <c r="A2733" s="198">
        <v>901531343</v>
      </c>
      <c r="B2733" s="192" t="s">
        <v>2278</v>
      </c>
      <c r="C2733" s="196">
        <v>1098.5</v>
      </c>
      <c r="D2733" s="196">
        <v>0</v>
      </c>
      <c r="E2733" s="196">
        <v>0</v>
      </c>
      <c r="F2733" s="196">
        <v>0</v>
      </c>
      <c r="G2733" s="196">
        <v>1098.5</v>
      </c>
    </row>
    <row r="2734" spans="1:7" x14ac:dyDescent="0.3">
      <c r="A2734" s="198">
        <v>900581756</v>
      </c>
      <c r="B2734" s="192" t="s">
        <v>2279</v>
      </c>
      <c r="C2734" s="196">
        <v>6386.56</v>
      </c>
      <c r="D2734" s="196">
        <v>0</v>
      </c>
      <c r="E2734" s="196">
        <v>0</v>
      </c>
      <c r="F2734" s="196">
        <v>0</v>
      </c>
      <c r="G2734" s="196">
        <v>6386.56</v>
      </c>
    </row>
    <row r="2735" spans="1:7" x14ac:dyDescent="0.3">
      <c r="A2735" s="198">
        <v>900046486</v>
      </c>
      <c r="B2735" s="192" t="s">
        <v>1965</v>
      </c>
      <c r="C2735" s="196">
        <v>679420.31</v>
      </c>
      <c r="D2735" s="196">
        <v>0</v>
      </c>
      <c r="E2735" s="196">
        <v>0</v>
      </c>
      <c r="F2735" s="196">
        <v>0</v>
      </c>
      <c r="G2735" s="196">
        <v>679420.31</v>
      </c>
    </row>
    <row r="2736" spans="1:7" x14ac:dyDescent="0.3">
      <c r="A2736" s="198">
        <v>900092385</v>
      </c>
      <c r="B2736" s="192" t="s">
        <v>1673</v>
      </c>
      <c r="C2736" s="196">
        <v>1717772.71</v>
      </c>
      <c r="D2736" s="196">
        <v>0</v>
      </c>
      <c r="E2736" s="196">
        <v>0</v>
      </c>
      <c r="F2736" s="196">
        <v>0</v>
      </c>
      <c r="G2736" s="196">
        <v>1717772.71</v>
      </c>
    </row>
    <row r="2737" spans="1:7" x14ac:dyDescent="0.3">
      <c r="A2737" s="198">
        <v>900375310</v>
      </c>
      <c r="B2737" s="192" t="s">
        <v>2309</v>
      </c>
      <c r="C2737" s="196">
        <v>114000</v>
      </c>
      <c r="D2737" s="196">
        <v>0</v>
      </c>
      <c r="E2737" s="196">
        <v>0</v>
      </c>
      <c r="F2737" s="196">
        <v>0</v>
      </c>
      <c r="G2737" s="196">
        <v>114000</v>
      </c>
    </row>
    <row r="2738" spans="1:7" x14ac:dyDescent="0.3">
      <c r="A2738" s="198">
        <v>901143440</v>
      </c>
      <c r="B2738" s="192" t="s">
        <v>1966</v>
      </c>
      <c r="C2738" s="196">
        <v>10995125.060000001</v>
      </c>
      <c r="D2738" s="196">
        <v>0</v>
      </c>
      <c r="E2738" s="196">
        <v>0</v>
      </c>
      <c r="F2738" s="196">
        <v>0</v>
      </c>
      <c r="G2738" s="196">
        <v>10995125.060000001</v>
      </c>
    </row>
    <row r="2739" spans="1:7" x14ac:dyDescent="0.3">
      <c r="A2739" s="198">
        <v>24083004</v>
      </c>
      <c r="B2739" s="192" t="s">
        <v>2310</v>
      </c>
      <c r="C2739" s="196">
        <v>35599.800000000003</v>
      </c>
      <c r="D2739" s="196">
        <v>0</v>
      </c>
      <c r="E2739" s="196">
        <v>0</v>
      </c>
      <c r="F2739" s="196">
        <v>0</v>
      </c>
      <c r="G2739" s="196">
        <v>35599.800000000003</v>
      </c>
    </row>
    <row r="2740" spans="1:7" x14ac:dyDescent="0.3">
      <c r="A2740" s="198">
        <v>890900608</v>
      </c>
      <c r="B2740" s="192" t="s">
        <v>1856</v>
      </c>
      <c r="C2740" s="196">
        <v>35266.550000000003</v>
      </c>
      <c r="D2740" s="196">
        <v>0</v>
      </c>
      <c r="E2740" s="196">
        <v>0</v>
      </c>
      <c r="F2740" s="196">
        <v>0</v>
      </c>
      <c r="G2740" s="196">
        <v>35266.550000000003</v>
      </c>
    </row>
    <row r="2741" spans="1:7" x14ac:dyDescent="0.3">
      <c r="A2741" s="198">
        <v>900943243</v>
      </c>
      <c r="B2741" s="192" t="s">
        <v>1758</v>
      </c>
      <c r="C2741" s="196">
        <v>333.25</v>
      </c>
      <c r="D2741" s="196">
        <v>0</v>
      </c>
      <c r="E2741" s="196">
        <v>0</v>
      </c>
      <c r="F2741" s="196">
        <v>0</v>
      </c>
      <c r="G2741" s="196">
        <v>333.25</v>
      </c>
    </row>
    <row r="2742" spans="1:7" x14ac:dyDescent="0.3">
      <c r="A2742" s="198">
        <v>24083005</v>
      </c>
      <c r="B2742" s="192" t="s">
        <v>2311</v>
      </c>
      <c r="C2742" s="196">
        <v>-21345.119999999999</v>
      </c>
      <c r="D2742" s="196">
        <v>0</v>
      </c>
      <c r="E2742" s="196">
        <v>0</v>
      </c>
      <c r="F2742" s="196">
        <v>0</v>
      </c>
      <c r="G2742" s="196">
        <v>-21345.119999999999</v>
      </c>
    </row>
    <row r="2743" spans="1:7" x14ac:dyDescent="0.3">
      <c r="A2743" s="198">
        <v>860019041</v>
      </c>
      <c r="B2743" s="192" t="s">
        <v>1647</v>
      </c>
      <c r="C2743" s="196">
        <v>-11377</v>
      </c>
      <c r="D2743" s="196">
        <v>0</v>
      </c>
      <c r="E2743" s="196">
        <v>0</v>
      </c>
      <c r="F2743" s="196">
        <v>0</v>
      </c>
      <c r="G2743" s="196">
        <v>-11377</v>
      </c>
    </row>
    <row r="2744" spans="1:7" x14ac:dyDescent="0.3">
      <c r="A2744" s="198">
        <v>71594219</v>
      </c>
      <c r="B2744" s="192" t="s">
        <v>1935</v>
      </c>
      <c r="C2744" s="196">
        <v>3534</v>
      </c>
      <c r="D2744" s="196">
        <v>0</v>
      </c>
      <c r="E2744" s="196">
        <v>0</v>
      </c>
      <c r="F2744" s="196">
        <v>0</v>
      </c>
      <c r="G2744" s="196">
        <v>3534</v>
      </c>
    </row>
    <row r="2745" spans="1:7" x14ac:dyDescent="0.3">
      <c r="A2745" s="198">
        <v>800242106</v>
      </c>
      <c r="B2745" s="192" t="s">
        <v>1757</v>
      </c>
      <c r="C2745" s="196">
        <v>-11304.2</v>
      </c>
      <c r="D2745" s="196">
        <v>0</v>
      </c>
      <c r="E2745" s="196">
        <v>0</v>
      </c>
      <c r="F2745" s="196">
        <v>0</v>
      </c>
      <c r="G2745" s="196">
        <v>-11304.2</v>
      </c>
    </row>
    <row r="2746" spans="1:7" x14ac:dyDescent="0.3">
      <c r="A2746" s="198">
        <v>900046486</v>
      </c>
      <c r="B2746" s="192" t="s">
        <v>1965</v>
      </c>
      <c r="C2746" s="196">
        <v>-2197.92</v>
      </c>
      <c r="D2746" s="196">
        <v>0</v>
      </c>
      <c r="E2746" s="196">
        <v>0</v>
      </c>
      <c r="F2746" s="196">
        <v>0</v>
      </c>
      <c r="G2746" s="196">
        <v>-2197.92</v>
      </c>
    </row>
    <row r="2747" spans="1:7" x14ac:dyDescent="0.3">
      <c r="A2747" s="198">
        <v>24083007</v>
      </c>
      <c r="B2747" s="192" t="s">
        <v>2312</v>
      </c>
      <c r="C2747" s="196">
        <v>-1465338.46</v>
      </c>
      <c r="D2747" s="196">
        <v>0</v>
      </c>
      <c r="E2747" s="196">
        <v>0</v>
      </c>
      <c r="F2747" s="196">
        <v>0</v>
      </c>
      <c r="G2747" s="196">
        <v>-1465338.46</v>
      </c>
    </row>
    <row r="2748" spans="1:7" x14ac:dyDescent="0.3">
      <c r="A2748" s="198">
        <v>901168186</v>
      </c>
      <c r="B2748" s="192" t="s">
        <v>2246</v>
      </c>
      <c r="C2748" s="196">
        <v>-33529.49</v>
      </c>
      <c r="D2748" s="196">
        <v>0</v>
      </c>
      <c r="E2748" s="196">
        <v>0</v>
      </c>
      <c r="F2748" s="196">
        <v>0</v>
      </c>
      <c r="G2748" s="196">
        <v>-33529.49</v>
      </c>
    </row>
    <row r="2749" spans="1:7" x14ac:dyDescent="0.3">
      <c r="A2749" s="198">
        <v>890900943</v>
      </c>
      <c r="B2749" s="192" t="s">
        <v>1783</v>
      </c>
      <c r="C2749" s="196">
        <v>-7581</v>
      </c>
      <c r="D2749" s="196">
        <v>0</v>
      </c>
      <c r="E2749" s="196">
        <v>0</v>
      </c>
      <c r="F2749" s="196">
        <v>0</v>
      </c>
      <c r="G2749" s="196">
        <v>-7581</v>
      </c>
    </row>
    <row r="2750" spans="1:7" x14ac:dyDescent="0.3">
      <c r="A2750" s="198">
        <v>901414090</v>
      </c>
      <c r="B2750" s="192" t="s">
        <v>1784</v>
      </c>
      <c r="C2750" s="196">
        <v>-117799.62</v>
      </c>
      <c r="D2750" s="196">
        <v>0</v>
      </c>
      <c r="E2750" s="196">
        <v>0</v>
      </c>
      <c r="F2750" s="196">
        <v>0</v>
      </c>
      <c r="G2750" s="196">
        <v>-117799.62</v>
      </c>
    </row>
    <row r="2751" spans="1:7" x14ac:dyDescent="0.3">
      <c r="A2751" s="198">
        <v>900978168</v>
      </c>
      <c r="B2751" s="192" t="s">
        <v>1878</v>
      </c>
      <c r="C2751" s="196">
        <v>-104500</v>
      </c>
      <c r="D2751" s="196">
        <v>0</v>
      </c>
      <c r="E2751" s="196">
        <v>0</v>
      </c>
      <c r="F2751" s="196">
        <v>0</v>
      </c>
      <c r="G2751" s="196">
        <v>-104500</v>
      </c>
    </row>
    <row r="2752" spans="1:7" x14ac:dyDescent="0.3">
      <c r="A2752" s="198">
        <v>900500708</v>
      </c>
      <c r="B2752" s="192" t="s">
        <v>2295</v>
      </c>
      <c r="C2752" s="196">
        <v>-96504.04</v>
      </c>
      <c r="D2752" s="196">
        <v>0</v>
      </c>
      <c r="E2752" s="196">
        <v>0</v>
      </c>
      <c r="F2752" s="196">
        <v>0</v>
      </c>
      <c r="G2752" s="196">
        <v>-96504.04</v>
      </c>
    </row>
    <row r="2753" spans="1:7" x14ac:dyDescent="0.3">
      <c r="A2753" s="198">
        <v>900354553</v>
      </c>
      <c r="B2753" s="192" t="s">
        <v>2267</v>
      </c>
      <c r="C2753" s="196">
        <v>-5213.6000000000004</v>
      </c>
      <c r="D2753" s="196">
        <v>0</v>
      </c>
      <c r="E2753" s="196">
        <v>0</v>
      </c>
      <c r="F2753" s="196">
        <v>0</v>
      </c>
      <c r="G2753" s="196">
        <v>-5213.6000000000004</v>
      </c>
    </row>
    <row r="2754" spans="1:7" x14ac:dyDescent="0.3">
      <c r="A2754" s="198">
        <v>860019041</v>
      </c>
      <c r="B2754" s="192" t="s">
        <v>1647</v>
      </c>
      <c r="C2754" s="196">
        <v>-4043.96</v>
      </c>
      <c r="D2754" s="196">
        <v>0</v>
      </c>
      <c r="E2754" s="196">
        <v>0</v>
      </c>
      <c r="F2754" s="196">
        <v>0</v>
      </c>
      <c r="G2754" s="196">
        <v>-4043.96</v>
      </c>
    </row>
    <row r="2755" spans="1:7" x14ac:dyDescent="0.3">
      <c r="A2755" s="198">
        <v>890940259</v>
      </c>
      <c r="B2755" s="192" t="s">
        <v>1648</v>
      </c>
      <c r="C2755" s="196">
        <v>-30589.81</v>
      </c>
      <c r="D2755" s="196">
        <v>0</v>
      </c>
      <c r="E2755" s="196">
        <v>0</v>
      </c>
      <c r="F2755" s="196">
        <v>0</v>
      </c>
      <c r="G2755" s="196">
        <v>-30589.81</v>
      </c>
    </row>
    <row r="2756" spans="1:7" x14ac:dyDescent="0.3">
      <c r="A2756" s="198">
        <v>900108281</v>
      </c>
      <c r="B2756" s="192" t="s">
        <v>1650</v>
      </c>
      <c r="C2756" s="196">
        <v>-12735.7</v>
      </c>
      <c r="D2756" s="196">
        <v>0</v>
      </c>
      <c r="E2756" s="196">
        <v>0</v>
      </c>
      <c r="F2756" s="196">
        <v>0</v>
      </c>
      <c r="G2756" s="196">
        <v>-12735.7</v>
      </c>
    </row>
    <row r="2757" spans="1:7" x14ac:dyDescent="0.3">
      <c r="A2757" s="198">
        <v>830062565</v>
      </c>
      <c r="B2757" s="192" t="s">
        <v>1771</v>
      </c>
      <c r="C2757" s="196">
        <v>-156975.34</v>
      </c>
      <c r="D2757" s="196">
        <v>0</v>
      </c>
      <c r="E2757" s="196">
        <v>0</v>
      </c>
      <c r="F2757" s="196">
        <v>0</v>
      </c>
      <c r="G2757" s="196">
        <v>-156975.34</v>
      </c>
    </row>
    <row r="2758" spans="1:7" x14ac:dyDescent="0.3">
      <c r="A2758" s="198">
        <v>900066601</v>
      </c>
      <c r="B2758" s="192" t="s">
        <v>1949</v>
      </c>
      <c r="C2758" s="196">
        <v>-18050</v>
      </c>
      <c r="D2758" s="196">
        <v>0</v>
      </c>
      <c r="E2758" s="196">
        <v>0</v>
      </c>
      <c r="F2758" s="196">
        <v>0</v>
      </c>
      <c r="G2758" s="196">
        <v>-18050</v>
      </c>
    </row>
    <row r="2759" spans="1:7" x14ac:dyDescent="0.3">
      <c r="A2759" s="198">
        <v>800242106</v>
      </c>
      <c r="B2759" s="192" t="s">
        <v>1757</v>
      </c>
      <c r="C2759" s="196">
        <v>-23614.28</v>
      </c>
      <c r="D2759" s="196">
        <v>0</v>
      </c>
      <c r="E2759" s="196">
        <v>0</v>
      </c>
      <c r="F2759" s="196">
        <v>0</v>
      </c>
      <c r="G2759" s="196">
        <v>-23614.28</v>
      </c>
    </row>
    <row r="2760" spans="1:7" x14ac:dyDescent="0.3">
      <c r="A2760" s="198">
        <v>900245870</v>
      </c>
      <c r="B2760" s="192" t="s">
        <v>1958</v>
      </c>
      <c r="C2760" s="196">
        <v>-144665.81</v>
      </c>
      <c r="D2760" s="196">
        <v>0</v>
      </c>
      <c r="E2760" s="196">
        <v>0</v>
      </c>
      <c r="F2760" s="196">
        <v>0</v>
      </c>
      <c r="G2760" s="196">
        <v>-144665.81</v>
      </c>
    </row>
    <row r="2761" spans="1:7" x14ac:dyDescent="0.3">
      <c r="A2761" s="198">
        <v>830004892</v>
      </c>
      <c r="B2761" s="192" t="s">
        <v>1773</v>
      </c>
      <c r="C2761" s="196">
        <v>-709535.81</v>
      </c>
      <c r="D2761" s="196">
        <v>0</v>
      </c>
      <c r="E2761" s="196">
        <v>0</v>
      </c>
      <c r="F2761" s="196">
        <v>0</v>
      </c>
      <c r="G2761" s="196">
        <v>-709535.81</v>
      </c>
    </row>
    <row r="2762" spans="1:7" x14ac:dyDescent="0.3">
      <c r="A2762" s="197">
        <v>240895</v>
      </c>
      <c r="B2762" s="191" t="s">
        <v>2313</v>
      </c>
      <c r="C2762" s="195">
        <v>-169946048.65000001</v>
      </c>
      <c r="D2762" s="195">
        <v>0</v>
      </c>
      <c r="E2762" s="195">
        <v>0</v>
      </c>
      <c r="F2762" s="195">
        <v>0</v>
      </c>
      <c r="G2762" s="195">
        <v>-169946048.65000001</v>
      </c>
    </row>
    <row r="2763" spans="1:7" x14ac:dyDescent="0.3">
      <c r="A2763" s="198">
        <v>24089501</v>
      </c>
      <c r="B2763" s="192" t="s">
        <v>2313</v>
      </c>
      <c r="C2763" s="196">
        <v>7819000</v>
      </c>
      <c r="D2763" s="196">
        <v>0</v>
      </c>
      <c r="E2763" s="196">
        <v>0</v>
      </c>
      <c r="F2763" s="196">
        <v>0</v>
      </c>
      <c r="G2763" s="196">
        <v>7819000</v>
      </c>
    </row>
    <row r="2764" spans="1:7" x14ac:dyDescent="0.3">
      <c r="A2764" s="198">
        <v>800197268</v>
      </c>
      <c r="B2764" s="192" t="s">
        <v>1693</v>
      </c>
      <c r="C2764" s="196">
        <v>7819000</v>
      </c>
      <c r="D2764" s="196">
        <v>0</v>
      </c>
      <c r="E2764" s="196">
        <v>0</v>
      </c>
      <c r="F2764" s="196">
        <v>0</v>
      </c>
      <c r="G2764" s="196">
        <v>7819000</v>
      </c>
    </row>
    <row r="2765" spans="1:7" x14ac:dyDescent="0.3">
      <c r="A2765" s="197">
        <v>240896</v>
      </c>
      <c r="B2765" s="191" t="s">
        <v>2314</v>
      </c>
      <c r="C2765" s="195">
        <v>-177765048.65000001</v>
      </c>
      <c r="D2765" s="195">
        <v>0</v>
      </c>
      <c r="E2765" s="195">
        <v>0</v>
      </c>
      <c r="F2765" s="195">
        <v>0</v>
      </c>
      <c r="G2765" s="195">
        <v>-177765048.65000001</v>
      </c>
    </row>
    <row r="2766" spans="1:7" x14ac:dyDescent="0.3">
      <c r="A2766" s="198">
        <v>24089601</v>
      </c>
      <c r="B2766" s="192" t="s">
        <v>2315</v>
      </c>
      <c r="C2766" s="196">
        <v>-177765048.65000001</v>
      </c>
      <c r="D2766" s="196">
        <v>0</v>
      </c>
      <c r="E2766" s="196">
        <v>0</v>
      </c>
      <c r="F2766" s="196">
        <v>0</v>
      </c>
      <c r="G2766" s="196">
        <v>-177765048.65000001</v>
      </c>
    </row>
    <row r="2767" spans="1:7" x14ac:dyDescent="0.3">
      <c r="A2767" s="198">
        <v>800197268</v>
      </c>
      <c r="B2767" s="192" t="s">
        <v>1693</v>
      </c>
      <c r="C2767" s="196">
        <v>-177765048.65000001</v>
      </c>
      <c r="D2767" s="196">
        <v>0</v>
      </c>
      <c r="E2767" s="196">
        <v>0</v>
      </c>
      <c r="F2767" s="196">
        <v>0</v>
      </c>
      <c r="G2767" s="196">
        <v>-177765048.65000001</v>
      </c>
    </row>
    <row r="2768" spans="1:7" x14ac:dyDescent="0.3">
      <c r="A2768" s="197">
        <v>25</v>
      </c>
      <c r="B2768" s="191" t="s">
        <v>2316</v>
      </c>
      <c r="C2768" s="195">
        <v>-156660956.24000001</v>
      </c>
      <c r="D2768" s="195">
        <v>93833093</v>
      </c>
      <c r="E2768" s="195">
        <v>209050855</v>
      </c>
      <c r="F2768" s="195">
        <v>-115217762</v>
      </c>
      <c r="G2768" s="195">
        <v>-271878718.24000001</v>
      </c>
    </row>
    <row r="2769" spans="1:7" x14ac:dyDescent="0.3">
      <c r="A2769" s="197">
        <v>2505</v>
      </c>
      <c r="B2769" s="191" t="s">
        <v>2317</v>
      </c>
      <c r="C2769" s="195">
        <v>-10367989</v>
      </c>
      <c r="D2769" s="195">
        <v>86278688</v>
      </c>
      <c r="E2769" s="195">
        <v>166971220</v>
      </c>
      <c r="F2769" s="195">
        <v>-80692532</v>
      </c>
      <c r="G2769" s="195">
        <v>-91060521</v>
      </c>
    </row>
    <row r="2770" spans="1:7" x14ac:dyDescent="0.3">
      <c r="A2770" s="197">
        <v>250505</v>
      </c>
      <c r="B2770" s="191" t="s">
        <v>2317</v>
      </c>
      <c r="C2770" s="195">
        <v>-10367989</v>
      </c>
      <c r="D2770" s="195">
        <v>86278688</v>
      </c>
      <c r="E2770" s="195">
        <v>166971220</v>
      </c>
      <c r="F2770" s="195">
        <v>-80692532</v>
      </c>
      <c r="G2770" s="195">
        <v>-91060521</v>
      </c>
    </row>
    <row r="2771" spans="1:7" x14ac:dyDescent="0.3">
      <c r="A2771" s="198">
        <v>25050501</v>
      </c>
      <c r="B2771" s="192" t="s">
        <v>2317</v>
      </c>
      <c r="C2771" s="196">
        <v>-10367989</v>
      </c>
      <c r="D2771" s="196">
        <v>86278688</v>
      </c>
      <c r="E2771" s="196">
        <v>166971220</v>
      </c>
      <c r="F2771" s="196">
        <v>-80692532</v>
      </c>
      <c r="G2771" s="196">
        <v>-91060521</v>
      </c>
    </row>
    <row r="2772" spans="1:7" x14ac:dyDescent="0.3">
      <c r="A2772" s="198">
        <v>31948684</v>
      </c>
      <c r="B2772" s="192" t="s">
        <v>165</v>
      </c>
      <c r="C2772" s="196">
        <v>0</v>
      </c>
      <c r="D2772" s="196">
        <v>5017000</v>
      </c>
      <c r="E2772" s="196">
        <v>10777000</v>
      </c>
      <c r="F2772" s="196">
        <v>-5760000</v>
      </c>
      <c r="G2772" s="196">
        <v>-5760000</v>
      </c>
    </row>
    <row r="2773" spans="1:7" x14ac:dyDescent="0.3">
      <c r="A2773" s="198">
        <v>32391236</v>
      </c>
      <c r="B2773" s="192" t="s">
        <v>2029</v>
      </c>
      <c r="C2773" s="196">
        <v>0</v>
      </c>
      <c r="D2773" s="196">
        <v>1044547</v>
      </c>
      <c r="E2773" s="196">
        <v>2089095</v>
      </c>
      <c r="F2773" s="196">
        <v>-1044548</v>
      </c>
      <c r="G2773" s="196">
        <v>-1044548</v>
      </c>
    </row>
    <row r="2774" spans="1:7" x14ac:dyDescent="0.3">
      <c r="A2774" s="198">
        <v>1037644962</v>
      </c>
      <c r="B2774" s="192" t="s">
        <v>260</v>
      </c>
      <c r="C2774" s="196">
        <v>-142350</v>
      </c>
      <c r="D2774" s="196">
        <v>1555447</v>
      </c>
      <c r="E2774" s="196">
        <v>3067637</v>
      </c>
      <c r="F2774" s="196">
        <v>-1512190</v>
      </c>
      <c r="G2774" s="196">
        <v>-1654540</v>
      </c>
    </row>
    <row r="2775" spans="1:7" x14ac:dyDescent="0.3">
      <c r="A2775" s="198">
        <v>1193166396</v>
      </c>
      <c r="B2775" s="192" t="s">
        <v>1625</v>
      </c>
      <c r="C2775" s="196">
        <v>0</v>
      </c>
      <c r="D2775" s="196">
        <v>2530000</v>
      </c>
      <c r="E2775" s="196">
        <v>5060000</v>
      </c>
      <c r="F2775" s="196">
        <v>-2530000</v>
      </c>
      <c r="G2775" s="196">
        <v>-2530000</v>
      </c>
    </row>
    <row r="2776" spans="1:7" x14ac:dyDescent="0.3">
      <c r="A2776" s="198">
        <v>1020423981</v>
      </c>
      <c r="B2776" s="192" t="s">
        <v>2030</v>
      </c>
      <c r="C2776" s="196">
        <v>0</v>
      </c>
      <c r="D2776" s="196">
        <v>1418547</v>
      </c>
      <c r="E2776" s="196">
        <v>2647095</v>
      </c>
      <c r="F2776" s="196">
        <v>-1228548</v>
      </c>
      <c r="G2776" s="196">
        <v>-1228548</v>
      </c>
    </row>
    <row r="2777" spans="1:7" x14ac:dyDescent="0.3">
      <c r="A2777" s="198">
        <v>1152689568</v>
      </c>
      <c r="B2777" s="192" t="s">
        <v>1705</v>
      </c>
      <c r="C2777" s="196">
        <v>0</v>
      </c>
      <c r="D2777" s="196">
        <v>1516547</v>
      </c>
      <c r="E2777" s="196">
        <v>3060524</v>
      </c>
      <c r="F2777" s="196">
        <v>-1543977</v>
      </c>
      <c r="G2777" s="196">
        <v>-1543977</v>
      </c>
    </row>
    <row r="2778" spans="1:7" x14ac:dyDescent="0.3">
      <c r="A2778" s="198">
        <v>1037266322</v>
      </c>
      <c r="B2778" s="192" t="s">
        <v>2031</v>
      </c>
      <c r="C2778" s="196">
        <v>-459251</v>
      </c>
      <c r="D2778" s="196">
        <v>0</v>
      </c>
      <c r="E2778" s="196">
        <v>0</v>
      </c>
      <c r="F2778" s="196">
        <v>0</v>
      </c>
      <c r="G2778" s="196">
        <v>-459251</v>
      </c>
    </row>
    <row r="2779" spans="1:7" x14ac:dyDescent="0.3">
      <c r="A2779" s="198">
        <v>32144343</v>
      </c>
      <c r="B2779" s="192" t="s">
        <v>1706</v>
      </c>
      <c r="C2779" s="196">
        <v>0</v>
      </c>
      <c r="D2779" s="196">
        <v>807355</v>
      </c>
      <c r="E2779" s="196">
        <v>1737320</v>
      </c>
      <c r="F2779" s="196">
        <v>-929965</v>
      </c>
      <c r="G2779" s="196">
        <v>-929965</v>
      </c>
    </row>
    <row r="2780" spans="1:7" x14ac:dyDescent="0.3">
      <c r="A2780" s="198">
        <v>1037583982</v>
      </c>
      <c r="B2780" s="192" t="s">
        <v>1798</v>
      </c>
      <c r="C2780" s="196">
        <v>0</v>
      </c>
      <c r="D2780" s="196">
        <v>2534000</v>
      </c>
      <c r="E2780" s="196">
        <v>5018000</v>
      </c>
      <c r="F2780" s="196">
        <v>-2484000</v>
      </c>
      <c r="G2780" s="196">
        <v>-2484000</v>
      </c>
    </row>
    <row r="2781" spans="1:7" x14ac:dyDescent="0.3">
      <c r="A2781" s="198">
        <v>1017266622</v>
      </c>
      <c r="B2781" s="192" t="s">
        <v>1707</v>
      </c>
      <c r="C2781" s="196">
        <v>0</v>
      </c>
      <c r="D2781" s="196">
        <v>1548547</v>
      </c>
      <c r="E2781" s="196">
        <v>2817262</v>
      </c>
      <c r="F2781" s="196">
        <v>-1268715</v>
      </c>
      <c r="G2781" s="196">
        <v>-1268715</v>
      </c>
    </row>
    <row r="2782" spans="1:7" x14ac:dyDescent="0.3">
      <c r="A2782" s="198">
        <v>1041229735</v>
      </c>
      <c r="B2782" s="192" t="s">
        <v>2033</v>
      </c>
      <c r="C2782" s="196">
        <v>0</v>
      </c>
      <c r="D2782" s="196">
        <v>1625447</v>
      </c>
      <c r="E2782" s="196">
        <v>3128698</v>
      </c>
      <c r="F2782" s="196">
        <v>-1503251</v>
      </c>
      <c r="G2782" s="196">
        <v>-1503251</v>
      </c>
    </row>
    <row r="2783" spans="1:7" x14ac:dyDescent="0.3">
      <c r="A2783" s="198">
        <v>1036641303</v>
      </c>
      <c r="B2783" s="192" t="s">
        <v>2034</v>
      </c>
      <c r="C2783" s="196">
        <v>0</v>
      </c>
      <c r="D2783" s="196">
        <v>1475215</v>
      </c>
      <c r="E2783" s="196">
        <v>2787459</v>
      </c>
      <c r="F2783" s="196">
        <v>-1312244</v>
      </c>
      <c r="G2783" s="196">
        <v>-1312244</v>
      </c>
    </row>
    <row r="2784" spans="1:7" x14ac:dyDescent="0.3">
      <c r="A2784" s="198">
        <v>1037570707</v>
      </c>
      <c r="B2784" s="192" t="s">
        <v>1677</v>
      </c>
      <c r="C2784" s="196">
        <v>0</v>
      </c>
      <c r="D2784" s="196">
        <v>1342547</v>
      </c>
      <c r="E2784" s="196">
        <v>2525095</v>
      </c>
      <c r="F2784" s="196">
        <v>-1182548</v>
      </c>
      <c r="G2784" s="196">
        <v>-1182548</v>
      </c>
    </row>
    <row r="2785" spans="1:7" x14ac:dyDescent="0.3">
      <c r="A2785" s="198">
        <v>1001660174</v>
      </c>
      <c r="B2785" s="192" t="s">
        <v>2318</v>
      </c>
      <c r="C2785" s="196">
        <v>0</v>
      </c>
      <c r="D2785" s="196">
        <v>1272547</v>
      </c>
      <c r="E2785" s="196">
        <v>2455095</v>
      </c>
      <c r="F2785" s="196">
        <v>-1182548</v>
      </c>
      <c r="G2785" s="196">
        <v>-1182548</v>
      </c>
    </row>
    <row r="2786" spans="1:7" x14ac:dyDescent="0.3">
      <c r="A2786" s="198">
        <v>43190602</v>
      </c>
      <c r="B2786" s="192" t="s">
        <v>1708</v>
      </c>
      <c r="C2786" s="196">
        <v>0</v>
      </c>
      <c r="D2786" s="196">
        <v>500547</v>
      </c>
      <c r="E2786" s="196">
        <v>1461095</v>
      </c>
      <c r="F2786" s="196">
        <v>-960548</v>
      </c>
      <c r="G2786" s="196">
        <v>-960548</v>
      </c>
    </row>
    <row r="2787" spans="1:7" x14ac:dyDescent="0.3">
      <c r="A2787" s="198">
        <v>3901013</v>
      </c>
      <c r="B2787" s="192" t="s">
        <v>1709</v>
      </c>
      <c r="C2787" s="196">
        <v>2104500</v>
      </c>
      <c r="D2787" s="196">
        <v>0</v>
      </c>
      <c r="E2787" s="196">
        <v>0</v>
      </c>
      <c r="F2787" s="196">
        <v>0</v>
      </c>
      <c r="G2787" s="196">
        <v>2104500</v>
      </c>
    </row>
    <row r="2788" spans="1:7" x14ac:dyDescent="0.3">
      <c r="A2788" s="198">
        <v>3901013</v>
      </c>
      <c r="B2788" s="192" t="s">
        <v>1709</v>
      </c>
      <c r="C2788" s="196">
        <v>-2104500</v>
      </c>
      <c r="D2788" s="196">
        <v>3499543</v>
      </c>
      <c r="E2788" s="196">
        <v>7129543</v>
      </c>
      <c r="F2788" s="196">
        <v>-3630000</v>
      </c>
      <c r="G2788" s="196">
        <v>-5734500</v>
      </c>
    </row>
    <row r="2789" spans="1:7" x14ac:dyDescent="0.3">
      <c r="A2789" s="198">
        <v>1216716838</v>
      </c>
      <c r="B2789" s="192" t="s">
        <v>2036</v>
      </c>
      <c r="C2789" s="196">
        <v>0</v>
      </c>
      <c r="D2789" s="196">
        <v>1387941</v>
      </c>
      <c r="E2789" s="196">
        <v>2708489</v>
      </c>
      <c r="F2789" s="196">
        <v>-1320548</v>
      </c>
      <c r="G2789" s="196">
        <v>-1320548</v>
      </c>
    </row>
    <row r="2790" spans="1:7" x14ac:dyDescent="0.3">
      <c r="A2790" s="198">
        <v>43605890</v>
      </c>
      <c r="B2790" s="192" t="s">
        <v>565</v>
      </c>
      <c r="C2790" s="196">
        <v>0</v>
      </c>
      <c r="D2790" s="196">
        <v>2530000</v>
      </c>
      <c r="E2790" s="196">
        <v>5060000</v>
      </c>
      <c r="F2790" s="196">
        <v>-2530000</v>
      </c>
      <c r="G2790" s="196">
        <v>-2530000</v>
      </c>
    </row>
    <row r="2791" spans="1:7" x14ac:dyDescent="0.3">
      <c r="A2791" s="198">
        <v>1036685923</v>
      </c>
      <c r="B2791" s="192" t="s">
        <v>1710</v>
      </c>
      <c r="C2791" s="196">
        <v>0</v>
      </c>
      <c r="D2791" s="196">
        <v>1448547</v>
      </c>
      <c r="E2791" s="196">
        <v>2644174</v>
      </c>
      <c r="F2791" s="196">
        <v>-1195627</v>
      </c>
      <c r="G2791" s="196">
        <v>-1195627</v>
      </c>
    </row>
    <row r="2792" spans="1:7" x14ac:dyDescent="0.3">
      <c r="A2792" s="198">
        <v>71526513</v>
      </c>
      <c r="B2792" s="192" t="s">
        <v>1643</v>
      </c>
      <c r="C2792" s="196">
        <v>0</v>
      </c>
      <c r="D2792" s="196">
        <v>2154800</v>
      </c>
      <c r="E2792" s="196">
        <v>4032759</v>
      </c>
      <c r="F2792" s="196">
        <v>-1877959</v>
      </c>
      <c r="G2792" s="196">
        <v>-1877959</v>
      </c>
    </row>
    <row r="2793" spans="1:7" x14ac:dyDescent="0.3">
      <c r="A2793" s="198">
        <v>1042458852</v>
      </c>
      <c r="B2793" s="192" t="s">
        <v>1711</v>
      </c>
      <c r="C2793" s="196">
        <v>0</v>
      </c>
      <c r="D2793" s="196">
        <v>2322400</v>
      </c>
      <c r="E2793" s="196">
        <v>4841483</v>
      </c>
      <c r="F2793" s="196">
        <v>-2519083</v>
      </c>
      <c r="G2793" s="196">
        <v>-2519083</v>
      </c>
    </row>
    <row r="2794" spans="1:7" x14ac:dyDescent="0.3">
      <c r="A2794" s="198">
        <v>1093744869</v>
      </c>
      <c r="B2794" s="192" t="s">
        <v>1906</v>
      </c>
      <c r="C2794" s="196">
        <v>-1448467</v>
      </c>
      <c r="D2794" s="196">
        <v>0</v>
      </c>
      <c r="E2794" s="196">
        <v>0</v>
      </c>
      <c r="F2794" s="196">
        <v>0</v>
      </c>
      <c r="G2794" s="196">
        <v>-1448467</v>
      </c>
    </row>
    <row r="2795" spans="1:7" x14ac:dyDescent="0.3">
      <c r="A2795" s="198">
        <v>1017133284</v>
      </c>
      <c r="B2795" s="192" t="s">
        <v>2037</v>
      </c>
      <c r="C2795" s="196">
        <v>0</v>
      </c>
      <c r="D2795" s="196">
        <v>1028449</v>
      </c>
      <c r="E2795" s="196">
        <v>1725118</v>
      </c>
      <c r="F2795" s="196">
        <v>-696669</v>
      </c>
      <c r="G2795" s="196">
        <v>-696669</v>
      </c>
    </row>
    <row r="2796" spans="1:7" x14ac:dyDescent="0.3">
      <c r="A2796" s="198">
        <v>1152440998</v>
      </c>
      <c r="B2796" s="192" t="s">
        <v>2039</v>
      </c>
      <c r="C2796" s="196">
        <v>0</v>
      </c>
      <c r="D2796" s="196">
        <v>2502400</v>
      </c>
      <c r="E2796" s="196">
        <v>5021483</v>
      </c>
      <c r="F2796" s="196">
        <v>-2519083</v>
      </c>
      <c r="G2796" s="196">
        <v>-2519083</v>
      </c>
    </row>
    <row r="2797" spans="1:7" x14ac:dyDescent="0.3">
      <c r="A2797" s="198">
        <v>1020436418</v>
      </c>
      <c r="B2797" s="192" t="s">
        <v>2040</v>
      </c>
      <c r="C2797" s="196">
        <v>0</v>
      </c>
      <c r="D2797" s="196">
        <v>1180547</v>
      </c>
      <c r="E2797" s="196">
        <v>2271095</v>
      </c>
      <c r="F2797" s="196">
        <v>-1090548</v>
      </c>
      <c r="G2797" s="196">
        <v>-1090548</v>
      </c>
    </row>
    <row r="2798" spans="1:7" x14ac:dyDescent="0.3">
      <c r="A2798" s="198">
        <v>1144039609</v>
      </c>
      <c r="B2798" s="192" t="s">
        <v>2041</v>
      </c>
      <c r="C2798" s="196">
        <v>0</v>
      </c>
      <c r="D2798" s="196">
        <v>2502400</v>
      </c>
      <c r="E2798" s="196">
        <v>5013141</v>
      </c>
      <c r="F2798" s="196">
        <v>-2510741</v>
      </c>
      <c r="G2798" s="196">
        <v>-2510741</v>
      </c>
    </row>
    <row r="2799" spans="1:7" x14ac:dyDescent="0.3">
      <c r="A2799" s="198">
        <v>1216723387</v>
      </c>
      <c r="B2799" s="192" t="s">
        <v>1713</v>
      </c>
      <c r="C2799" s="196">
        <v>0</v>
      </c>
      <c r="D2799" s="196">
        <v>1564547</v>
      </c>
      <c r="E2799" s="196">
        <v>2969095</v>
      </c>
      <c r="F2799" s="196">
        <v>-1404548</v>
      </c>
      <c r="G2799" s="196">
        <v>-1404548</v>
      </c>
    </row>
    <row r="2800" spans="1:7" x14ac:dyDescent="0.3">
      <c r="A2800" s="198">
        <v>1040752245</v>
      </c>
      <c r="B2800" s="192" t="s">
        <v>1678</v>
      </c>
      <c r="C2800" s="196">
        <v>0</v>
      </c>
      <c r="D2800" s="196">
        <v>1249941</v>
      </c>
      <c r="E2800" s="196">
        <v>2432489</v>
      </c>
      <c r="F2800" s="196">
        <v>-1182548</v>
      </c>
      <c r="G2800" s="196">
        <v>-1182548</v>
      </c>
    </row>
    <row r="2801" spans="1:7" x14ac:dyDescent="0.3">
      <c r="A2801" s="198">
        <v>6549128</v>
      </c>
      <c r="B2801" s="192" t="s">
        <v>2043</v>
      </c>
      <c r="C2801" s="196">
        <v>0</v>
      </c>
      <c r="D2801" s="196">
        <v>1721990</v>
      </c>
      <c r="E2801" s="196">
        <v>4021990</v>
      </c>
      <c r="F2801" s="196">
        <v>-2300000</v>
      </c>
      <c r="G2801" s="196">
        <v>-2300000</v>
      </c>
    </row>
    <row r="2802" spans="1:7" x14ac:dyDescent="0.3">
      <c r="A2802" s="198">
        <v>1128385262</v>
      </c>
      <c r="B2802" s="192" t="s">
        <v>1714</v>
      </c>
      <c r="C2802" s="196">
        <v>0</v>
      </c>
      <c r="D2802" s="196">
        <v>1515447</v>
      </c>
      <c r="E2802" s="196">
        <v>2986576</v>
      </c>
      <c r="F2802" s="196">
        <v>-1471129</v>
      </c>
      <c r="G2802" s="196">
        <v>-1471129</v>
      </c>
    </row>
    <row r="2803" spans="1:7" x14ac:dyDescent="0.3">
      <c r="A2803" s="198">
        <v>1000646763</v>
      </c>
      <c r="B2803" s="192" t="s">
        <v>2044</v>
      </c>
      <c r="C2803" s="196">
        <v>0</v>
      </c>
      <c r="D2803" s="196">
        <v>1555447</v>
      </c>
      <c r="E2803" s="196">
        <v>3067637</v>
      </c>
      <c r="F2803" s="196">
        <v>-1512190</v>
      </c>
      <c r="G2803" s="196">
        <v>-1512190</v>
      </c>
    </row>
    <row r="2804" spans="1:7" x14ac:dyDescent="0.3">
      <c r="A2804" s="198">
        <v>1020431035</v>
      </c>
      <c r="B2804" s="192" t="s">
        <v>1923</v>
      </c>
      <c r="C2804" s="196">
        <v>0</v>
      </c>
      <c r="D2804" s="196">
        <v>1286654</v>
      </c>
      <c r="E2804" s="196">
        <v>2481545</v>
      </c>
      <c r="F2804" s="196">
        <v>-1194891</v>
      </c>
      <c r="G2804" s="196">
        <v>-1194891</v>
      </c>
    </row>
    <row r="2805" spans="1:7" x14ac:dyDescent="0.3">
      <c r="A2805" s="198">
        <v>1026158953</v>
      </c>
      <c r="B2805" s="192" t="s">
        <v>2046</v>
      </c>
      <c r="C2805" s="196">
        <v>0</v>
      </c>
      <c r="D2805" s="196">
        <v>1013919</v>
      </c>
      <c r="E2805" s="196">
        <v>2188163</v>
      </c>
      <c r="F2805" s="196">
        <v>-1174244</v>
      </c>
      <c r="G2805" s="196">
        <v>-1174244</v>
      </c>
    </row>
    <row r="2806" spans="1:7" x14ac:dyDescent="0.3">
      <c r="A2806" s="198">
        <v>1035858442</v>
      </c>
      <c r="B2806" s="192" t="s">
        <v>1927</v>
      </c>
      <c r="C2806" s="196">
        <v>0</v>
      </c>
      <c r="D2806" s="196">
        <v>1567214</v>
      </c>
      <c r="E2806" s="196">
        <v>2979762</v>
      </c>
      <c r="F2806" s="196">
        <v>-1412548</v>
      </c>
      <c r="G2806" s="196">
        <v>-1412548</v>
      </c>
    </row>
    <row r="2807" spans="1:7" x14ac:dyDescent="0.3">
      <c r="A2807" s="198">
        <v>1036639954</v>
      </c>
      <c r="B2807" s="192" t="s">
        <v>2047</v>
      </c>
      <c r="C2807" s="196">
        <v>0</v>
      </c>
      <c r="D2807" s="196">
        <v>1393942</v>
      </c>
      <c r="E2807" s="196">
        <v>2706186</v>
      </c>
      <c r="F2807" s="196">
        <v>-1312244</v>
      </c>
      <c r="G2807" s="196">
        <v>-1312244</v>
      </c>
    </row>
    <row r="2808" spans="1:7" x14ac:dyDescent="0.3">
      <c r="A2808" s="198">
        <v>52245050</v>
      </c>
      <c r="B2808" s="192" t="s">
        <v>2319</v>
      </c>
      <c r="C2808" s="196">
        <v>0</v>
      </c>
      <c r="D2808" s="196">
        <v>1019964</v>
      </c>
      <c r="E2808" s="196">
        <v>1949929</v>
      </c>
      <c r="F2808" s="196">
        <v>-929965</v>
      </c>
      <c r="G2808" s="196">
        <v>-929965</v>
      </c>
    </row>
    <row r="2809" spans="1:7" x14ac:dyDescent="0.3">
      <c r="A2809" s="198">
        <v>1027740123</v>
      </c>
      <c r="B2809" s="192" t="s">
        <v>1928</v>
      </c>
      <c r="C2809" s="196">
        <v>-1778935</v>
      </c>
      <c r="D2809" s="196">
        <v>1778935</v>
      </c>
      <c r="E2809" s="196">
        <v>0</v>
      </c>
      <c r="F2809" s="196">
        <v>1778935</v>
      </c>
      <c r="G2809" s="196">
        <v>0</v>
      </c>
    </row>
    <row r="2810" spans="1:7" x14ac:dyDescent="0.3">
      <c r="A2810" s="198">
        <v>43256222</v>
      </c>
      <c r="B2810" s="192" t="s">
        <v>2049</v>
      </c>
      <c r="C2810" s="196">
        <v>0</v>
      </c>
      <c r="D2810" s="196">
        <v>1245215</v>
      </c>
      <c r="E2810" s="196">
        <v>2327459</v>
      </c>
      <c r="F2810" s="196">
        <v>-1082244</v>
      </c>
      <c r="G2810" s="196">
        <v>-1082244</v>
      </c>
    </row>
    <row r="2811" spans="1:7" x14ac:dyDescent="0.3">
      <c r="A2811" s="198">
        <v>1017284611</v>
      </c>
      <c r="B2811" s="192" t="s">
        <v>1715</v>
      </c>
      <c r="C2811" s="196">
        <v>0</v>
      </c>
      <c r="D2811" s="196">
        <v>821922</v>
      </c>
      <c r="E2811" s="196">
        <v>1543845</v>
      </c>
      <c r="F2811" s="196">
        <v>-721923</v>
      </c>
      <c r="G2811" s="196">
        <v>-721923</v>
      </c>
    </row>
    <row r="2812" spans="1:7" x14ac:dyDescent="0.3">
      <c r="A2812" s="198">
        <v>1127941794</v>
      </c>
      <c r="B2812" s="192" t="s">
        <v>1274</v>
      </c>
      <c r="C2812" s="196">
        <v>-4968000</v>
      </c>
      <c r="D2812" s="196">
        <v>4405000</v>
      </c>
      <c r="E2812" s="196">
        <v>9373000</v>
      </c>
      <c r="F2812" s="196">
        <v>-4968000</v>
      </c>
      <c r="G2812" s="196">
        <v>-9936000</v>
      </c>
    </row>
    <row r="2813" spans="1:7" x14ac:dyDescent="0.3">
      <c r="A2813" s="198">
        <v>1013456905</v>
      </c>
      <c r="B2813" s="192" t="s">
        <v>1932</v>
      </c>
      <c r="C2813" s="196">
        <v>0</v>
      </c>
      <c r="D2813" s="196">
        <v>929962</v>
      </c>
      <c r="E2813" s="196">
        <v>1549939</v>
      </c>
      <c r="F2813" s="196">
        <v>-619977</v>
      </c>
      <c r="G2813" s="196">
        <v>-619977</v>
      </c>
    </row>
    <row r="2814" spans="1:7" x14ac:dyDescent="0.3">
      <c r="A2814" s="198">
        <v>1214732527</v>
      </c>
      <c r="B2814" s="192" t="s">
        <v>1983</v>
      </c>
      <c r="C2814" s="196">
        <v>-1788747</v>
      </c>
      <c r="D2814" s="196">
        <v>0</v>
      </c>
      <c r="E2814" s="196">
        <v>0</v>
      </c>
      <c r="F2814" s="196">
        <v>0</v>
      </c>
      <c r="G2814" s="196">
        <v>-1788747</v>
      </c>
    </row>
    <row r="2815" spans="1:7" x14ac:dyDescent="0.3">
      <c r="A2815" s="198">
        <v>43550437</v>
      </c>
      <c r="B2815" s="192" t="s">
        <v>1936</v>
      </c>
      <c r="C2815" s="196">
        <v>217761</v>
      </c>
      <c r="D2815" s="196">
        <v>0</v>
      </c>
      <c r="E2815" s="196">
        <v>0</v>
      </c>
      <c r="F2815" s="196">
        <v>0</v>
      </c>
      <c r="G2815" s="196">
        <v>217761</v>
      </c>
    </row>
    <row r="2816" spans="1:7" x14ac:dyDescent="0.3">
      <c r="A2816" s="198">
        <v>809106</v>
      </c>
      <c r="B2816" s="192" t="s">
        <v>1680</v>
      </c>
      <c r="C2816" s="196">
        <v>0</v>
      </c>
      <c r="D2816" s="196">
        <v>1107829</v>
      </c>
      <c r="E2816" s="196">
        <v>2420688</v>
      </c>
      <c r="F2816" s="196">
        <v>-1312859</v>
      </c>
      <c r="G2816" s="196">
        <v>-1312859</v>
      </c>
    </row>
    <row r="2817" spans="1:7" x14ac:dyDescent="0.3">
      <c r="A2817" s="198">
        <v>1028042115</v>
      </c>
      <c r="B2817" s="192" t="s">
        <v>2067</v>
      </c>
      <c r="C2817" s="196">
        <v>0</v>
      </c>
      <c r="D2817" s="196">
        <v>1281363</v>
      </c>
      <c r="E2817" s="196">
        <v>2424309</v>
      </c>
      <c r="F2817" s="196">
        <v>-1142946</v>
      </c>
      <c r="G2817" s="196">
        <v>-1142946</v>
      </c>
    </row>
    <row r="2818" spans="1:7" x14ac:dyDescent="0.3">
      <c r="A2818" s="198">
        <v>1017184852</v>
      </c>
      <c r="B2818" s="192" t="s">
        <v>1716</v>
      </c>
      <c r="C2818" s="196">
        <v>0</v>
      </c>
      <c r="D2818" s="196">
        <v>1365447</v>
      </c>
      <c r="E2818" s="196">
        <v>2730895</v>
      </c>
      <c r="F2818" s="196">
        <v>-1365448</v>
      </c>
      <c r="G2818" s="196">
        <v>-1365448</v>
      </c>
    </row>
    <row r="2819" spans="1:7" x14ac:dyDescent="0.3">
      <c r="A2819" s="198">
        <v>1128423802</v>
      </c>
      <c r="B2819" s="192" t="s">
        <v>2053</v>
      </c>
      <c r="C2819" s="196">
        <v>0</v>
      </c>
      <c r="D2819" s="196">
        <v>1555447</v>
      </c>
      <c r="E2819" s="196">
        <v>3076576</v>
      </c>
      <c r="F2819" s="196">
        <v>-1521129</v>
      </c>
      <c r="G2819" s="196">
        <v>-1521129</v>
      </c>
    </row>
    <row r="2820" spans="1:7" x14ac:dyDescent="0.3">
      <c r="A2820" s="198">
        <v>1040748779</v>
      </c>
      <c r="B2820" s="192" t="s">
        <v>2055</v>
      </c>
      <c r="C2820" s="196">
        <v>0</v>
      </c>
      <c r="D2820" s="196">
        <v>1732547</v>
      </c>
      <c r="E2820" s="196">
        <v>3375095</v>
      </c>
      <c r="F2820" s="196">
        <v>-1642548</v>
      </c>
      <c r="G2820" s="196">
        <v>-1642548</v>
      </c>
    </row>
    <row r="2821" spans="1:7" x14ac:dyDescent="0.3">
      <c r="A2821" s="198">
        <v>1152207950</v>
      </c>
      <c r="B2821" s="192" t="s">
        <v>2056</v>
      </c>
      <c r="C2821" s="196">
        <v>0</v>
      </c>
      <c r="D2821" s="196">
        <v>1420547</v>
      </c>
      <c r="E2821" s="196">
        <v>2741095</v>
      </c>
      <c r="F2821" s="196">
        <v>-1320548</v>
      </c>
      <c r="G2821" s="196">
        <v>-1320548</v>
      </c>
    </row>
    <row r="2822" spans="1:7" x14ac:dyDescent="0.3">
      <c r="A2822" s="198">
        <v>1001764247</v>
      </c>
      <c r="B2822" s="192" t="s">
        <v>2057</v>
      </c>
      <c r="C2822" s="196">
        <v>0</v>
      </c>
      <c r="D2822" s="196">
        <v>1593447</v>
      </c>
      <c r="E2822" s="196">
        <v>3083929</v>
      </c>
      <c r="F2822" s="196">
        <v>-1490482</v>
      </c>
      <c r="G2822" s="196">
        <v>-1490482</v>
      </c>
    </row>
    <row r="2823" spans="1:7" x14ac:dyDescent="0.3">
      <c r="A2823" s="198">
        <v>1015067177</v>
      </c>
      <c r="B2823" s="192" t="s">
        <v>2320</v>
      </c>
      <c r="C2823" s="196">
        <v>0</v>
      </c>
      <c r="D2823" s="196">
        <v>1251548</v>
      </c>
      <c r="E2823" s="196">
        <v>1251548</v>
      </c>
      <c r="F2823" s="196">
        <v>0</v>
      </c>
      <c r="G2823" s="196">
        <v>0</v>
      </c>
    </row>
    <row r="2824" spans="1:7" x14ac:dyDescent="0.3">
      <c r="A2824" s="198">
        <v>1027616481</v>
      </c>
      <c r="B2824" s="192" t="s">
        <v>2059</v>
      </c>
      <c r="C2824" s="196">
        <v>0</v>
      </c>
      <c r="D2824" s="196">
        <v>1318547</v>
      </c>
      <c r="E2824" s="196">
        <v>2550775</v>
      </c>
      <c r="F2824" s="196">
        <v>-1232228</v>
      </c>
      <c r="G2824" s="196">
        <v>-1232228</v>
      </c>
    </row>
    <row r="2825" spans="1:7" x14ac:dyDescent="0.3">
      <c r="A2825" s="198">
        <v>32299587</v>
      </c>
      <c r="B2825" s="192" t="s">
        <v>2060</v>
      </c>
      <c r="C2825" s="196">
        <v>0</v>
      </c>
      <c r="D2825" s="196">
        <v>1328547</v>
      </c>
      <c r="E2825" s="196">
        <v>2557095</v>
      </c>
      <c r="F2825" s="196">
        <v>-1228548</v>
      </c>
      <c r="G2825" s="196">
        <v>-1228548</v>
      </c>
    </row>
    <row r="2826" spans="1:7" x14ac:dyDescent="0.3">
      <c r="A2826" s="198">
        <v>43972279</v>
      </c>
      <c r="B2826" s="192" t="s">
        <v>2061</v>
      </c>
      <c r="C2826" s="196">
        <v>0</v>
      </c>
      <c r="D2826" s="196">
        <v>2484000</v>
      </c>
      <c r="E2826" s="196">
        <v>5054940</v>
      </c>
      <c r="F2826" s="196">
        <v>-2570940</v>
      </c>
      <c r="G2826" s="196">
        <v>-2570940</v>
      </c>
    </row>
    <row r="2827" spans="1:7" x14ac:dyDescent="0.3">
      <c r="A2827" s="198">
        <v>1001510696</v>
      </c>
      <c r="B2827" s="192" t="s">
        <v>2062</v>
      </c>
      <c r="C2827" s="196">
        <v>0</v>
      </c>
      <c r="D2827" s="196">
        <v>2024000</v>
      </c>
      <c r="E2827" s="196">
        <v>4048000</v>
      </c>
      <c r="F2827" s="196">
        <v>-2024000</v>
      </c>
      <c r="G2827" s="196">
        <v>-2024000</v>
      </c>
    </row>
    <row r="2828" spans="1:7" x14ac:dyDescent="0.3">
      <c r="A2828" s="197">
        <v>2510</v>
      </c>
      <c r="B2828" s="191" t="s">
        <v>2321</v>
      </c>
      <c r="C2828" s="195">
        <v>-82337615</v>
      </c>
      <c r="D2828" s="195">
        <v>0</v>
      </c>
      <c r="E2828" s="195">
        <v>15343387</v>
      </c>
      <c r="F2828" s="195">
        <v>-15343387</v>
      </c>
      <c r="G2828" s="195">
        <v>-97681002</v>
      </c>
    </row>
    <row r="2829" spans="1:7" x14ac:dyDescent="0.3">
      <c r="A2829" s="197">
        <v>251010</v>
      </c>
      <c r="B2829" s="191" t="s">
        <v>2322</v>
      </c>
      <c r="C2829" s="195">
        <v>-408532984</v>
      </c>
      <c r="D2829" s="195">
        <v>0</v>
      </c>
      <c r="E2829" s="195">
        <v>15343387</v>
      </c>
      <c r="F2829" s="195">
        <v>-15343387</v>
      </c>
      <c r="G2829" s="195">
        <v>-423876371</v>
      </c>
    </row>
    <row r="2830" spans="1:7" x14ac:dyDescent="0.3">
      <c r="A2830" s="198">
        <v>25101001</v>
      </c>
      <c r="B2830" s="192" t="s">
        <v>2323</v>
      </c>
      <c r="C2830" s="196">
        <v>-408532984</v>
      </c>
      <c r="D2830" s="196">
        <v>0</v>
      </c>
      <c r="E2830" s="196">
        <v>15343387</v>
      </c>
      <c r="F2830" s="196">
        <v>-15343387</v>
      </c>
      <c r="G2830" s="196">
        <v>-423876371</v>
      </c>
    </row>
    <row r="2831" spans="1:7" x14ac:dyDescent="0.3">
      <c r="A2831" s="198">
        <v>31948684</v>
      </c>
      <c r="B2831" s="192" t="s">
        <v>165</v>
      </c>
      <c r="C2831" s="196">
        <v>-39740000</v>
      </c>
      <c r="D2831" s="196">
        <v>0</v>
      </c>
      <c r="E2831" s="196">
        <v>1000000</v>
      </c>
      <c r="F2831" s="196">
        <v>-1000000</v>
      </c>
      <c r="G2831" s="196">
        <v>-40740000</v>
      </c>
    </row>
    <row r="2832" spans="1:7" x14ac:dyDescent="0.3">
      <c r="A2832" s="198">
        <v>43685485</v>
      </c>
      <c r="B2832" s="192" t="s">
        <v>2028</v>
      </c>
      <c r="C2832" s="196">
        <v>-916667</v>
      </c>
      <c r="D2832" s="196">
        <v>0</v>
      </c>
      <c r="E2832" s="196">
        <v>0</v>
      </c>
      <c r="F2832" s="196">
        <v>0</v>
      </c>
      <c r="G2832" s="196">
        <v>-916667</v>
      </c>
    </row>
    <row r="2833" spans="1:7" x14ac:dyDescent="0.3">
      <c r="A2833" s="198">
        <v>32391236</v>
      </c>
      <c r="B2833" s="192" t="s">
        <v>2029</v>
      </c>
      <c r="C2833" s="196">
        <v>-2224548</v>
      </c>
      <c r="D2833" s="196">
        <v>0</v>
      </c>
      <c r="E2833" s="196">
        <v>187424</v>
      </c>
      <c r="F2833" s="196">
        <v>-187424</v>
      </c>
      <c r="G2833" s="196">
        <v>-2411972</v>
      </c>
    </row>
    <row r="2834" spans="1:7" x14ac:dyDescent="0.3">
      <c r="A2834" s="198">
        <v>1037644962</v>
      </c>
      <c r="B2834" s="192" t="s">
        <v>260</v>
      </c>
      <c r="C2834" s="196">
        <v>-2892327</v>
      </c>
      <c r="D2834" s="196">
        <v>0</v>
      </c>
      <c r="E2834" s="196">
        <v>264889</v>
      </c>
      <c r="F2834" s="196">
        <v>-264889</v>
      </c>
      <c r="G2834" s="196">
        <v>-3157216</v>
      </c>
    </row>
    <row r="2835" spans="1:7" x14ac:dyDescent="0.3">
      <c r="A2835" s="198">
        <v>1193166396</v>
      </c>
      <c r="B2835" s="192" t="s">
        <v>1625</v>
      </c>
      <c r="C2835" s="196">
        <v>-13983139</v>
      </c>
      <c r="D2835" s="196">
        <v>0</v>
      </c>
      <c r="E2835" s="196">
        <v>458333</v>
      </c>
      <c r="F2835" s="196">
        <v>-458333</v>
      </c>
      <c r="G2835" s="196">
        <v>-14441472</v>
      </c>
    </row>
    <row r="2836" spans="1:7" x14ac:dyDescent="0.3">
      <c r="A2836" s="198">
        <v>1128393236</v>
      </c>
      <c r="B2836" s="192" t="s">
        <v>1703</v>
      </c>
      <c r="C2836" s="196">
        <v>-551448</v>
      </c>
      <c r="D2836" s="196">
        <v>0</v>
      </c>
      <c r="E2836" s="196">
        <v>0</v>
      </c>
      <c r="F2836" s="196">
        <v>0</v>
      </c>
      <c r="G2836" s="196">
        <v>-551448</v>
      </c>
    </row>
    <row r="2837" spans="1:7" x14ac:dyDescent="0.3">
      <c r="A2837" s="198">
        <v>1020423981</v>
      </c>
      <c r="B2837" s="192" t="s">
        <v>2030</v>
      </c>
      <c r="C2837" s="196">
        <v>-8000436</v>
      </c>
      <c r="D2837" s="196">
        <v>0</v>
      </c>
      <c r="E2837" s="196">
        <v>220758</v>
      </c>
      <c r="F2837" s="196">
        <v>-220758</v>
      </c>
      <c r="G2837" s="196">
        <v>-8221194</v>
      </c>
    </row>
    <row r="2838" spans="1:7" x14ac:dyDescent="0.3">
      <c r="A2838" s="198">
        <v>1020489861</v>
      </c>
      <c r="B2838" s="192" t="s">
        <v>1704</v>
      </c>
      <c r="C2838" s="196">
        <v>-2909637</v>
      </c>
      <c r="D2838" s="196">
        <v>0</v>
      </c>
      <c r="E2838" s="196">
        <v>0</v>
      </c>
      <c r="F2838" s="196">
        <v>0</v>
      </c>
      <c r="G2838" s="196">
        <v>-2909637</v>
      </c>
    </row>
    <row r="2839" spans="1:7" x14ac:dyDescent="0.3">
      <c r="A2839" s="198">
        <v>1152689568</v>
      </c>
      <c r="B2839" s="192" t="s">
        <v>1705</v>
      </c>
      <c r="C2839" s="196">
        <v>-10094936</v>
      </c>
      <c r="D2839" s="196">
        <v>0</v>
      </c>
      <c r="E2839" s="196">
        <v>261830</v>
      </c>
      <c r="F2839" s="196">
        <v>-261830</v>
      </c>
      <c r="G2839" s="196">
        <v>-10356766</v>
      </c>
    </row>
    <row r="2840" spans="1:7" x14ac:dyDescent="0.3">
      <c r="A2840" s="198">
        <v>1037266322</v>
      </c>
      <c r="B2840" s="192" t="s">
        <v>2031</v>
      </c>
      <c r="C2840" s="196">
        <v>-1055322</v>
      </c>
      <c r="D2840" s="196">
        <v>0</v>
      </c>
      <c r="E2840" s="196">
        <v>0</v>
      </c>
      <c r="F2840" s="196">
        <v>0</v>
      </c>
      <c r="G2840" s="196">
        <v>-1055322</v>
      </c>
    </row>
    <row r="2841" spans="1:7" x14ac:dyDescent="0.3">
      <c r="A2841" s="198">
        <v>32144343</v>
      </c>
      <c r="B2841" s="192" t="s">
        <v>1706</v>
      </c>
      <c r="C2841" s="196">
        <v>-5297395</v>
      </c>
      <c r="D2841" s="196">
        <v>0</v>
      </c>
      <c r="E2841" s="196">
        <v>166667</v>
      </c>
      <c r="F2841" s="196">
        <v>-166667</v>
      </c>
      <c r="G2841" s="196">
        <v>-5464062</v>
      </c>
    </row>
    <row r="2842" spans="1:7" x14ac:dyDescent="0.3">
      <c r="A2842" s="198">
        <v>1037583982</v>
      </c>
      <c r="B2842" s="192" t="s">
        <v>1798</v>
      </c>
      <c r="C2842" s="196">
        <v>-10945644</v>
      </c>
      <c r="D2842" s="196">
        <v>0</v>
      </c>
      <c r="E2842" s="196">
        <v>450000</v>
      </c>
      <c r="F2842" s="196">
        <v>-450000</v>
      </c>
      <c r="G2842" s="196">
        <v>-11395644</v>
      </c>
    </row>
    <row r="2843" spans="1:7" x14ac:dyDescent="0.3">
      <c r="A2843" s="198">
        <v>1017266622</v>
      </c>
      <c r="B2843" s="192" t="s">
        <v>1707</v>
      </c>
      <c r="C2843" s="196">
        <v>-5674415</v>
      </c>
      <c r="D2843" s="196">
        <v>0</v>
      </c>
      <c r="E2843" s="196">
        <v>262424</v>
      </c>
      <c r="F2843" s="196">
        <v>-262424</v>
      </c>
      <c r="G2843" s="196">
        <v>-5936839</v>
      </c>
    </row>
    <row r="2844" spans="1:7" x14ac:dyDescent="0.3">
      <c r="A2844" s="198">
        <v>1041229735</v>
      </c>
      <c r="B2844" s="192" t="s">
        <v>2033</v>
      </c>
      <c r="C2844" s="196">
        <v>-3460210</v>
      </c>
      <c r="D2844" s="196">
        <v>0</v>
      </c>
      <c r="E2844" s="196">
        <v>264079</v>
      </c>
      <c r="F2844" s="196">
        <v>-264079</v>
      </c>
      <c r="G2844" s="196">
        <v>-3724289</v>
      </c>
    </row>
    <row r="2845" spans="1:7" x14ac:dyDescent="0.3">
      <c r="A2845" s="198">
        <v>1036641303</v>
      </c>
      <c r="B2845" s="192" t="s">
        <v>2034</v>
      </c>
      <c r="C2845" s="196">
        <v>-9637878</v>
      </c>
      <c r="D2845" s="196">
        <v>0</v>
      </c>
      <c r="E2845" s="196">
        <v>237424</v>
      </c>
      <c r="F2845" s="196">
        <v>-237424</v>
      </c>
      <c r="G2845" s="196">
        <v>-9875302</v>
      </c>
    </row>
    <row r="2846" spans="1:7" x14ac:dyDescent="0.3">
      <c r="A2846" s="198">
        <v>32865167</v>
      </c>
      <c r="B2846" s="192" t="s">
        <v>2071</v>
      </c>
      <c r="C2846" s="196">
        <v>-1281051</v>
      </c>
      <c r="D2846" s="196">
        <v>0</v>
      </c>
      <c r="E2846" s="196">
        <v>0</v>
      </c>
      <c r="F2846" s="196">
        <v>0</v>
      </c>
      <c r="G2846" s="196">
        <v>-1281051</v>
      </c>
    </row>
    <row r="2847" spans="1:7" x14ac:dyDescent="0.3">
      <c r="A2847" s="198">
        <v>1037570707</v>
      </c>
      <c r="B2847" s="192" t="s">
        <v>1677</v>
      </c>
      <c r="C2847" s="196">
        <v>-13532448</v>
      </c>
      <c r="D2847" s="196">
        <v>0</v>
      </c>
      <c r="E2847" s="196">
        <v>212424</v>
      </c>
      <c r="F2847" s="196">
        <v>-212424</v>
      </c>
      <c r="G2847" s="196">
        <v>-13744872</v>
      </c>
    </row>
    <row r="2848" spans="1:7" x14ac:dyDescent="0.3">
      <c r="A2848" s="198">
        <v>1001660174</v>
      </c>
      <c r="B2848" s="192" t="s">
        <v>2318</v>
      </c>
      <c r="C2848" s="196">
        <v>-552304</v>
      </c>
      <c r="D2848" s="196">
        <v>0</v>
      </c>
      <c r="E2848" s="196">
        <v>212425</v>
      </c>
      <c r="F2848" s="196">
        <v>-212425</v>
      </c>
      <c r="G2848" s="196">
        <v>-764729</v>
      </c>
    </row>
    <row r="2849" spans="1:7" x14ac:dyDescent="0.3">
      <c r="A2849" s="198">
        <v>43190602</v>
      </c>
      <c r="B2849" s="192" t="s">
        <v>1708</v>
      </c>
      <c r="C2849" s="196">
        <v>-2970826</v>
      </c>
      <c r="D2849" s="196">
        <v>0</v>
      </c>
      <c r="E2849" s="196">
        <v>195757</v>
      </c>
      <c r="F2849" s="196">
        <v>-195757</v>
      </c>
      <c r="G2849" s="196">
        <v>-3166583</v>
      </c>
    </row>
    <row r="2850" spans="1:7" x14ac:dyDescent="0.3">
      <c r="A2850" s="198">
        <v>43113995</v>
      </c>
      <c r="B2850" s="192" t="s">
        <v>2324</v>
      </c>
      <c r="C2850" s="196">
        <v>-506667</v>
      </c>
      <c r="D2850" s="196">
        <v>0</v>
      </c>
      <c r="E2850" s="196">
        <v>0</v>
      </c>
      <c r="F2850" s="196">
        <v>0</v>
      </c>
      <c r="G2850" s="196">
        <v>-506667</v>
      </c>
    </row>
    <row r="2851" spans="1:7" x14ac:dyDescent="0.3">
      <c r="A2851" s="198">
        <v>3901013</v>
      </c>
      <c r="B2851" s="192" t="s">
        <v>1709</v>
      </c>
      <c r="C2851" s="196">
        <v>-391667</v>
      </c>
      <c r="D2851" s="196">
        <v>0</v>
      </c>
      <c r="E2851" s="196">
        <v>0</v>
      </c>
      <c r="F2851" s="196">
        <v>0</v>
      </c>
      <c r="G2851" s="196">
        <v>-391667</v>
      </c>
    </row>
    <row r="2852" spans="1:7" x14ac:dyDescent="0.3">
      <c r="A2852" s="198">
        <v>3901013</v>
      </c>
      <c r="B2852" s="192" t="s">
        <v>1709</v>
      </c>
      <c r="C2852" s="196">
        <v>-21190833</v>
      </c>
      <c r="D2852" s="196">
        <v>0</v>
      </c>
      <c r="E2852" s="196">
        <v>666667</v>
      </c>
      <c r="F2852" s="196">
        <v>-666667</v>
      </c>
      <c r="G2852" s="196">
        <v>-21857500</v>
      </c>
    </row>
    <row r="2853" spans="1:7" x14ac:dyDescent="0.3">
      <c r="A2853" s="198">
        <v>1216716838</v>
      </c>
      <c r="B2853" s="192" t="s">
        <v>2036</v>
      </c>
      <c r="C2853" s="196">
        <v>-3077280</v>
      </c>
      <c r="D2853" s="196">
        <v>0</v>
      </c>
      <c r="E2853" s="196">
        <v>237424</v>
      </c>
      <c r="F2853" s="196">
        <v>-237424</v>
      </c>
      <c r="G2853" s="196">
        <v>-3314704</v>
      </c>
    </row>
    <row r="2854" spans="1:7" x14ac:dyDescent="0.3">
      <c r="A2854" s="198">
        <v>1152197675</v>
      </c>
      <c r="B2854" s="192" t="s">
        <v>2325</v>
      </c>
      <c r="C2854" s="196">
        <v>-2555555</v>
      </c>
      <c r="D2854" s="196">
        <v>0</v>
      </c>
      <c r="E2854" s="196">
        <v>0</v>
      </c>
      <c r="F2854" s="196">
        <v>0</v>
      </c>
      <c r="G2854" s="196">
        <v>-2555555</v>
      </c>
    </row>
    <row r="2855" spans="1:7" x14ac:dyDescent="0.3">
      <c r="A2855" s="198">
        <v>43605890</v>
      </c>
      <c r="B2855" s="192" t="s">
        <v>565</v>
      </c>
      <c r="C2855" s="196">
        <v>-14281944</v>
      </c>
      <c r="D2855" s="196">
        <v>0</v>
      </c>
      <c r="E2855" s="196">
        <v>458333</v>
      </c>
      <c r="F2855" s="196">
        <v>-458333</v>
      </c>
      <c r="G2855" s="196">
        <v>-14740277</v>
      </c>
    </row>
    <row r="2856" spans="1:7" x14ac:dyDescent="0.3">
      <c r="A2856" s="198">
        <v>1007045790</v>
      </c>
      <c r="B2856" s="192" t="s">
        <v>2326</v>
      </c>
      <c r="C2856" s="196">
        <v>-9560962</v>
      </c>
      <c r="D2856" s="196">
        <v>0</v>
      </c>
      <c r="E2856" s="196">
        <v>0</v>
      </c>
      <c r="F2856" s="196">
        <v>0</v>
      </c>
      <c r="G2856" s="196">
        <v>-9560962</v>
      </c>
    </row>
    <row r="2857" spans="1:7" x14ac:dyDescent="0.3">
      <c r="A2857" s="198">
        <v>1036685923</v>
      </c>
      <c r="B2857" s="192" t="s">
        <v>1710</v>
      </c>
      <c r="C2857" s="196">
        <v>-3574548</v>
      </c>
      <c r="D2857" s="196">
        <v>0</v>
      </c>
      <c r="E2857" s="196">
        <v>262424</v>
      </c>
      <c r="F2857" s="196">
        <v>-262424</v>
      </c>
      <c r="G2857" s="196">
        <v>-3836972</v>
      </c>
    </row>
    <row r="2858" spans="1:7" x14ac:dyDescent="0.3">
      <c r="A2858" s="198">
        <v>1020486802</v>
      </c>
      <c r="B2858" s="192" t="s">
        <v>2327</v>
      </c>
      <c r="C2858" s="196">
        <v>-527800</v>
      </c>
      <c r="D2858" s="196">
        <v>0</v>
      </c>
      <c r="E2858" s="196">
        <v>0</v>
      </c>
      <c r="F2858" s="196">
        <v>0</v>
      </c>
      <c r="G2858" s="196">
        <v>-527800</v>
      </c>
    </row>
    <row r="2859" spans="1:7" x14ac:dyDescent="0.3">
      <c r="A2859" s="198">
        <v>32108182</v>
      </c>
      <c r="B2859" s="192" t="s">
        <v>2076</v>
      </c>
      <c r="C2859" s="196">
        <v>-459560</v>
      </c>
      <c r="D2859" s="196">
        <v>0</v>
      </c>
      <c r="E2859" s="196">
        <v>0</v>
      </c>
      <c r="F2859" s="196">
        <v>0</v>
      </c>
      <c r="G2859" s="196">
        <v>-459560</v>
      </c>
    </row>
    <row r="2860" spans="1:7" x14ac:dyDescent="0.3">
      <c r="A2860" s="198">
        <v>71526513</v>
      </c>
      <c r="B2860" s="192" t="s">
        <v>1643</v>
      </c>
      <c r="C2860" s="196">
        <v>-10221413</v>
      </c>
      <c r="D2860" s="196">
        <v>0</v>
      </c>
      <c r="E2860" s="196">
        <v>365286</v>
      </c>
      <c r="F2860" s="196">
        <v>-365286</v>
      </c>
      <c r="G2860" s="196">
        <v>-10586699</v>
      </c>
    </row>
    <row r="2861" spans="1:7" x14ac:dyDescent="0.3">
      <c r="A2861" s="198">
        <v>9977388</v>
      </c>
      <c r="B2861" s="192" t="s">
        <v>2328</v>
      </c>
      <c r="C2861" s="196">
        <v>-12651111</v>
      </c>
      <c r="D2861" s="196">
        <v>0</v>
      </c>
      <c r="E2861" s="196">
        <v>0</v>
      </c>
      <c r="F2861" s="196">
        <v>0</v>
      </c>
      <c r="G2861" s="196">
        <v>-12651111</v>
      </c>
    </row>
    <row r="2862" spans="1:7" x14ac:dyDescent="0.3">
      <c r="A2862" s="198">
        <v>1042458852</v>
      </c>
      <c r="B2862" s="192" t="s">
        <v>1711</v>
      </c>
      <c r="C2862" s="196">
        <v>-11543652</v>
      </c>
      <c r="D2862" s="196">
        <v>0</v>
      </c>
      <c r="E2862" s="196">
        <v>454845</v>
      </c>
      <c r="F2862" s="196">
        <v>-454845</v>
      </c>
      <c r="G2862" s="196">
        <v>-11998497</v>
      </c>
    </row>
    <row r="2863" spans="1:7" x14ac:dyDescent="0.3">
      <c r="A2863" s="198">
        <v>1017194194</v>
      </c>
      <c r="B2863" s="192" t="s">
        <v>2157</v>
      </c>
      <c r="C2863" s="196">
        <v>-7714743</v>
      </c>
      <c r="D2863" s="196">
        <v>0</v>
      </c>
      <c r="E2863" s="196">
        <v>0</v>
      </c>
      <c r="F2863" s="196">
        <v>0</v>
      </c>
      <c r="G2863" s="196">
        <v>-7714743</v>
      </c>
    </row>
    <row r="2864" spans="1:7" x14ac:dyDescent="0.3">
      <c r="A2864" s="198">
        <v>1020426876</v>
      </c>
      <c r="B2864" s="192" t="s">
        <v>2329</v>
      </c>
      <c r="C2864" s="196">
        <v>-2779733</v>
      </c>
      <c r="D2864" s="196">
        <v>0</v>
      </c>
      <c r="E2864" s="196">
        <v>0</v>
      </c>
      <c r="F2864" s="196">
        <v>0</v>
      </c>
      <c r="G2864" s="196">
        <v>-2779733</v>
      </c>
    </row>
    <row r="2865" spans="1:7" x14ac:dyDescent="0.3">
      <c r="A2865" s="198">
        <v>1126423558</v>
      </c>
      <c r="B2865" s="192" t="s">
        <v>2159</v>
      </c>
      <c r="C2865" s="196">
        <v>-3809620</v>
      </c>
      <c r="D2865" s="196">
        <v>0</v>
      </c>
      <c r="E2865" s="196">
        <v>0</v>
      </c>
      <c r="F2865" s="196">
        <v>0</v>
      </c>
      <c r="G2865" s="196">
        <v>-3809620</v>
      </c>
    </row>
    <row r="2866" spans="1:7" x14ac:dyDescent="0.3">
      <c r="A2866" s="198">
        <v>1093744869</v>
      </c>
      <c r="B2866" s="192" t="s">
        <v>1906</v>
      </c>
      <c r="C2866" s="196">
        <v>-5071916</v>
      </c>
      <c r="D2866" s="196">
        <v>0</v>
      </c>
      <c r="E2866" s="196">
        <v>0</v>
      </c>
      <c r="F2866" s="196">
        <v>0</v>
      </c>
      <c r="G2866" s="196">
        <v>-5071916</v>
      </c>
    </row>
    <row r="2867" spans="1:7" x14ac:dyDescent="0.3">
      <c r="A2867" s="198">
        <v>1007551247</v>
      </c>
      <c r="B2867" s="192" t="s">
        <v>1712</v>
      </c>
      <c r="C2867" s="196">
        <v>-7283670</v>
      </c>
      <c r="D2867" s="196">
        <v>0</v>
      </c>
      <c r="E2867" s="196">
        <v>0</v>
      </c>
      <c r="F2867" s="196">
        <v>0</v>
      </c>
      <c r="G2867" s="196">
        <v>-7283670</v>
      </c>
    </row>
    <row r="2868" spans="1:7" x14ac:dyDescent="0.3">
      <c r="A2868" s="198">
        <v>1017133284</v>
      </c>
      <c r="B2868" s="192" t="s">
        <v>2037</v>
      </c>
      <c r="C2868" s="196">
        <v>-1044544</v>
      </c>
      <c r="D2868" s="196">
        <v>0</v>
      </c>
      <c r="E2868" s="196">
        <v>280667</v>
      </c>
      <c r="F2868" s="196">
        <v>-280667</v>
      </c>
      <c r="G2868" s="196">
        <v>-1325211</v>
      </c>
    </row>
    <row r="2869" spans="1:7" x14ac:dyDescent="0.3">
      <c r="A2869" s="198">
        <v>1036679554</v>
      </c>
      <c r="B2869" s="192" t="s">
        <v>2064</v>
      </c>
      <c r="C2869" s="196">
        <v>-3068574</v>
      </c>
      <c r="D2869" s="196">
        <v>0</v>
      </c>
      <c r="E2869" s="196">
        <v>0</v>
      </c>
      <c r="F2869" s="196">
        <v>0</v>
      </c>
      <c r="G2869" s="196">
        <v>-3068574</v>
      </c>
    </row>
    <row r="2870" spans="1:7" x14ac:dyDescent="0.3">
      <c r="A2870" s="198">
        <v>71222364</v>
      </c>
      <c r="B2870" s="192" t="s">
        <v>2330</v>
      </c>
      <c r="C2870" s="196">
        <v>-1222222</v>
      </c>
      <c r="D2870" s="196">
        <v>0</v>
      </c>
      <c r="E2870" s="196">
        <v>0</v>
      </c>
      <c r="F2870" s="196">
        <v>0</v>
      </c>
      <c r="G2870" s="196">
        <v>-1222222</v>
      </c>
    </row>
    <row r="2871" spans="1:7" x14ac:dyDescent="0.3">
      <c r="A2871" s="198">
        <v>1127953609</v>
      </c>
      <c r="B2871" s="192" t="s">
        <v>2038</v>
      </c>
      <c r="C2871" s="196">
        <v>-881051</v>
      </c>
      <c r="D2871" s="196">
        <v>0</v>
      </c>
      <c r="E2871" s="196">
        <v>0</v>
      </c>
      <c r="F2871" s="196">
        <v>0</v>
      </c>
      <c r="G2871" s="196">
        <v>-881051</v>
      </c>
    </row>
    <row r="2872" spans="1:7" x14ac:dyDescent="0.3">
      <c r="A2872" s="198">
        <v>1152440998</v>
      </c>
      <c r="B2872" s="192" t="s">
        <v>2039</v>
      </c>
      <c r="C2872" s="196">
        <v>-4632044</v>
      </c>
      <c r="D2872" s="196">
        <v>0</v>
      </c>
      <c r="E2872" s="196">
        <v>454845</v>
      </c>
      <c r="F2872" s="196">
        <v>-454845</v>
      </c>
      <c r="G2872" s="196">
        <v>-5086889</v>
      </c>
    </row>
    <row r="2873" spans="1:7" x14ac:dyDescent="0.3">
      <c r="A2873" s="198">
        <v>1020436418</v>
      </c>
      <c r="B2873" s="192" t="s">
        <v>2040</v>
      </c>
      <c r="C2873" s="196">
        <v>-835234</v>
      </c>
      <c r="D2873" s="196">
        <v>0</v>
      </c>
      <c r="E2873" s="196">
        <v>195758</v>
      </c>
      <c r="F2873" s="196">
        <v>-195758</v>
      </c>
      <c r="G2873" s="196">
        <v>-1030992</v>
      </c>
    </row>
    <row r="2874" spans="1:7" x14ac:dyDescent="0.3">
      <c r="A2874" s="198">
        <v>1144039609</v>
      </c>
      <c r="B2874" s="192" t="s">
        <v>2041</v>
      </c>
      <c r="C2874" s="196">
        <v>-2333241</v>
      </c>
      <c r="D2874" s="196">
        <v>0</v>
      </c>
      <c r="E2874" s="196">
        <v>454089</v>
      </c>
      <c r="F2874" s="196">
        <v>-454089</v>
      </c>
      <c r="G2874" s="196">
        <v>-2787330</v>
      </c>
    </row>
    <row r="2875" spans="1:7" x14ac:dyDescent="0.3">
      <c r="A2875" s="198">
        <v>1216723387</v>
      </c>
      <c r="B2875" s="192" t="s">
        <v>1713</v>
      </c>
      <c r="C2875" s="196">
        <v>-8669795</v>
      </c>
      <c r="D2875" s="196">
        <v>0</v>
      </c>
      <c r="E2875" s="196">
        <v>270758</v>
      </c>
      <c r="F2875" s="196">
        <v>-270758</v>
      </c>
      <c r="G2875" s="196">
        <v>-8940553</v>
      </c>
    </row>
    <row r="2876" spans="1:7" x14ac:dyDescent="0.3">
      <c r="A2876" s="198">
        <v>1037589764</v>
      </c>
      <c r="B2876" s="192" t="s">
        <v>2331</v>
      </c>
      <c r="C2876" s="196">
        <v>-2597666</v>
      </c>
      <c r="D2876" s="196">
        <v>0</v>
      </c>
      <c r="E2876" s="196">
        <v>0</v>
      </c>
      <c r="F2876" s="196">
        <v>0</v>
      </c>
      <c r="G2876" s="196">
        <v>-2597666</v>
      </c>
    </row>
    <row r="2877" spans="1:7" x14ac:dyDescent="0.3">
      <c r="A2877" s="198">
        <v>1040752245</v>
      </c>
      <c r="B2877" s="192" t="s">
        <v>1678</v>
      </c>
      <c r="C2877" s="196">
        <v>-3707368</v>
      </c>
      <c r="D2877" s="196">
        <v>0</v>
      </c>
      <c r="E2877" s="196">
        <v>212424</v>
      </c>
      <c r="F2877" s="196">
        <v>-212424</v>
      </c>
      <c r="G2877" s="196">
        <v>-3919792</v>
      </c>
    </row>
    <row r="2878" spans="1:7" x14ac:dyDescent="0.3">
      <c r="A2878" s="198">
        <v>1036677041</v>
      </c>
      <c r="B2878" s="192" t="s">
        <v>2332</v>
      </c>
      <c r="C2878" s="196">
        <v>-1639310</v>
      </c>
      <c r="D2878" s="196">
        <v>0</v>
      </c>
      <c r="E2878" s="196">
        <v>0</v>
      </c>
      <c r="F2878" s="196">
        <v>0</v>
      </c>
      <c r="G2878" s="196">
        <v>-1639310</v>
      </c>
    </row>
    <row r="2879" spans="1:7" x14ac:dyDescent="0.3">
      <c r="A2879" s="198">
        <v>1037636353</v>
      </c>
      <c r="B2879" s="192" t="s">
        <v>2042</v>
      </c>
      <c r="C2879" s="196">
        <v>-1590876</v>
      </c>
      <c r="D2879" s="196">
        <v>0</v>
      </c>
      <c r="E2879" s="196">
        <v>0</v>
      </c>
      <c r="F2879" s="196">
        <v>0</v>
      </c>
      <c r="G2879" s="196">
        <v>-1590876</v>
      </c>
    </row>
    <row r="2880" spans="1:7" x14ac:dyDescent="0.3">
      <c r="A2880" s="198">
        <v>1038418006</v>
      </c>
      <c r="B2880" s="192" t="s">
        <v>2333</v>
      </c>
      <c r="C2880" s="196">
        <v>-725483</v>
      </c>
      <c r="D2880" s="196">
        <v>0</v>
      </c>
      <c r="E2880" s="196">
        <v>0</v>
      </c>
      <c r="F2880" s="196">
        <v>0</v>
      </c>
      <c r="G2880" s="196">
        <v>-725483</v>
      </c>
    </row>
    <row r="2881" spans="1:7" x14ac:dyDescent="0.3">
      <c r="A2881" s="198">
        <v>6549128</v>
      </c>
      <c r="B2881" s="192" t="s">
        <v>2043</v>
      </c>
      <c r="C2881" s="196">
        <v>-5000000</v>
      </c>
      <c r="D2881" s="196">
        <v>0</v>
      </c>
      <c r="E2881" s="196">
        <v>416667</v>
      </c>
      <c r="F2881" s="196">
        <v>-416667</v>
      </c>
      <c r="G2881" s="196">
        <v>-5416667</v>
      </c>
    </row>
    <row r="2882" spans="1:7" x14ac:dyDescent="0.3">
      <c r="A2882" s="198">
        <v>32296772</v>
      </c>
      <c r="B2882" s="192" t="s">
        <v>2334</v>
      </c>
      <c r="C2882" s="196">
        <v>-164897</v>
      </c>
      <c r="D2882" s="196">
        <v>0</v>
      </c>
      <c r="E2882" s="196">
        <v>0</v>
      </c>
      <c r="F2882" s="196">
        <v>0</v>
      </c>
      <c r="G2882" s="196">
        <v>-164897</v>
      </c>
    </row>
    <row r="2883" spans="1:7" x14ac:dyDescent="0.3">
      <c r="A2883" s="198">
        <v>1128385262</v>
      </c>
      <c r="B2883" s="192" t="s">
        <v>1714</v>
      </c>
      <c r="C2883" s="196">
        <v>-2799476</v>
      </c>
      <c r="D2883" s="196">
        <v>0</v>
      </c>
      <c r="E2883" s="196">
        <v>265699</v>
      </c>
      <c r="F2883" s="196">
        <v>-265699</v>
      </c>
      <c r="G2883" s="196">
        <v>-3065175</v>
      </c>
    </row>
    <row r="2884" spans="1:7" x14ac:dyDescent="0.3">
      <c r="A2884" s="198">
        <v>1020490983</v>
      </c>
      <c r="B2884" s="192" t="s">
        <v>2335</v>
      </c>
      <c r="C2884" s="196">
        <v>-1193833</v>
      </c>
      <c r="D2884" s="196">
        <v>0</v>
      </c>
      <c r="E2884" s="196">
        <v>0</v>
      </c>
      <c r="F2884" s="196">
        <v>0</v>
      </c>
      <c r="G2884" s="196">
        <v>-1193833</v>
      </c>
    </row>
    <row r="2885" spans="1:7" x14ac:dyDescent="0.3">
      <c r="A2885" s="198">
        <v>1000646763</v>
      </c>
      <c r="B2885" s="192" t="s">
        <v>2044</v>
      </c>
      <c r="C2885" s="196">
        <v>-5585013</v>
      </c>
      <c r="D2885" s="196">
        <v>0</v>
      </c>
      <c r="E2885" s="196">
        <v>264889</v>
      </c>
      <c r="F2885" s="196">
        <v>-264889</v>
      </c>
      <c r="G2885" s="196">
        <v>-5849902</v>
      </c>
    </row>
    <row r="2886" spans="1:7" x14ac:dyDescent="0.3">
      <c r="A2886" s="198">
        <v>1039464277</v>
      </c>
      <c r="B2886" s="192" t="s">
        <v>2336</v>
      </c>
      <c r="C2886" s="196">
        <v>-326733</v>
      </c>
      <c r="D2886" s="196">
        <v>0</v>
      </c>
      <c r="E2886" s="196">
        <v>0</v>
      </c>
      <c r="F2886" s="196">
        <v>0</v>
      </c>
      <c r="G2886" s="196">
        <v>-326733</v>
      </c>
    </row>
    <row r="2887" spans="1:7" x14ac:dyDescent="0.3">
      <c r="A2887" s="198">
        <v>1020431035</v>
      </c>
      <c r="B2887" s="192" t="s">
        <v>1923</v>
      </c>
      <c r="C2887" s="196">
        <v>-690194</v>
      </c>
      <c r="D2887" s="196">
        <v>0</v>
      </c>
      <c r="E2887" s="196">
        <v>214820</v>
      </c>
      <c r="F2887" s="196">
        <v>-214820</v>
      </c>
      <c r="G2887" s="196">
        <v>-905014</v>
      </c>
    </row>
    <row r="2888" spans="1:7" x14ac:dyDescent="0.3">
      <c r="A2888" s="198">
        <v>32554996</v>
      </c>
      <c r="B2888" s="192" t="s">
        <v>2045</v>
      </c>
      <c r="C2888" s="196">
        <v>-44444</v>
      </c>
      <c r="D2888" s="196">
        <v>0</v>
      </c>
      <c r="E2888" s="196">
        <v>0</v>
      </c>
      <c r="F2888" s="196">
        <v>0</v>
      </c>
      <c r="G2888" s="196">
        <v>-44444</v>
      </c>
    </row>
    <row r="2889" spans="1:7" x14ac:dyDescent="0.3">
      <c r="A2889" s="198">
        <v>1026158953</v>
      </c>
      <c r="B2889" s="192" t="s">
        <v>2046</v>
      </c>
      <c r="C2889" s="196">
        <v>-1097527</v>
      </c>
      <c r="D2889" s="196">
        <v>0</v>
      </c>
      <c r="E2889" s="196">
        <v>212425</v>
      </c>
      <c r="F2889" s="196">
        <v>-212425</v>
      </c>
      <c r="G2889" s="196">
        <v>-1309952</v>
      </c>
    </row>
    <row r="2890" spans="1:7" x14ac:dyDescent="0.3">
      <c r="A2890" s="198">
        <v>1035858442</v>
      </c>
      <c r="B2890" s="192" t="s">
        <v>1927</v>
      </c>
      <c r="C2890" s="196">
        <v>-8977013</v>
      </c>
      <c r="D2890" s="196">
        <v>0</v>
      </c>
      <c r="E2890" s="196">
        <v>254091</v>
      </c>
      <c r="F2890" s="196">
        <v>-254091</v>
      </c>
      <c r="G2890" s="196">
        <v>-9231104</v>
      </c>
    </row>
    <row r="2891" spans="1:7" x14ac:dyDescent="0.3">
      <c r="A2891" s="198">
        <v>1020488916</v>
      </c>
      <c r="B2891" s="192" t="s">
        <v>2337</v>
      </c>
      <c r="C2891" s="196">
        <v>-1258356</v>
      </c>
      <c r="D2891" s="196">
        <v>0</v>
      </c>
      <c r="E2891" s="196">
        <v>0</v>
      </c>
      <c r="F2891" s="196">
        <v>0</v>
      </c>
      <c r="G2891" s="196">
        <v>-1258356</v>
      </c>
    </row>
    <row r="2892" spans="1:7" x14ac:dyDescent="0.3">
      <c r="A2892" s="198">
        <v>1127941774</v>
      </c>
      <c r="B2892" s="192" t="s">
        <v>2338</v>
      </c>
      <c r="C2892" s="196">
        <v>-1687500</v>
      </c>
      <c r="D2892" s="196">
        <v>0</v>
      </c>
      <c r="E2892" s="196">
        <v>0</v>
      </c>
      <c r="F2892" s="196">
        <v>0</v>
      </c>
      <c r="G2892" s="196">
        <v>-1687500</v>
      </c>
    </row>
    <row r="2893" spans="1:7" x14ac:dyDescent="0.3">
      <c r="A2893" s="198">
        <v>1036639954</v>
      </c>
      <c r="B2893" s="192" t="s">
        <v>2047</v>
      </c>
      <c r="C2893" s="196">
        <v>-1548054</v>
      </c>
      <c r="D2893" s="196">
        <v>0</v>
      </c>
      <c r="E2893" s="196">
        <v>211823</v>
      </c>
      <c r="F2893" s="196">
        <v>-211823</v>
      </c>
      <c r="G2893" s="196">
        <v>-1759877</v>
      </c>
    </row>
    <row r="2894" spans="1:7" x14ac:dyDescent="0.3">
      <c r="A2894" s="198">
        <v>43843451</v>
      </c>
      <c r="B2894" s="192" t="s">
        <v>2048</v>
      </c>
      <c r="C2894" s="196">
        <v>-10056222</v>
      </c>
      <c r="D2894" s="196">
        <v>0</v>
      </c>
      <c r="E2894" s="196">
        <v>0</v>
      </c>
      <c r="F2894" s="196">
        <v>0</v>
      </c>
      <c r="G2894" s="196">
        <v>-10056222</v>
      </c>
    </row>
    <row r="2895" spans="1:7" x14ac:dyDescent="0.3">
      <c r="A2895" s="198">
        <v>39355612</v>
      </c>
      <c r="B2895" s="192" t="s">
        <v>2077</v>
      </c>
      <c r="C2895" s="196">
        <v>-2358516</v>
      </c>
      <c r="D2895" s="196">
        <v>0</v>
      </c>
      <c r="E2895" s="196">
        <v>0</v>
      </c>
      <c r="F2895" s="196">
        <v>0</v>
      </c>
      <c r="G2895" s="196">
        <v>-2358516</v>
      </c>
    </row>
    <row r="2896" spans="1:7" x14ac:dyDescent="0.3">
      <c r="A2896" s="198">
        <v>98522586</v>
      </c>
      <c r="B2896" s="192" t="s">
        <v>2339</v>
      </c>
      <c r="C2896" s="196">
        <v>-226111</v>
      </c>
      <c r="D2896" s="196">
        <v>0</v>
      </c>
      <c r="E2896" s="196">
        <v>0</v>
      </c>
      <c r="F2896" s="196">
        <v>0</v>
      </c>
      <c r="G2896" s="196">
        <v>-226111</v>
      </c>
    </row>
    <row r="2897" spans="1:7" x14ac:dyDescent="0.3">
      <c r="A2897" s="198">
        <v>52245050</v>
      </c>
      <c r="B2897" s="192" t="s">
        <v>2319</v>
      </c>
      <c r="C2897" s="196">
        <v>-277778</v>
      </c>
      <c r="D2897" s="196">
        <v>0</v>
      </c>
      <c r="E2897" s="196">
        <v>166666</v>
      </c>
      <c r="F2897" s="196">
        <v>-166666</v>
      </c>
      <c r="G2897" s="196">
        <v>-444444</v>
      </c>
    </row>
    <row r="2898" spans="1:7" x14ac:dyDescent="0.3">
      <c r="A2898" s="198">
        <v>1027740123</v>
      </c>
      <c r="B2898" s="192" t="s">
        <v>1928</v>
      </c>
      <c r="C2898" s="196">
        <v>-2017553</v>
      </c>
      <c r="D2898" s="196">
        <v>0</v>
      </c>
      <c r="E2898" s="196">
        <v>0</v>
      </c>
      <c r="F2898" s="196">
        <v>0</v>
      </c>
      <c r="G2898" s="196">
        <v>-2017553</v>
      </c>
    </row>
    <row r="2899" spans="1:7" x14ac:dyDescent="0.3">
      <c r="A2899" s="198">
        <v>43256222</v>
      </c>
      <c r="B2899" s="192" t="s">
        <v>2049</v>
      </c>
      <c r="C2899" s="196">
        <v>-3163715</v>
      </c>
      <c r="D2899" s="196">
        <v>0</v>
      </c>
      <c r="E2899" s="196">
        <v>195757</v>
      </c>
      <c r="F2899" s="196">
        <v>-195757</v>
      </c>
      <c r="G2899" s="196">
        <v>-3359472</v>
      </c>
    </row>
    <row r="2900" spans="1:7" x14ac:dyDescent="0.3">
      <c r="A2900" s="198">
        <v>1017284611</v>
      </c>
      <c r="B2900" s="192" t="s">
        <v>1715</v>
      </c>
      <c r="C2900" s="196">
        <v>-4230985</v>
      </c>
      <c r="D2900" s="196">
        <v>0</v>
      </c>
      <c r="E2900" s="196">
        <v>166667</v>
      </c>
      <c r="F2900" s="196">
        <v>-166667</v>
      </c>
      <c r="G2900" s="196">
        <v>-4397652</v>
      </c>
    </row>
    <row r="2901" spans="1:7" x14ac:dyDescent="0.3">
      <c r="A2901" s="198">
        <v>1214732908</v>
      </c>
      <c r="B2901" s="192" t="s">
        <v>1263</v>
      </c>
      <c r="C2901" s="196">
        <v>-2155428</v>
      </c>
      <c r="D2901" s="196">
        <v>0</v>
      </c>
      <c r="E2901" s="196">
        <v>0</v>
      </c>
      <c r="F2901" s="196">
        <v>0</v>
      </c>
      <c r="G2901" s="196">
        <v>-2155428</v>
      </c>
    </row>
    <row r="2902" spans="1:7" x14ac:dyDescent="0.3">
      <c r="A2902" s="198">
        <v>1127941794</v>
      </c>
      <c r="B2902" s="192" t="s">
        <v>1274</v>
      </c>
      <c r="C2902" s="196">
        <v>-3600000</v>
      </c>
      <c r="D2902" s="196">
        <v>0</v>
      </c>
      <c r="E2902" s="196">
        <v>900000</v>
      </c>
      <c r="F2902" s="196">
        <v>-900000</v>
      </c>
      <c r="G2902" s="196">
        <v>-4500000</v>
      </c>
    </row>
    <row r="2903" spans="1:7" x14ac:dyDescent="0.3">
      <c r="A2903" s="198">
        <v>1013456905</v>
      </c>
      <c r="B2903" s="192" t="s">
        <v>1932</v>
      </c>
      <c r="C2903" s="196">
        <v>0</v>
      </c>
      <c r="D2903" s="196">
        <v>0</v>
      </c>
      <c r="E2903" s="196">
        <v>138889</v>
      </c>
      <c r="F2903" s="196">
        <v>-138889</v>
      </c>
      <c r="G2903" s="196">
        <v>-138889</v>
      </c>
    </row>
    <row r="2904" spans="1:7" x14ac:dyDescent="0.3">
      <c r="A2904" s="198">
        <v>574816</v>
      </c>
      <c r="B2904" s="192" t="s">
        <v>2078</v>
      </c>
      <c r="C2904" s="196">
        <v>-6357515</v>
      </c>
      <c r="D2904" s="196">
        <v>0</v>
      </c>
      <c r="E2904" s="196">
        <v>0</v>
      </c>
      <c r="F2904" s="196">
        <v>0</v>
      </c>
      <c r="G2904" s="196">
        <v>-6357515</v>
      </c>
    </row>
    <row r="2905" spans="1:7" x14ac:dyDescent="0.3">
      <c r="A2905" s="198">
        <v>1214732527</v>
      </c>
      <c r="B2905" s="192" t="s">
        <v>1983</v>
      </c>
      <c r="C2905" s="196">
        <v>-7790812</v>
      </c>
      <c r="D2905" s="196">
        <v>0</v>
      </c>
      <c r="E2905" s="196">
        <v>0</v>
      </c>
      <c r="F2905" s="196">
        <v>0</v>
      </c>
      <c r="G2905" s="196">
        <v>-7790812</v>
      </c>
    </row>
    <row r="2906" spans="1:7" x14ac:dyDescent="0.3">
      <c r="A2906" s="198">
        <v>4550437</v>
      </c>
      <c r="B2906" s="192" t="s">
        <v>2340</v>
      </c>
      <c r="C2906" s="196">
        <v>-28333</v>
      </c>
      <c r="D2906" s="196">
        <v>0</v>
      </c>
      <c r="E2906" s="196">
        <v>0</v>
      </c>
      <c r="F2906" s="196">
        <v>0</v>
      </c>
      <c r="G2906" s="196">
        <v>-28333</v>
      </c>
    </row>
    <row r="2907" spans="1:7" x14ac:dyDescent="0.3">
      <c r="A2907" s="198">
        <v>43550437</v>
      </c>
      <c r="B2907" s="192" t="s">
        <v>1936</v>
      </c>
      <c r="C2907" s="196">
        <v>-1822774</v>
      </c>
      <c r="D2907" s="196">
        <v>0</v>
      </c>
      <c r="E2907" s="196">
        <v>0</v>
      </c>
      <c r="F2907" s="196">
        <v>0</v>
      </c>
      <c r="G2907" s="196">
        <v>-1822774</v>
      </c>
    </row>
    <row r="2908" spans="1:7" x14ac:dyDescent="0.3">
      <c r="A2908" s="198">
        <v>43597511</v>
      </c>
      <c r="B2908" s="192" t="s">
        <v>2051</v>
      </c>
      <c r="C2908" s="196">
        <v>-1377126</v>
      </c>
      <c r="D2908" s="196">
        <v>0</v>
      </c>
      <c r="E2908" s="196">
        <v>0</v>
      </c>
      <c r="F2908" s="196">
        <v>0</v>
      </c>
      <c r="G2908" s="196">
        <v>-1377126</v>
      </c>
    </row>
    <row r="2909" spans="1:7" x14ac:dyDescent="0.3">
      <c r="A2909" s="198">
        <v>71212982</v>
      </c>
      <c r="B2909" s="192" t="s">
        <v>2341</v>
      </c>
      <c r="C2909" s="196">
        <v>-2477778</v>
      </c>
      <c r="D2909" s="196">
        <v>0</v>
      </c>
      <c r="E2909" s="196">
        <v>0</v>
      </c>
      <c r="F2909" s="196">
        <v>0</v>
      </c>
      <c r="G2909" s="196">
        <v>-2477778</v>
      </c>
    </row>
    <row r="2910" spans="1:7" x14ac:dyDescent="0.3">
      <c r="A2910" s="198">
        <v>1126429974</v>
      </c>
      <c r="B2910" s="192" t="s">
        <v>2342</v>
      </c>
      <c r="C2910" s="196">
        <v>-259452</v>
      </c>
      <c r="D2910" s="196">
        <v>0</v>
      </c>
      <c r="E2910" s="196">
        <v>0</v>
      </c>
      <c r="F2910" s="196">
        <v>0</v>
      </c>
      <c r="G2910" s="196">
        <v>-259452</v>
      </c>
    </row>
    <row r="2911" spans="1:7" x14ac:dyDescent="0.3">
      <c r="A2911" s="198">
        <v>809106</v>
      </c>
      <c r="B2911" s="192" t="s">
        <v>1680</v>
      </c>
      <c r="C2911" s="196">
        <v>-2791018</v>
      </c>
      <c r="D2911" s="196">
        <v>0</v>
      </c>
      <c r="E2911" s="196">
        <v>204330</v>
      </c>
      <c r="F2911" s="196">
        <v>-204330</v>
      </c>
      <c r="G2911" s="196">
        <v>-2995348</v>
      </c>
    </row>
    <row r="2912" spans="1:7" x14ac:dyDescent="0.3">
      <c r="A2912" s="198">
        <v>1028042115</v>
      </c>
      <c r="B2912" s="192" t="s">
        <v>2067</v>
      </c>
      <c r="C2912" s="196">
        <v>-1842589</v>
      </c>
      <c r="D2912" s="196">
        <v>0</v>
      </c>
      <c r="E2912" s="196">
        <v>214022</v>
      </c>
      <c r="F2912" s="196">
        <v>-214022</v>
      </c>
      <c r="G2912" s="196">
        <v>-2056611</v>
      </c>
    </row>
    <row r="2913" spans="1:7" x14ac:dyDescent="0.3">
      <c r="A2913" s="198">
        <v>1017184852</v>
      </c>
      <c r="B2913" s="192" t="s">
        <v>1716</v>
      </c>
      <c r="C2913" s="196">
        <v>-1309584</v>
      </c>
      <c r="D2913" s="196">
        <v>0</v>
      </c>
      <c r="E2913" s="196">
        <v>263674</v>
      </c>
      <c r="F2913" s="196">
        <v>-263674</v>
      </c>
      <c r="G2913" s="196">
        <v>-1573258</v>
      </c>
    </row>
    <row r="2914" spans="1:7" x14ac:dyDescent="0.3">
      <c r="A2914" s="198">
        <v>1128423802</v>
      </c>
      <c r="B2914" s="192" t="s">
        <v>2053</v>
      </c>
      <c r="C2914" s="196">
        <v>-1208895</v>
      </c>
      <c r="D2914" s="196">
        <v>0</v>
      </c>
      <c r="E2914" s="196">
        <v>265699</v>
      </c>
      <c r="F2914" s="196">
        <v>-265699</v>
      </c>
      <c r="G2914" s="196">
        <v>-1474594</v>
      </c>
    </row>
    <row r="2915" spans="1:7" x14ac:dyDescent="0.3">
      <c r="A2915" s="198">
        <v>1035854432</v>
      </c>
      <c r="B2915" s="192" t="s">
        <v>2054</v>
      </c>
      <c r="C2915" s="196">
        <v>-826389</v>
      </c>
      <c r="D2915" s="196">
        <v>0</v>
      </c>
      <c r="E2915" s="196">
        <v>0</v>
      </c>
      <c r="F2915" s="196">
        <v>0</v>
      </c>
      <c r="G2915" s="196">
        <v>-826389</v>
      </c>
    </row>
    <row r="2916" spans="1:7" x14ac:dyDescent="0.3">
      <c r="A2916" s="198">
        <v>1020420887</v>
      </c>
      <c r="B2916" s="192" t="s">
        <v>2343</v>
      </c>
      <c r="C2916" s="196">
        <v>-1932694</v>
      </c>
      <c r="D2916" s="196">
        <v>0</v>
      </c>
      <c r="E2916" s="196">
        <v>0</v>
      </c>
      <c r="F2916" s="196">
        <v>0</v>
      </c>
      <c r="G2916" s="196">
        <v>-1932694</v>
      </c>
    </row>
    <row r="2917" spans="1:7" x14ac:dyDescent="0.3">
      <c r="A2917" s="198">
        <v>1040748779</v>
      </c>
      <c r="B2917" s="192" t="s">
        <v>2055</v>
      </c>
      <c r="C2917" s="196">
        <v>-7224763</v>
      </c>
      <c r="D2917" s="196">
        <v>0</v>
      </c>
      <c r="E2917" s="196">
        <v>295758</v>
      </c>
      <c r="F2917" s="196">
        <v>-295758</v>
      </c>
      <c r="G2917" s="196">
        <v>-7520521</v>
      </c>
    </row>
    <row r="2918" spans="1:7" x14ac:dyDescent="0.3">
      <c r="A2918" s="198">
        <v>1152207950</v>
      </c>
      <c r="B2918" s="192" t="s">
        <v>2056</v>
      </c>
      <c r="C2918" s="196">
        <v>-2377881</v>
      </c>
      <c r="D2918" s="196">
        <v>0</v>
      </c>
      <c r="E2918" s="196">
        <v>237424</v>
      </c>
      <c r="F2918" s="196">
        <v>-237424</v>
      </c>
      <c r="G2918" s="196">
        <v>-2615305</v>
      </c>
    </row>
    <row r="2919" spans="1:7" x14ac:dyDescent="0.3">
      <c r="A2919" s="198">
        <v>1001764247</v>
      </c>
      <c r="B2919" s="192" t="s">
        <v>2057</v>
      </c>
      <c r="C2919" s="196">
        <v>-10751853</v>
      </c>
      <c r="D2919" s="196">
        <v>0</v>
      </c>
      <c r="E2919" s="196">
        <v>267318</v>
      </c>
      <c r="F2919" s="196">
        <v>-267318</v>
      </c>
      <c r="G2919" s="196">
        <v>-11019171</v>
      </c>
    </row>
    <row r="2920" spans="1:7" x14ac:dyDescent="0.3">
      <c r="A2920" s="198">
        <v>1000639361</v>
      </c>
      <c r="B2920" s="192" t="s">
        <v>2058</v>
      </c>
      <c r="C2920" s="196">
        <v>-2609581</v>
      </c>
      <c r="D2920" s="196">
        <v>0</v>
      </c>
      <c r="E2920" s="196">
        <v>0</v>
      </c>
      <c r="F2920" s="196">
        <v>0</v>
      </c>
      <c r="G2920" s="196">
        <v>-2609581</v>
      </c>
    </row>
    <row r="2921" spans="1:7" x14ac:dyDescent="0.3">
      <c r="A2921" s="198">
        <v>1015067177</v>
      </c>
      <c r="B2921" s="192" t="s">
        <v>2320</v>
      </c>
      <c r="C2921" s="196">
        <v>-531061</v>
      </c>
      <c r="D2921" s="196">
        <v>0</v>
      </c>
      <c r="E2921" s="196">
        <v>212425</v>
      </c>
      <c r="F2921" s="196">
        <v>-212425</v>
      </c>
      <c r="G2921" s="196">
        <v>-743486</v>
      </c>
    </row>
    <row r="2922" spans="1:7" x14ac:dyDescent="0.3">
      <c r="A2922" s="198">
        <v>1027616481</v>
      </c>
      <c r="B2922" s="192" t="s">
        <v>2059</v>
      </c>
      <c r="C2922" s="196">
        <v>-773289</v>
      </c>
      <c r="D2922" s="196">
        <v>0</v>
      </c>
      <c r="E2922" s="196">
        <v>221091</v>
      </c>
      <c r="F2922" s="196">
        <v>-221091</v>
      </c>
      <c r="G2922" s="196">
        <v>-994380</v>
      </c>
    </row>
    <row r="2923" spans="1:7" x14ac:dyDescent="0.3">
      <c r="A2923" s="198">
        <v>1001018000</v>
      </c>
      <c r="B2923" s="192" t="s">
        <v>2344</v>
      </c>
      <c r="C2923" s="196">
        <v>-7778</v>
      </c>
      <c r="D2923" s="196">
        <v>0</v>
      </c>
      <c r="E2923" s="196">
        <v>0</v>
      </c>
      <c r="F2923" s="196">
        <v>0</v>
      </c>
      <c r="G2923" s="196">
        <v>-7778</v>
      </c>
    </row>
    <row r="2924" spans="1:7" x14ac:dyDescent="0.3">
      <c r="A2924" s="198">
        <v>32299587</v>
      </c>
      <c r="B2924" s="192" t="s">
        <v>2060</v>
      </c>
      <c r="C2924" s="196">
        <v>-2420472</v>
      </c>
      <c r="D2924" s="196">
        <v>0</v>
      </c>
      <c r="E2924" s="196">
        <v>220758</v>
      </c>
      <c r="F2924" s="196">
        <v>-220758</v>
      </c>
      <c r="G2924" s="196">
        <v>-2641230</v>
      </c>
    </row>
    <row r="2925" spans="1:7" x14ac:dyDescent="0.3">
      <c r="A2925" s="198">
        <v>43972279</v>
      </c>
      <c r="B2925" s="192" t="s">
        <v>2061</v>
      </c>
      <c r="C2925" s="196">
        <v>-2101466</v>
      </c>
      <c r="D2925" s="196">
        <v>0</v>
      </c>
      <c r="E2925" s="196">
        <v>457875</v>
      </c>
      <c r="F2925" s="196">
        <v>-457875</v>
      </c>
      <c r="G2925" s="196">
        <v>-2559341</v>
      </c>
    </row>
    <row r="2926" spans="1:7" x14ac:dyDescent="0.3">
      <c r="A2926" s="198">
        <v>1001510696</v>
      </c>
      <c r="B2926" s="192" t="s">
        <v>2062</v>
      </c>
      <c r="C2926" s="196">
        <v>-5379820</v>
      </c>
      <c r="D2926" s="196">
        <v>0</v>
      </c>
      <c r="E2926" s="196">
        <v>366666</v>
      </c>
      <c r="F2926" s="196">
        <v>-366666</v>
      </c>
      <c r="G2926" s="196">
        <v>-5746486</v>
      </c>
    </row>
    <row r="2927" spans="1:7" x14ac:dyDescent="0.3">
      <c r="A2927" s="197">
        <v>251095</v>
      </c>
      <c r="B2927" s="191" t="s">
        <v>2345</v>
      </c>
      <c r="C2927" s="195">
        <v>326195369</v>
      </c>
      <c r="D2927" s="195">
        <v>0</v>
      </c>
      <c r="E2927" s="195">
        <v>0</v>
      </c>
      <c r="F2927" s="195">
        <v>0</v>
      </c>
      <c r="G2927" s="195">
        <v>326195369</v>
      </c>
    </row>
    <row r="2928" spans="1:7" x14ac:dyDescent="0.3">
      <c r="A2928" s="198">
        <v>25109501</v>
      </c>
      <c r="B2928" s="192" t="s">
        <v>2345</v>
      </c>
      <c r="C2928" s="196">
        <v>326195369</v>
      </c>
      <c r="D2928" s="196">
        <v>0</v>
      </c>
      <c r="E2928" s="196">
        <v>0</v>
      </c>
      <c r="F2928" s="196">
        <v>0</v>
      </c>
      <c r="G2928" s="196">
        <v>326195369</v>
      </c>
    </row>
    <row r="2929" spans="1:7" x14ac:dyDescent="0.3">
      <c r="A2929" s="198">
        <v>31948684</v>
      </c>
      <c r="B2929" s="192" t="s">
        <v>165</v>
      </c>
      <c r="C2929" s="196">
        <v>33740000</v>
      </c>
      <c r="D2929" s="196">
        <v>0</v>
      </c>
      <c r="E2929" s="196">
        <v>0</v>
      </c>
      <c r="F2929" s="196">
        <v>0</v>
      </c>
      <c r="G2929" s="196">
        <v>33740000</v>
      </c>
    </row>
    <row r="2930" spans="1:7" x14ac:dyDescent="0.3">
      <c r="A2930" s="198">
        <v>43685485</v>
      </c>
      <c r="B2930" s="192" t="s">
        <v>2028</v>
      </c>
      <c r="C2930" s="196">
        <v>916667</v>
      </c>
      <c r="D2930" s="196">
        <v>0</v>
      </c>
      <c r="E2930" s="196">
        <v>0</v>
      </c>
      <c r="F2930" s="196">
        <v>0</v>
      </c>
      <c r="G2930" s="196">
        <v>916667</v>
      </c>
    </row>
    <row r="2931" spans="1:7" x14ac:dyDescent="0.3">
      <c r="A2931" s="198">
        <v>32391236</v>
      </c>
      <c r="B2931" s="192" t="s">
        <v>2029</v>
      </c>
      <c r="C2931" s="196">
        <v>1100000</v>
      </c>
      <c r="D2931" s="196">
        <v>0</v>
      </c>
      <c r="E2931" s="196">
        <v>0</v>
      </c>
      <c r="F2931" s="196">
        <v>0</v>
      </c>
      <c r="G2931" s="196">
        <v>1100000</v>
      </c>
    </row>
    <row r="2932" spans="1:7" x14ac:dyDescent="0.3">
      <c r="A2932" s="198">
        <v>1037644962</v>
      </c>
      <c r="B2932" s="192" t="s">
        <v>260</v>
      </c>
      <c r="C2932" s="196">
        <v>1259291</v>
      </c>
      <c r="D2932" s="196">
        <v>0</v>
      </c>
      <c r="E2932" s="196">
        <v>0</v>
      </c>
      <c r="F2932" s="196">
        <v>0</v>
      </c>
      <c r="G2932" s="196">
        <v>1259291</v>
      </c>
    </row>
    <row r="2933" spans="1:7" x14ac:dyDescent="0.3">
      <c r="A2933" s="198">
        <v>1193166396</v>
      </c>
      <c r="B2933" s="192" t="s">
        <v>1625</v>
      </c>
      <c r="C2933" s="196">
        <v>11233139</v>
      </c>
      <c r="D2933" s="196">
        <v>0</v>
      </c>
      <c r="E2933" s="196">
        <v>0</v>
      </c>
      <c r="F2933" s="196">
        <v>0</v>
      </c>
      <c r="G2933" s="196">
        <v>11233139</v>
      </c>
    </row>
    <row r="2934" spans="1:7" x14ac:dyDescent="0.3">
      <c r="A2934" s="198">
        <v>1128393236</v>
      </c>
      <c r="B2934" s="192" t="s">
        <v>1703</v>
      </c>
      <c r="C2934" s="196">
        <v>551448</v>
      </c>
      <c r="D2934" s="196">
        <v>0</v>
      </c>
      <c r="E2934" s="196">
        <v>0</v>
      </c>
      <c r="F2934" s="196">
        <v>0</v>
      </c>
      <c r="G2934" s="196">
        <v>551448</v>
      </c>
    </row>
    <row r="2935" spans="1:7" x14ac:dyDescent="0.3">
      <c r="A2935" s="198">
        <v>1020423981</v>
      </c>
      <c r="B2935" s="192" t="s">
        <v>2030</v>
      </c>
      <c r="C2935" s="196">
        <v>6673616</v>
      </c>
      <c r="D2935" s="196">
        <v>0</v>
      </c>
      <c r="E2935" s="196">
        <v>0</v>
      </c>
      <c r="F2935" s="196">
        <v>0</v>
      </c>
      <c r="G2935" s="196">
        <v>6673616</v>
      </c>
    </row>
    <row r="2936" spans="1:7" x14ac:dyDescent="0.3">
      <c r="A2936" s="198">
        <v>1020489861</v>
      </c>
      <c r="B2936" s="192" t="s">
        <v>1704</v>
      </c>
      <c r="C2936" s="196">
        <v>2909637</v>
      </c>
      <c r="D2936" s="196">
        <v>0</v>
      </c>
      <c r="E2936" s="196">
        <v>0</v>
      </c>
      <c r="F2936" s="196">
        <v>0</v>
      </c>
      <c r="G2936" s="196">
        <v>2909637</v>
      </c>
    </row>
    <row r="2937" spans="1:7" x14ac:dyDescent="0.3">
      <c r="A2937" s="198">
        <v>1152689568</v>
      </c>
      <c r="B2937" s="192" t="s">
        <v>1705</v>
      </c>
      <c r="C2937" s="196">
        <v>8609025</v>
      </c>
      <c r="D2937" s="196">
        <v>0</v>
      </c>
      <c r="E2937" s="196">
        <v>0</v>
      </c>
      <c r="F2937" s="196">
        <v>0</v>
      </c>
      <c r="G2937" s="196">
        <v>8609025</v>
      </c>
    </row>
    <row r="2938" spans="1:7" x14ac:dyDescent="0.3">
      <c r="A2938" s="198">
        <v>1037266322</v>
      </c>
      <c r="B2938" s="192" t="s">
        <v>2031</v>
      </c>
      <c r="C2938" s="196">
        <v>1055322</v>
      </c>
      <c r="D2938" s="196">
        <v>0</v>
      </c>
      <c r="E2938" s="196">
        <v>0</v>
      </c>
      <c r="F2938" s="196">
        <v>0</v>
      </c>
      <c r="G2938" s="196">
        <v>1055322</v>
      </c>
    </row>
    <row r="2939" spans="1:7" x14ac:dyDescent="0.3">
      <c r="A2939" s="198">
        <v>32144343</v>
      </c>
      <c r="B2939" s="192" t="s">
        <v>1706</v>
      </c>
      <c r="C2939" s="196">
        <v>4297395</v>
      </c>
      <c r="D2939" s="196">
        <v>0</v>
      </c>
      <c r="E2939" s="196">
        <v>0</v>
      </c>
      <c r="F2939" s="196">
        <v>0</v>
      </c>
      <c r="G2939" s="196">
        <v>4297395</v>
      </c>
    </row>
    <row r="2940" spans="1:7" x14ac:dyDescent="0.3">
      <c r="A2940" s="198">
        <v>1037583982</v>
      </c>
      <c r="B2940" s="192" t="s">
        <v>1798</v>
      </c>
      <c r="C2940" s="196">
        <v>8543750</v>
      </c>
      <c r="D2940" s="196">
        <v>0</v>
      </c>
      <c r="E2940" s="196">
        <v>0</v>
      </c>
      <c r="F2940" s="196">
        <v>0</v>
      </c>
      <c r="G2940" s="196">
        <v>8543750</v>
      </c>
    </row>
    <row r="2941" spans="1:7" x14ac:dyDescent="0.3">
      <c r="A2941" s="198">
        <v>1017266622</v>
      </c>
      <c r="B2941" s="192" t="s">
        <v>1707</v>
      </c>
      <c r="C2941" s="196">
        <v>4099867</v>
      </c>
      <c r="D2941" s="196">
        <v>0</v>
      </c>
      <c r="E2941" s="196">
        <v>0</v>
      </c>
      <c r="F2941" s="196">
        <v>0</v>
      </c>
      <c r="G2941" s="196">
        <v>4099867</v>
      </c>
    </row>
    <row r="2942" spans="1:7" x14ac:dyDescent="0.3">
      <c r="A2942" s="198">
        <v>1041229735</v>
      </c>
      <c r="B2942" s="192" t="s">
        <v>2033</v>
      </c>
      <c r="C2942" s="196">
        <v>1851559</v>
      </c>
      <c r="D2942" s="196">
        <v>0</v>
      </c>
      <c r="E2942" s="196">
        <v>0</v>
      </c>
      <c r="F2942" s="196">
        <v>0</v>
      </c>
      <c r="G2942" s="196">
        <v>1851559</v>
      </c>
    </row>
    <row r="2943" spans="1:7" x14ac:dyDescent="0.3">
      <c r="A2943" s="198">
        <v>1036641303</v>
      </c>
      <c r="B2943" s="192" t="s">
        <v>2034</v>
      </c>
      <c r="C2943" s="196">
        <v>8213330</v>
      </c>
      <c r="D2943" s="196">
        <v>0</v>
      </c>
      <c r="E2943" s="196">
        <v>0</v>
      </c>
      <c r="F2943" s="196">
        <v>0</v>
      </c>
      <c r="G2943" s="196">
        <v>8213330</v>
      </c>
    </row>
    <row r="2944" spans="1:7" x14ac:dyDescent="0.3">
      <c r="A2944" s="198">
        <v>32865167</v>
      </c>
      <c r="B2944" s="192" t="s">
        <v>2071</v>
      </c>
      <c r="C2944" s="196">
        <v>1281051</v>
      </c>
      <c r="D2944" s="196">
        <v>0</v>
      </c>
      <c r="E2944" s="196">
        <v>0</v>
      </c>
      <c r="F2944" s="196">
        <v>0</v>
      </c>
      <c r="G2944" s="196">
        <v>1281051</v>
      </c>
    </row>
    <row r="2945" spans="1:7" x14ac:dyDescent="0.3">
      <c r="A2945" s="198">
        <v>1037570707</v>
      </c>
      <c r="B2945" s="192" t="s">
        <v>1677</v>
      </c>
      <c r="C2945" s="196">
        <v>12257900</v>
      </c>
      <c r="D2945" s="196">
        <v>0</v>
      </c>
      <c r="E2945" s="196">
        <v>0</v>
      </c>
      <c r="F2945" s="196">
        <v>0</v>
      </c>
      <c r="G2945" s="196">
        <v>12257900</v>
      </c>
    </row>
    <row r="2946" spans="1:7" x14ac:dyDescent="0.3">
      <c r="A2946" s="198">
        <v>43190602</v>
      </c>
      <c r="B2946" s="192" t="s">
        <v>1708</v>
      </c>
      <c r="C2946" s="196">
        <v>1796278</v>
      </c>
      <c r="D2946" s="196">
        <v>0</v>
      </c>
      <c r="E2946" s="196">
        <v>0</v>
      </c>
      <c r="F2946" s="196">
        <v>0</v>
      </c>
      <c r="G2946" s="196">
        <v>1796278</v>
      </c>
    </row>
    <row r="2947" spans="1:7" x14ac:dyDescent="0.3">
      <c r="A2947" s="198">
        <v>43113995</v>
      </c>
      <c r="B2947" s="192" t="s">
        <v>2324</v>
      </c>
      <c r="C2947" s="196">
        <v>506667</v>
      </c>
      <c r="D2947" s="196">
        <v>0</v>
      </c>
      <c r="E2947" s="196">
        <v>0</v>
      </c>
      <c r="F2947" s="196">
        <v>0</v>
      </c>
      <c r="G2947" s="196">
        <v>506667</v>
      </c>
    </row>
    <row r="2948" spans="1:7" x14ac:dyDescent="0.3">
      <c r="A2948" s="198">
        <v>3901013</v>
      </c>
      <c r="B2948" s="192" t="s">
        <v>1709</v>
      </c>
      <c r="C2948" s="196">
        <v>17582500</v>
      </c>
      <c r="D2948" s="196">
        <v>0</v>
      </c>
      <c r="E2948" s="196">
        <v>0</v>
      </c>
      <c r="F2948" s="196">
        <v>0</v>
      </c>
      <c r="G2948" s="196">
        <v>17582500</v>
      </c>
    </row>
    <row r="2949" spans="1:7" x14ac:dyDescent="0.3">
      <c r="A2949" s="198">
        <v>1216716838</v>
      </c>
      <c r="B2949" s="192" t="s">
        <v>2036</v>
      </c>
      <c r="C2949" s="196">
        <v>2008869</v>
      </c>
      <c r="D2949" s="196">
        <v>0</v>
      </c>
      <c r="E2949" s="196">
        <v>0</v>
      </c>
      <c r="F2949" s="196">
        <v>0</v>
      </c>
      <c r="G2949" s="196">
        <v>2008869</v>
      </c>
    </row>
    <row r="2950" spans="1:7" x14ac:dyDescent="0.3">
      <c r="A2950" s="198">
        <v>1152197675</v>
      </c>
      <c r="B2950" s="192" t="s">
        <v>2325</v>
      </c>
      <c r="C2950" s="196">
        <v>2555555</v>
      </c>
      <c r="D2950" s="196">
        <v>0</v>
      </c>
      <c r="E2950" s="196">
        <v>0</v>
      </c>
      <c r="F2950" s="196">
        <v>0</v>
      </c>
      <c r="G2950" s="196">
        <v>2555555</v>
      </c>
    </row>
    <row r="2951" spans="1:7" x14ac:dyDescent="0.3">
      <c r="A2951" s="198">
        <v>43605890</v>
      </c>
      <c r="B2951" s="192" t="s">
        <v>565</v>
      </c>
      <c r="C2951" s="196">
        <v>11531944</v>
      </c>
      <c r="D2951" s="196">
        <v>0</v>
      </c>
      <c r="E2951" s="196">
        <v>0</v>
      </c>
      <c r="F2951" s="196">
        <v>0</v>
      </c>
      <c r="G2951" s="196">
        <v>11531944</v>
      </c>
    </row>
    <row r="2952" spans="1:7" x14ac:dyDescent="0.3">
      <c r="A2952" s="198">
        <v>1007045790</v>
      </c>
      <c r="B2952" s="192" t="s">
        <v>2326</v>
      </c>
      <c r="C2952" s="196">
        <v>9560962</v>
      </c>
      <c r="D2952" s="196">
        <v>0</v>
      </c>
      <c r="E2952" s="196">
        <v>0</v>
      </c>
      <c r="F2952" s="196">
        <v>0</v>
      </c>
      <c r="G2952" s="196">
        <v>9560962</v>
      </c>
    </row>
    <row r="2953" spans="1:7" x14ac:dyDescent="0.3">
      <c r="A2953" s="198">
        <v>1036685923</v>
      </c>
      <c r="B2953" s="192" t="s">
        <v>1710</v>
      </c>
      <c r="C2953" s="196">
        <v>2000000</v>
      </c>
      <c r="D2953" s="196">
        <v>0</v>
      </c>
      <c r="E2953" s="196">
        <v>0</v>
      </c>
      <c r="F2953" s="196">
        <v>0</v>
      </c>
      <c r="G2953" s="196">
        <v>2000000</v>
      </c>
    </row>
    <row r="2954" spans="1:7" x14ac:dyDescent="0.3">
      <c r="A2954" s="198">
        <v>1020486802</v>
      </c>
      <c r="B2954" s="192" t="s">
        <v>2327</v>
      </c>
      <c r="C2954" s="196">
        <v>527800</v>
      </c>
      <c r="D2954" s="196">
        <v>0</v>
      </c>
      <c r="E2954" s="196">
        <v>0</v>
      </c>
      <c r="F2954" s="196">
        <v>0</v>
      </c>
      <c r="G2954" s="196">
        <v>527800</v>
      </c>
    </row>
    <row r="2955" spans="1:7" x14ac:dyDescent="0.3">
      <c r="A2955" s="198">
        <v>32108182</v>
      </c>
      <c r="B2955" s="192" t="s">
        <v>2076</v>
      </c>
      <c r="C2955" s="196">
        <v>459560</v>
      </c>
      <c r="D2955" s="196">
        <v>0</v>
      </c>
      <c r="E2955" s="196">
        <v>0</v>
      </c>
      <c r="F2955" s="196">
        <v>0</v>
      </c>
      <c r="G2955" s="196">
        <v>459560</v>
      </c>
    </row>
    <row r="2956" spans="1:7" x14ac:dyDescent="0.3">
      <c r="A2956" s="198">
        <v>71526513</v>
      </c>
      <c r="B2956" s="192" t="s">
        <v>1643</v>
      </c>
      <c r="C2956" s="196">
        <v>8022847</v>
      </c>
      <c r="D2956" s="196">
        <v>0</v>
      </c>
      <c r="E2956" s="196">
        <v>0</v>
      </c>
      <c r="F2956" s="196">
        <v>0</v>
      </c>
      <c r="G2956" s="196">
        <v>8022847</v>
      </c>
    </row>
    <row r="2957" spans="1:7" x14ac:dyDescent="0.3">
      <c r="A2957" s="198">
        <v>9977388</v>
      </c>
      <c r="B2957" s="192" t="s">
        <v>2328</v>
      </c>
      <c r="C2957" s="196">
        <v>12651111</v>
      </c>
      <c r="D2957" s="196">
        <v>0</v>
      </c>
      <c r="E2957" s="196">
        <v>0</v>
      </c>
      <c r="F2957" s="196">
        <v>0</v>
      </c>
      <c r="G2957" s="196">
        <v>12651111</v>
      </c>
    </row>
    <row r="2958" spans="1:7" x14ac:dyDescent="0.3">
      <c r="A2958" s="198">
        <v>1042458852</v>
      </c>
      <c r="B2958" s="192" t="s">
        <v>1711</v>
      </c>
      <c r="C2958" s="196">
        <v>8805000</v>
      </c>
      <c r="D2958" s="196">
        <v>0</v>
      </c>
      <c r="E2958" s="196">
        <v>0</v>
      </c>
      <c r="F2958" s="196">
        <v>0</v>
      </c>
      <c r="G2958" s="196">
        <v>8805000</v>
      </c>
    </row>
    <row r="2959" spans="1:7" x14ac:dyDescent="0.3">
      <c r="A2959" s="198">
        <v>1017194194</v>
      </c>
      <c r="B2959" s="192" t="s">
        <v>2157</v>
      </c>
      <c r="C2959" s="196">
        <v>7714742</v>
      </c>
      <c r="D2959" s="196">
        <v>0</v>
      </c>
      <c r="E2959" s="196">
        <v>0</v>
      </c>
      <c r="F2959" s="196">
        <v>0</v>
      </c>
      <c r="G2959" s="196">
        <v>7714742</v>
      </c>
    </row>
    <row r="2960" spans="1:7" x14ac:dyDescent="0.3">
      <c r="A2960" s="198">
        <v>1020426876</v>
      </c>
      <c r="B2960" s="192" t="s">
        <v>2329</v>
      </c>
      <c r="C2960" s="196">
        <v>2779733</v>
      </c>
      <c r="D2960" s="196">
        <v>0</v>
      </c>
      <c r="E2960" s="196">
        <v>0</v>
      </c>
      <c r="F2960" s="196">
        <v>0</v>
      </c>
      <c r="G2960" s="196">
        <v>2779733</v>
      </c>
    </row>
    <row r="2961" spans="1:7" x14ac:dyDescent="0.3">
      <c r="A2961" s="198">
        <v>1126423558</v>
      </c>
      <c r="B2961" s="192" t="s">
        <v>2159</v>
      </c>
      <c r="C2961" s="196">
        <v>3809620</v>
      </c>
      <c r="D2961" s="196">
        <v>0</v>
      </c>
      <c r="E2961" s="196">
        <v>0</v>
      </c>
      <c r="F2961" s="196">
        <v>0</v>
      </c>
      <c r="G2961" s="196">
        <v>3809620</v>
      </c>
    </row>
    <row r="2962" spans="1:7" x14ac:dyDescent="0.3">
      <c r="A2962" s="198">
        <v>1093744869</v>
      </c>
      <c r="B2962" s="192" t="s">
        <v>1906</v>
      </c>
      <c r="C2962" s="196">
        <v>5126033</v>
      </c>
      <c r="D2962" s="196">
        <v>0</v>
      </c>
      <c r="E2962" s="196">
        <v>0</v>
      </c>
      <c r="F2962" s="196">
        <v>0</v>
      </c>
      <c r="G2962" s="196">
        <v>5126033</v>
      </c>
    </row>
    <row r="2963" spans="1:7" x14ac:dyDescent="0.3">
      <c r="A2963" s="198">
        <v>1007551247</v>
      </c>
      <c r="B2963" s="192" t="s">
        <v>1712</v>
      </c>
      <c r="C2963" s="196">
        <v>7283670</v>
      </c>
      <c r="D2963" s="196">
        <v>0</v>
      </c>
      <c r="E2963" s="196">
        <v>0</v>
      </c>
      <c r="F2963" s="196">
        <v>0</v>
      </c>
      <c r="G2963" s="196">
        <v>7283670</v>
      </c>
    </row>
    <row r="2964" spans="1:7" x14ac:dyDescent="0.3">
      <c r="A2964" s="198">
        <v>1036679554</v>
      </c>
      <c r="B2964" s="192" t="s">
        <v>2064</v>
      </c>
      <c r="C2964" s="196">
        <v>3068574</v>
      </c>
      <c r="D2964" s="196">
        <v>0</v>
      </c>
      <c r="E2964" s="196">
        <v>0</v>
      </c>
      <c r="F2964" s="196">
        <v>0</v>
      </c>
      <c r="G2964" s="196">
        <v>3068574</v>
      </c>
    </row>
    <row r="2965" spans="1:7" x14ac:dyDescent="0.3">
      <c r="A2965" s="198">
        <v>71222364</v>
      </c>
      <c r="B2965" s="192" t="s">
        <v>2330</v>
      </c>
      <c r="C2965" s="196">
        <v>1222222</v>
      </c>
      <c r="D2965" s="196">
        <v>0</v>
      </c>
      <c r="E2965" s="196">
        <v>0</v>
      </c>
      <c r="F2965" s="196">
        <v>0</v>
      </c>
      <c r="G2965" s="196">
        <v>1222222</v>
      </c>
    </row>
    <row r="2966" spans="1:7" x14ac:dyDescent="0.3">
      <c r="A2966" s="198">
        <v>1127953609</v>
      </c>
      <c r="B2966" s="192" t="s">
        <v>2038</v>
      </c>
      <c r="C2966" s="196">
        <v>984775</v>
      </c>
      <c r="D2966" s="196">
        <v>0</v>
      </c>
      <c r="E2966" s="196">
        <v>0</v>
      </c>
      <c r="F2966" s="196">
        <v>0</v>
      </c>
      <c r="G2966" s="196">
        <v>984775</v>
      </c>
    </row>
    <row r="2967" spans="1:7" x14ac:dyDescent="0.3">
      <c r="A2967" s="198">
        <v>1152440998</v>
      </c>
      <c r="B2967" s="192" t="s">
        <v>2039</v>
      </c>
      <c r="C2967" s="196">
        <v>1906667</v>
      </c>
      <c r="D2967" s="196">
        <v>0</v>
      </c>
      <c r="E2967" s="196">
        <v>0</v>
      </c>
      <c r="F2967" s="196">
        <v>0</v>
      </c>
      <c r="G2967" s="196">
        <v>1906667</v>
      </c>
    </row>
    <row r="2968" spans="1:7" x14ac:dyDescent="0.3">
      <c r="A2968" s="198">
        <v>1216723387</v>
      </c>
      <c r="B2968" s="192" t="s">
        <v>1713</v>
      </c>
      <c r="C2968" s="196">
        <v>7039566</v>
      </c>
      <c r="D2968" s="196">
        <v>0</v>
      </c>
      <c r="E2968" s="196">
        <v>0</v>
      </c>
      <c r="F2968" s="196">
        <v>0</v>
      </c>
      <c r="G2968" s="196">
        <v>7039566</v>
      </c>
    </row>
    <row r="2969" spans="1:7" x14ac:dyDescent="0.3">
      <c r="A2969" s="198">
        <v>1037589764</v>
      </c>
      <c r="B2969" s="192" t="s">
        <v>2331</v>
      </c>
      <c r="C2969" s="196">
        <v>2597666</v>
      </c>
      <c r="D2969" s="196">
        <v>0</v>
      </c>
      <c r="E2969" s="196">
        <v>0</v>
      </c>
      <c r="F2969" s="196">
        <v>0</v>
      </c>
      <c r="G2969" s="196">
        <v>2597666</v>
      </c>
    </row>
    <row r="2970" spans="1:7" x14ac:dyDescent="0.3">
      <c r="A2970" s="198">
        <v>1040752245</v>
      </c>
      <c r="B2970" s="192" t="s">
        <v>1678</v>
      </c>
      <c r="C2970" s="196">
        <v>2432820</v>
      </c>
      <c r="D2970" s="196">
        <v>0</v>
      </c>
      <c r="E2970" s="196">
        <v>0</v>
      </c>
      <c r="F2970" s="196">
        <v>0</v>
      </c>
      <c r="G2970" s="196">
        <v>2432820</v>
      </c>
    </row>
    <row r="2971" spans="1:7" x14ac:dyDescent="0.3">
      <c r="A2971" s="198">
        <v>1036677041</v>
      </c>
      <c r="B2971" s="192" t="s">
        <v>2332</v>
      </c>
      <c r="C2971" s="196">
        <v>1639310</v>
      </c>
      <c r="D2971" s="196">
        <v>0</v>
      </c>
      <c r="E2971" s="196">
        <v>0</v>
      </c>
      <c r="F2971" s="196">
        <v>0</v>
      </c>
      <c r="G2971" s="196">
        <v>1639310</v>
      </c>
    </row>
    <row r="2972" spans="1:7" x14ac:dyDescent="0.3">
      <c r="A2972" s="198">
        <v>1037636353</v>
      </c>
      <c r="B2972" s="192" t="s">
        <v>2042</v>
      </c>
      <c r="C2972" s="196">
        <v>1590876</v>
      </c>
      <c r="D2972" s="196">
        <v>0</v>
      </c>
      <c r="E2972" s="196">
        <v>0</v>
      </c>
      <c r="F2972" s="196">
        <v>0</v>
      </c>
      <c r="G2972" s="196">
        <v>1590876</v>
      </c>
    </row>
    <row r="2973" spans="1:7" x14ac:dyDescent="0.3">
      <c r="A2973" s="198">
        <v>1038418006</v>
      </c>
      <c r="B2973" s="192" t="s">
        <v>2333</v>
      </c>
      <c r="C2973" s="196">
        <v>725483</v>
      </c>
      <c r="D2973" s="196">
        <v>0</v>
      </c>
      <c r="E2973" s="196">
        <v>0</v>
      </c>
      <c r="F2973" s="196">
        <v>0</v>
      </c>
      <c r="G2973" s="196">
        <v>725483</v>
      </c>
    </row>
    <row r="2974" spans="1:7" x14ac:dyDescent="0.3">
      <c r="A2974" s="198">
        <v>6549128</v>
      </c>
      <c r="B2974" s="192" t="s">
        <v>2043</v>
      </c>
      <c r="C2974" s="196">
        <v>2500000</v>
      </c>
      <c r="D2974" s="196">
        <v>0</v>
      </c>
      <c r="E2974" s="196">
        <v>0</v>
      </c>
      <c r="F2974" s="196">
        <v>0</v>
      </c>
      <c r="G2974" s="196">
        <v>2500000</v>
      </c>
    </row>
    <row r="2975" spans="1:7" x14ac:dyDescent="0.3">
      <c r="A2975" s="198">
        <v>32296772</v>
      </c>
      <c r="B2975" s="192" t="s">
        <v>2334</v>
      </c>
      <c r="C2975" s="196">
        <v>164897</v>
      </c>
      <c r="D2975" s="196">
        <v>0</v>
      </c>
      <c r="E2975" s="196">
        <v>0</v>
      </c>
      <c r="F2975" s="196">
        <v>0</v>
      </c>
      <c r="G2975" s="196">
        <v>164897</v>
      </c>
    </row>
    <row r="2976" spans="1:7" x14ac:dyDescent="0.3">
      <c r="A2976" s="198">
        <v>1128385262</v>
      </c>
      <c r="B2976" s="192" t="s">
        <v>1714</v>
      </c>
      <c r="C2976" s="196">
        <v>1170890</v>
      </c>
      <c r="D2976" s="196">
        <v>0</v>
      </c>
      <c r="E2976" s="196">
        <v>0</v>
      </c>
      <c r="F2976" s="196">
        <v>0</v>
      </c>
      <c r="G2976" s="196">
        <v>1170890</v>
      </c>
    </row>
    <row r="2977" spans="1:7" x14ac:dyDescent="0.3">
      <c r="A2977" s="198">
        <v>1020490983</v>
      </c>
      <c r="B2977" s="192" t="s">
        <v>2335</v>
      </c>
      <c r="C2977" s="196">
        <v>1193833</v>
      </c>
      <c r="D2977" s="196">
        <v>0</v>
      </c>
      <c r="E2977" s="196">
        <v>0</v>
      </c>
      <c r="F2977" s="196">
        <v>0</v>
      </c>
      <c r="G2977" s="196">
        <v>1193833</v>
      </c>
    </row>
    <row r="2978" spans="1:7" x14ac:dyDescent="0.3">
      <c r="A2978" s="198">
        <v>1000646763</v>
      </c>
      <c r="B2978" s="192" t="s">
        <v>2044</v>
      </c>
      <c r="C2978" s="196">
        <v>3947762</v>
      </c>
      <c r="D2978" s="196">
        <v>0</v>
      </c>
      <c r="E2978" s="196">
        <v>0</v>
      </c>
      <c r="F2978" s="196">
        <v>0</v>
      </c>
      <c r="G2978" s="196">
        <v>3947762</v>
      </c>
    </row>
    <row r="2979" spans="1:7" x14ac:dyDescent="0.3">
      <c r="A2979" s="198">
        <v>1039464277</v>
      </c>
      <c r="B2979" s="192" t="s">
        <v>2336</v>
      </c>
      <c r="C2979" s="196">
        <v>326733</v>
      </c>
      <c r="D2979" s="196">
        <v>0</v>
      </c>
      <c r="E2979" s="196">
        <v>0</v>
      </c>
      <c r="F2979" s="196">
        <v>0</v>
      </c>
      <c r="G2979" s="196">
        <v>326733</v>
      </c>
    </row>
    <row r="2980" spans="1:7" x14ac:dyDescent="0.3">
      <c r="A2980" s="198">
        <v>32554996</v>
      </c>
      <c r="B2980" s="192" t="s">
        <v>2045</v>
      </c>
      <c r="C2980" s="196">
        <v>44444</v>
      </c>
      <c r="D2980" s="196">
        <v>0</v>
      </c>
      <c r="E2980" s="196">
        <v>0</v>
      </c>
      <c r="F2980" s="196">
        <v>0</v>
      </c>
      <c r="G2980" s="196">
        <v>44444</v>
      </c>
    </row>
    <row r="2981" spans="1:7" x14ac:dyDescent="0.3">
      <c r="A2981" s="198">
        <v>1035858442</v>
      </c>
      <c r="B2981" s="192" t="s">
        <v>1927</v>
      </c>
      <c r="C2981" s="196">
        <v>7449110</v>
      </c>
      <c r="D2981" s="196">
        <v>0</v>
      </c>
      <c r="E2981" s="196">
        <v>0</v>
      </c>
      <c r="F2981" s="196">
        <v>0</v>
      </c>
      <c r="G2981" s="196">
        <v>7449110</v>
      </c>
    </row>
    <row r="2982" spans="1:7" x14ac:dyDescent="0.3">
      <c r="A2982" s="198">
        <v>1020488916</v>
      </c>
      <c r="B2982" s="192" t="s">
        <v>2337</v>
      </c>
      <c r="C2982" s="196">
        <v>1258356</v>
      </c>
      <c r="D2982" s="196">
        <v>0</v>
      </c>
      <c r="E2982" s="196">
        <v>0</v>
      </c>
      <c r="F2982" s="196">
        <v>0</v>
      </c>
      <c r="G2982" s="196">
        <v>1258356</v>
      </c>
    </row>
    <row r="2983" spans="1:7" x14ac:dyDescent="0.3">
      <c r="A2983" s="198">
        <v>1127941774</v>
      </c>
      <c r="B2983" s="192" t="s">
        <v>2338</v>
      </c>
      <c r="C2983" s="196">
        <v>1687500</v>
      </c>
      <c r="D2983" s="196">
        <v>0</v>
      </c>
      <c r="E2983" s="196">
        <v>0</v>
      </c>
      <c r="F2983" s="196">
        <v>0</v>
      </c>
      <c r="G2983" s="196">
        <v>1687500</v>
      </c>
    </row>
    <row r="2984" spans="1:7" x14ac:dyDescent="0.3">
      <c r="A2984" s="198">
        <v>1036639954</v>
      </c>
      <c r="B2984" s="192" t="s">
        <v>2047</v>
      </c>
      <c r="C2984" s="196">
        <v>265883</v>
      </c>
      <c r="D2984" s="196">
        <v>0</v>
      </c>
      <c r="E2984" s="196">
        <v>0</v>
      </c>
      <c r="F2984" s="196">
        <v>0</v>
      </c>
      <c r="G2984" s="196">
        <v>265883</v>
      </c>
    </row>
    <row r="2985" spans="1:7" x14ac:dyDescent="0.3">
      <c r="A2985" s="198">
        <v>43843451</v>
      </c>
      <c r="B2985" s="192" t="s">
        <v>2048</v>
      </c>
      <c r="C2985" s="196">
        <v>10056222</v>
      </c>
      <c r="D2985" s="196">
        <v>0</v>
      </c>
      <c r="E2985" s="196">
        <v>0</v>
      </c>
      <c r="F2985" s="196">
        <v>0</v>
      </c>
      <c r="G2985" s="196">
        <v>10056222</v>
      </c>
    </row>
    <row r="2986" spans="1:7" x14ac:dyDescent="0.3">
      <c r="A2986" s="198">
        <v>39355612</v>
      </c>
      <c r="B2986" s="192" t="s">
        <v>2077</v>
      </c>
      <c r="C2986" s="196">
        <v>2358516</v>
      </c>
      <c r="D2986" s="196">
        <v>0</v>
      </c>
      <c r="E2986" s="196">
        <v>0</v>
      </c>
      <c r="F2986" s="196">
        <v>0</v>
      </c>
      <c r="G2986" s="196">
        <v>2358516</v>
      </c>
    </row>
    <row r="2987" spans="1:7" x14ac:dyDescent="0.3">
      <c r="A2987" s="198">
        <v>98522586</v>
      </c>
      <c r="B2987" s="192" t="s">
        <v>2339</v>
      </c>
      <c r="C2987" s="196">
        <v>226111</v>
      </c>
      <c r="D2987" s="196">
        <v>0</v>
      </c>
      <c r="E2987" s="196">
        <v>0</v>
      </c>
      <c r="F2987" s="196">
        <v>0</v>
      </c>
      <c r="G2987" s="196">
        <v>226111</v>
      </c>
    </row>
    <row r="2988" spans="1:7" x14ac:dyDescent="0.3">
      <c r="A2988" s="198">
        <v>1027740123</v>
      </c>
      <c r="B2988" s="192" t="s">
        <v>1928</v>
      </c>
      <c r="C2988" s="196">
        <v>2017553</v>
      </c>
      <c r="D2988" s="196">
        <v>0</v>
      </c>
      <c r="E2988" s="196">
        <v>0</v>
      </c>
      <c r="F2988" s="196">
        <v>0</v>
      </c>
      <c r="G2988" s="196">
        <v>2017553</v>
      </c>
    </row>
    <row r="2989" spans="1:7" x14ac:dyDescent="0.3">
      <c r="A2989" s="198">
        <v>43256222</v>
      </c>
      <c r="B2989" s="192" t="s">
        <v>2049</v>
      </c>
      <c r="C2989" s="196">
        <v>2097667</v>
      </c>
      <c r="D2989" s="196">
        <v>0</v>
      </c>
      <c r="E2989" s="196">
        <v>0</v>
      </c>
      <c r="F2989" s="196">
        <v>0</v>
      </c>
      <c r="G2989" s="196">
        <v>2097667</v>
      </c>
    </row>
    <row r="2990" spans="1:7" x14ac:dyDescent="0.3">
      <c r="A2990" s="198">
        <v>1017284611</v>
      </c>
      <c r="B2990" s="192" t="s">
        <v>1715</v>
      </c>
      <c r="C2990" s="196">
        <v>3230985</v>
      </c>
      <c r="D2990" s="196">
        <v>0</v>
      </c>
      <c r="E2990" s="196">
        <v>0</v>
      </c>
      <c r="F2990" s="196">
        <v>0</v>
      </c>
      <c r="G2990" s="196">
        <v>3230985</v>
      </c>
    </row>
    <row r="2991" spans="1:7" x14ac:dyDescent="0.3">
      <c r="A2991" s="198">
        <v>1214732908</v>
      </c>
      <c r="B2991" s="192" t="s">
        <v>1263</v>
      </c>
      <c r="C2991" s="196">
        <v>2155428</v>
      </c>
      <c r="D2991" s="196">
        <v>0</v>
      </c>
      <c r="E2991" s="196">
        <v>0</v>
      </c>
      <c r="F2991" s="196">
        <v>0</v>
      </c>
      <c r="G2991" s="196">
        <v>2155428</v>
      </c>
    </row>
    <row r="2992" spans="1:7" x14ac:dyDescent="0.3">
      <c r="A2992" s="198">
        <v>574816</v>
      </c>
      <c r="B2992" s="192" t="s">
        <v>2078</v>
      </c>
      <c r="C2992" s="196">
        <v>6357515</v>
      </c>
      <c r="D2992" s="196">
        <v>0</v>
      </c>
      <c r="E2992" s="196">
        <v>0</v>
      </c>
      <c r="F2992" s="196">
        <v>0</v>
      </c>
      <c r="G2992" s="196">
        <v>6357515</v>
      </c>
    </row>
    <row r="2993" spans="1:7" x14ac:dyDescent="0.3">
      <c r="A2993" s="198">
        <v>1214732527</v>
      </c>
      <c r="B2993" s="192" t="s">
        <v>1983</v>
      </c>
      <c r="C2993" s="196">
        <v>7790812</v>
      </c>
      <c r="D2993" s="196">
        <v>0</v>
      </c>
      <c r="E2993" s="196">
        <v>0</v>
      </c>
      <c r="F2993" s="196">
        <v>0</v>
      </c>
      <c r="G2993" s="196">
        <v>7790812</v>
      </c>
    </row>
    <row r="2994" spans="1:7" x14ac:dyDescent="0.3">
      <c r="A2994" s="198">
        <v>43550437</v>
      </c>
      <c r="B2994" s="192" t="s">
        <v>1936</v>
      </c>
      <c r="C2994" s="196">
        <v>1822774</v>
      </c>
      <c r="D2994" s="196">
        <v>0</v>
      </c>
      <c r="E2994" s="196">
        <v>0</v>
      </c>
      <c r="F2994" s="196">
        <v>0</v>
      </c>
      <c r="G2994" s="196">
        <v>1822774</v>
      </c>
    </row>
    <row r="2995" spans="1:7" x14ac:dyDescent="0.3">
      <c r="A2995" s="198">
        <v>43597511</v>
      </c>
      <c r="B2995" s="192" t="s">
        <v>2051</v>
      </c>
      <c r="C2995" s="196">
        <v>1377126</v>
      </c>
      <c r="D2995" s="196">
        <v>0</v>
      </c>
      <c r="E2995" s="196">
        <v>0</v>
      </c>
      <c r="F2995" s="196">
        <v>0</v>
      </c>
      <c r="G2995" s="196">
        <v>1377126</v>
      </c>
    </row>
    <row r="2996" spans="1:7" x14ac:dyDescent="0.3">
      <c r="A2996" s="198">
        <v>71212982</v>
      </c>
      <c r="B2996" s="192" t="s">
        <v>2341</v>
      </c>
      <c r="C2996" s="196">
        <v>2477778</v>
      </c>
      <c r="D2996" s="196">
        <v>0</v>
      </c>
      <c r="E2996" s="196">
        <v>0</v>
      </c>
      <c r="F2996" s="196">
        <v>0</v>
      </c>
      <c r="G2996" s="196">
        <v>2477778</v>
      </c>
    </row>
    <row r="2997" spans="1:7" x14ac:dyDescent="0.3">
      <c r="A2997" s="198">
        <v>1126429974</v>
      </c>
      <c r="B2997" s="192" t="s">
        <v>2342</v>
      </c>
      <c r="C2997" s="196">
        <v>259452</v>
      </c>
      <c r="D2997" s="196">
        <v>0</v>
      </c>
      <c r="E2997" s="196">
        <v>0</v>
      </c>
      <c r="F2997" s="196">
        <v>0</v>
      </c>
      <c r="G2997" s="196">
        <v>259452</v>
      </c>
    </row>
    <row r="2998" spans="1:7" x14ac:dyDescent="0.3">
      <c r="A2998" s="198">
        <v>809106</v>
      </c>
      <c r="B2998" s="192" t="s">
        <v>1680</v>
      </c>
      <c r="C2998" s="196">
        <v>1683630</v>
      </c>
      <c r="D2998" s="196">
        <v>0</v>
      </c>
      <c r="E2998" s="196">
        <v>0</v>
      </c>
      <c r="F2998" s="196">
        <v>0</v>
      </c>
      <c r="G2998" s="196">
        <v>1683630</v>
      </c>
    </row>
    <row r="2999" spans="1:7" x14ac:dyDescent="0.3">
      <c r="A2999" s="198">
        <v>1028042115</v>
      </c>
      <c r="B2999" s="192" t="s">
        <v>2067</v>
      </c>
      <c r="C2999" s="196">
        <v>557498</v>
      </c>
      <c r="D2999" s="196">
        <v>0</v>
      </c>
      <c r="E2999" s="196">
        <v>0</v>
      </c>
      <c r="F2999" s="196">
        <v>0</v>
      </c>
      <c r="G2999" s="196">
        <v>557498</v>
      </c>
    </row>
    <row r="3000" spans="1:7" x14ac:dyDescent="0.3">
      <c r="A3000" s="198">
        <v>1035854432</v>
      </c>
      <c r="B3000" s="192" t="s">
        <v>2054</v>
      </c>
      <c r="C3000" s="196">
        <v>895833</v>
      </c>
      <c r="D3000" s="196">
        <v>0</v>
      </c>
      <c r="E3000" s="196">
        <v>0</v>
      </c>
      <c r="F3000" s="196">
        <v>0</v>
      </c>
      <c r="G3000" s="196">
        <v>895833</v>
      </c>
    </row>
    <row r="3001" spans="1:7" x14ac:dyDescent="0.3">
      <c r="A3001" s="198">
        <v>1020420887</v>
      </c>
      <c r="B3001" s="192" t="s">
        <v>2343</v>
      </c>
      <c r="C3001" s="196">
        <v>1932694</v>
      </c>
      <c r="D3001" s="196">
        <v>0</v>
      </c>
      <c r="E3001" s="196">
        <v>0</v>
      </c>
      <c r="F3001" s="196">
        <v>0</v>
      </c>
      <c r="G3001" s="196">
        <v>1932694</v>
      </c>
    </row>
    <row r="3002" spans="1:7" x14ac:dyDescent="0.3">
      <c r="A3002" s="198">
        <v>1040748779</v>
      </c>
      <c r="B3002" s="192" t="s">
        <v>2055</v>
      </c>
      <c r="C3002" s="196">
        <v>5421309</v>
      </c>
      <c r="D3002" s="196">
        <v>0</v>
      </c>
      <c r="E3002" s="196">
        <v>0</v>
      </c>
      <c r="F3002" s="196">
        <v>0</v>
      </c>
      <c r="G3002" s="196">
        <v>5421309</v>
      </c>
    </row>
    <row r="3003" spans="1:7" x14ac:dyDescent="0.3">
      <c r="A3003" s="198">
        <v>1152207950</v>
      </c>
      <c r="B3003" s="192" t="s">
        <v>2056</v>
      </c>
      <c r="C3003" s="196">
        <v>953333</v>
      </c>
      <c r="D3003" s="196">
        <v>0</v>
      </c>
      <c r="E3003" s="196">
        <v>0</v>
      </c>
      <c r="F3003" s="196">
        <v>0</v>
      </c>
      <c r="G3003" s="196">
        <v>953333</v>
      </c>
    </row>
    <row r="3004" spans="1:7" x14ac:dyDescent="0.3">
      <c r="A3004" s="198">
        <v>1001764247</v>
      </c>
      <c r="B3004" s="192" t="s">
        <v>2057</v>
      </c>
      <c r="C3004" s="196">
        <v>9111711</v>
      </c>
      <c r="D3004" s="196">
        <v>0</v>
      </c>
      <c r="E3004" s="196">
        <v>0</v>
      </c>
      <c r="F3004" s="196">
        <v>0</v>
      </c>
      <c r="G3004" s="196">
        <v>9111711</v>
      </c>
    </row>
    <row r="3005" spans="1:7" x14ac:dyDescent="0.3">
      <c r="A3005" s="198">
        <v>1000639361</v>
      </c>
      <c r="B3005" s="192" t="s">
        <v>2058</v>
      </c>
      <c r="C3005" s="196">
        <v>2609581</v>
      </c>
      <c r="D3005" s="196">
        <v>0</v>
      </c>
      <c r="E3005" s="196">
        <v>0</v>
      </c>
      <c r="F3005" s="196">
        <v>0</v>
      </c>
      <c r="G3005" s="196">
        <v>2609581</v>
      </c>
    </row>
    <row r="3006" spans="1:7" x14ac:dyDescent="0.3">
      <c r="A3006" s="198">
        <v>32299587</v>
      </c>
      <c r="B3006" s="192" t="s">
        <v>2060</v>
      </c>
      <c r="C3006" s="196">
        <v>1090808</v>
      </c>
      <c r="D3006" s="196">
        <v>0</v>
      </c>
      <c r="E3006" s="196">
        <v>0</v>
      </c>
      <c r="F3006" s="196">
        <v>0</v>
      </c>
      <c r="G3006" s="196">
        <v>1090808</v>
      </c>
    </row>
    <row r="3007" spans="1:7" x14ac:dyDescent="0.3">
      <c r="A3007" s="198">
        <v>1001510696</v>
      </c>
      <c r="B3007" s="192" t="s">
        <v>2062</v>
      </c>
      <c r="C3007" s="196">
        <v>3177778</v>
      </c>
      <c r="D3007" s="196">
        <v>0</v>
      </c>
      <c r="E3007" s="196">
        <v>0</v>
      </c>
      <c r="F3007" s="196">
        <v>0</v>
      </c>
      <c r="G3007" s="196">
        <v>3177778</v>
      </c>
    </row>
    <row r="3008" spans="1:7" x14ac:dyDescent="0.3">
      <c r="A3008" s="197">
        <v>2515</v>
      </c>
      <c r="B3008" s="191" t="s">
        <v>2346</v>
      </c>
      <c r="C3008" s="195">
        <v>-4667099</v>
      </c>
      <c r="D3008" s="195">
        <v>0</v>
      </c>
      <c r="E3008" s="195">
        <v>1812292</v>
      </c>
      <c r="F3008" s="195">
        <v>-1812292</v>
      </c>
      <c r="G3008" s="195">
        <v>-6479391</v>
      </c>
    </row>
    <row r="3009" spans="1:7" x14ac:dyDescent="0.3">
      <c r="A3009" s="197">
        <v>251510</v>
      </c>
      <c r="B3009" s="191" t="s">
        <v>2346</v>
      </c>
      <c r="C3009" s="195">
        <v>-38262830</v>
      </c>
      <c r="D3009" s="195">
        <v>0</v>
      </c>
      <c r="E3009" s="195">
        <v>1812292</v>
      </c>
      <c r="F3009" s="195">
        <v>-1812292</v>
      </c>
      <c r="G3009" s="195">
        <v>-40075122</v>
      </c>
    </row>
    <row r="3010" spans="1:7" x14ac:dyDescent="0.3">
      <c r="A3010" s="198">
        <v>25151001</v>
      </c>
      <c r="B3010" s="192" t="s">
        <v>2346</v>
      </c>
      <c r="C3010" s="196">
        <v>-38262830</v>
      </c>
      <c r="D3010" s="196">
        <v>0</v>
      </c>
      <c r="E3010" s="196">
        <v>1812292</v>
      </c>
      <c r="F3010" s="196">
        <v>-1812292</v>
      </c>
      <c r="G3010" s="196">
        <v>-40075122</v>
      </c>
    </row>
    <row r="3011" spans="1:7" x14ac:dyDescent="0.3">
      <c r="A3011" s="198">
        <v>31948684</v>
      </c>
      <c r="B3011" s="192" t="s">
        <v>165</v>
      </c>
      <c r="C3011" s="196">
        <v>-4408800</v>
      </c>
      <c r="D3011" s="196">
        <v>0</v>
      </c>
      <c r="E3011" s="196">
        <v>130000</v>
      </c>
      <c r="F3011" s="196">
        <v>-130000</v>
      </c>
      <c r="G3011" s="196">
        <v>-4538800</v>
      </c>
    </row>
    <row r="3012" spans="1:7" x14ac:dyDescent="0.3">
      <c r="A3012" s="198">
        <v>43685485</v>
      </c>
      <c r="B3012" s="192" t="s">
        <v>2028</v>
      </c>
      <c r="C3012" s="196">
        <v>-33611</v>
      </c>
      <c r="D3012" s="196">
        <v>0</v>
      </c>
      <c r="E3012" s="196">
        <v>0</v>
      </c>
      <c r="F3012" s="196">
        <v>0</v>
      </c>
      <c r="G3012" s="196">
        <v>-33611</v>
      </c>
    </row>
    <row r="3013" spans="1:7" x14ac:dyDescent="0.3">
      <c r="A3013" s="198">
        <v>32391236</v>
      </c>
      <c r="B3013" s="192" t="s">
        <v>2029</v>
      </c>
      <c r="C3013" s="196">
        <v>-133473</v>
      </c>
      <c r="D3013" s="196">
        <v>0</v>
      </c>
      <c r="E3013" s="196">
        <v>24365</v>
      </c>
      <c r="F3013" s="196">
        <v>-24365</v>
      </c>
      <c r="G3013" s="196">
        <v>-157838</v>
      </c>
    </row>
    <row r="3014" spans="1:7" x14ac:dyDescent="0.3">
      <c r="A3014" s="198">
        <v>1037644962</v>
      </c>
      <c r="B3014" s="192" t="s">
        <v>260</v>
      </c>
      <c r="C3014" s="196">
        <v>-178577</v>
      </c>
      <c r="D3014" s="196">
        <v>0</v>
      </c>
      <c r="E3014" s="196">
        <v>34873</v>
      </c>
      <c r="F3014" s="196">
        <v>-34873</v>
      </c>
      <c r="G3014" s="196">
        <v>-213450</v>
      </c>
    </row>
    <row r="3015" spans="1:7" x14ac:dyDescent="0.3">
      <c r="A3015" s="198">
        <v>1193166396</v>
      </c>
      <c r="B3015" s="192" t="s">
        <v>1625</v>
      </c>
      <c r="C3015" s="196">
        <v>-1460477</v>
      </c>
      <c r="D3015" s="196">
        <v>0</v>
      </c>
      <c r="E3015" s="196">
        <v>59583</v>
      </c>
      <c r="F3015" s="196">
        <v>-59583</v>
      </c>
      <c r="G3015" s="196">
        <v>-1520060</v>
      </c>
    </row>
    <row r="3016" spans="1:7" x14ac:dyDescent="0.3">
      <c r="A3016" s="198">
        <v>1128393236</v>
      </c>
      <c r="B3016" s="192" t="s">
        <v>1703</v>
      </c>
      <c r="C3016" s="196">
        <v>-8377</v>
      </c>
      <c r="D3016" s="196">
        <v>0</v>
      </c>
      <c r="E3016" s="196">
        <v>0</v>
      </c>
      <c r="F3016" s="196">
        <v>0</v>
      </c>
      <c r="G3016" s="196">
        <v>-8377</v>
      </c>
    </row>
    <row r="3017" spans="1:7" x14ac:dyDescent="0.3">
      <c r="A3017" s="198">
        <v>1020423981</v>
      </c>
      <c r="B3017" s="192" t="s">
        <v>2030</v>
      </c>
      <c r="C3017" s="196">
        <v>-866474</v>
      </c>
      <c r="D3017" s="196">
        <v>0</v>
      </c>
      <c r="E3017" s="196">
        <v>28721</v>
      </c>
      <c r="F3017" s="196">
        <v>-28721</v>
      </c>
      <c r="G3017" s="196">
        <v>-895195</v>
      </c>
    </row>
    <row r="3018" spans="1:7" x14ac:dyDescent="0.3">
      <c r="A3018" s="198">
        <v>1020489861</v>
      </c>
      <c r="B3018" s="192" t="s">
        <v>1704</v>
      </c>
      <c r="C3018" s="196">
        <v>-254136</v>
      </c>
      <c r="D3018" s="196">
        <v>0</v>
      </c>
      <c r="E3018" s="196">
        <v>0</v>
      </c>
      <c r="F3018" s="196">
        <v>0</v>
      </c>
      <c r="G3018" s="196">
        <v>-254136</v>
      </c>
    </row>
    <row r="3019" spans="1:7" x14ac:dyDescent="0.3">
      <c r="A3019" s="198">
        <v>1152689568</v>
      </c>
      <c r="B3019" s="192" t="s">
        <v>1705</v>
      </c>
      <c r="C3019" s="196">
        <v>-1063150</v>
      </c>
      <c r="D3019" s="196">
        <v>0</v>
      </c>
      <c r="E3019" s="196">
        <v>33187</v>
      </c>
      <c r="F3019" s="196">
        <v>-33187</v>
      </c>
      <c r="G3019" s="196">
        <v>-1096337</v>
      </c>
    </row>
    <row r="3020" spans="1:7" x14ac:dyDescent="0.3">
      <c r="A3020" s="198">
        <v>1037266322</v>
      </c>
      <c r="B3020" s="192" t="s">
        <v>2031</v>
      </c>
      <c r="C3020" s="196">
        <v>-38908</v>
      </c>
      <c r="D3020" s="196">
        <v>0</v>
      </c>
      <c r="E3020" s="196">
        <v>0</v>
      </c>
      <c r="F3020" s="196">
        <v>0</v>
      </c>
      <c r="G3020" s="196">
        <v>-38908</v>
      </c>
    </row>
    <row r="3021" spans="1:7" x14ac:dyDescent="0.3">
      <c r="A3021" s="198">
        <v>32144343</v>
      </c>
      <c r="B3021" s="192" t="s">
        <v>1706</v>
      </c>
      <c r="C3021" s="196">
        <v>-563717</v>
      </c>
      <c r="D3021" s="196">
        <v>0</v>
      </c>
      <c r="E3021" s="196">
        <v>21667</v>
      </c>
      <c r="F3021" s="196">
        <v>-21667</v>
      </c>
      <c r="G3021" s="196">
        <v>-585384</v>
      </c>
    </row>
    <row r="3022" spans="1:7" x14ac:dyDescent="0.3">
      <c r="A3022" s="198">
        <v>1037583982</v>
      </c>
      <c r="B3022" s="192" t="s">
        <v>1798</v>
      </c>
      <c r="C3022" s="196">
        <v>-1087697</v>
      </c>
      <c r="D3022" s="196">
        <v>0</v>
      </c>
      <c r="E3022" s="196">
        <v>55519</v>
      </c>
      <c r="F3022" s="196">
        <v>-55519</v>
      </c>
      <c r="G3022" s="196">
        <v>-1143216</v>
      </c>
    </row>
    <row r="3023" spans="1:7" x14ac:dyDescent="0.3">
      <c r="A3023" s="198">
        <v>1017266622</v>
      </c>
      <c r="B3023" s="192" t="s">
        <v>1707</v>
      </c>
      <c r="C3023" s="196">
        <v>-506797</v>
      </c>
      <c r="D3023" s="196">
        <v>0</v>
      </c>
      <c r="E3023" s="196">
        <v>34115</v>
      </c>
      <c r="F3023" s="196">
        <v>-34115</v>
      </c>
      <c r="G3023" s="196">
        <v>-540912</v>
      </c>
    </row>
    <row r="3024" spans="1:7" x14ac:dyDescent="0.3">
      <c r="A3024" s="198">
        <v>1041229735</v>
      </c>
      <c r="B3024" s="192" t="s">
        <v>2033</v>
      </c>
      <c r="C3024" s="196">
        <v>-242175</v>
      </c>
      <c r="D3024" s="196">
        <v>0</v>
      </c>
      <c r="E3024" s="196">
        <v>34572</v>
      </c>
      <c r="F3024" s="196">
        <v>-34572</v>
      </c>
      <c r="G3024" s="196">
        <v>-276747</v>
      </c>
    </row>
    <row r="3025" spans="1:7" x14ac:dyDescent="0.3">
      <c r="A3025" s="198">
        <v>1036641303</v>
      </c>
      <c r="B3025" s="192" t="s">
        <v>2034</v>
      </c>
      <c r="C3025" s="196">
        <v>-1056428</v>
      </c>
      <c r="D3025" s="196">
        <v>0</v>
      </c>
      <c r="E3025" s="196">
        <v>30865</v>
      </c>
      <c r="F3025" s="196">
        <v>-30865</v>
      </c>
      <c r="G3025" s="196">
        <v>-1087293</v>
      </c>
    </row>
    <row r="3026" spans="1:7" x14ac:dyDescent="0.3">
      <c r="A3026" s="198">
        <v>1037570707</v>
      </c>
      <c r="B3026" s="192" t="s">
        <v>1677</v>
      </c>
      <c r="C3026" s="196">
        <v>-1539596</v>
      </c>
      <c r="D3026" s="196">
        <v>0</v>
      </c>
      <c r="E3026" s="196">
        <v>27615</v>
      </c>
      <c r="F3026" s="196">
        <v>-27615</v>
      </c>
      <c r="G3026" s="196">
        <v>-1567211</v>
      </c>
    </row>
    <row r="3027" spans="1:7" x14ac:dyDescent="0.3">
      <c r="A3027" s="198">
        <v>1001660174</v>
      </c>
      <c r="B3027" s="192" t="s">
        <v>2318</v>
      </c>
      <c r="C3027" s="196">
        <v>-14360</v>
      </c>
      <c r="D3027" s="196">
        <v>0</v>
      </c>
      <c r="E3027" s="196">
        <v>13170</v>
      </c>
      <c r="F3027" s="196">
        <v>-13170</v>
      </c>
      <c r="G3027" s="196">
        <v>-27530</v>
      </c>
    </row>
    <row r="3028" spans="1:7" x14ac:dyDescent="0.3">
      <c r="A3028" s="198">
        <v>43190602</v>
      </c>
      <c r="B3028" s="192" t="s">
        <v>1708</v>
      </c>
      <c r="C3028" s="196">
        <v>-248903</v>
      </c>
      <c r="D3028" s="196">
        <v>0</v>
      </c>
      <c r="E3028" s="196">
        <v>25448</v>
      </c>
      <c r="F3028" s="196">
        <v>-25448</v>
      </c>
      <c r="G3028" s="196">
        <v>-274351</v>
      </c>
    </row>
    <row r="3029" spans="1:7" x14ac:dyDescent="0.3">
      <c r="A3029" s="198">
        <v>43113995</v>
      </c>
      <c r="B3029" s="192" t="s">
        <v>2324</v>
      </c>
      <c r="C3029" s="196">
        <v>-8107</v>
      </c>
      <c r="D3029" s="196">
        <v>0</v>
      </c>
      <c r="E3029" s="196">
        <v>0</v>
      </c>
      <c r="F3029" s="196">
        <v>0</v>
      </c>
      <c r="G3029" s="196">
        <v>-8107</v>
      </c>
    </row>
    <row r="3030" spans="1:7" x14ac:dyDescent="0.3">
      <c r="A3030" s="198">
        <v>3901013</v>
      </c>
      <c r="B3030" s="192" t="s">
        <v>1709</v>
      </c>
      <c r="C3030" s="196">
        <v>-42258</v>
      </c>
      <c r="D3030" s="196">
        <v>0</v>
      </c>
      <c r="E3030" s="196">
        <v>0</v>
      </c>
      <c r="F3030" s="196">
        <v>0</v>
      </c>
      <c r="G3030" s="196">
        <v>-42258</v>
      </c>
    </row>
    <row r="3031" spans="1:7" x14ac:dyDescent="0.3">
      <c r="A3031" s="198">
        <v>3901013</v>
      </c>
      <c r="B3031" s="192" t="s">
        <v>1709</v>
      </c>
      <c r="C3031" s="196">
        <v>-2255142</v>
      </c>
      <c r="D3031" s="196">
        <v>0</v>
      </c>
      <c r="E3031" s="196">
        <v>86667</v>
      </c>
      <c r="F3031" s="196">
        <v>-86667</v>
      </c>
      <c r="G3031" s="196">
        <v>-2341809</v>
      </c>
    </row>
    <row r="3032" spans="1:7" x14ac:dyDescent="0.3">
      <c r="A3032" s="198">
        <v>1216716838</v>
      </c>
      <c r="B3032" s="192" t="s">
        <v>2036</v>
      </c>
      <c r="C3032" s="196">
        <v>-223735</v>
      </c>
      <c r="D3032" s="196">
        <v>0</v>
      </c>
      <c r="E3032" s="196">
        <v>23743</v>
      </c>
      <c r="F3032" s="196">
        <v>-23743</v>
      </c>
      <c r="G3032" s="196">
        <v>-247478</v>
      </c>
    </row>
    <row r="3033" spans="1:7" x14ac:dyDescent="0.3">
      <c r="A3033" s="198">
        <v>1152197675</v>
      </c>
      <c r="B3033" s="192" t="s">
        <v>2325</v>
      </c>
      <c r="C3033" s="196">
        <v>-211041</v>
      </c>
      <c r="D3033" s="196">
        <v>0</v>
      </c>
      <c r="E3033" s="196">
        <v>0</v>
      </c>
      <c r="F3033" s="196">
        <v>0</v>
      </c>
      <c r="G3033" s="196">
        <v>-211041</v>
      </c>
    </row>
    <row r="3034" spans="1:7" x14ac:dyDescent="0.3">
      <c r="A3034" s="198">
        <v>43605890</v>
      </c>
      <c r="B3034" s="192" t="s">
        <v>565</v>
      </c>
      <c r="C3034" s="196">
        <v>-1433904</v>
      </c>
      <c r="D3034" s="196">
        <v>0</v>
      </c>
      <c r="E3034" s="196">
        <v>59583</v>
      </c>
      <c r="F3034" s="196">
        <v>-59583</v>
      </c>
      <c r="G3034" s="196">
        <v>-1493487</v>
      </c>
    </row>
    <row r="3035" spans="1:7" x14ac:dyDescent="0.3">
      <c r="A3035" s="198">
        <v>1007045790</v>
      </c>
      <c r="B3035" s="192" t="s">
        <v>2326</v>
      </c>
      <c r="C3035" s="196">
        <v>-925387</v>
      </c>
      <c r="D3035" s="196">
        <v>0</v>
      </c>
      <c r="E3035" s="196">
        <v>0</v>
      </c>
      <c r="F3035" s="196">
        <v>0</v>
      </c>
      <c r="G3035" s="196">
        <v>-925387</v>
      </c>
    </row>
    <row r="3036" spans="1:7" x14ac:dyDescent="0.3">
      <c r="A3036" s="198">
        <v>1036685923</v>
      </c>
      <c r="B3036" s="192" t="s">
        <v>1710</v>
      </c>
      <c r="C3036" s="196">
        <v>-286473</v>
      </c>
      <c r="D3036" s="196">
        <v>0</v>
      </c>
      <c r="E3036" s="196">
        <v>34115</v>
      </c>
      <c r="F3036" s="196">
        <v>-34115</v>
      </c>
      <c r="G3036" s="196">
        <v>-320588</v>
      </c>
    </row>
    <row r="3037" spans="1:7" x14ac:dyDescent="0.3">
      <c r="A3037" s="198">
        <v>1020486802</v>
      </c>
      <c r="B3037" s="192" t="s">
        <v>2327</v>
      </c>
      <c r="C3037" s="196">
        <v>-15306</v>
      </c>
      <c r="D3037" s="196">
        <v>0</v>
      </c>
      <c r="E3037" s="196">
        <v>0</v>
      </c>
      <c r="F3037" s="196">
        <v>0</v>
      </c>
      <c r="G3037" s="196">
        <v>-15306</v>
      </c>
    </row>
    <row r="3038" spans="1:7" x14ac:dyDescent="0.3">
      <c r="A3038" s="198">
        <v>32108182</v>
      </c>
      <c r="B3038" s="192" t="s">
        <v>2076</v>
      </c>
      <c r="C3038" s="196">
        <v>-24969</v>
      </c>
      <c r="D3038" s="196">
        <v>0</v>
      </c>
      <c r="E3038" s="196">
        <v>0</v>
      </c>
      <c r="F3038" s="196">
        <v>0</v>
      </c>
      <c r="G3038" s="196">
        <v>-24969</v>
      </c>
    </row>
    <row r="3039" spans="1:7" x14ac:dyDescent="0.3">
      <c r="A3039" s="198">
        <v>71526513</v>
      </c>
      <c r="B3039" s="192" t="s">
        <v>1643</v>
      </c>
      <c r="C3039" s="196">
        <v>-1051157</v>
      </c>
      <c r="D3039" s="196">
        <v>0</v>
      </c>
      <c r="E3039" s="196">
        <v>47556</v>
      </c>
      <c r="F3039" s="196">
        <v>-47556</v>
      </c>
      <c r="G3039" s="196">
        <v>-1098713</v>
      </c>
    </row>
    <row r="3040" spans="1:7" x14ac:dyDescent="0.3">
      <c r="A3040" s="198">
        <v>9977388</v>
      </c>
      <c r="B3040" s="192" t="s">
        <v>2328</v>
      </c>
      <c r="C3040" s="196">
        <v>-1464467</v>
      </c>
      <c r="D3040" s="196">
        <v>0</v>
      </c>
      <c r="E3040" s="196">
        <v>0</v>
      </c>
      <c r="F3040" s="196">
        <v>0</v>
      </c>
      <c r="G3040" s="196">
        <v>-1464467</v>
      </c>
    </row>
    <row r="3041" spans="1:7" x14ac:dyDescent="0.3">
      <c r="A3041" s="198">
        <v>1042458852</v>
      </c>
      <c r="B3041" s="192" t="s">
        <v>1711</v>
      </c>
      <c r="C3041" s="196">
        <v>-1202950</v>
      </c>
      <c r="D3041" s="196">
        <v>0</v>
      </c>
      <c r="E3041" s="196">
        <v>59226</v>
      </c>
      <c r="F3041" s="196">
        <v>-59226</v>
      </c>
      <c r="G3041" s="196">
        <v>-1262176</v>
      </c>
    </row>
    <row r="3042" spans="1:7" x14ac:dyDescent="0.3">
      <c r="A3042" s="198">
        <v>1017194194</v>
      </c>
      <c r="B3042" s="192" t="s">
        <v>2157</v>
      </c>
      <c r="C3042" s="196">
        <v>-865119</v>
      </c>
      <c r="D3042" s="196">
        <v>0</v>
      </c>
      <c r="E3042" s="196">
        <v>0</v>
      </c>
      <c r="F3042" s="196">
        <v>0</v>
      </c>
      <c r="G3042" s="196">
        <v>-865119</v>
      </c>
    </row>
    <row r="3043" spans="1:7" x14ac:dyDescent="0.3">
      <c r="A3043" s="198">
        <v>1020426876</v>
      </c>
      <c r="B3043" s="192" t="s">
        <v>2329</v>
      </c>
      <c r="C3043" s="196">
        <v>-201445</v>
      </c>
      <c r="D3043" s="196">
        <v>0</v>
      </c>
      <c r="E3043" s="196">
        <v>0</v>
      </c>
      <c r="F3043" s="196">
        <v>0</v>
      </c>
      <c r="G3043" s="196">
        <v>-201445</v>
      </c>
    </row>
    <row r="3044" spans="1:7" x14ac:dyDescent="0.3">
      <c r="A3044" s="198">
        <v>1126423558</v>
      </c>
      <c r="B3044" s="192" t="s">
        <v>2159</v>
      </c>
      <c r="C3044" s="196">
        <v>-379343</v>
      </c>
      <c r="D3044" s="196">
        <v>0</v>
      </c>
      <c r="E3044" s="196">
        <v>0</v>
      </c>
      <c r="F3044" s="196">
        <v>0</v>
      </c>
      <c r="G3044" s="196">
        <v>-379343</v>
      </c>
    </row>
    <row r="3045" spans="1:7" x14ac:dyDescent="0.3">
      <c r="A3045" s="198">
        <v>1093744869</v>
      </c>
      <c r="B3045" s="192" t="s">
        <v>1906</v>
      </c>
      <c r="C3045" s="196">
        <v>-510198</v>
      </c>
      <c r="D3045" s="196">
        <v>0</v>
      </c>
      <c r="E3045" s="196">
        <v>0</v>
      </c>
      <c r="F3045" s="196">
        <v>0</v>
      </c>
      <c r="G3045" s="196">
        <v>-510198</v>
      </c>
    </row>
    <row r="3046" spans="1:7" x14ac:dyDescent="0.3">
      <c r="A3046" s="198">
        <v>1007551247</v>
      </c>
      <c r="B3046" s="192" t="s">
        <v>1712</v>
      </c>
      <c r="C3046" s="196">
        <v>-853877</v>
      </c>
      <c r="D3046" s="196">
        <v>0</v>
      </c>
      <c r="E3046" s="196">
        <v>0</v>
      </c>
      <c r="F3046" s="196">
        <v>0</v>
      </c>
      <c r="G3046" s="196">
        <v>-853877</v>
      </c>
    </row>
    <row r="3047" spans="1:7" x14ac:dyDescent="0.3">
      <c r="A3047" s="198">
        <v>1017133284</v>
      </c>
      <c r="B3047" s="192" t="s">
        <v>2037</v>
      </c>
      <c r="C3047" s="196">
        <v>-53272</v>
      </c>
      <c r="D3047" s="196">
        <v>0</v>
      </c>
      <c r="E3047" s="196">
        <v>27566</v>
      </c>
      <c r="F3047" s="196">
        <v>-27566</v>
      </c>
      <c r="G3047" s="196">
        <v>-80838</v>
      </c>
    </row>
    <row r="3048" spans="1:7" x14ac:dyDescent="0.3">
      <c r="A3048" s="198">
        <v>1036679554</v>
      </c>
      <c r="B3048" s="192" t="s">
        <v>2064</v>
      </c>
      <c r="C3048" s="196">
        <v>-284153</v>
      </c>
      <c r="D3048" s="196">
        <v>0</v>
      </c>
      <c r="E3048" s="196">
        <v>0</v>
      </c>
      <c r="F3048" s="196">
        <v>0</v>
      </c>
      <c r="G3048" s="196">
        <v>-284153</v>
      </c>
    </row>
    <row r="3049" spans="1:7" x14ac:dyDescent="0.3">
      <c r="A3049" s="198">
        <v>71222364</v>
      </c>
      <c r="B3049" s="192" t="s">
        <v>2330</v>
      </c>
      <c r="C3049" s="196">
        <v>-40741</v>
      </c>
      <c r="D3049" s="196">
        <v>0</v>
      </c>
      <c r="E3049" s="196">
        <v>0</v>
      </c>
      <c r="F3049" s="196">
        <v>0</v>
      </c>
      <c r="G3049" s="196">
        <v>-40741</v>
      </c>
    </row>
    <row r="3050" spans="1:7" x14ac:dyDescent="0.3">
      <c r="A3050" s="198">
        <v>1127953609</v>
      </c>
      <c r="B3050" s="192" t="s">
        <v>2038</v>
      </c>
      <c r="C3050" s="196">
        <v>-33753</v>
      </c>
      <c r="D3050" s="196">
        <v>0</v>
      </c>
      <c r="E3050" s="196">
        <v>0</v>
      </c>
      <c r="F3050" s="196">
        <v>0</v>
      </c>
      <c r="G3050" s="196">
        <v>-33753</v>
      </c>
    </row>
    <row r="3051" spans="1:7" x14ac:dyDescent="0.3">
      <c r="A3051" s="198">
        <v>1152440998</v>
      </c>
      <c r="B3051" s="192" t="s">
        <v>2039</v>
      </c>
      <c r="C3051" s="196">
        <v>-247416</v>
      </c>
      <c r="D3051" s="196">
        <v>0</v>
      </c>
      <c r="E3051" s="196">
        <v>59093</v>
      </c>
      <c r="F3051" s="196">
        <v>-59093</v>
      </c>
      <c r="G3051" s="196">
        <v>-306509</v>
      </c>
    </row>
    <row r="3052" spans="1:7" x14ac:dyDescent="0.3">
      <c r="A3052" s="198">
        <v>1020436418</v>
      </c>
      <c r="B3052" s="192" t="s">
        <v>2040</v>
      </c>
      <c r="C3052" s="196">
        <v>-35637</v>
      </c>
      <c r="D3052" s="196">
        <v>0</v>
      </c>
      <c r="E3052" s="196">
        <v>18662</v>
      </c>
      <c r="F3052" s="196">
        <v>-18662</v>
      </c>
      <c r="G3052" s="196">
        <v>-54299</v>
      </c>
    </row>
    <row r="3053" spans="1:7" x14ac:dyDescent="0.3">
      <c r="A3053" s="198">
        <v>1144039609</v>
      </c>
      <c r="B3053" s="192" t="s">
        <v>2041</v>
      </c>
      <c r="C3053" s="196">
        <v>-119773</v>
      </c>
      <c r="D3053" s="196">
        <v>0</v>
      </c>
      <c r="E3053" s="196">
        <v>51183</v>
      </c>
      <c r="F3053" s="196">
        <v>-51183</v>
      </c>
      <c r="G3053" s="196">
        <v>-170956</v>
      </c>
    </row>
    <row r="3054" spans="1:7" x14ac:dyDescent="0.3">
      <c r="A3054" s="198">
        <v>1216723387</v>
      </c>
      <c r="B3054" s="192" t="s">
        <v>1713</v>
      </c>
      <c r="C3054" s="196">
        <v>-871204</v>
      </c>
      <c r="D3054" s="196">
        <v>0</v>
      </c>
      <c r="E3054" s="196">
        <v>35255</v>
      </c>
      <c r="F3054" s="196">
        <v>-35255</v>
      </c>
      <c r="G3054" s="196">
        <v>-906459</v>
      </c>
    </row>
    <row r="3055" spans="1:7" x14ac:dyDescent="0.3">
      <c r="A3055" s="198">
        <v>1037589764</v>
      </c>
      <c r="B3055" s="192" t="s">
        <v>2331</v>
      </c>
      <c r="C3055" s="196">
        <v>-147542</v>
      </c>
      <c r="D3055" s="196">
        <v>0</v>
      </c>
      <c r="E3055" s="196">
        <v>0</v>
      </c>
      <c r="F3055" s="196">
        <v>0</v>
      </c>
      <c r="G3055" s="196">
        <v>-147542</v>
      </c>
    </row>
    <row r="3056" spans="1:7" x14ac:dyDescent="0.3">
      <c r="A3056" s="198">
        <v>1040752245</v>
      </c>
      <c r="B3056" s="192" t="s">
        <v>1678</v>
      </c>
      <c r="C3056" s="196">
        <v>-360438</v>
      </c>
      <c r="D3056" s="196">
        <v>0</v>
      </c>
      <c r="E3056" s="196">
        <v>27615</v>
      </c>
      <c r="F3056" s="196">
        <v>-27615</v>
      </c>
      <c r="G3056" s="196">
        <v>-388053</v>
      </c>
    </row>
    <row r="3057" spans="1:7" x14ac:dyDescent="0.3">
      <c r="A3057" s="198">
        <v>1036677041</v>
      </c>
      <c r="B3057" s="192" t="s">
        <v>2332</v>
      </c>
      <c r="C3057" s="196">
        <v>-163931</v>
      </c>
      <c r="D3057" s="196">
        <v>0</v>
      </c>
      <c r="E3057" s="196">
        <v>0</v>
      </c>
      <c r="F3057" s="196">
        <v>0</v>
      </c>
      <c r="G3057" s="196">
        <v>-163931</v>
      </c>
    </row>
    <row r="3058" spans="1:7" x14ac:dyDescent="0.3">
      <c r="A3058" s="198">
        <v>1037636353</v>
      </c>
      <c r="B3058" s="192" t="s">
        <v>2042</v>
      </c>
      <c r="C3058" s="196">
        <v>-66389</v>
      </c>
      <c r="D3058" s="196">
        <v>0</v>
      </c>
      <c r="E3058" s="196">
        <v>0</v>
      </c>
      <c r="F3058" s="196">
        <v>0</v>
      </c>
      <c r="G3058" s="196">
        <v>-66389</v>
      </c>
    </row>
    <row r="3059" spans="1:7" x14ac:dyDescent="0.3">
      <c r="A3059" s="198">
        <v>1038418006</v>
      </c>
      <c r="B3059" s="192" t="s">
        <v>2333</v>
      </c>
      <c r="C3059" s="196">
        <v>-15951</v>
      </c>
      <c r="D3059" s="196">
        <v>0</v>
      </c>
      <c r="E3059" s="196">
        <v>0</v>
      </c>
      <c r="F3059" s="196">
        <v>0</v>
      </c>
      <c r="G3059" s="196">
        <v>-15951</v>
      </c>
    </row>
    <row r="3060" spans="1:7" x14ac:dyDescent="0.3">
      <c r="A3060" s="198">
        <v>6549128</v>
      </c>
      <c r="B3060" s="192" t="s">
        <v>2043</v>
      </c>
      <c r="C3060" s="196">
        <v>-287500</v>
      </c>
      <c r="D3060" s="196">
        <v>0</v>
      </c>
      <c r="E3060" s="196">
        <v>54167</v>
      </c>
      <c r="F3060" s="196">
        <v>-54167</v>
      </c>
      <c r="G3060" s="196">
        <v>-341667</v>
      </c>
    </row>
    <row r="3061" spans="1:7" x14ac:dyDescent="0.3">
      <c r="A3061" s="198">
        <v>32296772</v>
      </c>
      <c r="B3061" s="192" t="s">
        <v>2334</v>
      </c>
      <c r="C3061" s="196">
        <v>-1594</v>
      </c>
      <c r="D3061" s="196">
        <v>0</v>
      </c>
      <c r="E3061" s="196">
        <v>0</v>
      </c>
      <c r="F3061" s="196">
        <v>0</v>
      </c>
      <c r="G3061" s="196">
        <v>-1594</v>
      </c>
    </row>
    <row r="3062" spans="1:7" x14ac:dyDescent="0.3">
      <c r="A3062" s="198">
        <v>1128385262</v>
      </c>
      <c r="B3062" s="192" t="s">
        <v>1714</v>
      </c>
      <c r="C3062" s="196">
        <v>-154698</v>
      </c>
      <c r="D3062" s="196">
        <v>0</v>
      </c>
      <c r="E3062" s="196">
        <v>34885</v>
      </c>
      <c r="F3062" s="196">
        <v>-34885</v>
      </c>
      <c r="G3062" s="196">
        <v>-189583</v>
      </c>
    </row>
    <row r="3063" spans="1:7" x14ac:dyDescent="0.3">
      <c r="A3063" s="198">
        <v>1020490983</v>
      </c>
      <c r="B3063" s="192" t="s">
        <v>2335</v>
      </c>
      <c r="C3063" s="196">
        <v>-55288</v>
      </c>
      <c r="D3063" s="196">
        <v>0</v>
      </c>
      <c r="E3063" s="196">
        <v>0</v>
      </c>
      <c r="F3063" s="196">
        <v>0</v>
      </c>
      <c r="G3063" s="196">
        <v>-55288</v>
      </c>
    </row>
    <row r="3064" spans="1:7" x14ac:dyDescent="0.3">
      <c r="A3064" s="198">
        <v>1000646763</v>
      </c>
      <c r="B3064" s="192" t="s">
        <v>2044</v>
      </c>
      <c r="C3064" s="196">
        <v>-499338</v>
      </c>
      <c r="D3064" s="196">
        <v>0</v>
      </c>
      <c r="E3064" s="196">
        <v>34901</v>
      </c>
      <c r="F3064" s="196">
        <v>-34901</v>
      </c>
      <c r="G3064" s="196">
        <v>-534239</v>
      </c>
    </row>
    <row r="3065" spans="1:7" x14ac:dyDescent="0.3">
      <c r="A3065" s="198">
        <v>1039464277</v>
      </c>
      <c r="B3065" s="192" t="s">
        <v>2336</v>
      </c>
      <c r="C3065" s="196">
        <v>-5663</v>
      </c>
      <c r="D3065" s="196">
        <v>0</v>
      </c>
      <c r="E3065" s="196">
        <v>0</v>
      </c>
      <c r="F3065" s="196">
        <v>0</v>
      </c>
      <c r="G3065" s="196">
        <v>-5663</v>
      </c>
    </row>
    <row r="3066" spans="1:7" x14ac:dyDescent="0.3">
      <c r="A3066" s="198">
        <v>1020431035</v>
      </c>
      <c r="B3066" s="192" t="s">
        <v>1923</v>
      </c>
      <c r="C3066" s="196">
        <v>-22316</v>
      </c>
      <c r="D3066" s="196">
        <v>0</v>
      </c>
      <c r="E3066" s="196">
        <v>15996</v>
      </c>
      <c r="F3066" s="196">
        <v>-15996</v>
      </c>
      <c r="G3066" s="196">
        <v>-38312</v>
      </c>
    </row>
    <row r="3067" spans="1:7" x14ac:dyDescent="0.3">
      <c r="A3067" s="198">
        <v>32554996</v>
      </c>
      <c r="B3067" s="192" t="s">
        <v>2045</v>
      </c>
      <c r="C3067" s="196">
        <v>-119</v>
      </c>
      <c r="D3067" s="196">
        <v>0</v>
      </c>
      <c r="E3067" s="196">
        <v>0</v>
      </c>
      <c r="F3067" s="196">
        <v>0</v>
      </c>
      <c r="G3067" s="196">
        <v>-119</v>
      </c>
    </row>
    <row r="3068" spans="1:7" x14ac:dyDescent="0.3">
      <c r="A3068" s="198">
        <v>1026158953</v>
      </c>
      <c r="B3068" s="192" t="s">
        <v>2046</v>
      </c>
      <c r="C3068" s="196">
        <v>-56706</v>
      </c>
      <c r="D3068" s="196">
        <v>0</v>
      </c>
      <c r="E3068" s="196">
        <v>24074</v>
      </c>
      <c r="F3068" s="196">
        <v>-24074</v>
      </c>
      <c r="G3068" s="196">
        <v>-80780</v>
      </c>
    </row>
    <row r="3069" spans="1:7" x14ac:dyDescent="0.3">
      <c r="A3069" s="198">
        <v>1035858442</v>
      </c>
      <c r="B3069" s="192" t="s">
        <v>1927</v>
      </c>
      <c r="C3069" s="196">
        <v>-970499</v>
      </c>
      <c r="D3069" s="196">
        <v>0</v>
      </c>
      <c r="E3069" s="196">
        <v>33032</v>
      </c>
      <c r="F3069" s="196">
        <v>-33032</v>
      </c>
      <c r="G3069" s="196">
        <v>-1003531</v>
      </c>
    </row>
    <row r="3070" spans="1:7" x14ac:dyDescent="0.3">
      <c r="A3070" s="198">
        <v>1020488916</v>
      </c>
      <c r="B3070" s="192" t="s">
        <v>2337</v>
      </c>
      <c r="C3070" s="196">
        <v>-77599</v>
      </c>
      <c r="D3070" s="196">
        <v>0</v>
      </c>
      <c r="E3070" s="196">
        <v>0</v>
      </c>
      <c r="F3070" s="196">
        <v>0</v>
      </c>
      <c r="G3070" s="196">
        <v>-77599</v>
      </c>
    </row>
    <row r="3071" spans="1:7" x14ac:dyDescent="0.3">
      <c r="A3071" s="198">
        <v>1127941774</v>
      </c>
      <c r="B3071" s="192" t="s">
        <v>2338</v>
      </c>
      <c r="C3071" s="196">
        <v>-75938</v>
      </c>
      <c r="D3071" s="196">
        <v>0</v>
      </c>
      <c r="E3071" s="196">
        <v>0</v>
      </c>
      <c r="F3071" s="196">
        <v>0</v>
      </c>
      <c r="G3071" s="196">
        <v>-75938</v>
      </c>
    </row>
    <row r="3072" spans="1:7" x14ac:dyDescent="0.3">
      <c r="A3072" s="198">
        <v>1036639954</v>
      </c>
      <c r="B3072" s="192" t="s">
        <v>2047</v>
      </c>
      <c r="C3072" s="196">
        <v>-80741</v>
      </c>
      <c r="D3072" s="196">
        <v>0</v>
      </c>
      <c r="E3072" s="196">
        <v>27650</v>
      </c>
      <c r="F3072" s="196">
        <v>-27650</v>
      </c>
      <c r="G3072" s="196">
        <v>-108391</v>
      </c>
    </row>
    <row r="3073" spans="1:7" x14ac:dyDescent="0.3">
      <c r="A3073" s="198">
        <v>43843451</v>
      </c>
      <c r="B3073" s="192" t="s">
        <v>2048</v>
      </c>
      <c r="C3073" s="196">
        <v>-1027001</v>
      </c>
      <c r="D3073" s="196">
        <v>0</v>
      </c>
      <c r="E3073" s="196">
        <v>0</v>
      </c>
      <c r="F3073" s="196">
        <v>0</v>
      </c>
      <c r="G3073" s="196">
        <v>-1027001</v>
      </c>
    </row>
    <row r="3074" spans="1:7" x14ac:dyDescent="0.3">
      <c r="A3074" s="198">
        <v>39355612</v>
      </c>
      <c r="B3074" s="192" t="s">
        <v>2077</v>
      </c>
      <c r="C3074" s="196">
        <v>-257746</v>
      </c>
      <c r="D3074" s="196">
        <v>0</v>
      </c>
      <c r="E3074" s="196">
        <v>0</v>
      </c>
      <c r="F3074" s="196">
        <v>0</v>
      </c>
      <c r="G3074" s="196">
        <v>-257746</v>
      </c>
    </row>
    <row r="3075" spans="1:7" x14ac:dyDescent="0.3">
      <c r="A3075" s="198">
        <v>98522586</v>
      </c>
      <c r="B3075" s="192" t="s">
        <v>2339</v>
      </c>
      <c r="C3075" s="196">
        <v>-3166</v>
      </c>
      <c r="D3075" s="196">
        <v>0</v>
      </c>
      <c r="E3075" s="196">
        <v>0</v>
      </c>
      <c r="F3075" s="196">
        <v>0</v>
      </c>
      <c r="G3075" s="196">
        <v>-3166</v>
      </c>
    </row>
    <row r="3076" spans="1:7" x14ac:dyDescent="0.3">
      <c r="A3076" s="198">
        <v>52245050</v>
      </c>
      <c r="B3076" s="192" t="s">
        <v>2319</v>
      </c>
      <c r="C3076" s="196">
        <v>-4630</v>
      </c>
      <c r="D3076" s="196">
        <v>0</v>
      </c>
      <c r="E3076" s="196">
        <v>7222</v>
      </c>
      <c r="F3076" s="196">
        <v>-7222</v>
      </c>
      <c r="G3076" s="196">
        <v>-11852</v>
      </c>
    </row>
    <row r="3077" spans="1:7" x14ac:dyDescent="0.3">
      <c r="A3077" s="198">
        <v>1027740123</v>
      </c>
      <c r="B3077" s="192" t="s">
        <v>1928</v>
      </c>
      <c r="C3077" s="196">
        <v>-177001</v>
      </c>
      <c r="D3077" s="196">
        <v>0</v>
      </c>
      <c r="E3077" s="196">
        <v>0</v>
      </c>
      <c r="F3077" s="196">
        <v>0</v>
      </c>
      <c r="G3077" s="196">
        <v>-177001</v>
      </c>
    </row>
    <row r="3078" spans="1:7" x14ac:dyDescent="0.3">
      <c r="A3078" s="198">
        <v>43256222</v>
      </c>
      <c r="B3078" s="192" t="s">
        <v>2049</v>
      </c>
      <c r="C3078" s="196">
        <v>-313151</v>
      </c>
      <c r="D3078" s="196">
        <v>0</v>
      </c>
      <c r="E3078" s="196">
        <v>25448</v>
      </c>
      <c r="F3078" s="196">
        <v>-25448</v>
      </c>
      <c r="G3078" s="196">
        <v>-338599</v>
      </c>
    </row>
    <row r="3079" spans="1:7" x14ac:dyDescent="0.3">
      <c r="A3079" s="198">
        <v>1017284611</v>
      </c>
      <c r="B3079" s="192" t="s">
        <v>1715</v>
      </c>
      <c r="C3079" s="196">
        <v>-382012</v>
      </c>
      <c r="D3079" s="196">
        <v>0</v>
      </c>
      <c r="E3079" s="196">
        <v>21667</v>
      </c>
      <c r="F3079" s="196">
        <v>-21667</v>
      </c>
      <c r="G3079" s="196">
        <v>-403679</v>
      </c>
    </row>
    <row r="3080" spans="1:7" x14ac:dyDescent="0.3">
      <c r="A3080" s="198">
        <v>1214732908</v>
      </c>
      <c r="B3080" s="192" t="s">
        <v>1263</v>
      </c>
      <c r="C3080" s="196">
        <v>-148307</v>
      </c>
      <c r="D3080" s="196">
        <v>0</v>
      </c>
      <c r="E3080" s="196">
        <v>0</v>
      </c>
      <c r="F3080" s="196">
        <v>0</v>
      </c>
      <c r="G3080" s="196">
        <v>-148307</v>
      </c>
    </row>
    <row r="3081" spans="1:7" x14ac:dyDescent="0.3">
      <c r="A3081" s="198">
        <v>1127941794</v>
      </c>
      <c r="B3081" s="192" t="s">
        <v>1274</v>
      </c>
      <c r="C3081" s="196">
        <v>-144000</v>
      </c>
      <c r="D3081" s="196">
        <v>0</v>
      </c>
      <c r="E3081" s="196">
        <v>81000</v>
      </c>
      <c r="F3081" s="196">
        <v>-81000</v>
      </c>
      <c r="G3081" s="196">
        <v>-225000</v>
      </c>
    </row>
    <row r="3082" spans="1:7" x14ac:dyDescent="0.3">
      <c r="A3082" s="198">
        <v>1013456905</v>
      </c>
      <c r="B3082" s="192" t="s">
        <v>1932</v>
      </c>
      <c r="C3082" s="196">
        <v>0</v>
      </c>
      <c r="D3082" s="196">
        <v>0</v>
      </c>
      <c r="E3082" s="196">
        <v>1157</v>
      </c>
      <c r="F3082" s="196">
        <v>-1157</v>
      </c>
      <c r="G3082" s="196">
        <v>-1157</v>
      </c>
    </row>
    <row r="3083" spans="1:7" x14ac:dyDescent="0.3">
      <c r="A3083" s="198">
        <v>574816</v>
      </c>
      <c r="B3083" s="192" t="s">
        <v>2078</v>
      </c>
      <c r="C3083" s="196">
        <v>-597039</v>
      </c>
      <c r="D3083" s="196">
        <v>0</v>
      </c>
      <c r="E3083" s="196">
        <v>0</v>
      </c>
      <c r="F3083" s="196">
        <v>0</v>
      </c>
      <c r="G3083" s="196">
        <v>-597039</v>
      </c>
    </row>
    <row r="3084" spans="1:7" x14ac:dyDescent="0.3">
      <c r="A3084" s="198">
        <v>1214732527</v>
      </c>
      <c r="B3084" s="192" t="s">
        <v>1983</v>
      </c>
      <c r="C3084" s="196">
        <v>-821317</v>
      </c>
      <c r="D3084" s="196">
        <v>0</v>
      </c>
      <c r="E3084" s="196">
        <v>0</v>
      </c>
      <c r="F3084" s="196">
        <v>0</v>
      </c>
      <c r="G3084" s="196">
        <v>-821317</v>
      </c>
    </row>
    <row r="3085" spans="1:7" x14ac:dyDescent="0.3">
      <c r="A3085" s="198">
        <v>4550437</v>
      </c>
      <c r="B3085" s="192" t="s">
        <v>2340</v>
      </c>
      <c r="C3085" s="196">
        <v>-519</v>
      </c>
      <c r="D3085" s="196">
        <v>0</v>
      </c>
      <c r="E3085" s="196">
        <v>0</v>
      </c>
      <c r="F3085" s="196">
        <v>0</v>
      </c>
      <c r="G3085" s="196">
        <v>-519</v>
      </c>
    </row>
    <row r="3086" spans="1:7" x14ac:dyDescent="0.3">
      <c r="A3086" s="198">
        <v>43550437</v>
      </c>
      <c r="B3086" s="192" t="s">
        <v>1936</v>
      </c>
      <c r="C3086" s="196">
        <v>-132289</v>
      </c>
      <c r="D3086" s="196">
        <v>0</v>
      </c>
      <c r="E3086" s="196">
        <v>0</v>
      </c>
      <c r="F3086" s="196">
        <v>0</v>
      </c>
      <c r="G3086" s="196">
        <v>-132289</v>
      </c>
    </row>
    <row r="3087" spans="1:7" x14ac:dyDescent="0.3">
      <c r="A3087" s="198">
        <v>43597511</v>
      </c>
      <c r="B3087" s="192" t="s">
        <v>2051</v>
      </c>
      <c r="C3087" s="196">
        <v>-125536</v>
      </c>
      <c r="D3087" s="196">
        <v>0</v>
      </c>
      <c r="E3087" s="196">
        <v>0</v>
      </c>
      <c r="F3087" s="196">
        <v>0</v>
      </c>
      <c r="G3087" s="196">
        <v>-125536</v>
      </c>
    </row>
    <row r="3088" spans="1:7" x14ac:dyDescent="0.3">
      <c r="A3088" s="198">
        <v>71212982</v>
      </c>
      <c r="B3088" s="192" t="s">
        <v>2341</v>
      </c>
      <c r="C3088" s="196">
        <v>-155470</v>
      </c>
      <c r="D3088" s="196">
        <v>0</v>
      </c>
      <c r="E3088" s="196">
        <v>0</v>
      </c>
      <c r="F3088" s="196">
        <v>0</v>
      </c>
      <c r="G3088" s="196">
        <v>-155470</v>
      </c>
    </row>
    <row r="3089" spans="1:7" x14ac:dyDescent="0.3">
      <c r="A3089" s="198">
        <v>1126429974</v>
      </c>
      <c r="B3089" s="192" t="s">
        <v>2342</v>
      </c>
      <c r="C3089" s="196">
        <v>-3892</v>
      </c>
      <c r="D3089" s="196">
        <v>0</v>
      </c>
      <c r="E3089" s="196">
        <v>0</v>
      </c>
      <c r="F3089" s="196">
        <v>0</v>
      </c>
      <c r="G3089" s="196">
        <v>-3892</v>
      </c>
    </row>
    <row r="3090" spans="1:7" x14ac:dyDescent="0.3">
      <c r="A3090" s="198">
        <v>809106</v>
      </c>
      <c r="B3090" s="192" t="s">
        <v>1680</v>
      </c>
      <c r="C3090" s="196">
        <v>-233684</v>
      </c>
      <c r="D3090" s="196">
        <v>0</v>
      </c>
      <c r="E3090" s="196">
        <v>25377</v>
      </c>
      <c r="F3090" s="196">
        <v>-25377</v>
      </c>
      <c r="G3090" s="196">
        <v>-259061</v>
      </c>
    </row>
    <row r="3091" spans="1:7" x14ac:dyDescent="0.3">
      <c r="A3091" s="198">
        <v>1028042115</v>
      </c>
      <c r="B3091" s="192" t="s">
        <v>2067</v>
      </c>
      <c r="C3091" s="196">
        <v>-92901</v>
      </c>
      <c r="D3091" s="196">
        <v>0</v>
      </c>
      <c r="E3091" s="196">
        <v>27833</v>
      </c>
      <c r="F3091" s="196">
        <v>-27833</v>
      </c>
      <c r="G3091" s="196">
        <v>-120734</v>
      </c>
    </row>
    <row r="3092" spans="1:7" x14ac:dyDescent="0.3">
      <c r="A3092" s="198">
        <v>1017184852</v>
      </c>
      <c r="B3092" s="192" t="s">
        <v>1716</v>
      </c>
      <c r="C3092" s="196">
        <v>-65043</v>
      </c>
      <c r="D3092" s="196">
        <v>0</v>
      </c>
      <c r="E3092" s="196">
        <v>28828</v>
      </c>
      <c r="F3092" s="196">
        <v>-28828</v>
      </c>
      <c r="G3092" s="196">
        <v>-93871</v>
      </c>
    </row>
    <row r="3093" spans="1:7" x14ac:dyDescent="0.3">
      <c r="A3093" s="198">
        <v>1128423802</v>
      </c>
      <c r="B3093" s="192" t="s">
        <v>2053</v>
      </c>
      <c r="C3093" s="196">
        <v>-54400</v>
      </c>
      <c r="D3093" s="196">
        <v>0</v>
      </c>
      <c r="E3093" s="196">
        <v>26703</v>
      </c>
      <c r="F3093" s="196">
        <v>-26703</v>
      </c>
      <c r="G3093" s="196">
        <v>-81103</v>
      </c>
    </row>
    <row r="3094" spans="1:7" x14ac:dyDescent="0.3">
      <c r="A3094" s="198">
        <v>1035854432</v>
      </c>
      <c r="B3094" s="192" t="s">
        <v>2054</v>
      </c>
      <c r="C3094" s="196">
        <v>-38290</v>
      </c>
      <c r="D3094" s="196">
        <v>0</v>
      </c>
      <c r="E3094" s="196">
        <v>0</v>
      </c>
      <c r="F3094" s="196">
        <v>0</v>
      </c>
      <c r="G3094" s="196">
        <v>-38290</v>
      </c>
    </row>
    <row r="3095" spans="1:7" x14ac:dyDescent="0.3">
      <c r="A3095" s="198">
        <v>1020420887</v>
      </c>
      <c r="B3095" s="192" t="s">
        <v>2343</v>
      </c>
      <c r="C3095" s="196">
        <v>-176737</v>
      </c>
      <c r="D3095" s="196">
        <v>0</v>
      </c>
      <c r="E3095" s="196">
        <v>0</v>
      </c>
      <c r="F3095" s="196">
        <v>0</v>
      </c>
      <c r="G3095" s="196">
        <v>-176737</v>
      </c>
    </row>
    <row r="3096" spans="1:7" x14ac:dyDescent="0.3">
      <c r="A3096" s="198">
        <v>1040748779</v>
      </c>
      <c r="B3096" s="192" t="s">
        <v>2055</v>
      </c>
      <c r="C3096" s="196">
        <v>-731444</v>
      </c>
      <c r="D3096" s="196">
        <v>0</v>
      </c>
      <c r="E3096" s="196">
        <v>38738</v>
      </c>
      <c r="F3096" s="196">
        <v>-38738</v>
      </c>
      <c r="G3096" s="196">
        <v>-770182</v>
      </c>
    </row>
    <row r="3097" spans="1:7" x14ac:dyDescent="0.3">
      <c r="A3097" s="198">
        <v>1152207950</v>
      </c>
      <c r="B3097" s="192" t="s">
        <v>2056</v>
      </c>
      <c r="C3097" s="196">
        <v>-127420</v>
      </c>
      <c r="D3097" s="196">
        <v>0</v>
      </c>
      <c r="E3097" s="196">
        <v>30865</v>
      </c>
      <c r="F3097" s="196">
        <v>-30865</v>
      </c>
      <c r="G3097" s="196">
        <v>-158285</v>
      </c>
    </row>
    <row r="3098" spans="1:7" x14ac:dyDescent="0.3">
      <c r="A3098" s="198">
        <v>1001764247</v>
      </c>
      <c r="B3098" s="192" t="s">
        <v>2057</v>
      </c>
      <c r="C3098" s="196">
        <v>-1191815</v>
      </c>
      <c r="D3098" s="196">
        <v>0</v>
      </c>
      <c r="E3098" s="196">
        <v>35113</v>
      </c>
      <c r="F3098" s="196">
        <v>-35113</v>
      </c>
      <c r="G3098" s="196">
        <v>-1226928</v>
      </c>
    </row>
    <row r="3099" spans="1:7" x14ac:dyDescent="0.3">
      <c r="A3099" s="198">
        <v>1000639361</v>
      </c>
      <c r="B3099" s="192" t="s">
        <v>2058</v>
      </c>
      <c r="C3099" s="196">
        <v>-183906</v>
      </c>
      <c r="D3099" s="196">
        <v>0</v>
      </c>
      <c r="E3099" s="196">
        <v>0</v>
      </c>
      <c r="F3099" s="196">
        <v>0</v>
      </c>
      <c r="G3099" s="196">
        <v>-183906</v>
      </c>
    </row>
    <row r="3100" spans="1:7" x14ac:dyDescent="0.3">
      <c r="A3100" s="198">
        <v>1015067177</v>
      </c>
      <c r="B3100" s="192" t="s">
        <v>2320</v>
      </c>
      <c r="C3100" s="196">
        <v>-13277</v>
      </c>
      <c r="D3100" s="196">
        <v>0</v>
      </c>
      <c r="E3100" s="196">
        <v>12745</v>
      </c>
      <c r="F3100" s="196">
        <v>-12745</v>
      </c>
      <c r="G3100" s="196">
        <v>-26022</v>
      </c>
    </row>
    <row r="3101" spans="1:7" x14ac:dyDescent="0.3">
      <c r="A3101" s="198">
        <v>1027616481</v>
      </c>
      <c r="B3101" s="192" t="s">
        <v>2059</v>
      </c>
      <c r="C3101" s="196">
        <v>-27065</v>
      </c>
      <c r="D3101" s="196">
        <v>0</v>
      </c>
      <c r="E3101" s="196">
        <v>17682</v>
      </c>
      <c r="F3101" s="196">
        <v>-17682</v>
      </c>
      <c r="G3101" s="196">
        <v>-44747</v>
      </c>
    </row>
    <row r="3102" spans="1:7" x14ac:dyDescent="0.3">
      <c r="A3102" s="198">
        <v>1001018000</v>
      </c>
      <c r="B3102" s="192" t="s">
        <v>2344</v>
      </c>
      <c r="C3102" s="196">
        <v>-3</v>
      </c>
      <c r="D3102" s="196">
        <v>0</v>
      </c>
      <c r="E3102" s="196">
        <v>0</v>
      </c>
      <c r="F3102" s="196">
        <v>0</v>
      </c>
      <c r="G3102" s="196">
        <v>-3</v>
      </c>
    </row>
    <row r="3103" spans="1:7" x14ac:dyDescent="0.3">
      <c r="A3103" s="198">
        <v>32299587</v>
      </c>
      <c r="B3103" s="192" t="s">
        <v>2060</v>
      </c>
      <c r="C3103" s="196">
        <v>-140138</v>
      </c>
      <c r="D3103" s="196">
        <v>0</v>
      </c>
      <c r="E3103" s="196">
        <v>28750</v>
      </c>
      <c r="F3103" s="196">
        <v>-28750</v>
      </c>
      <c r="G3103" s="196">
        <v>-168888</v>
      </c>
    </row>
    <row r="3104" spans="1:7" x14ac:dyDescent="0.3">
      <c r="A3104" s="198">
        <v>43972279</v>
      </c>
      <c r="B3104" s="192" t="s">
        <v>2061</v>
      </c>
      <c r="C3104" s="196">
        <v>-97368</v>
      </c>
      <c r="D3104" s="196">
        <v>0</v>
      </c>
      <c r="E3104" s="196">
        <v>46808</v>
      </c>
      <c r="F3104" s="196">
        <v>-46808</v>
      </c>
      <c r="G3104" s="196">
        <v>-144176</v>
      </c>
    </row>
    <row r="3105" spans="1:7" x14ac:dyDescent="0.3">
      <c r="A3105" s="198">
        <v>1001510696</v>
      </c>
      <c r="B3105" s="192" t="s">
        <v>2062</v>
      </c>
      <c r="C3105" s="196">
        <v>-407530</v>
      </c>
      <c r="D3105" s="196">
        <v>0</v>
      </c>
      <c r="E3105" s="196">
        <v>47687</v>
      </c>
      <c r="F3105" s="196">
        <v>-47687</v>
      </c>
      <c r="G3105" s="196">
        <v>-455217</v>
      </c>
    </row>
    <row r="3106" spans="1:7" x14ac:dyDescent="0.3">
      <c r="A3106" s="197">
        <v>251595</v>
      </c>
      <c r="B3106" s="191" t="s">
        <v>2347</v>
      </c>
      <c r="C3106" s="195">
        <v>33595731</v>
      </c>
      <c r="D3106" s="195">
        <v>0</v>
      </c>
      <c r="E3106" s="195">
        <v>0</v>
      </c>
      <c r="F3106" s="195">
        <v>0</v>
      </c>
      <c r="G3106" s="195">
        <v>33595731</v>
      </c>
    </row>
    <row r="3107" spans="1:7" x14ac:dyDescent="0.3">
      <c r="A3107" s="198">
        <v>25159501</v>
      </c>
      <c r="B3107" s="192" t="s">
        <v>2347</v>
      </c>
      <c r="C3107" s="196">
        <v>33595731</v>
      </c>
      <c r="D3107" s="196">
        <v>0</v>
      </c>
      <c r="E3107" s="196">
        <v>0</v>
      </c>
      <c r="F3107" s="196">
        <v>0</v>
      </c>
      <c r="G3107" s="196">
        <v>33595731</v>
      </c>
    </row>
    <row r="3108" spans="1:7" x14ac:dyDescent="0.3">
      <c r="A3108" s="198">
        <v>31948684</v>
      </c>
      <c r="B3108" s="192" t="s">
        <v>165</v>
      </c>
      <c r="C3108" s="196">
        <v>4048800</v>
      </c>
      <c r="D3108" s="196">
        <v>0</v>
      </c>
      <c r="E3108" s="196">
        <v>0</v>
      </c>
      <c r="F3108" s="196">
        <v>0</v>
      </c>
      <c r="G3108" s="196">
        <v>4048800</v>
      </c>
    </row>
    <row r="3109" spans="1:7" x14ac:dyDescent="0.3">
      <c r="A3109" s="198">
        <v>43685485</v>
      </c>
      <c r="B3109" s="192" t="s">
        <v>2028</v>
      </c>
      <c r="C3109" s="196">
        <v>33611</v>
      </c>
      <c r="D3109" s="196">
        <v>0</v>
      </c>
      <c r="E3109" s="196">
        <v>0</v>
      </c>
      <c r="F3109" s="196">
        <v>0</v>
      </c>
      <c r="G3109" s="196">
        <v>33611</v>
      </c>
    </row>
    <row r="3110" spans="1:7" x14ac:dyDescent="0.3">
      <c r="A3110" s="198">
        <v>32391236</v>
      </c>
      <c r="B3110" s="192" t="s">
        <v>2029</v>
      </c>
      <c r="C3110" s="196">
        <v>66000</v>
      </c>
      <c r="D3110" s="196">
        <v>0</v>
      </c>
      <c r="E3110" s="196">
        <v>0</v>
      </c>
      <c r="F3110" s="196">
        <v>0</v>
      </c>
      <c r="G3110" s="196">
        <v>66000</v>
      </c>
    </row>
    <row r="3111" spans="1:7" x14ac:dyDescent="0.3">
      <c r="A3111" s="198">
        <v>1037644962</v>
      </c>
      <c r="B3111" s="192" t="s">
        <v>260</v>
      </c>
      <c r="C3111" s="196">
        <v>80595</v>
      </c>
      <c r="D3111" s="196">
        <v>0</v>
      </c>
      <c r="E3111" s="196">
        <v>0</v>
      </c>
      <c r="F3111" s="196">
        <v>0</v>
      </c>
      <c r="G3111" s="196">
        <v>80595</v>
      </c>
    </row>
    <row r="3112" spans="1:7" x14ac:dyDescent="0.3">
      <c r="A3112" s="198">
        <v>1193166396</v>
      </c>
      <c r="B3112" s="192" t="s">
        <v>1625</v>
      </c>
      <c r="C3112" s="196">
        <v>1295477</v>
      </c>
      <c r="D3112" s="196">
        <v>0</v>
      </c>
      <c r="E3112" s="196">
        <v>0</v>
      </c>
      <c r="F3112" s="196">
        <v>0</v>
      </c>
      <c r="G3112" s="196">
        <v>1295477</v>
      </c>
    </row>
    <row r="3113" spans="1:7" x14ac:dyDescent="0.3">
      <c r="A3113" s="198">
        <v>1128393236</v>
      </c>
      <c r="B3113" s="192" t="s">
        <v>1703</v>
      </c>
      <c r="C3113" s="196">
        <v>8377</v>
      </c>
      <c r="D3113" s="196">
        <v>0</v>
      </c>
      <c r="E3113" s="196">
        <v>0</v>
      </c>
      <c r="F3113" s="196">
        <v>0</v>
      </c>
      <c r="G3113" s="196">
        <v>8377</v>
      </c>
    </row>
    <row r="3114" spans="1:7" x14ac:dyDescent="0.3">
      <c r="A3114" s="198">
        <v>1020423981</v>
      </c>
      <c r="B3114" s="192" t="s">
        <v>2030</v>
      </c>
      <c r="C3114" s="196">
        <v>786865</v>
      </c>
      <c r="D3114" s="196">
        <v>0</v>
      </c>
      <c r="E3114" s="196">
        <v>0</v>
      </c>
      <c r="F3114" s="196">
        <v>0</v>
      </c>
      <c r="G3114" s="196">
        <v>786865</v>
      </c>
    </row>
    <row r="3115" spans="1:7" x14ac:dyDescent="0.3">
      <c r="A3115" s="198">
        <v>1020489861</v>
      </c>
      <c r="B3115" s="192" t="s">
        <v>1704</v>
      </c>
      <c r="C3115" s="196">
        <v>254136</v>
      </c>
      <c r="D3115" s="196">
        <v>0</v>
      </c>
      <c r="E3115" s="196">
        <v>0</v>
      </c>
      <c r="F3115" s="196">
        <v>0</v>
      </c>
      <c r="G3115" s="196">
        <v>254136</v>
      </c>
    </row>
    <row r="3116" spans="1:7" x14ac:dyDescent="0.3">
      <c r="A3116" s="198">
        <v>1152689568</v>
      </c>
      <c r="B3116" s="192" t="s">
        <v>1705</v>
      </c>
      <c r="C3116" s="196">
        <v>973995</v>
      </c>
      <c r="D3116" s="196">
        <v>0</v>
      </c>
      <c r="E3116" s="196">
        <v>0</v>
      </c>
      <c r="F3116" s="196">
        <v>0</v>
      </c>
      <c r="G3116" s="196">
        <v>973995</v>
      </c>
    </row>
    <row r="3117" spans="1:7" x14ac:dyDescent="0.3">
      <c r="A3117" s="198">
        <v>1037266322</v>
      </c>
      <c r="B3117" s="192" t="s">
        <v>2031</v>
      </c>
      <c r="C3117" s="196">
        <v>38908</v>
      </c>
      <c r="D3117" s="196">
        <v>0</v>
      </c>
      <c r="E3117" s="196">
        <v>0</v>
      </c>
      <c r="F3117" s="196">
        <v>0</v>
      </c>
      <c r="G3117" s="196">
        <v>38908</v>
      </c>
    </row>
    <row r="3118" spans="1:7" x14ac:dyDescent="0.3">
      <c r="A3118" s="198">
        <v>32144343</v>
      </c>
      <c r="B3118" s="192" t="s">
        <v>1706</v>
      </c>
      <c r="C3118" s="196">
        <v>503717</v>
      </c>
      <c r="D3118" s="196">
        <v>0</v>
      </c>
      <c r="E3118" s="196">
        <v>0</v>
      </c>
      <c r="F3118" s="196">
        <v>0</v>
      </c>
      <c r="G3118" s="196">
        <v>503717</v>
      </c>
    </row>
    <row r="3119" spans="1:7" x14ac:dyDescent="0.3">
      <c r="A3119" s="198">
        <v>1037583982</v>
      </c>
      <c r="B3119" s="192" t="s">
        <v>1798</v>
      </c>
      <c r="C3119" s="196">
        <v>943583</v>
      </c>
      <c r="D3119" s="196">
        <v>0</v>
      </c>
      <c r="E3119" s="196">
        <v>0</v>
      </c>
      <c r="F3119" s="196">
        <v>0</v>
      </c>
      <c r="G3119" s="196">
        <v>943583</v>
      </c>
    </row>
    <row r="3120" spans="1:7" x14ac:dyDescent="0.3">
      <c r="A3120" s="198">
        <v>1017266622</v>
      </c>
      <c r="B3120" s="192" t="s">
        <v>1707</v>
      </c>
      <c r="C3120" s="196">
        <v>412324</v>
      </c>
      <c r="D3120" s="196">
        <v>0</v>
      </c>
      <c r="E3120" s="196">
        <v>0</v>
      </c>
      <c r="F3120" s="196">
        <v>0</v>
      </c>
      <c r="G3120" s="196">
        <v>412324</v>
      </c>
    </row>
    <row r="3121" spans="1:7" x14ac:dyDescent="0.3">
      <c r="A3121" s="198">
        <v>1041229735</v>
      </c>
      <c r="B3121" s="192" t="s">
        <v>2033</v>
      </c>
      <c r="C3121" s="196">
        <v>145656</v>
      </c>
      <c r="D3121" s="196">
        <v>0</v>
      </c>
      <c r="E3121" s="196">
        <v>0</v>
      </c>
      <c r="F3121" s="196">
        <v>0</v>
      </c>
      <c r="G3121" s="196">
        <v>145656</v>
      </c>
    </row>
    <row r="3122" spans="1:7" x14ac:dyDescent="0.3">
      <c r="A3122" s="198">
        <v>1036641303</v>
      </c>
      <c r="B3122" s="192" t="s">
        <v>2034</v>
      </c>
      <c r="C3122" s="196">
        <v>970955</v>
      </c>
      <c r="D3122" s="196">
        <v>0</v>
      </c>
      <c r="E3122" s="196">
        <v>0</v>
      </c>
      <c r="F3122" s="196">
        <v>0</v>
      </c>
      <c r="G3122" s="196">
        <v>970955</v>
      </c>
    </row>
    <row r="3123" spans="1:7" x14ac:dyDescent="0.3">
      <c r="A3123" s="198">
        <v>1037570707</v>
      </c>
      <c r="B3123" s="192" t="s">
        <v>1677</v>
      </c>
      <c r="C3123" s="196">
        <v>1463123</v>
      </c>
      <c r="D3123" s="196">
        <v>0</v>
      </c>
      <c r="E3123" s="196">
        <v>0</v>
      </c>
      <c r="F3123" s="196">
        <v>0</v>
      </c>
      <c r="G3123" s="196">
        <v>1463123</v>
      </c>
    </row>
    <row r="3124" spans="1:7" x14ac:dyDescent="0.3">
      <c r="A3124" s="198">
        <v>43190602</v>
      </c>
      <c r="B3124" s="192" t="s">
        <v>1708</v>
      </c>
      <c r="C3124" s="196">
        <v>178430</v>
      </c>
      <c r="D3124" s="196">
        <v>0</v>
      </c>
      <c r="E3124" s="196">
        <v>0</v>
      </c>
      <c r="F3124" s="196">
        <v>0</v>
      </c>
      <c r="G3124" s="196">
        <v>178430</v>
      </c>
    </row>
    <row r="3125" spans="1:7" x14ac:dyDescent="0.3">
      <c r="A3125" s="198">
        <v>43113995</v>
      </c>
      <c r="B3125" s="192" t="s">
        <v>2324</v>
      </c>
      <c r="C3125" s="196">
        <v>8107</v>
      </c>
      <c r="D3125" s="196">
        <v>0</v>
      </c>
      <c r="E3125" s="196">
        <v>0</v>
      </c>
      <c r="F3125" s="196">
        <v>0</v>
      </c>
      <c r="G3125" s="196">
        <v>8107</v>
      </c>
    </row>
    <row r="3126" spans="1:7" x14ac:dyDescent="0.3">
      <c r="A3126" s="198">
        <v>3901013</v>
      </c>
      <c r="B3126" s="192" t="s">
        <v>1709</v>
      </c>
      <c r="C3126" s="196">
        <v>2057400</v>
      </c>
      <c r="D3126" s="196">
        <v>0</v>
      </c>
      <c r="E3126" s="196">
        <v>0</v>
      </c>
      <c r="F3126" s="196">
        <v>0</v>
      </c>
      <c r="G3126" s="196">
        <v>2057400</v>
      </c>
    </row>
    <row r="3127" spans="1:7" x14ac:dyDescent="0.3">
      <c r="A3127" s="198">
        <v>1216716838</v>
      </c>
      <c r="B3127" s="192" t="s">
        <v>2036</v>
      </c>
      <c r="C3127" s="196">
        <v>175657</v>
      </c>
      <c r="D3127" s="196">
        <v>0</v>
      </c>
      <c r="E3127" s="196">
        <v>0</v>
      </c>
      <c r="F3127" s="196">
        <v>0</v>
      </c>
      <c r="G3127" s="196">
        <v>175657</v>
      </c>
    </row>
    <row r="3128" spans="1:7" x14ac:dyDescent="0.3">
      <c r="A3128" s="198">
        <v>1152197675</v>
      </c>
      <c r="B3128" s="192" t="s">
        <v>2325</v>
      </c>
      <c r="C3128" s="196">
        <v>211041</v>
      </c>
      <c r="D3128" s="196">
        <v>0</v>
      </c>
      <c r="E3128" s="196">
        <v>0</v>
      </c>
      <c r="F3128" s="196">
        <v>0</v>
      </c>
      <c r="G3128" s="196">
        <v>211041</v>
      </c>
    </row>
    <row r="3129" spans="1:7" x14ac:dyDescent="0.3">
      <c r="A3129" s="198">
        <v>43605890</v>
      </c>
      <c r="B3129" s="192" t="s">
        <v>565</v>
      </c>
      <c r="C3129" s="196">
        <v>1268904</v>
      </c>
      <c r="D3129" s="196">
        <v>0</v>
      </c>
      <c r="E3129" s="196">
        <v>0</v>
      </c>
      <c r="F3129" s="196">
        <v>0</v>
      </c>
      <c r="G3129" s="196">
        <v>1268904</v>
      </c>
    </row>
    <row r="3130" spans="1:7" x14ac:dyDescent="0.3">
      <c r="A3130" s="198">
        <v>1007045790</v>
      </c>
      <c r="B3130" s="192" t="s">
        <v>2326</v>
      </c>
      <c r="C3130" s="196">
        <v>925387</v>
      </c>
      <c r="D3130" s="196">
        <v>0</v>
      </c>
      <c r="E3130" s="196">
        <v>0</v>
      </c>
      <c r="F3130" s="196">
        <v>0</v>
      </c>
      <c r="G3130" s="196">
        <v>925387</v>
      </c>
    </row>
    <row r="3131" spans="1:7" x14ac:dyDescent="0.3">
      <c r="A3131" s="198">
        <v>1036685923</v>
      </c>
      <c r="B3131" s="192" t="s">
        <v>1710</v>
      </c>
      <c r="C3131" s="196">
        <v>192000</v>
      </c>
      <c r="D3131" s="196">
        <v>0</v>
      </c>
      <c r="E3131" s="196">
        <v>0</v>
      </c>
      <c r="F3131" s="196">
        <v>0</v>
      </c>
      <c r="G3131" s="196">
        <v>192000</v>
      </c>
    </row>
    <row r="3132" spans="1:7" x14ac:dyDescent="0.3">
      <c r="A3132" s="198">
        <v>1020486802</v>
      </c>
      <c r="B3132" s="192" t="s">
        <v>2327</v>
      </c>
      <c r="C3132" s="196">
        <v>15306</v>
      </c>
      <c r="D3132" s="196">
        <v>0</v>
      </c>
      <c r="E3132" s="196">
        <v>0</v>
      </c>
      <c r="F3132" s="196">
        <v>0</v>
      </c>
      <c r="G3132" s="196">
        <v>15306</v>
      </c>
    </row>
    <row r="3133" spans="1:7" x14ac:dyDescent="0.3">
      <c r="A3133" s="198">
        <v>32108182</v>
      </c>
      <c r="B3133" s="192" t="s">
        <v>2076</v>
      </c>
      <c r="C3133" s="196">
        <v>24969</v>
      </c>
      <c r="D3133" s="196">
        <v>0</v>
      </c>
      <c r="E3133" s="196">
        <v>0</v>
      </c>
      <c r="F3133" s="196">
        <v>0</v>
      </c>
      <c r="G3133" s="196">
        <v>24969</v>
      </c>
    </row>
    <row r="3134" spans="1:7" x14ac:dyDescent="0.3">
      <c r="A3134" s="198">
        <v>71526513</v>
      </c>
      <c r="B3134" s="192" t="s">
        <v>1643</v>
      </c>
      <c r="C3134" s="196">
        <v>919243</v>
      </c>
      <c r="D3134" s="196">
        <v>0</v>
      </c>
      <c r="E3134" s="196">
        <v>0</v>
      </c>
      <c r="F3134" s="196">
        <v>0</v>
      </c>
      <c r="G3134" s="196">
        <v>919243</v>
      </c>
    </row>
    <row r="3135" spans="1:7" x14ac:dyDescent="0.3">
      <c r="A3135" s="198">
        <v>9977388</v>
      </c>
      <c r="B3135" s="192" t="s">
        <v>2328</v>
      </c>
      <c r="C3135" s="196">
        <v>1464467</v>
      </c>
      <c r="D3135" s="196">
        <v>0</v>
      </c>
      <c r="E3135" s="196">
        <v>0</v>
      </c>
      <c r="F3135" s="196">
        <v>0</v>
      </c>
      <c r="G3135" s="196">
        <v>1464467</v>
      </c>
    </row>
    <row r="3136" spans="1:7" x14ac:dyDescent="0.3">
      <c r="A3136" s="198">
        <v>1042458852</v>
      </c>
      <c r="B3136" s="192" t="s">
        <v>1711</v>
      </c>
      <c r="C3136" s="196">
        <v>1038631</v>
      </c>
      <c r="D3136" s="196">
        <v>0</v>
      </c>
      <c r="E3136" s="196">
        <v>0</v>
      </c>
      <c r="F3136" s="196">
        <v>0</v>
      </c>
      <c r="G3136" s="196">
        <v>1038631</v>
      </c>
    </row>
    <row r="3137" spans="1:7" x14ac:dyDescent="0.3">
      <c r="A3137" s="198">
        <v>1017194194</v>
      </c>
      <c r="B3137" s="192" t="s">
        <v>2157</v>
      </c>
      <c r="C3137" s="196">
        <v>865119</v>
      </c>
      <c r="D3137" s="196">
        <v>0</v>
      </c>
      <c r="E3137" s="196">
        <v>0</v>
      </c>
      <c r="F3137" s="196">
        <v>0</v>
      </c>
      <c r="G3137" s="196">
        <v>865119</v>
      </c>
    </row>
    <row r="3138" spans="1:7" x14ac:dyDescent="0.3">
      <c r="A3138" s="198">
        <v>1020426876</v>
      </c>
      <c r="B3138" s="192" t="s">
        <v>2329</v>
      </c>
      <c r="C3138" s="196">
        <v>201445</v>
      </c>
      <c r="D3138" s="196">
        <v>0</v>
      </c>
      <c r="E3138" s="196">
        <v>0</v>
      </c>
      <c r="F3138" s="196">
        <v>0</v>
      </c>
      <c r="G3138" s="196">
        <v>201445</v>
      </c>
    </row>
    <row r="3139" spans="1:7" x14ac:dyDescent="0.3">
      <c r="A3139" s="198">
        <v>1126423558</v>
      </c>
      <c r="B3139" s="192" t="s">
        <v>2159</v>
      </c>
      <c r="C3139" s="196">
        <v>379343</v>
      </c>
      <c r="D3139" s="196">
        <v>0</v>
      </c>
      <c r="E3139" s="196">
        <v>0</v>
      </c>
      <c r="F3139" s="196">
        <v>0</v>
      </c>
      <c r="G3139" s="196">
        <v>379343</v>
      </c>
    </row>
    <row r="3140" spans="1:7" x14ac:dyDescent="0.3">
      <c r="A3140" s="198">
        <v>1093744869</v>
      </c>
      <c r="B3140" s="192" t="s">
        <v>1906</v>
      </c>
      <c r="C3140" s="196">
        <v>510414</v>
      </c>
      <c r="D3140" s="196">
        <v>0</v>
      </c>
      <c r="E3140" s="196">
        <v>0</v>
      </c>
      <c r="F3140" s="196">
        <v>0</v>
      </c>
      <c r="G3140" s="196">
        <v>510414</v>
      </c>
    </row>
    <row r="3141" spans="1:7" x14ac:dyDescent="0.3">
      <c r="A3141" s="198">
        <v>1007551247</v>
      </c>
      <c r="B3141" s="192" t="s">
        <v>1712</v>
      </c>
      <c r="C3141" s="196">
        <v>853877</v>
      </c>
      <c r="D3141" s="196">
        <v>0</v>
      </c>
      <c r="E3141" s="196">
        <v>0</v>
      </c>
      <c r="F3141" s="196">
        <v>0</v>
      </c>
      <c r="G3141" s="196">
        <v>853877</v>
      </c>
    </row>
    <row r="3142" spans="1:7" x14ac:dyDescent="0.3">
      <c r="A3142" s="198">
        <v>1036679554</v>
      </c>
      <c r="B3142" s="192" t="s">
        <v>2064</v>
      </c>
      <c r="C3142" s="196">
        <v>284153</v>
      </c>
      <c r="D3142" s="196">
        <v>0</v>
      </c>
      <c r="E3142" s="196">
        <v>0</v>
      </c>
      <c r="F3142" s="196">
        <v>0</v>
      </c>
      <c r="G3142" s="196">
        <v>284153</v>
      </c>
    </row>
    <row r="3143" spans="1:7" x14ac:dyDescent="0.3">
      <c r="A3143" s="198">
        <v>71222364</v>
      </c>
      <c r="B3143" s="192" t="s">
        <v>2330</v>
      </c>
      <c r="C3143" s="196">
        <v>40741</v>
      </c>
      <c r="D3143" s="196">
        <v>0</v>
      </c>
      <c r="E3143" s="196">
        <v>0</v>
      </c>
      <c r="F3143" s="196">
        <v>0</v>
      </c>
      <c r="G3143" s="196">
        <v>40741</v>
      </c>
    </row>
    <row r="3144" spans="1:7" x14ac:dyDescent="0.3">
      <c r="A3144" s="198">
        <v>1127953609</v>
      </c>
      <c r="B3144" s="192" t="s">
        <v>2038</v>
      </c>
      <c r="C3144" s="196">
        <v>34548</v>
      </c>
      <c r="D3144" s="196">
        <v>0</v>
      </c>
      <c r="E3144" s="196">
        <v>0</v>
      </c>
      <c r="F3144" s="196">
        <v>0</v>
      </c>
      <c r="G3144" s="196">
        <v>34548</v>
      </c>
    </row>
    <row r="3145" spans="1:7" x14ac:dyDescent="0.3">
      <c r="A3145" s="198">
        <v>1152440998</v>
      </c>
      <c r="B3145" s="192" t="s">
        <v>2039</v>
      </c>
      <c r="C3145" s="196">
        <v>83893</v>
      </c>
      <c r="D3145" s="196">
        <v>0</v>
      </c>
      <c r="E3145" s="196">
        <v>0</v>
      </c>
      <c r="F3145" s="196">
        <v>0</v>
      </c>
      <c r="G3145" s="196">
        <v>83893</v>
      </c>
    </row>
    <row r="3146" spans="1:7" x14ac:dyDescent="0.3">
      <c r="A3146" s="198">
        <v>1216723387</v>
      </c>
      <c r="B3146" s="192" t="s">
        <v>1713</v>
      </c>
      <c r="C3146" s="196">
        <v>773390</v>
      </c>
      <c r="D3146" s="196">
        <v>0</v>
      </c>
      <c r="E3146" s="196">
        <v>0</v>
      </c>
      <c r="F3146" s="196">
        <v>0</v>
      </c>
      <c r="G3146" s="196">
        <v>773390</v>
      </c>
    </row>
    <row r="3147" spans="1:7" x14ac:dyDescent="0.3">
      <c r="A3147" s="198">
        <v>1037589764</v>
      </c>
      <c r="B3147" s="192" t="s">
        <v>2331</v>
      </c>
      <c r="C3147" s="196">
        <v>147542</v>
      </c>
      <c r="D3147" s="196">
        <v>0</v>
      </c>
      <c r="E3147" s="196">
        <v>0</v>
      </c>
      <c r="F3147" s="196">
        <v>0</v>
      </c>
      <c r="G3147" s="196">
        <v>147542</v>
      </c>
    </row>
    <row r="3148" spans="1:7" x14ac:dyDescent="0.3">
      <c r="A3148" s="198">
        <v>1040752245</v>
      </c>
      <c r="B3148" s="192" t="s">
        <v>1678</v>
      </c>
      <c r="C3148" s="196">
        <v>283965</v>
      </c>
      <c r="D3148" s="196">
        <v>0</v>
      </c>
      <c r="E3148" s="196">
        <v>0</v>
      </c>
      <c r="F3148" s="196">
        <v>0</v>
      </c>
      <c r="G3148" s="196">
        <v>283965</v>
      </c>
    </row>
    <row r="3149" spans="1:7" x14ac:dyDescent="0.3">
      <c r="A3149" s="198">
        <v>1036677041</v>
      </c>
      <c r="B3149" s="192" t="s">
        <v>2332</v>
      </c>
      <c r="C3149" s="196">
        <v>163931</v>
      </c>
      <c r="D3149" s="196">
        <v>0</v>
      </c>
      <c r="E3149" s="196">
        <v>0</v>
      </c>
      <c r="F3149" s="196">
        <v>0</v>
      </c>
      <c r="G3149" s="196">
        <v>163931</v>
      </c>
    </row>
    <row r="3150" spans="1:7" x14ac:dyDescent="0.3">
      <c r="A3150" s="198">
        <v>1037636353</v>
      </c>
      <c r="B3150" s="192" t="s">
        <v>2042</v>
      </c>
      <c r="C3150" s="196">
        <v>66389</v>
      </c>
      <c r="D3150" s="196">
        <v>0</v>
      </c>
      <c r="E3150" s="196">
        <v>0</v>
      </c>
      <c r="F3150" s="196">
        <v>0</v>
      </c>
      <c r="G3150" s="196">
        <v>66389</v>
      </c>
    </row>
    <row r="3151" spans="1:7" x14ac:dyDescent="0.3">
      <c r="A3151" s="198">
        <v>1038418006</v>
      </c>
      <c r="B3151" s="192" t="s">
        <v>2333</v>
      </c>
      <c r="C3151" s="196">
        <v>15951</v>
      </c>
      <c r="D3151" s="196">
        <v>0</v>
      </c>
      <c r="E3151" s="196">
        <v>0</v>
      </c>
      <c r="F3151" s="196">
        <v>0</v>
      </c>
      <c r="G3151" s="196">
        <v>15951</v>
      </c>
    </row>
    <row r="3152" spans="1:7" x14ac:dyDescent="0.3">
      <c r="A3152" s="198">
        <v>6549128</v>
      </c>
      <c r="B3152" s="192" t="s">
        <v>2043</v>
      </c>
      <c r="C3152" s="196">
        <v>137500</v>
      </c>
      <c r="D3152" s="196">
        <v>0</v>
      </c>
      <c r="E3152" s="196">
        <v>0</v>
      </c>
      <c r="F3152" s="196">
        <v>0</v>
      </c>
      <c r="G3152" s="196">
        <v>137500</v>
      </c>
    </row>
    <row r="3153" spans="1:7" x14ac:dyDescent="0.3">
      <c r="A3153" s="198">
        <v>32296772</v>
      </c>
      <c r="B3153" s="192" t="s">
        <v>2334</v>
      </c>
      <c r="C3153" s="196">
        <v>1594</v>
      </c>
      <c r="D3153" s="196">
        <v>0</v>
      </c>
      <c r="E3153" s="196">
        <v>0</v>
      </c>
      <c r="F3153" s="196">
        <v>0</v>
      </c>
      <c r="G3153" s="196">
        <v>1594</v>
      </c>
    </row>
    <row r="3154" spans="1:7" x14ac:dyDescent="0.3">
      <c r="A3154" s="198">
        <v>1128385262</v>
      </c>
      <c r="B3154" s="192" t="s">
        <v>1714</v>
      </c>
      <c r="C3154" s="196">
        <v>56983</v>
      </c>
      <c r="D3154" s="196">
        <v>0</v>
      </c>
      <c r="E3154" s="196">
        <v>0</v>
      </c>
      <c r="F3154" s="196">
        <v>0</v>
      </c>
      <c r="G3154" s="196">
        <v>56983</v>
      </c>
    </row>
    <row r="3155" spans="1:7" x14ac:dyDescent="0.3">
      <c r="A3155" s="198">
        <v>1020490983</v>
      </c>
      <c r="B3155" s="192" t="s">
        <v>2335</v>
      </c>
      <c r="C3155" s="196">
        <v>55288</v>
      </c>
      <c r="D3155" s="196">
        <v>0</v>
      </c>
      <c r="E3155" s="196">
        <v>0</v>
      </c>
      <c r="F3155" s="196">
        <v>0</v>
      </c>
      <c r="G3155" s="196">
        <v>55288</v>
      </c>
    </row>
    <row r="3156" spans="1:7" x14ac:dyDescent="0.3">
      <c r="A3156" s="198">
        <v>1000646763</v>
      </c>
      <c r="B3156" s="192" t="s">
        <v>2044</v>
      </c>
      <c r="C3156" s="196">
        <v>401184</v>
      </c>
      <c r="D3156" s="196">
        <v>0</v>
      </c>
      <c r="E3156" s="196">
        <v>0</v>
      </c>
      <c r="F3156" s="196">
        <v>0</v>
      </c>
      <c r="G3156" s="196">
        <v>401184</v>
      </c>
    </row>
    <row r="3157" spans="1:7" x14ac:dyDescent="0.3">
      <c r="A3157" s="198">
        <v>1039464277</v>
      </c>
      <c r="B3157" s="192" t="s">
        <v>2336</v>
      </c>
      <c r="C3157" s="196">
        <v>5663</v>
      </c>
      <c r="D3157" s="196">
        <v>0</v>
      </c>
      <c r="E3157" s="196">
        <v>0</v>
      </c>
      <c r="F3157" s="196">
        <v>0</v>
      </c>
      <c r="G3157" s="196">
        <v>5663</v>
      </c>
    </row>
    <row r="3158" spans="1:7" x14ac:dyDescent="0.3">
      <c r="A3158" s="198">
        <v>32554996</v>
      </c>
      <c r="B3158" s="192" t="s">
        <v>2045</v>
      </c>
      <c r="C3158" s="196">
        <v>119</v>
      </c>
      <c r="D3158" s="196">
        <v>0</v>
      </c>
      <c r="E3158" s="196">
        <v>0</v>
      </c>
      <c r="F3158" s="196">
        <v>0</v>
      </c>
      <c r="G3158" s="196">
        <v>119</v>
      </c>
    </row>
    <row r="3159" spans="1:7" x14ac:dyDescent="0.3">
      <c r="A3159" s="198">
        <v>1035858442</v>
      </c>
      <c r="B3159" s="192" t="s">
        <v>1927</v>
      </c>
      <c r="C3159" s="196">
        <v>879026</v>
      </c>
      <c r="D3159" s="196">
        <v>0</v>
      </c>
      <c r="E3159" s="196">
        <v>0</v>
      </c>
      <c r="F3159" s="196">
        <v>0</v>
      </c>
      <c r="G3159" s="196">
        <v>879026</v>
      </c>
    </row>
    <row r="3160" spans="1:7" x14ac:dyDescent="0.3">
      <c r="A3160" s="198">
        <v>1020488916</v>
      </c>
      <c r="B3160" s="192" t="s">
        <v>2337</v>
      </c>
      <c r="C3160" s="196">
        <v>77599</v>
      </c>
      <c r="D3160" s="196">
        <v>0</v>
      </c>
      <c r="E3160" s="196">
        <v>0</v>
      </c>
      <c r="F3160" s="196">
        <v>0</v>
      </c>
      <c r="G3160" s="196">
        <v>77599</v>
      </c>
    </row>
    <row r="3161" spans="1:7" x14ac:dyDescent="0.3">
      <c r="A3161" s="198">
        <v>1127941774</v>
      </c>
      <c r="B3161" s="192" t="s">
        <v>2338</v>
      </c>
      <c r="C3161" s="196">
        <v>75938</v>
      </c>
      <c r="D3161" s="196">
        <v>0</v>
      </c>
      <c r="E3161" s="196">
        <v>0</v>
      </c>
      <c r="F3161" s="196">
        <v>0</v>
      </c>
      <c r="G3161" s="196">
        <v>75938</v>
      </c>
    </row>
    <row r="3162" spans="1:7" x14ac:dyDescent="0.3">
      <c r="A3162" s="198">
        <v>1036639954</v>
      </c>
      <c r="B3162" s="192" t="s">
        <v>2047</v>
      </c>
      <c r="C3162" s="196">
        <v>3811</v>
      </c>
      <c r="D3162" s="196">
        <v>0</v>
      </c>
      <c r="E3162" s="196">
        <v>0</v>
      </c>
      <c r="F3162" s="196">
        <v>0</v>
      </c>
      <c r="G3162" s="196">
        <v>3811</v>
      </c>
    </row>
    <row r="3163" spans="1:7" x14ac:dyDescent="0.3">
      <c r="A3163" s="198">
        <v>43843451</v>
      </c>
      <c r="B3163" s="192" t="s">
        <v>2048</v>
      </c>
      <c r="C3163" s="196">
        <v>1027001</v>
      </c>
      <c r="D3163" s="196">
        <v>0</v>
      </c>
      <c r="E3163" s="196">
        <v>0</v>
      </c>
      <c r="F3163" s="196">
        <v>0</v>
      </c>
      <c r="G3163" s="196">
        <v>1027001</v>
      </c>
    </row>
    <row r="3164" spans="1:7" x14ac:dyDescent="0.3">
      <c r="A3164" s="198">
        <v>39355612</v>
      </c>
      <c r="B3164" s="192" t="s">
        <v>2077</v>
      </c>
      <c r="C3164" s="196">
        <v>257746</v>
      </c>
      <c r="D3164" s="196">
        <v>0</v>
      </c>
      <c r="E3164" s="196">
        <v>0</v>
      </c>
      <c r="F3164" s="196">
        <v>0</v>
      </c>
      <c r="G3164" s="196">
        <v>257746</v>
      </c>
    </row>
    <row r="3165" spans="1:7" x14ac:dyDescent="0.3">
      <c r="A3165" s="198">
        <v>98522586</v>
      </c>
      <c r="B3165" s="192" t="s">
        <v>2339</v>
      </c>
      <c r="C3165" s="196">
        <v>3166</v>
      </c>
      <c r="D3165" s="196">
        <v>0</v>
      </c>
      <c r="E3165" s="196">
        <v>0</v>
      </c>
      <c r="F3165" s="196">
        <v>0</v>
      </c>
      <c r="G3165" s="196">
        <v>3166</v>
      </c>
    </row>
    <row r="3166" spans="1:7" x14ac:dyDescent="0.3">
      <c r="A3166" s="198">
        <v>1027740123</v>
      </c>
      <c r="B3166" s="192" t="s">
        <v>1928</v>
      </c>
      <c r="C3166" s="196">
        <v>177001</v>
      </c>
      <c r="D3166" s="196">
        <v>0</v>
      </c>
      <c r="E3166" s="196">
        <v>0</v>
      </c>
      <c r="F3166" s="196">
        <v>0</v>
      </c>
      <c r="G3166" s="196">
        <v>177001</v>
      </c>
    </row>
    <row r="3167" spans="1:7" x14ac:dyDescent="0.3">
      <c r="A3167" s="198">
        <v>43256222</v>
      </c>
      <c r="B3167" s="192" t="s">
        <v>2049</v>
      </c>
      <c r="C3167" s="196">
        <v>243329</v>
      </c>
      <c r="D3167" s="196">
        <v>0</v>
      </c>
      <c r="E3167" s="196">
        <v>0</v>
      </c>
      <c r="F3167" s="196">
        <v>0</v>
      </c>
      <c r="G3167" s="196">
        <v>243329</v>
      </c>
    </row>
    <row r="3168" spans="1:7" x14ac:dyDescent="0.3">
      <c r="A3168" s="198">
        <v>1017284611</v>
      </c>
      <c r="B3168" s="192" t="s">
        <v>1715</v>
      </c>
      <c r="C3168" s="196">
        <v>322012</v>
      </c>
      <c r="D3168" s="196">
        <v>0</v>
      </c>
      <c r="E3168" s="196">
        <v>0</v>
      </c>
      <c r="F3168" s="196">
        <v>0</v>
      </c>
      <c r="G3168" s="196">
        <v>322012</v>
      </c>
    </row>
    <row r="3169" spans="1:7" x14ac:dyDescent="0.3">
      <c r="A3169" s="198">
        <v>1214732908</v>
      </c>
      <c r="B3169" s="192" t="s">
        <v>1263</v>
      </c>
      <c r="C3169" s="196">
        <v>148307</v>
      </c>
      <c r="D3169" s="196">
        <v>0</v>
      </c>
      <c r="E3169" s="196">
        <v>0</v>
      </c>
      <c r="F3169" s="196">
        <v>0</v>
      </c>
      <c r="G3169" s="196">
        <v>148307</v>
      </c>
    </row>
    <row r="3170" spans="1:7" x14ac:dyDescent="0.3">
      <c r="A3170" s="198">
        <v>574816</v>
      </c>
      <c r="B3170" s="192" t="s">
        <v>2078</v>
      </c>
      <c r="C3170" s="196">
        <v>597039</v>
      </c>
      <c r="D3170" s="196">
        <v>0</v>
      </c>
      <c r="E3170" s="196">
        <v>0</v>
      </c>
      <c r="F3170" s="196">
        <v>0</v>
      </c>
      <c r="G3170" s="196">
        <v>597039</v>
      </c>
    </row>
    <row r="3171" spans="1:7" x14ac:dyDescent="0.3">
      <c r="A3171" s="198">
        <v>1214732527</v>
      </c>
      <c r="B3171" s="192" t="s">
        <v>1983</v>
      </c>
      <c r="C3171" s="196">
        <v>821317</v>
      </c>
      <c r="D3171" s="196">
        <v>0</v>
      </c>
      <c r="E3171" s="196">
        <v>0</v>
      </c>
      <c r="F3171" s="196">
        <v>0</v>
      </c>
      <c r="G3171" s="196">
        <v>821317</v>
      </c>
    </row>
    <row r="3172" spans="1:7" x14ac:dyDescent="0.3">
      <c r="A3172" s="198">
        <v>4550437</v>
      </c>
      <c r="B3172" s="192" t="s">
        <v>2340</v>
      </c>
      <c r="C3172" s="196">
        <v>141</v>
      </c>
      <c r="D3172" s="196">
        <v>0</v>
      </c>
      <c r="E3172" s="196">
        <v>0</v>
      </c>
      <c r="F3172" s="196">
        <v>0</v>
      </c>
      <c r="G3172" s="196">
        <v>141</v>
      </c>
    </row>
    <row r="3173" spans="1:7" x14ac:dyDescent="0.3">
      <c r="A3173" s="198">
        <v>43550437</v>
      </c>
      <c r="B3173" s="192" t="s">
        <v>1936</v>
      </c>
      <c r="C3173" s="196">
        <v>132148</v>
      </c>
      <c r="D3173" s="196">
        <v>0</v>
      </c>
      <c r="E3173" s="196">
        <v>0</v>
      </c>
      <c r="F3173" s="196">
        <v>0</v>
      </c>
      <c r="G3173" s="196">
        <v>132148</v>
      </c>
    </row>
    <row r="3174" spans="1:7" x14ac:dyDescent="0.3">
      <c r="A3174" s="198">
        <v>43597511</v>
      </c>
      <c r="B3174" s="192" t="s">
        <v>2051</v>
      </c>
      <c r="C3174" s="196">
        <v>125536</v>
      </c>
      <c r="D3174" s="196">
        <v>0</v>
      </c>
      <c r="E3174" s="196">
        <v>0</v>
      </c>
      <c r="F3174" s="196">
        <v>0</v>
      </c>
      <c r="G3174" s="196">
        <v>125536</v>
      </c>
    </row>
    <row r="3175" spans="1:7" x14ac:dyDescent="0.3">
      <c r="A3175" s="198">
        <v>71212982</v>
      </c>
      <c r="B3175" s="192" t="s">
        <v>2341</v>
      </c>
      <c r="C3175" s="196">
        <v>155470</v>
      </c>
      <c r="D3175" s="196">
        <v>0</v>
      </c>
      <c r="E3175" s="196">
        <v>0</v>
      </c>
      <c r="F3175" s="196">
        <v>0</v>
      </c>
      <c r="G3175" s="196">
        <v>155470</v>
      </c>
    </row>
    <row r="3176" spans="1:7" x14ac:dyDescent="0.3">
      <c r="A3176" s="198">
        <v>1126429974</v>
      </c>
      <c r="B3176" s="192" t="s">
        <v>2342</v>
      </c>
      <c r="C3176" s="196">
        <v>3892</v>
      </c>
      <c r="D3176" s="196">
        <v>0</v>
      </c>
      <c r="E3176" s="196">
        <v>0</v>
      </c>
      <c r="F3176" s="196">
        <v>0</v>
      </c>
      <c r="G3176" s="196">
        <v>3892</v>
      </c>
    </row>
    <row r="3177" spans="1:7" x14ac:dyDescent="0.3">
      <c r="A3177" s="198">
        <v>809106</v>
      </c>
      <c r="B3177" s="192" t="s">
        <v>1680</v>
      </c>
      <c r="C3177" s="196">
        <v>167241</v>
      </c>
      <c r="D3177" s="196">
        <v>0</v>
      </c>
      <c r="E3177" s="196">
        <v>0</v>
      </c>
      <c r="F3177" s="196">
        <v>0</v>
      </c>
      <c r="G3177" s="196">
        <v>167241</v>
      </c>
    </row>
    <row r="3178" spans="1:7" x14ac:dyDescent="0.3">
      <c r="A3178" s="198">
        <v>1028042115</v>
      </c>
      <c r="B3178" s="192" t="s">
        <v>2067</v>
      </c>
      <c r="C3178" s="196">
        <v>15796</v>
      </c>
      <c r="D3178" s="196">
        <v>0</v>
      </c>
      <c r="E3178" s="196">
        <v>0</v>
      </c>
      <c r="F3178" s="196">
        <v>0</v>
      </c>
      <c r="G3178" s="196">
        <v>15796</v>
      </c>
    </row>
    <row r="3179" spans="1:7" x14ac:dyDescent="0.3">
      <c r="A3179" s="198">
        <v>1035854432</v>
      </c>
      <c r="B3179" s="192" t="s">
        <v>2054</v>
      </c>
      <c r="C3179" s="196">
        <v>38521</v>
      </c>
      <c r="D3179" s="196">
        <v>0</v>
      </c>
      <c r="E3179" s="196">
        <v>0</v>
      </c>
      <c r="F3179" s="196">
        <v>0</v>
      </c>
      <c r="G3179" s="196">
        <v>38521</v>
      </c>
    </row>
    <row r="3180" spans="1:7" x14ac:dyDescent="0.3">
      <c r="A3180" s="198">
        <v>1020420887</v>
      </c>
      <c r="B3180" s="192" t="s">
        <v>2343</v>
      </c>
      <c r="C3180" s="196">
        <v>176737</v>
      </c>
      <c r="D3180" s="196">
        <v>0</v>
      </c>
      <c r="E3180" s="196">
        <v>0</v>
      </c>
      <c r="F3180" s="196">
        <v>0</v>
      </c>
      <c r="G3180" s="196">
        <v>176737</v>
      </c>
    </row>
    <row r="3181" spans="1:7" x14ac:dyDescent="0.3">
      <c r="A3181" s="198">
        <v>1040748779</v>
      </c>
      <c r="B3181" s="192" t="s">
        <v>2055</v>
      </c>
      <c r="C3181" s="196">
        <v>623237</v>
      </c>
      <c r="D3181" s="196">
        <v>0</v>
      </c>
      <c r="E3181" s="196">
        <v>0</v>
      </c>
      <c r="F3181" s="196">
        <v>0</v>
      </c>
      <c r="G3181" s="196">
        <v>623237</v>
      </c>
    </row>
    <row r="3182" spans="1:7" x14ac:dyDescent="0.3">
      <c r="A3182" s="198">
        <v>1152207950</v>
      </c>
      <c r="B3182" s="192" t="s">
        <v>2056</v>
      </c>
      <c r="C3182" s="196">
        <v>41947</v>
      </c>
      <c r="D3182" s="196">
        <v>0</v>
      </c>
      <c r="E3182" s="196">
        <v>0</v>
      </c>
      <c r="F3182" s="196">
        <v>0</v>
      </c>
      <c r="G3182" s="196">
        <v>41947</v>
      </c>
    </row>
    <row r="3183" spans="1:7" x14ac:dyDescent="0.3">
      <c r="A3183" s="198">
        <v>1001764247</v>
      </c>
      <c r="B3183" s="192" t="s">
        <v>2057</v>
      </c>
      <c r="C3183" s="196">
        <v>1093406</v>
      </c>
      <c r="D3183" s="196">
        <v>0</v>
      </c>
      <c r="E3183" s="196">
        <v>0</v>
      </c>
      <c r="F3183" s="196">
        <v>0</v>
      </c>
      <c r="G3183" s="196">
        <v>1093406</v>
      </c>
    </row>
    <row r="3184" spans="1:7" x14ac:dyDescent="0.3">
      <c r="A3184" s="198">
        <v>1000639361</v>
      </c>
      <c r="B3184" s="192" t="s">
        <v>2058</v>
      </c>
      <c r="C3184" s="196">
        <v>183906</v>
      </c>
      <c r="D3184" s="196">
        <v>0</v>
      </c>
      <c r="E3184" s="196">
        <v>0</v>
      </c>
      <c r="F3184" s="196">
        <v>0</v>
      </c>
      <c r="G3184" s="196">
        <v>183906</v>
      </c>
    </row>
    <row r="3185" spans="1:7" x14ac:dyDescent="0.3">
      <c r="A3185" s="198">
        <v>32299587</v>
      </c>
      <c r="B3185" s="192" t="s">
        <v>2060</v>
      </c>
      <c r="C3185" s="196">
        <v>60358</v>
      </c>
      <c r="D3185" s="196">
        <v>0</v>
      </c>
      <c r="E3185" s="196">
        <v>0</v>
      </c>
      <c r="F3185" s="196">
        <v>0</v>
      </c>
      <c r="G3185" s="196">
        <v>60358</v>
      </c>
    </row>
    <row r="3186" spans="1:7" x14ac:dyDescent="0.3">
      <c r="A3186" s="198">
        <v>1001510696</v>
      </c>
      <c r="B3186" s="192" t="s">
        <v>2062</v>
      </c>
      <c r="C3186" s="196">
        <v>275407</v>
      </c>
      <c r="D3186" s="196">
        <v>0</v>
      </c>
      <c r="E3186" s="196">
        <v>0</v>
      </c>
      <c r="F3186" s="196">
        <v>0</v>
      </c>
      <c r="G3186" s="196">
        <v>275407</v>
      </c>
    </row>
    <row r="3187" spans="1:7" x14ac:dyDescent="0.3">
      <c r="A3187" s="197">
        <v>2520</v>
      </c>
      <c r="B3187" s="191" t="s">
        <v>2348</v>
      </c>
      <c r="C3187" s="195">
        <v>0</v>
      </c>
      <c r="D3187" s="195">
        <v>0</v>
      </c>
      <c r="E3187" s="195">
        <v>15300756</v>
      </c>
      <c r="F3187" s="195">
        <v>-15300756</v>
      </c>
      <c r="G3187" s="195">
        <v>-15300756</v>
      </c>
    </row>
    <row r="3188" spans="1:7" x14ac:dyDescent="0.3">
      <c r="A3188" s="197">
        <v>252010</v>
      </c>
      <c r="B3188" s="191" t="s">
        <v>2348</v>
      </c>
      <c r="C3188" s="195">
        <v>-395927128</v>
      </c>
      <c r="D3188" s="195">
        <v>0</v>
      </c>
      <c r="E3188" s="195">
        <v>15300756</v>
      </c>
      <c r="F3188" s="195">
        <v>-15300756</v>
      </c>
      <c r="G3188" s="195">
        <v>-411227884</v>
      </c>
    </row>
    <row r="3189" spans="1:7" x14ac:dyDescent="0.3">
      <c r="A3189" s="198">
        <v>25201001</v>
      </c>
      <c r="B3189" s="192" t="s">
        <v>2348</v>
      </c>
      <c r="C3189" s="196">
        <v>-395927128</v>
      </c>
      <c r="D3189" s="196">
        <v>0</v>
      </c>
      <c r="E3189" s="196">
        <v>15300756</v>
      </c>
      <c r="F3189" s="196">
        <v>-15300756</v>
      </c>
      <c r="G3189" s="196">
        <v>-411227884</v>
      </c>
    </row>
    <row r="3190" spans="1:7" x14ac:dyDescent="0.3">
      <c r="A3190" s="198">
        <v>31948684</v>
      </c>
      <c r="B3190" s="192" t="s">
        <v>165</v>
      </c>
      <c r="C3190" s="196">
        <v>-38848636</v>
      </c>
      <c r="D3190" s="196">
        <v>0</v>
      </c>
      <c r="E3190" s="196">
        <v>1000000</v>
      </c>
      <c r="F3190" s="196">
        <v>-1000000</v>
      </c>
      <c r="G3190" s="196">
        <v>-39848636</v>
      </c>
    </row>
    <row r="3191" spans="1:7" x14ac:dyDescent="0.3">
      <c r="A3191" s="198">
        <v>43685485</v>
      </c>
      <c r="B3191" s="192" t="s">
        <v>2028</v>
      </c>
      <c r="C3191" s="196">
        <v>-916667</v>
      </c>
      <c r="D3191" s="196">
        <v>0</v>
      </c>
      <c r="E3191" s="196">
        <v>0</v>
      </c>
      <c r="F3191" s="196">
        <v>0</v>
      </c>
      <c r="G3191" s="196">
        <v>-916667</v>
      </c>
    </row>
    <row r="3192" spans="1:7" x14ac:dyDescent="0.3">
      <c r="A3192" s="198">
        <v>32391236</v>
      </c>
      <c r="B3192" s="192" t="s">
        <v>2029</v>
      </c>
      <c r="C3192" s="196">
        <v>-2207881</v>
      </c>
      <c r="D3192" s="196">
        <v>0</v>
      </c>
      <c r="E3192" s="196">
        <v>187425</v>
      </c>
      <c r="F3192" s="196">
        <v>-187425</v>
      </c>
      <c r="G3192" s="196">
        <v>-2395306</v>
      </c>
    </row>
    <row r="3193" spans="1:7" x14ac:dyDescent="0.3">
      <c r="A3193" s="198">
        <v>1037644962</v>
      </c>
      <c r="B3193" s="192" t="s">
        <v>260</v>
      </c>
      <c r="C3193" s="196">
        <v>-2806731</v>
      </c>
      <c r="D3193" s="196">
        <v>0</v>
      </c>
      <c r="E3193" s="196">
        <v>264889</v>
      </c>
      <c r="F3193" s="196">
        <v>-264889</v>
      </c>
      <c r="G3193" s="196">
        <v>-3071620</v>
      </c>
    </row>
    <row r="3194" spans="1:7" x14ac:dyDescent="0.3">
      <c r="A3194" s="198">
        <v>1193166396</v>
      </c>
      <c r="B3194" s="192" t="s">
        <v>1625</v>
      </c>
      <c r="C3194" s="196">
        <v>-13367000</v>
      </c>
      <c r="D3194" s="196">
        <v>0</v>
      </c>
      <c r="E3194" s="196">
        <v>458333</v>
      </c>
      <c r="F3194" s="196">
        <v>-458333</v>
      </c>
      <c r="G3194" s="196">
        <v>-13825333</v>
      </c>
    </row>
    <row r="3195" spans="1:7" x14ac:dyDescent="0.3">
      <c r="A3195" s="198">
        <v>142142879</v>
      </c>
      <c r="B3195" s="192" t="s">
        <v>2349</v>
      </c>
      <c r="C3195" s="196">
        <v>-36652</v>
      </c>
      <c r="D3195" s="196">
        <v>0</v>
      </c>
      <c r="E3195" s="196">
        <v>0</v>
      </c>
      <c r="F3195" s="196">
        <v>0</v>
      </c>
      <c r="G3195" s="196">
        <v>-36652</v>
      </c>
    </row>
    <row r="3196" spans="1:7" x14ac:dyDescent="0.3">
      <c r="A3196" s="198">
        <v>1128393236</v>
      </c>
      <c r="B3196" s="192" t="s">
        <v>1703</v>
      </c>
      <c r="C3196" s="196">
        <v>-648973</v>
      </c>
      <c r="D3196" s="196">
        <v>0</v>
      </c>
      <c r="E3196" s="196">
        <v>0</v>
      </c>
      <c r="F3196" s="196">
        <v>0</v>
      </c>
      <c r="G3196" s="196">
        <v>-648973</v>
      </c>
    </row>
    <row r="3197" spans="1:7" x14ac:dyDescent="0.3">
      <c r="A3197" s="198">
        <v>1020423981</v>
      </c>
      <c r="B3197" s="192" t="s">
        <v>2030</v>
      </c>
      <c r="C3197" s="196">
        <v>-7880128</v>
      </c>
      <c r="D3197" s="196">
        <v>0</v>
      </c>
      <c r="E3197" s="196">
        <v>220758</v>
      </c>
      <c r="F3197" s="196">
        <v>-220758</v>
      </c>
      <c r="G3197" s="196">
        <v>-8100886</v>
      </c>
    </row>
    <row r="3198" spans="1:7" x14ac:dyDescent="0.3">
      <c r="A3198" s="198">
        <v>1020489861</v>
      </c>
      <c r="B3198" s="192" t="s">
        <v>1704</v>
      </c>
      <c r="C3198" s="196">
        <v>-2968560</v>
      </c>
      <c r="D3198" s="196">
        <v>0</v>
      </c>
      <c r="E3198" s="196">
        <v>0</v>
      </c>
      <c r="F3198" s="196">
        <v>0</v>
      </c>
      <c r="G3198" s="196">
        <v>-2968560</v>
      </c>
    </row>
    <row r="3199" spans="1:7" x14ac:dyDescent="0.3">
      <c r="A3199" s="198">
        <v>1152689568</v>
      </c>
      <c r="B3199" s="192" t="s">
        <v>1705</v>
      </c>
      <c r="C3199" s="196">
        <v>-9772656</v>
      </c>
      <c r="D3199" s="196">
        <v>0</v>
      </c>
      <c r="E3199" s="196">
        <v>261829</v>
      </c>
      <c r="F3199" s="196">
        <v>-261829</v>
      </c>
      <c r="G3199" s="196">
        <v>-10034485</v>
      </c>
    </row>
    <row r="3200" spans="1:7" x14ac:dyDescent="0.3">
      <c r="A3200" s="198">
        <v>1037266322</v>
      </c>
      <c r="B3200" s="192" t="s">
        <v>2031</v>
      </c>
      <c r="C3200" s="196">
        <v>-1026433</v>
      </c>
      <c r="D3200" s="196">
        <v>0</v>
      </c>
      <c r="E3200" s="196">
        <v>0</v>
      </c>
      <c r="F3200" s="196">
        <v>0</v>
      </c>
      <c r="G3200" s="196">
        <v>-1026433</v>
      </c>
    </row>
    <row r="3201" spans="1:7" x14ac:dyDescent="0.3">
      <c r="A3201" s="198">
        <v>32144343</v>
      </c>
      <c r="B3201" s="192" t="s">
        <v>1706</v>
      </c>
      <c r="C3201" s="196">
        <v>-5249023</v>
      </c>
      <c r="D3201" s="196">
        <v>0</v>
      </c>
      <c r="E3201" s="196">
        <v>166667</v>
      </c>
      <c r="F3201" s="196">
        <v>-166667</v>
      </c>
      <c r="G3201" s="196">
        <v>-5415690</v>
      </c>
    </row>
    <row r="3202" spans="1:7" x14ac:dyDescent="0.3">
      <c r="A3202" s="198">
        <v>1037583982</v>
      </c>
      <c r="B3202" s="192" t="s">
        <v>1798</v>
      </c>
      <c r="C3202" s="196">
        <v>-10764395</v>
      </c>
      <c r="D3202" s="196">
        <v>0</v>
      </c>
      <c r="E3202" s="196">
        <v>450000</v>
      </c>
      <c r="F3202" s="196">
        <v>-450000</v>
      </c>
      <c r="G3202" s="196">
        <v>-11214395</v>
      </c>
    </row>
    <row r="3203" spans="1:7" x14ac:dyDescent="0.3">
      <c r="A3203" s="198">
        <v>1017266622</v>
      </c>
      <c r="B3203" s="192" t="s">
        <v>1707</v>
      </c>
      <c r="C3203" s="196">
        <v>-5579890</v>
      </c>
      <c r="D3203" s="196">
        <v>0</v>
      </c>
      <c r="E3203" s="196">
        <v>262425</v>
      </c>
      <c r="F3203" s="196">
        <v>-262425</v>
      </c>
      <c r="G3203" s="196">
        <v>-5842315</v>
      </c>
    </row>
    <row r="3204" spans="1:7" x14ac:dyDescent="0.3">
      <c r="A3204" s="198">
        <v>1041229735</v>
      </c>
      <c r="B3204" s="192" t="s">
        <v>2033</v>
      </c>
      <c r="C3204" s="196">
        <v>-3400627</v>
      </c>
      <c r="D3204" s="196">
        <v>0</v>
      </c>
      <c r="E3204" s="196">
        <v>264079</v>
      </c>
      <c r="F3204" s="196">
        <v>-264079</v>
      </c>
      <c r="G3204" s="196">
        <v>-3664706</v>
      </c>
    </row>
    <row r="3205" spans="1:7" x14ac:dyDescent="0.3">
      <c r="A3205" s="198">
        <v>1036641303</v>
      </c>
      <c r="B3205" s="192" t="s">
        <v>2034</v>
      </c>
      <c r="C3205" s="196">
        <v>-9359207</v>
      </c>
      <c r="D3205" s="196">
        <v>0</v>
      </c>
      <c r="E3205" s="196">
        <v>237425</v>
      </c>
      <c r="F3205" s="196">
        <v>-237425</v>
      </c>
      <c r="G3205" s="196">
        <v>-9596632</v>
      </c>
    </row>
    <row r="3206" spans="1:7" x14ac:dyDescent="0.3">
      <c r="A3206" s="198">
        <v>32265167</v>
      </c>
      <c r="B3206" s="192" t="s">
        <v>2350</v>
      </c>
      <c r="C3206" s="196">
        <v>-42316</v>
      </c>
      <c r="D3206" s="196">
        <v>0</v>
      </c>
      <c r="E3206" s="196">
        <v>0</v>
      </c>
      <c r="F3206" s="196">
        <v>0</v>
      </c>
      <c r="G3206" s="196">
        <v>-42316</v>
      </c>
    </row>
    <row r="3207" spans="1:7" x14ac:dyDescent="0.3">
      <c r="A3207" s="198">
        <v>32865167</v>
      </c>
      <c r="B3207" s="192" t="s">
        <v>2071</v>
      </c>
      <c r="C3207" s="196">
        <v>-1280685</v>
      </c>
      <c r="D3207" s="196">
        <v>0</v>
      </c>
      <c r="E3207" s="196">
        <v>0</v>
      </c>
      <c r="F3207" s="196">
        <v>0</v>
      </c>
      <c r="G3207" s="196">
        <v>-1280685</v>
      </c>
    </row>
    <row r="3208" spans="1:7" x14ac:dyDescent="0.3">
      <c r="A3208" s="198">
        <v>1037570707</v>
      </c>
      <c r="B3208" s="192" t="s">
        <v>1677</v>
      </c>
      <c r="C3208" s="196">
        <v>-13172658</v>
      </c>
      <c r="D3208" s="196">
        <v>0</v>
      </c>
      <c r="E3208" s="196">
        <v>212425</v>
      </c>
      <c r="F3208" s="196">
        <v>-212425</v>
      </c>
      <c r="G3208" s="196">
        <v>-13385083</v>
      </c>
    </row>
    <row r="3209" spans="1:7" x14ac:dyDescent="0.3">
      <c r="A3209" s="198">
        <v>1001660174</v>
      </c>
      <c r="B3209" s="192" t="s">
        <v>2318</v>
      </c>
      <c r="C3209" s="196">
        <v>-552304</v>
      </c>
      <c r="D3209" s="196">
        <v>0</v>
      </c>
      <c r="E3209" s="196">
        <v>212425</v>
      </c>
      <c r="F3209" s="196">
        <v>-212425</v>
      </c>
      <c r="G3209" s="196">
        <v>-764729</v>
      </c>
    </row>
    <row r="3210" spans="1:7" x14ac:dyDescent="0.3">
      <c r="A3210" s="198">
        <v>43190602</v>
      </c>
      <c r="B3210" s="192" t="s">
        <v>1708</v>
      </c>
      <c r="C3210" s="196">
        <v>-2926103</v>
      </c>
      <c r="D3210" s="196">
        <v>0</v>
      </c>
      <c r="E3210" s="196">
        <v>195758</v>
      </c>
      <c r="F3210" s="196">
        <v>-195758</v>
      </c>
      <c r="G3210" s="196">
        <v>-3121861</v>
      </c>
    </row>
    <row r="3211" spans="1:7" x14ac:dyDescent="0.3">
      <c r="A3211" s="198">
        <v>43113995</v>
      </c>
      <c r="B3211" s="192" t="s">
        <v>2324</v>
      </c>
      <c r="C3211" s="196">
        <v>-506667</v>
      </c>
      <c r="D3211" s="196">
        <v>0</v>
      </c>
      <c r="E3211" s="196">
        <v>0</v>
      </c>
      <c r="F3211" s="196">
        <v>0</v>
      </c>
      <c r="G3211" s="196">
        <v>-506667</v>
      </c>
    </row>
    <row r="3212" spans="1:7" x14ac:dyDescent="0.3">
      <c r="A3212" s="198">
        <v>3901013</v>
      </c>
      <c r="B3212" s="192" t="s">
        <v>1709</v>
      </c>
      <c r="C3212" s="196">
        <v>-391667</v>
      </c>
      <c r="D3212" s="196">
        <v>0</v>
      </c>
      <c r="E3212" s="196">
        <v>0</v>
      </c>
      <c r="F3212" s="196">
        <v>0</v>
      </c>
      <c r="G3212" s="196">
        <v>-391667</v>
      </c>
    </row>
    <row r="3213" spans="1:7" x14ac:dyDescent="0.3">
      <c r="A3213" s="198">
        <v>3901013</v>
      </c>
      <c r="B3213" s="192" t="s">
        <v>1709</v>
      </c>
      <c r="C3213" s="196">
        <v>-20775438</v>
      </c>
      <c r="D3213" s="196">
        <v>0</v>
      </c>
      <c r="E3213" s="196">
        <v>666667</v>
      </c>
      <c r="F3213" s="196">
        <v>-666667</v>
      </c>
      <c r="G3213" s="196">
        <v>-21442105</v>
      </c>
    </row>
    <row r="3214" spans="1:7" x14ac:dyDescent="0.3">
      <c r="A3214" s="198">
        <v>794732</v>
      </c>
      <c r="B3214" s="192" t="s">
        <v>2351</v>
      </c>
      <c r="C3214" s="196">
        <v>-286535</v>
      </c>
      <c r="D3214" s="196">
        <v>0</v>
      </c>
      <c r="E3214" s="196">
        <v>0</v>
      </c>
      <c r="F3214" s="196">
        <v>0</v>
      </c>
      <c r="G3214" s="196">
        <v>-286535</v>
      </c>
    </row>
    <row r="3215" spans="1:7" x14ac:dyDescent="0.3">
      <c r="A3215" s="198">
        <v>1216716838</v>
      </c>
      <c r="B3215" s="192" t="s">
        <v>2036</v>
      </c>
      <c r="C3215" s="196">
        <v>-2998957</v>
      </c>
      <c r="D3215" s="196">
        <v>0</v>
      </c>
      <c r="E3215" s="196">
        <v>237425</v>
      </c>
      <c r="F3215" s="196">
        <v>-237425</v>
      </c>
      <c r="G3215" s="196">
        <v>-3236382</v>
      </c>
    </row>
    <row r="3216" spans="1:7" x14ac:dyDescent="0.3">
      <c r="A3216" s="198">
        <v>1152197675</v>
      </c>
      <c r="B3216" s="192" t="s">
        <v>2325</v>
      </c>
      <c r="C3216" s="196">
        <v>-2543906</v>
      </c>
      <c r="D3216" s="196">
        <v>0</v>
      </c>
      <c r="E3216" s="196">
        <v>0</v>
      </c>
      <c r="F3216" s="196">
        <v>0</v>
      </c>
      <c r="G3216" s="196">
        <v>-2543906</v>
      </c>
    </row>
    <row r="3217" spans="1:7" x14ac:dyDescent="0.3">
      <c r="A3217" s="198">
        <v>43605890</v>
      </c>
      <c r="B3217" s="192" t="s">
        <v>565</v>
      </c>
      <c r="C3217" s="196">
        <v>-14044445</v>
      </c>
      <c r="D3217" s="196">
        <v>0</v>
      </c>
      <c r="E3217" s="196">
        <v>458333</v>
      </c>
      <c r="F3217" s="196">
        <v>-458333</v>
      </c>
      <c r="G3217" s="196">
        <v>-14502778</v>
      </c>
    </row>
    <row r="3218" spans="1:7" x14ac:dyDescent="0.3">
      <c r="A3218" s="198">
        <v>1007045790</v>
      </c>
      <c r="B3218" s="192" t="s">
        <v>2326</v>
      </c>
      <c r="C3218" s="196">
        <v>-7256616</v>
      </c>
      <c r="D3218" s="196">
        <v>0</v>
      </c>
      <c r="E3218" s="196">
        <v>0</v>
      </c>
      <c r="F3218" s="196">
        <v>0</v>
      </c>
      <c r="G3218" s="196">
        <v>-7256616</v>
      </c>
    </row>
    <row r="3219" spans="1:7" x14ac:dyDescent="0.3">
      <c r="A3219" s="198">
        <v>1036685923</v>
      </c>
      <c r="B3219" s="192" t="s">
        <v>1710</v>
      </c>
      <c r="C3219" s="196">
        <v>-3490103</v>
      </c>
      <c r="D3219" s="196">
        <v>0</v>
      </c>
      <c r="E3219" s="196">
        <v>262425</v>
      </c>
      <c r="F3219" s="196">
        <v>-262425</v>
      </c>
      <c r="G3219" s="196">
        <v>-3752528</v>
      </c>
    </row>
    <row r="3220" spans="1:7" x14ac:dyDescent="0.3">
      <c r="A3220" s="198">
        <v>1020486802</v>
      </c>
      <c r="B3220" s="192" t="s">
        <v>2327</v>
      </c>
      <c r="C3220" s="196">
        <v>-526617</v>
      </c>
      <c r="D3220" s="196">
        <v>0</v>
      </c>
      <c r="E3220" s="196">
        <v>0</v>
      </c>
      <c r="F3220" s="196">
        <v>0</v>
      </c>
      <c r="G3220" s="196">
        <v>-526617</v>
      </c>
    </row>
    <row r="3221" spans="1:7" x14ac:dyDescent="0.3">
      <c r="A3221" s="198">
        <v>32108182</v>
      </c>
      <c r="B3221" s="192" t="s">
        <v>2076</v>
      </c>
      <c r="C3221" s="196">
        <v>-459560</v>
      </c>
      <c r="D3221" s="196">
        <v>0</v>
      </c>
      <c r="E3221" s="196">
        <v>0</v>
      </c>
      <c r="F3221" s="196">
        <v>0</v>
      </c>
      <c r="G3221" s="196">
        <v>-459560</v>
      </c>
    </row>
    <row r="3222" spans="1:7" x14ac:dyDescent="0.3">
      <c r="A3222" s="198">
        <v>71526513</v>
      </c>
      <c r="B3222" s="192" t="s">
        <v>1643</v>
      </c>
      <c r="C3222" s="196">
        <v>-9886101</v>
      </c>
      <c r="D3222" s="196">
        <v>0</v>
      </c>
      <c r="E3222" s="196">
        <v>365286</v>
      </c>
      <c r="F3222" s="196">
        <v>-365286</v>
      </c>
      <c r="G3222" s="196">
        <v>-10251387</v>
      </c>
    </row>
    <row r="3223" spans="1:7" x14ac:dyDescent="0.3">
      <c r="A3223" s="198">
        <v>9977388</v>
      </c>
      <c r="B3223" s="192" t="s">
        <v>2328</v>
      </c>
      <c r="C3223" s="196">
        <v>-8740681</v>
      </c>
      <c r="D3223" s="196">
        <v>0</v>
      </c>
      <c r="E3223" s="196">
        <v>0</v>
      </c>
      <c r="F3223" s="196">
        <v>0</v>
      </c>
      <c r="G3223" s="196">
        <v>-8740681</v>
      </c>
    </row>
    <row r="3224" spans="1:7" x14ac:dyDescent="0.3">
      <c r="A3224" s="198">
        <v>1042458852</v>
      </c>
      <c r="B3224" s="192" t="s">
        <v>1711</v>
      </c>
      <c r="C3224" s="196">
        <v>-10516152</v>
      </c>
      <c r="D3224" s="196">
        <v>0</v>
      </c>
      <c r="E3224" s="196">
        <v>454844</v>
      </c>
      <c r="F3224" s="196">
        <v>-454844</v>
      </c>
      <c r="G3224" s="196">
        <v>-10970996</v>
      </c>
    </row>
    <row r="3225" spans="1:7" x14ac:dyDescent="0.3">
      <c r="A3225" s="198">
        <v>1017194194</v>
      </c>
      <c r="B3225" s="192" t="s">
        <v>2157</v>
      </c>
      <c r="C3225" s="196">
        <v>-7467832</v>
      </c>
      <c r="D3225" s="196">
        <v>0</v>
      </c>
      <c r="E3225" s="196">
        <v>0</v>
      </c>
      <c r="F3225" s="196">
        <v>0</v>
      </c>
      <c r="G3225" s="196">
        <v>-7467832</v>
      </c>
    </row>
    <row r="3226" spans="1:7" x14ac:dyDescent="0.3">
      <c r="A3226" s="198">
        <v>1020426876</v>
      </c>
      <c r="B3226" s="192" t="s">
        <v>2329</v>
      </c>
      <c r="C3226" s="196">
        <v>-2920618</v>
      </c>
      <c r="D3226" s="196">
        <v>0</v>
      </c>
      <c r="E3226" s="196">
        <v>0</v>
      </c>
      <c r="F3226" s="196">
        <v>0</v>
      </c>
      <c r="G3226" s="196">
        <v>-2920618</v>
      </c>
    </row>
    <row r="3227" spans="1:7" x14ac:dyDescent="0.3">
      <c r="A3227" s="198">
        <v>1126423558</v>
      </c>
      <c r="B3227" s="192" t="s">
        <v>2159</v>
      </c>
      <c r="C3227" s="196">
        <v>-3852559</v>
      </c>
      <c r="D3227" s="196">
        <v>0</v>
      </c>
      <c r="E3227" s="196">
        <v>0</v>
      </c>
      <c r="F3227" s="196">
        <v>0</v>
      </c>
      <c r="G3227" s="196">
        <v>-3852559</v>
      </c>
    </row>
    <row r="3228" spans="1:7" x14ac:dyDescent="0.3">
      <c r="A3228" s="198">
        <v>1093744869</v>
      </c>
      <c r="B3228" s="192" t="s">
        <v>1906</v>
      </c>
      <c r="C3228" s="196">
        <v>-5617315</v>
      </c>
      <c r="D3228" s="196">
        <v>0</v>
      </c>
      <c r="E3228" s="196">
        <v>0</v>
      </c>
      <c r="F3228" s="196">
        <v>0</v>
      </c>
      <c r="G3228" s="196">
        <v>-5617315</v>
      </c>
    </row>
    <row r="3229" spans="1:7" x14ac:dyDescent="0.3">
      <c r="A3229" s="198">
        <v>1007551247</v>
      </c>
      <c r="B3229" s="192" t="s">
        <v>1712</v>
      </c>
      <c r="C3229" s="196">
        <v>-6972619</v>
      </c>
      <c r="D3229" s="196">
        <v>0</v>
      </c>
      <c r="E3229" s="196">
        <v>0</v>
      </c>
      <c r="F3229" s="196">
        <v>0</v>
      </c>
      <c r="G3229" s="196">
        <v>-6972619</v>
      </c>
    </row>
    <row r="3230" spans="1:7" x14ac:dyDescent="0.3">
      <c r="A3230" s="198">
        <v>1017133284</v>
      </c>
      <c r="B3230" s="192" t="s">
        <v>2037</v>
      </c>
      <c r="C3230" s="196">
        <v>-1069453</v>
      </c>
      <c r="D3230" s="196">
        <v>0</v>
      </c>
      <c r="E3230" s="196">
        <v>212425</v>
      </c>
      <c r="F3230" s="196">
        <v>-212425</v>
      </c>
      <c r="G3230" s="196">
        <v>-1281878</v>
      </c>
    </row>
    <row r="3231" spans="1:7" x14ac:dyDescent="0.3">
      <c r="A3231" s="198">
        <v>1036679554</v>
      </c>
      <c r="B3231" s="192" t="s">
        <v>2064</v>
      </c>
      <c r="C3231" s="196">
        <v>-3038890</v>
      </c>
      <c r="D3231" s="196">
        <v>0</v>
      </c>
      <c r="E3231" s="196">
        <v>0</v>
      </c>
      <c r="F3231" s="196">
        <v>0</v>
      </c>
      <c r="G3231" s="196">
        <v>-3038890</v>
      </c>
    </row>
    <row r="3232" spans="1:7" x14ac:dyDescent="0.3">
      <c r="A3232" s="198">
        <v>71222364</v>
      </c>
      <c r="B3232" s="192" t="s">
        <v>2330</v>
      </c>
      <c r="C3232" s="196">
        <v>-1222222</v>
      </c>
      <c r="D3232" s="196">
        <v>0</v>
      </c>
      <c r="E3232" s="196">
        <v>0</v>
      </c>
      <c r="F3232" s="196">
        <v>0</v>
      </c>
      <c r="G3232" s="196">
        <v>-1222222</v>
      </c>
    </row>
    <row r="3233" spans="1:7" x14ac:dyDescent="0.3">
      <c r="A3233" s="198">
        <v>1127953609</v>
      </c>
      <c r="B3233" s="192" t="s">
        <v>2038</v>
      </c>
      <c r="C3233" s="196">
        <v>-1078570</v>
      </c>
      <c r="D3233" s="196">
        <v>0</v>
      </c>
      <c r="E3233" s="196">
        <v>0</v>
      </c>
      <c r="F3233" s="196">
        <v>0</v>
      </c>
      <c r="G3233" s="196">
        <v>-1078570</v>
      </c>
    </row>
    <row r="3234" spans="1:7" x14ac:dyDescent="0.3">
      <c r="A3234" s="198">
        <v>1152440998</v>
      </c>
      <c r="B3234" s="192" t="s">
        <v>2039</v>
      </c>
      <c r="C3234" s="196">
        <v>-4612044</v>
      </c>
      <c r="D3234" s="196">
        <v>0</v>
      </c>
      <c r="E3234" s="196">
        <v>454844</v>
      </c>
      <c r="F3234" s="196">
        <v>-454844</v>
      </c>
      <c r="G3234" s="196">
        <v>-5066888</v>
      </c>
    </row>
    <row r="3235" spans="1:7" x14ac:dyDescent="0.3">
      <c r="A3235" s="198">
        <v>1037631008</v>
      </c>
      <c r="B3235" s="192" t="s">
        <v>2352</v>
      </c>
      <c r="C3235" s="196">
        <v>-31154</v>
      </c>
      <c r="D3235" s="196">
        <v>0</v>
      </c>
      <c r="E3235" s="196">
        <v>0</v>
      </c>
      <c r="F3235" s="196">
        <v>0</v>
      </c>
      <c r="G3235" s="196">
        <v>-31154</v>
      </c>
    </row>
    <row r="3236" spans="1:7" x14ac:dyDescent="0.3">
      <c r="A3236" s="198">
        <v>1020436418</v>
      </c>
      <c r="B3236" s="192" t="s">
        <v>2040</v>
      </c>
      <c r="C3236" s="196">
        <v>-835234</v>
      </c>
      <c r="D3236" s="196">
        <v>0</v>
      </c>
      <c r="E3236" s="196">
        <v>195758</v>
      </c>
      <c r="F3236" s="196">
        <v>-195758</v>
      </c>
      <c r="G3236" s="196">
        <v>-1030992</v>
      </c>
    </row>
    <row r="3237" spans="1:7" x14ac:dyDescent="0.3">
      <c r="A3237" s="198">
        <v>1144039609</v>
      </c>
      <c r="B3237" s="192" t="s">
        <v>2041</v>
      </c>
      <c r="C3237" s="196">
        <v>-2330575</v>
      </c>
      <c r="D3237" s="196">
        <v>0</v>
      </c>
      <c r="E3237" s="196">
        <v>454089</v>
      </c>
      <c r="F3237" s="196">
        <v>-454089</v>
      </c>
      <c r="G3237" s="196">
        <v>-2784664</v>
      </c>
    </row>
    <row r="3238" spans="1:7" x14ac:dyDescent="0.3">
      <c r="A3238" s="198">
        <v>1216723387</v>
      </c>
      <c r="B3238" s="192" t="s">
        <v>1713</v>
      </c>
      <c r="C3238" s="196">
        <v>-8534945</v>
      </c>
      <c r="D3238" s="196">
        <v>0</v>
      </c>
      <c r="E3238" s="196">
        <v>270758</v>
      </c>
      <c r="F3238" s="196">
        <v>-270758</v>
      </c>
      <c r="G3238" s="196">
        <v>-8805703</v>
      </c>
    </row>
    <row r="3239" spans="1:7" x14ac:dyDescent="0.3">
      <c r="A3239" s="198">
        <v>1037589764</v>
      </c>
      <c r="B3239" s="192" t="s">
        <v>2331</v>
      </c>
      <c r="C3239" s="196">
        <v>-2597666</v>
      </c>
      <c r="D3239" s="196">
        <v>0</v>
      </c>
      <c r="E3239" s="196">
        <v>0</v>
      </c>
      <c r="F3239" s="196">
        <v>0</v>
      </c>
      <c r="G3239" s="196">
        <v>-2597666</v>
      </c>
    </row>
    <row r="3240" spans="1:7" x14ac:dyDescent="0.3">
      <c r="A3240" s="198">
        <v>1040752245</v>
      </c>
      <c r="B3240" s="192" t="s">
        <v>1678</v>
      </c>
      <c r="C3240" s="196">
        <v>-3583407</v>
      </c>
      <c r="D3240" s="196">
        <v>0</v>
      </c>
      <c r="E3240" s="196">
        <v>212425</v>
      </c>
      <c r="F3240" s="196">
        <v>-212425</v>
      </c>
      <c r="G3240" s="196">
        <v>-3795832</v>
      </c>
    </row>
    <row r="3241" spans="1:7" x14ac:dyDescent="0.3">
      <c r="A3241" s="198">
        <v>1036677041</v>
      </c>
      <c r="B3241" s="192" t="s">
        <v>2332</v>
      </c>
      <c r="C3241" s="196">
        <v>-1638660</v>
      </c>
      <c r="D3241" s="196">
        <v>0</v>
      </c>
      <c r="E3241" s="196">
        <v>0</v>
      </c>
      <c r="F3241" s="196">
        <v>0</v>
      </c>
      <c r="G3241" s="196">
        <v>-1638660</v>
      </c>
    </row>
    <row r="3242" spans="1:7" x14ac:dyDescent="0.3">
      <c r="A3242" s="198">
        <v>1037636353</v>
      </c>
      <c r="B3242" s="192" t="s">
        <v>2042</v>
      </c>
      <c r="C3242" s="196">
        <v>-1563653</v>
      </c>
      <c r="D3242" s="196">
        <v>0</v>
      </c>
      <c r="E3242" s="196">
        <v>0</v>
      </c>
      <c r="F3242" s="196">
        <v>0</v>
      </c>
      <c r="G3242" s="196">
        <v>-1563653</v>
      </c>
    </row>
    <row r="3243" spans="1:7" x14ac:dyDescent="0.3">
      <c r="A3243" s="198">
        <v>1038418006</v>
      </c>
      <c r="B3243" s="192" t="s">
        <v>2333</v>
      </c>
      <c r="C3243" s="196">
        <v>-721883</v>
      </c>
      <c r="D3243" s="196">
        <v>0</v>
      </c>
      <c r="E3243" s="196">
        <v>0</v>
      </c>
      <c r="F3243" s="196">
        <v>0</v>
      </c>
      <c r="G3243" s="196">
        <v>-721883</v>
      </c>
    </row>
    <row r="3244" spans="1:7" x14ac:dyDescent="0.3">
      <c r="A3244" s="198">
        <v>6549128</v>
      </c>
      <c r="B3244" s="192" t="s">
        <v>2043</v>
      </c>
      <c r="C3244" s="196">
        <v>-5000000</v>
      </c>
      <c r="D3244" s="196">
        <v>0</v>
      </c>
      <c r="E3244" s="196">
        <v>416667</v>
      </c>
      <c r="F3244" s="196">
        <v>-416667</v>
      </c>
      <c r="G3244" s="196">
        <v>-5416667</v>
      </c>
    </row>
    <row r="3245" spans="1:7" x14ac:dyDescent="0.3">
      <c r="A3245" s="198">
        <v>32296772</v>
      </c>
      <c r="B3245" s="192" t="s">
        <v>2334</v>
      </c>
      <c r="C3245" s="196">
        <v>-164897</v>
      </c>
      <c r="D3245" s="196">
        <v>0</v>
      </c>
      <c r="E3245" s="196">
        <v>0</v>
      </c>
      <c r="F3245" s="196">
        <v>0</v>
      </c>
      <c r="G3245" s="196">
        <v>-164897</v>
      </c>
    </row>
    <row r="3246" spans="1:7" x14ac:dyDescent="0.3">
      <c r="A3246" s="198">
        <v>1128385262</v>
      </c>
      <c r="B3246" s="192" t="s">
        <v>1714</v>
      </c>
      <c r="C3246" s="196">
        <v>-2760726</v>
      </c>
      <c r="D3246" s="196">
        <v>0</v>
      </c>
      <c r="E3246" s="196">
        <v>265699</v>
      </c>
      <c r="F3246" s="196">
        <v>-265699</v>
      </c>
      <c r="G3246" s="196">
        <v>-3026425</v>
      </c>
    </row>
    <row r="3247" spans="1:7" x14ac:dyDescent="0.3">
      <c r="A3247" s="198">
        <v>1020490983</v>
      </c>
      <c r="B3247" s="192" t="s">
        <v>2335</v>
      </c>
      <c r="C3247" s="196">
        <v>-1169746</v>
      </c>
      <c r="D3247" s="196">
        <v>0</v>
      </c>
      <c r="E3247" s="196">
        <v>0</v>
      </c>
      <c r="F3247" s="196">
        <v>0</v>
      </c>
      <c r="G3247" s="196">
        <v>-1169746</v>
      </c>
    </row>
    <row r="3248" spans="1:7" x14ac:dyDescent="0.3">
      <c r="A3248" s="198">
        <v>1000646763</v>
      </c>
      <c r="B3248" s="192" t="s">
        <v>2044</v>
      </c>
      <c r="C3248" s="196">
        <v>-5447550</v>
      </c>
      <c r="D3248" s="196">
        <v>0</v>
      </c>
      <c r="E3248" s="196">
        <v>264889</v>
      </c>
      <c r="F3248" s="196">
        <v>-264889</v>
      </c>
      <c r="G3248" s="196">
        <v>-5712439</v>
      </c>
    </row>
    <row r="3249" spans="1:7" x14ac:dyDescent="0.3">
      <c r="A3249" s="198">
        <v>1039464277</v>
      </c>
      <c r="B3249" s="192" t="s">
        <v>2336</v>
      </c>
      <c r="C3249" s="196">
        <v>-325383</v>
      </c>
      <c r="D3249" s="196">
        <v>0</v>
      </c>
      <c r="E3249" s="196">
        <v>0</v>
      </c>
      <c r="F3249" s="196">
        <v>0</v>
      </c>
      <c r="G3249" s="196">
        <v>-325383</v>
      </c>
    </row>
    <row r="3250" spans="1:7" x14ac:dyDescent="0.3">
      <c r="A3250" s="198">
        <v>1020431035</v>
      </c>
      <c r="B3250" s="192" t="s">
        <v>1923</v>
      </c>
      <c r="C3250" s="196">
        <v>-690194</v>
      </c>
      <c r="D3250" s="196">
        <v>0</v>
      </c>
      <c r="E3250" s="196">
        <v>214820</v>
      </c>
      <c r="F3250" s="196">
        <v>-214820</v>
      </c>
      <c r="G3250" s="196">
        <v>-905014</v>
      </c>
    </row>
    <row r="3251" spans="1:7" x14ac:dyDescent="0.3">
      <c r="A3251" s="198">
        <v>32554996</v>
      </c>
      <c r="B3251" s="192" t="s">
        <v>2045</v>
      </c>
      <c r="C3251" s="196">
        <v>-44444</v>
      </c>
      <c r="D3251" s="196">
        <v>0</v>
      </c>
      <c r="E3251" s="196">
        <v>0</v>
      </c>
      <c r="F3251" s="196">
        <v>0</v>
      </c>
      <c r="G3251" s="196">
        <v>-44444</v>
      </c>
    </row>
    <row r="3252" spans="1:7" x14ac:dyDescent="0.3">
      <c r="A3252" s="198">
        <v>1026158953</v>
      </c>
      <c r="B3252" s="192" t="s">
        <v>2046</v>
      </c>
      <c r="C3252" s="196">
        <v>-1094749</v>
      </c>
      <c r="D3252" s="196">
        <v>0</v>
      </c>
      <c r="E3252" s="196">
        <v>212425</v>
      </c>
      <c r="F3252" s="196">
        <v>-212425</v>
      </c>
      <c r="G3252" s="196">
        <v>-1307174</v>
      </c>
    </row>
    <row r="3253" spans="1:7" x14ac:dyDescent="0.3">
      <c r="A3253" s="198">
        <v>1035858442</v>
      </c>
      <c r="B3253" s="192" t="s">
        <v>1927</v>
      </c>
      <c r="C3253" s="196">
        <v>-8578672</v>
      </c>
      <c r="D3253" s="196">
        <v>0</v>
      </c>
      <c r="E3253" s="196">
        <v>254091</v>
      </c>
      <c r="F3253" s="196">
        <v>-254091</v>
      </c>
      <c r="G3253" s="196">
        <v>-8832763</v>
      </c>
    </row>
    <row r="3254" spans="1:7" x14ac:dyDescent="0.3">
      <c r="A3254" s="198">
        <v>1020488916</v>
      </c>
      <c r="B3254" s="192" t="s">
        <v>2337</v>
      </c>
      <c r="C3254" s="196">
        <v>-1220722</v>
      </c>
      <c r="D3254" s="196">
        <v>0</v>
      </c>
      <c r="E3254" s="196">
        <v>0</v>
      </c>
      <c r="F3254" s="196">
        <v>0</v>
      </c>
      <c r="G3254" s="196">
        <v>-1220722</v>
      </c>
    </row>
    <row r="3255" spans="1:7" x14ac:dyDescent="0.3">
      <c r="A3255" s="198">
        <v>1127941774</v>
      </c>
      <c r="B3255" s="192" t="s">
        <v>2338</v>
      </c>
      <c r="C3255" s="196">
        <v>-1699990</v>
      </c>
      <c r="D3255" s="196">
        <v>0</v>
      </c>
      <c r="E3255" s="196">
        <v>0</v>
      </c>
      <c r="F3255" s="196">
        <v>0</v>
      </c>
      <c r="G3255" s="196">
        <v>-1699990</v>
      </c>
    </row>
    <row r="3256" spans="1:7" x14ac:dyDescent="0.3">
      <c r="A3256" s="198">
        <v>43551053</v>
      </c>
      <c r="B3256" s="192" t="s">
        <v>2353</v>
      </c>
      <c r="C3256" s="196">
        <v>-302164</v>
      </c>
      <c r="D3256" s="196">
        <v>0</v>
      </c>
      <c r="E3256" s="196">
        <v>0</v>
      </c>
      <c r="F3256" s="196">
        <v>0</v>
      </c>
      <c r="G3256" s="196">
        <v>-302164</v>
      </c>
    </row>
    <row r="3257" spans="1:7" x14ac:dyDescent="0.3">
      <c r="A3257" s="198">
        <v>1036639954</v>
      </c>
      <c r="B3257" s="192" t="s">
        <v>2047</v>
      </c>
      <c r="C3257" s="196">
        <v>-1508554</v>
      </c>
      <c r="D3257" s="196">
        <v>0</v>
      </c>
      <c r="E3257" s="196">
        <v>237425</v>
      </c>
      <c r="F3257" s="196">
        <v>-237425</v>
      </c>
      <c r="G3257" s="196">
        <v>-1745979</v>
      </c>
    </row>
    <row r="3258" spans="1:7" x14ac:dyDescent="0.3">
      <c r="A3258" s="198">
        <v>43843451</v>
      </c>
      <c r="B3258" s="192" t="s">
        <v>2048</v>
      </c>
      <c r="C3258" s="196">
        <v>-10060743</v>
      </c>
      <c r="D3258" s="196">
        <v>0</v>
      </c>
      <c r="E3258" s="196">
        <v>0</v>
      </c>
      <c r="F3258" s="196">
        <v>0</v>
      </c>
      <c r="G3258" s="196">
        <v>-10060743</v>
      </c>
    </row>
    <row r="3259" spans="1:7" x14ac:dyDescent="0.3">
      <c r="A3259" s="198">
        <v>39355612</v>
      </c>
      <c r="B3259" s="192" t="s">
        <v>2077</v>
      </c>
      <c r="C3259" s="196">
        <v>-2368620</v>
      </c>
      <c r="D3259" s="196">
        <v>0</v>
      </c>
      <c r="E3259" s="196">
        <v>0</v>
      </c>
      <c r="F3259" s="196">
        <v>0</v>
      </c>
      <c r="G3259" s="196">
        <v>-2368620</v>
      </c>
    </row>
    <row r="3260" spans="1:7" x14ac:dyDescent="0.3">
      <c r="A3260" s="198">
        <v>52245050</v>
      </c>
      <c r="B3260" s="192" t="s">
        <v>2319</v>
      </c>
      <c r="C3260" s="196">
        <v>-277778</v>
      </c>
      <c r="D3260" s="196">
        <v>0</v>
      </c>
      <c r="E3260" s="196">
        <v>166667</v>
      </c>
      <c r="F3260" s="196">
        <v>-166667</v>
      </c>
      <c r="G3260" s="196">
        <v>-444445</v>
      </c>
    </row>
    <row r="3261" spans="1:7" x14ac:dyDescent="0.3">
      <c r="A3261" s="198">
        <v>1027740123</v>
      </c>
      <c r="B3261" s="192" t="s">
        <v>1928</v>
      </c>
      <c r="C3261" s="196">
        <v>-1929334</v>
      </c>
      <c r="D3261" s="196">
        <v>0</v>
      </c>
      <c r="E3261" s="196">
        <v>0</v>
      </c>
      <c r="F3261" s="196">
        <v>0</v>
      </c>
      <c r="G3261" s="196">
        <v>-1929334</v>
      </c>
    </row>
    <row r="3262" spans="1:7" x14ac:dyDescent="0.3">
      <c r="A3262" s="198">
        <v>43256222</v>
      </c>
      <c r="B3262" s="192" t="s">
        <v>2049</v>
      </c>
      <c r="C3262" s="196">
        <v>-3221936</v>
      </c>
      <c r="D3262" s="196">
        <v>0</v>
      </c>
      <c r="E3262" s="196">
        <v>195758</v>
      </c>
      <c r="F3262" s="196">
        <v>-195758</v>
      </c>
      <c r="G3262" s="196">
        <v>-3417694</v>
      </c>
    </row>
    <row r="3263" spans="1:7" x14ac:dyDescent="0.3">
      <c r="A3263" s="198">
        <v>1017284611</v>
      </c>
      <c r="B3263" s="192" t="s">
        <v>1715</v>
      </c>
      <c r="C3263" s="196">
        <v>-4197653</v>
      </c>
      <c r="D3263" s="196">
        <v>0</v>
      </c>
      <c r="E3263" s="196">
        <v>166667</v>
      </c>
      <c r="F3263" s="196">
        <v>-166667</v>
      </c>
      <c r="G3263" s="196">
        <v>-4364320</v>
      </c>
    </row>
    <row r="3264" spans="1:7" x14ac:dyDescent="0.3">
      <c r="A3264" s="198">
        <v>1214732908</v>
      </c>
      <c r="B3264" s="192" t="s">
        <v>1263</v>
      </c>
      <c r="C3264" s="196">
        <v>-2133918</v>
      </c>
      <c r="D3264" s="196">
        <v>0</v>
      </c>
      <c r="E3264" s="196">
        <v>0</v>
      </c>
      <c r="F3264" s="196">
        <v>0</v>
      </c>
      <c r="G3264" s="196">
        <v>-2133918</v>
      </c>
    </row>
    <row r="3265" spans="1:7" x14ac:dyDescent="0.3">
      <c r="A3265" s="198">
        <v>1127941794</v>
      </c>
      <c r="B3265" s="192" t="s">
        <v>1274</v>
      </c>
      <c r="C3265" s="196">
        <v>-3600000</v>
      </c>
      <c r="D3265" s="196">
        <v>0</v>
      </c>
      <c r="E3265" s="196">
        <v>900000</v>
      </c>
      <c r="F3265" s="196">
        <v>-900000</v>
      </c>
      <c r="G3265" s="196">
        <v>-4500000</v>
      </c>
    </row>
    <row r="3266" spans="1:7" x14ac:dyDescent="0.3">
      <c r="A3266" s="198">
        <v>1013456905</v>
      </c>
      <c r="B3266" s="192" t="s">
        <v>1932</v>
      </c>
      <c r="C3266" s="196">
        <v>0</v>
      </c>
      <c r="D3266" s="196">
        <v>0</v>
      </c>
      <c r="E3266" s="196">
        <v>138889</v>
      </c>
      <c r="F3266" s="196">
        <v>-138889</v>
      </c>
      <c r="G3266" s="196">
        <v>-138889</v>
      </c>
    </row>
    <row r="3267" spans="1:7" x14ac:dyDescent="0.3">
      <c r="A3267" s="198">
        <v>574816</v>
      </c>
      <c r="B3267" s="192" t="s">
        <v>2078</v>
      </c>
      <c r="C3267" s="196">
        <v>-4279046</v>
      </c>
      <c r="D3267" s="196">
        <v>0</v>
      </c>
      <c r="E3267" s="196">
        <v>0</v>
      </c>
      <c r="F3267" s="196">
        <v>0</v>
      </c>
      <c r="G3267" s="196">
        <v>-4279046</v>
      </c>
    </row>
    <row r="3268" spans="1:7" x14ac:dyDescent="0.3">
      <c r="A3268" s="198">
        <v>1214732527</v>
      </c>
      <c r="B3268" s="192" t="s">
        <v>1983</v>
      </c>
      <c r="C3268" s="196">
        <v>-7530118</v>
      </c>
      <c r="D3268" s="196">
        <v>0</v>
      </c>
      <c r="E3268" s="196">
        <v>0</v>
      </c>
      <c r="F3268" s="196">
        <v>0</v>
      </c>
      <c r="G3268" s="196">
        <v>-7530118</v>
      </c>
    </row>
    <row r="3269" spans="1:7" x14ac:dyDescent="0.3">
      <c r="A3269" s="198">
        <v>4550437</v>
      </c>
      <c r="B3269" s="192" t="s">
        <v>2340</v>
      </c>
      <c r="C3269" s="196">
        <v>-28333</v>
      </c>
      <c r="D3269" s="196">
        <v>0</v>
      </c>
      <c r="E3269" s="196">
        <v>0</v>
      </c>
      <c r="F3269" s="196">
        <v>0</v>
      </c>
      <c r="G3269" s="196">
        <v>-28333</v>
      </c>
    </row>
    <row r="3270" spans="1:7" x14ac:dyDescent="0.3">
      <c r="A3270" s="198">
        <v>43550437</v>
      </c>
      <c r="B3270" s="192" t="s">
        <v>1936</v>
      </c>
      <c r="C3270" s="196">
        <v>-2145684</v>
      </c>
      <c r="D3270" s="196">
        <v>0</v>
      </c>
      <c r="E3270" s="196">
        <v>0</v>
      </c>
      <c r="F3270" s="196">
        <v>0</v>
      </c>
      <c r="G3270" s="196">
        <v>-2145684</v>
      </c>
    </row>
    <row r="3271" spans="1:7" x14ac:dyDescent="0.3">
      <c r="A3271" s="198">
        <v>43597511</v>
      </c>
      <c r="B3271" s="192" t="s">
        <v>2051</v>
      </c>
      <c r="C3271" s="196">
        <v>-1370093</v>
      </c>
      <c r="D3271" s="196">
        <v>0</v>
      </c>
      <c r="E3271" s="196">
        <v>0</v>
      </c>
      <c r="F3271" s="196">
        <v>0</v>
      </c>
      <c r="G3271" s="196">
        <v>-1370093</v>
      </c>
    </row>
    <row r="3272" spans="1:7" x14ac:dyDescent="0.3">
      <c r="A3272" s="198">
        <v>1037625960</v>
      </c>
      <c r="B3272" s="192" t="s">
        <v>2354</v>
      </c>
      <c r="C3272" s="196">
        <v>-1008360</v>
      </c>
      <c r="D3272" s="196">
        <v>0</v>
      </c>
      <c r="E3272" s="196">
        <v>0</v>
      </c>
      <c r="F3272" s="196">
        <v>0</v>
      </c>
      <c r="G3272" s="196">
        <v>-1008360</v>
      </c>
    </row>
    <row r="3273" spans="1:7" x14ac:dyDescent="0.3">
      <c r="A3273" s="198">
        <v>71212982</v>
      </c>
      <c r="B3273" s="192" t="s">
        <v>2341</v>
      </c>
      <c r="C3273" s="196">
        <v>-2477778</v>
      </c>
      <c r="D3273" s="196">
        <v>0</v>
      </c>
      <c r="E3273" s="196">
        <v>0</v>
      </c>
      <c r="F3273" s="196">
        <v>0</v>
      </c>
      <c r="G3273" s="196">
        <v>-2477778</v>
      </c>
    </row>
    <row r="3274" spans="1:7" x14ac:dyDescent="0.3">
      <c r="A3274" s="198">
        <v>1126429974</v>
      </c>
      <c r="B3274" s="192" t="s">
        <v>2342</v>
      </c>
      <c r="C3274" s="196">
        <v>-279209</v>
      </c>
      <c r="D3274" s="196">
        <v>0</v>
      </c>
      <c r="E3274" s="196">
        <v>0</v>
      </c>
      <c r="F3274" s="196">
        <v>0</v>
      </c>
      <c r="G3274" s="196">
        <v>-279209</v>
      </c>
    </row>
    <row r="3275" spans="1:7" x14ac:dyDescent="0.3">
      <c r="A3275" s="198">
        <v>809106</v>
      </c>
      <c r="B3275" s="192" t="s">
        <v>1680</v>
      </c>
      <c r="C3275" s="196">
        <v>-2735969</v>
      </c>
      <c r="D3275" s="196">
        <v>0</v>
      </c>
      <c r="E3275" s="196">
        <v>204329</v>
      </c>
      <c r="F3275" s="196">
        <v>-204329</v>
      </c>
      <c r="G3275" s="196">
        <v>-2940298</v>
      </c>
    </row>
    <row r="3276" spans="1:7" x14ac:dyDescent="0.3">
      <c r="A3276" s="198">
        <v>1028042115</v>
      </c>
      <c r="B3276" s="192" t="s">
        <v>2067</v>
      </c>
      <c r="C3276" s="196">
        <v>-1814354</v>
      </c>
      <c r="D3276" s="196">
        <v>0</v>
      </c>
      <c r="E3276" s="196">
        <v>214022</v>
      </c>
      <c r="F3276" s="196">
        <v>-214022</v>
      </c>
      <c r="G3276" s="196">
        <v>-2028376</v>
      </c>
    </row>
    <row r="3277" spans="1:7" x14ac:dyDescent="0.3">
      <c r="A3277" s="198">
        <v>1017184852</v>
      </c>
      <c r="B3277" s="192" t="s">
        <v>1716</v>
      </c>
      <c r="C3277" s="196">
        <v>-1309584</v>
      </c>
      <c r="D3277" s="196">
        <v>0</v>
      </c>
      <c r="E3277" s="196">
        <v>263675</v>
      </c>
      <c r="F3277" s="196">
        <v>-263675</v>
      </c>
      <c r="G3277" s="196">
        <v>-1573259</v>
      </c>
    </row>
    <row r="3278" spans="1:7" x14ac:dyDescent="0.3">
      <c r="A3278" s="198">
        <v>1128423802</v>
      </c>
      <c r="B3278" s="192" t="s">
        <v>2053</v>
      </c>
      <c r="C3278" s="196">
        <v>-1208895</v>
      </c>
      <c r="D3278" s="196">
        <v>0</v>
      </c>
      <c r="E3278" s="196">
        <v>265699</v>
      </c>
      <c r="F3278" s="196">
        <v>-265699</v>
      </c>
      <c r="G3278" s="196">
        <v>-1474594</v>
      </c>
    </row>
    <row r="3279" spans="1:7" x14ac:dyDescent="0.3">
      <c r="A3279" s="198">
        <v>1035854432</v>
      </c>
      <c r="B3279" s="192" t="s">
        <v>2054</v>
      </c>
      <c r="C3279" s="196">
        <v>-895833</v>
      </c>
      <c r="D3279" s="196">
        <v>0</v>
      </c>
      <c r="E3279" s="196">
        <v>0</v>
      </c>
      <c r="F3279" s="196">
        <v>0</v>
      </c>
      <c r="G3279" s="196">
        <v>-895833</v>
      </c>
    </row>
    <row r="3280" spans="1:7" x14ac:dyDescent="0.3">
      <c r="A3280" s="198">
        <v>1020420887</v>
      </c>
      <c r="B3280" s="192" t="s">
        <v>2343</v>
      </c>
      <c r="C3280" s="196">
        <v>-1924451</v>
      </c>
      <c r="D3280" s="196">
        <v>0</v>
      </c>
      <c r="E3280" s="196">
        <v>0</v>
      </c>
      <c r="F3280" s="196">
        <v>0</v>
      </c>
      <c r="G3280" s="196">
        <v>-1924451</v>
      </c>
    </row>
    <row r="3281" spans="1:7" x14ac:dyDescent="0.3">
      <c r="A3281" s="198">
        <v>32181971</v>
      </c>
      <c r="B3281" s="192" t="s">
        <v>2355</v>
      </c>
      <c r="C3281" s="196">
        <v>-861942</v>
      </c>
      <c r="D3281" s="196">
        <v>0</v>
      </c>
      <c r="E3281" s="196">
        <v>0</v>
      </c>
      <c r="F3281" s="196">
        <v>0</v>
      </c>
      <c r="G3281" s="196">
        <v>-861942</v>
      </c>
    </row>
    <row r="3282" spans="1:7" x14ac:dyDescent="0.3">
      <c r="A3282" s="198">
        <v>1040748779</v>
      </c>
      <c r="B3282" s="192" t="s">
        <v>2055</v>
      </c>
      <c r="C3282" s="196">
        <v>-7108210</v>
      </c>
      <c r="D3282" s="196">
        <v>0</v>
      </c>
      <c r="E3282" s="196">
        <v>295758</v>
      </c>
      <c r="F3282" s="196">
        <v>-295758</v>
      </c>
      <c r="G3282" s="196">
        <v>-7403968</v>
      </c>
    </row>
    <row r="3283" spans="1:7" x14ac:dyDescent="0.3">
      <c r="A3283" s="198">
        <v>1152207950</v>
      </c>
      <c r="B3283" s="192" t="s">
        <v>2056</v>
      </c>
      <c r="C3283" s="196">
        <v>-2347401</v>
      </c>
      <c r="D3283" s="196">
        <v>0</v>
      </c>
      <c r="E3283" s="196">
        <v>237425</v>
      </c>
      <c r="F3283" s="196">
        <v>-237425</v>
      </c>
      <c r="G3283" s="196">
        <v>-2584826</v>
      </c>
    </row>
    <row r="3284" spans="1:7" x14ac:dyDescent="0.3">
      <c r="A3284" s="198">
        <v>1001764247</v>
      </c>
      <c r="B3284" s="192" t="s">
        <v>2057</v>
      </c>
      <c r="C3284" s="196">
        <v>-10360509</v>
      </c>
      <c r="D3284" s="196">
        <v>0</v>
      </c>
      <c r="E3284" s="196">
        <v>267318</v>
      </c>
      <c r="F3284" s="196">
        <v>-267318</v>
      </c>
      <c r="G3284" s="196">
        <v>-10627827</v>
      </c>
    </row>
    <row r="3285" spans="1:7" x14ac:dyDescent="0.3">
      <c r="A3285" s="198">
        <v>1000639361</v>
      </c>
      <c r="B3285" s="192" t="s">
        <v>2058</v>
      </c>
      <c r="C3285" s="196">
        <v>-2587112</v>
      </c>
      <c r="D3285" s="196">
        <v>0</v>
      </c>
      <c r="E3285" s="196">
        <v>0</v>
      </c>
      <c r="F3285" s="196">
        <v>0</v>
      </c>
      <c r="G3285" s="196">
        <v>-2587112</v>
      </c>
    </row>
    <row r="3286" spans="1:7" x14ac:dyDescent="0.3">
      <c r="A3286" s="198">
        <v>1015067177</v>
      </c>
      <c r="B3286" s="192" t="s">
        <v>2320</v>
      </c>
      <c r="C3286" s="196">
        <v>-531061</v>
      </c>
      <c r="D3286" s="196">
        <v>0</v>
      </c>
      <c r="E3286" s="196">
        <v>212425</v>
      </c>
      <c r="F3286" s="196">
        <v>-212425</v>
      </c>
      <c r="G3286" s="196">
        <v>-743486</v>
      </c>
    </row>
    <row r="3287" spans="1:7" x14ac:dyDescent="0.3">
      <c r="A3287" s="198">
        <v>1027616481</v>
      </c>
      <c r="B3287" s="192" t="s">
        <v>2059</v>
      </c>
      <c r="C3287" s="196">
        <v>-773289</v>
      </c>
      <c r="D3287" s="196">
        <v>0</v>
      </c>
      <c r="E3287" s="196">
        <v>221091</v>
      </c>
      <c r="F3287" s="196">
        <v>-221091</v>
      </c>
      <c r="G3287" s="196">
        <v>-994380</v>
      </c>
    </row>
    <row r="3288" spans="1:7" x14ac:dyDescent="0.3">
      <c r="A3288" s="198">
        <v>32299587</v>
      </c>
      <c r="B3288" s="192" t="s">
        <v>2060</v>
      </c>
      <c r="C3288" s="196">
        <v>-2383903</v>
      </c>
      <c r="D3288" s="196">
        <v>0</v>
      </c>
      <c r="E3288" s="196">
        <v>220758</v>
      </c>
      <c r="F3288" s="196">
        <v>-220758</v>
      </c>
      <c r="G3288" s="196">
        <v>-2604661</v>
      </c>
    </row>
    <row r="3289" spans="1:7" x14ac:dyDescent="0.3">
      <c r="A3289" s="198">
        <v>43972279</v>
      </c>
      <c r="B3289" s="192" t="s">
        <v>2061</v>
      </c>
      <c r="C3289" s="196">
        <v>-2101466</v>
      </c>
      <c r="D3289" s="196">
        <v>0</v>
      </c>
      <c r="E3289" s="196">
        <v>457875</v>
      </c>
      <c r="F3289" s="196">
        <v>-457875</v>
      </c>
      <c r="G3289" s="196">
        <v>-2559341</v>
      </c>
    </row>
    <row r="3290" spans="1:7" x14ac:dyDescent="0.3">
      <c r="A3290" s="198">
        <v>1001510696</v>
      </c>
      <c r="B3290" s="192" t="s">
        <v>2062</v>
      </c>
      <c r="C3290" s="196">
        <v>-5146486</v>
      </c>
      <c r="D3290" s="196">
        <v>0</v>
      </c>
      <c r="E3290" s="196">
        <v>366667</v>
      </c>
      <c r="F3290" s="196">
        <v>-366667</v>
      </c>
      <c r="G3290" s="196">
        <v>-5513153</v>
      </c>
    </row>
    <row r="3291" spans="1:7" x14ac:dyDescent="0.3">
      <c r="A3291" s="197">
        <v>252095</v>
      </c>
      <c r="B3291" s="191" t="s">
        <v>2356</v>
      </c>
      <c r="C3291" s="195">
        <v>395927128</v>
      </c>
      <c r="D3291" s="195">
        <v>0</v>
      </c>
      <c r="E3291" s="195">
        <v>0</v>
      </c>
      <c r="F3291" s="195">
        <v>0</v>
      </c>
      <c r="G3291" s="195">
        <v>395927128</v>
      </c>
    </row>
    <row r="3292" spans="1:7" x14ac:dyDescent="0.3">
      <c r="A3292" s="198">
        <v>25209501</v>
      </c>
      <c r="B3292" s="192" t="s">
        <v>2356</v>
      </c>
      <c r="C3292" s="196">
        <v>395927128</v>
      </c>
      <c r="D3292" s="196">
        <v>0</v>
      </c>
      <c r="E3292" s="196">
        <v>0</v>
      </c>
      <c r="F3292" s="196">
        <v>0</v>
      </c>
      <c r="G3292" s="196">
        <v>395927128</v>
      </c>
    </row>
    <row r="3293" spans="1:7" x14ac:dyDescent="0.3">
      <c r="A3293" s="198">
        <v>31948684</v>
      </c>
      <c r="B3293" s="192" t="s">
        <v>165</v>
      </c>
      <c r="C3293" s="196">
        <v>38848636</v>
      </c>
      <c r="D3293" s="196">
        <v>0</v>
      </c>
      <c r="E3293" s="196">
        <v>0</v>
      </c>
      <c r="F3293" s="196">
        <v>0</v>
      </c>
      <c r="G3293" s="196">
        <v>38848636</v>
      </c>
    </row>
    <row r="3294" spans="1:7" x14ac:dyDescent="0.3">
      <c r="A3294" s="198">
        <v>43685485</v>
      </c>
      <c r="B3294" s="192" t="s">
        <v>2028</v>
      </c>
      <c r="C3294" s="196">
        <v>916667</v>
      </c>
      <c r="D3294" s="196">
        <v>0</v>
      </c>
      <c r="E3294" s="196">
        <v>0</v>
      </c>
      <c r="F3294" s="196">
        <v>0</v>
      </c>
      <c r="G3294" s="196">
        <v>916667</v>
      </c>
    </row>
    <row r="3295" spans="1:7" x14ac:dyDescent="0.3">
      <c r="A3295" s="198">
        <v>32391236</v>
      </c>
      <c r="B3295" s="192" t="s">
        <v>2029</v>
      </c>
      <c r="C3295" s="196">
        <v>2207881</v>
      </c>
      <c r="D3295" s="196">
        <v>0</v>
      </c>
      <c r="E3295" s="196">
        <v>0</v>
      </c>
      <c r="F3295" s="196">
        <v>0</v>
      </c>
      <c r="G3295" s="196">
        <v>2207881</v>
      </c>
    </row>
    <row r="3296" spans="1:7" x14ac:dyDescent="0.3">
      <c r="A3296" s="198">
        <v>1037644962</v>
      </c>
      <c r="B3296" s="192" t="s">
        <v>260</v>
      </c>
      <c r="C3296" s="196">
        <v>2806731</v>
      </c>
      <c r="D3296" s="196">
        <v>0</v>
      </c>
      <c r="E3296" s="196">
        <v>0</v>
      </c>
      <c r="F3296" s="196">
        <v>0</v>
      </c>
      <c r="G3296" s="196">
        <v>2806731</v>
      </c>
    </row>
    <row r="3297" spans="1:7" x14ac:dyDescent="0.3">
      <c r="A3297" s="198">
        <v>1193166396</v>
      </c>
      <c r="B3297" s="192" t="s">
        <v>1625</v>
      </c>
      <c r="C3297" s="196">
        <v>13367000</v>
      </c>
      <c r="D3297" s="196">
        <v>0</v>
      </c>
      <c r="E3297" s="196">
        <v>0</v>
      </c>
      <c r="F3297" s="196">
        <v>0</v>
      </c>
      <c r="G3297" s="196">
        <v>13367000</v>
      </c>
    </row>
    <row r="3298" spans="1:7" x14ac:dyDescent="0.3">
      <c r="A3298" s="198">
        <v>142142879</v>
      </c>
      <c r="B3298" s="192" t="s">
        <v>2349</v>
      </c>
      <c r="C3298" s="196">
        <v>36652</v>
      </c>
      <c r="D3298" s="196">
        <v>0</v>
      </c>
      <c r="E3298" s="196">
        <v>0</v>
      </c>
      <c r="F3298" s="196">
        <v>0</v>
      </c>
      <c r="G3298" s="196">
        <v>36652</v>
      </c>
    </row>
    <row r="3299" spans="1:7" x14ac:dyDescent="0.3">
      <c r="A3299" s="198">
        <v>1128393236</v>
      </c>
      <c r="B3299" s="192" t="s">
        <v>1703</v>
      </c>
      <c r="C3299" s="196">
        <v>648973</v>
      </c>
      <c r="D3299" s="196">
        <v>0</v>
      </c>
      <c r="E3299" s="196">
        <v>0</v>
      </c>
      <c r="F3299" s="196">
        <v>0</v>
      </c>
      <c r="G3299" s="196">
        <v>648973</v>
      </c>
    </row>
    <row r="3300" spans="1:7" x14ac:dyDescent="0.3">
      <c r="A3300" s="198">
        <v>1020423981</v>
      </c>
      <c r="B3300" s="192" t="s">
        <v>2030</v>
      </c>
      <c r="C3300" s="196">
        <v>7880128</v>
      </c>
      <c r="D3300" s="196">
        <v>0</v>
      </c>
      <c r="E3300" s="196">
        <v>0</v>
      </c>
      <c r="F3300" s="196">
        <v>0</v>
      </c>
      <c r="G3300" s="196">
        <v>7880128</v>
      </c>
    </row>
    <row r="3301" spans="1:7" x14ac:dyDescent="0.3">
      <c r="A3301" s="198">
        <v>1020489861</v>
      </c>
      <c r="B3301" s="192" t="s">
        <v>1704</v>
      </c>
      <c r="C3301" s="196">
        <v>2968560</v>
      </c>
      <c r="D3301" s="196">
        <v>0</v>
      </c>
      <c r="E3301" s="196">
        <v>0</v>
      </c>
      <c r="F3301" s="196">
        <v>0</v>
      </c>
      <c r="G3301" s="196">
        <v>2968560</v>
      </c>
    </row>
    <row r="3302" spans="1:7" x14ac:dyDescent="0.3">
      <c r="A3302" s="198">
        <v>1152689568</v>
      </c>
      <c r="B3302" s="192" t="s">
        <v>1705</v>
      </c>
      <c r="C3302" s="196">
        <v>9772656</v>
      </c>
      <c r="D3302" s="196">
        <v>0</v>
      </c>
      <c r="E3302" s="196">
        <v>0</v>
      </c>
      <c r="F3302" s="196">
        <v>0</v>
      </c>
      <c r="G3302" s="196">
        <v>9772656</v>
      </c>
    </row>
    <row r="3303" spans="1:7" x14ac:dyDescent="0.3">
      <c r="A3303" s="198">
        <v>1037266322</v>
      </c>
      <c r="B3303" s="192" t="s">
        <v>2031</v>
      </c>
      <c r="C3303" s="196">
        <v>1026433</v>
      </c>
      <c r="D3303" s="196">
        <v>0</v>
      </c>
      <c r="E3303" s="196">
        <v>0</v>
      </c>
      <c r="F3303" s="196">
        <v>0</v>
      </c>
      <c r="G3303" s="196">
        <v>1026433</v>
      </c>
    </row>
    <row r="3304" spans="1:7" x14ac:dyDescent="0.3">
      <c r="A3304" s="198">
        <v>32144343</v>
      </c>
      <c r="B3304" s="192" t="s">
        <v>1706</v>
      </c>
      <c r="C3304" s="196">
        <v>5249023</v>
      </c>
      <c r="D3304" s="196">
        <v>0</v>
      </c>
      <c r="E3304" s="196">
        <v>0</v>
      </c>
      <c r="F3304" s="196">
        <v>0</v>
      </c>
      <c r="G3304" s="196">
        <v>5249023</v>
      </c>
    </row>
    <row r="3305" spans="1:7" x14ac:dyDescent="0.3">
      <c r="A3305" s="198">
        <v>1037583982</v>
      </c>
      <c r="B3305" s="192" t="s">
        <v>1798</v>
      </c>
      <c r="C3305" s="196">
        <v>10764395</v>
      </c>
      <c r="D3305" s="196">
        <v>0</v>
      </c>
      <c r="E3305" s="196">
        <v>0</v>
      </c>
      <c r="F3305" s="196">
        <v>0</v>
      </c>
      <c r="G3305" s="196">
        <v>10764395</v>
      </c>
    </row>
    <row r="3306" spans="1:7" x14ac:dyDescent="0.3">
      <c r="A3306" s="198">
        <v>1017266622</v>
      </c>
      <c r="B3306" s="192" t="s">
        <v>1707</v>
      </c>
      <c r="C3306" s="196">
        <v>5579890</v>
      </c>
      <c r="D3306" s="196">
        <v>0</v>
      </c>
      <c r="E3306" s="196">
        <v>0</v>
      </c>
      <c r="F3306" s="196">
        <v>0</v>
      </c>
      <c r="G3306" s="196">
        <v>5579890</v>
      </c>
    </row>
    <row r="3307" spans="1:7" x14ac:dyDescent="0.3">
      <c r="A3307" s="198">
        <v>1041229735</v>
      </c>
      <c r="B3307" s="192" t="s">
        <v>2033</v>
      </c>
      <c r="C3307" s="196">
        <v>3400627</v>
      </c>
      <c r="D3307" s="196">
        <v>0</v>
      </c>
      <c r="E3307" s="196">
        <v>0</v>
      </c>
      <c r="F3307" s="196">
        <v>0</v>
      </c>
      <c r="G3307" s="196">
        <v>3400627</v>
      </c>
    </row>
    <row r="3308" spans="1:7" x14ac:dyDescent="0.3">
      <c r="A3308" s="198">
        <v>1036641303</v>
      </c>
      <c r="B3308" s="192" t="s">
        <v>2034</v>
      </c>
      <c r="C3308" s="196">
        <v>9359207</v>
      </c>
      <c r="D3308" s="196">
        <v>0</v>
      </c>
      <c r="E3308" s="196">
        <v>0</v>
      </c>
      <c r="F3308" s="196">
        <v>0</v>
      </c>
      <c r="G3308" s="196">
        <v>9359207</v>
      </c>
    </row>
    <row r="3309" spans="1:7" x14ac:dyDescent="0.3">
      <c r="A3309" s="198">
        <v>32265167</v>
      </c>
      <c r="B3309" s="192" t="s">
        <v>2350</v>
      </c>
      <c r="C3309" s="196">
        <v>42316</v>
      </c>
      <c r="D3309" s="196">
        <v>0</v>
      </c>
      <c r="E3309" s="196">
        <v>0</v>
      </c>
      <c r="F3309" s="196">
        <v>0</v>
      </c>
      <c r="G3309" s="196">
        <v>42316</v>
      </c>
    </row>
    <row r="3310" spans="1:7" x14ac:dyDescent="0.3">
      <c r="A3310" s="198">
        <v>32865167</v>
      </c>
      <c r="B3310" s="192" t="s">
        <v>2071</v>
      </c>
      <c r="C3310" s="196">
        <v>1280685</v>
      </c>
      <c r="D3310" s="196">
        <v>0</v>
      </c>
      <c r="E3310" s="196">
        <v>0</v>
      </c>
      <c r="F3310" s="196">
        <v>0</v>
      </c>
      <c r="G3310" s="196">
        <v>1280685</v>
      </c>
    </row>
    <row r="3311" spans="1:7" x14ac:dyDescent="0.3">
      <c r="A3311" s="198">
        <v>1037570707</v>
      </c>
      <c r="B3311" s="192" t="s">
        <v>1677</v>
      </c>
      <c r="C3311" s="196">
        <v>13172658</v>
      </c>
      <c r="D3311" s="196">
        <v>0</v>
      </c>
      <c r="E3311" s="196">
        <v>0</v>
      </c>
      <c r="F3311" s="196">
        <v>0</v>
      </c>
      <c r="G3311" s="196">
        <v>13172658</v>
      </c>
    </row>
    <row r="3312" spans="1:7" x14ac:dyDescent="0.3">
      <c r="A3312" s="198">
        <v>1001660174</v>
      </c>
      <c r="B3312" s="192" t="s">
        <v>2318</v>
      </c>
      <c r="C3312" s="196">
        <v>552304</v>
      </c>
      <c r="D3312" s="196">
        <v>0</v>
      </c>
      <c r="E3312" s="196">
        <v>0</v>
      </c>
      <c r="F3312" s="196">
        <v>0</v>
      </c>
      <c r="G3312" s="196">
        <v>552304</v>
      </c>
    </row>
    <row r="3313" spans="1:7" x14ac:dyDescent="0.3">
      <c r="A3313" s="198">
        <v>43190602</v>
      </c>
      <c r="B3313" s="192" t="s">
        <v>1708</v>
      </c>
      <c r="C3313" s="196">
        <v>2926103</v>
      </c>
      <c r="D3313" s="196">
        <v>0</v>
      </c>
      <c r="E3313" s="196">
        <v>0</v>
      </c>
      <c r="F3313" s="196">
        <v>0</v>
      </c>
      <c r="G3313" s="196">
        <v>2926103</v>
      </c>
    </row>
    <row r="3314" spans="1:7" x14ac:dyDescent="0.3">
      <c r="A3314" s="198">
        <v>43113995</v>
      </c>
      <c r="B3314" s="192" t="s">
        <v>2324</v>
      </c>
      <c r="C3314" s="196">
        <v>506667</v>
      </c>
      <c r="D3314" s="196">
        <v>0</v>
      </c>
      <c r="E3314" s="196">
        <v>0</v>
      </c>
      <c r="F3314" s="196">
        <v>0</v>
      </c>
      <c r="G3314" s="196">
        <v>506667</v>
      </c>
    </row>
    <row r="3315" spans="1:7" x14ac:dyDescent="0.3">
      <c r="A3315" s="198">
        <v>3901013</v>
      </c>
      <c r="B3315" s="192" t="s">
        <v>1709</v>
      </c>
      <c r="C3315" s="196">
        <v>2267500</v>
      </c>
      <c r="D3315" s="196">
        <v>0</v>
      </c>
      <c r="E3315" s="196">
        <v>0</v>
      </c>
      <c r="F3315" s="196">
        <v>0</v>
      </c>
      <c r="G3315" s="196">
        <v>2267500</v>
      </c>
    </row>
    <row r="3316" spans="1:7" x14ac:dyDescent="0.3">
      <c r="A3316" s="198">
        <v>3901013</v>
      </c>
      <c r="B3316" s="192" t="s">
        <v>1709</v>
      </c>
      <c r="C3316" s="196">
        <v>18899605</v>
      </c>
      <c r="D3316" s="196">
        <v>0</v>
      </c>
      <c r="E3316" s="196">
        <v>0</v>
      </c>
      <c r="F3316" s="196">
        <v>0</v>
      </c>
      <c r="G3316" s="196">
        <v>18899605</v>
      </c>
    </row>
    <row r="3317" spans="1:7" x14ac:dyDescent="0.3">
      <c r="A3317" s="198">
        <v>15531163</v>
      </c>
      <c r="B3317" s="192" t="s">
        <v>2357</v>
      </c>
      <c r="C3317" s="196">
        <v>286535</v>
      </c>
      <c r="D3317" s="196">
        <v>0</v>
      </c>
      <c r="E3317" s="196">
        <v>0</v>
      </c>
      <c r="F3317" s="196">
        <v>0</v>
      </c>
      <c r="G3317" s="196">
        <v>286535</v>
      </c>
    </row>
    <row r="3318" spans="1:7" x14ac:dyDescent="0.3">
      <c r="A3318" s="198">
        <v>1216716838</v>
      </c>
      <c r="B3318" s="192" t="s">
        <v>2036</v>
      </c>
      <c r="C3318" s="196">
        <v>2998957</v>
      </c>
      <c r="D3318" s="196">
        <v>0</v>
      </c>
      <c r="E3318" s="196">
        <v>0</v>
      </c>
      <c r="F3318" s="196">
        <v>0</v>
      </c>
      <c r="G3318" s="196">
        <v>2998957</v>
      </c>
    </row>
    <row r="3319" spans="1:7" x14ac:dyDescent="0.3">
      <c r="A3319" s="198">
        <v>1152197675</v>
      </c>
      <c r="B3319" s="192" t="s">
        <v>2325</v>
      </c>
      <c r="C3319" s="196">
        <v>2543906</v>
      </c>
      <c r="D3319" s="196">
        <v>0</v>
      </c>
      <c r="E3319" s="196">
        <v>0</v>
      </c>
      <c r="F3319" s="196">
        <v>0</v>
      </c>
      <c r="G3319" s="196">
        <v>2543906</v>
      </c>
    </row>
    <row r="3320" spans="1:7" x14ac:dyDescent="0.3">
      <c r="A3320" s="198">
        <v>43605890</v>
      </c>
      <c r="B3320" s="192" t="s">
        <v>565</v>
      </c>
      <c r="C3320" s="196">
        <v>14044445</v>
      </c>
      <c r="D3320" s="196">
        <v>0</v>
      </c>
      <c r="E3320" s="196">
        <v>0</v>
      </c>
      <c r="F3320" s="196">
        <v>0</v>
      </c>
      <c r="G3320" s="196">
        <v>14044445</v>
      </c>
    </row>
    <row r="3321" spans="1:7" x14ac:dyDescent="0.3">
      <c r="A3321" s="198">
        <v>1007045790</v>
      </c>
      <c r="B3321" s="192" t="s">
        <v>2326</v>
      </c>
      <c r="C3321" s="196">
        <v>7256616</v>
      </c>
      <c r="D3321" s="196">
        <v>0</v>
      </c>
      <c r="E3321" s="196">
        <v>0</v>
      </c>
      <c r="F3321" s="196">
        <v>0</v>
      </c>
      <c r="G3321" s="196">
        <v>7256616</v>
      </c>
    </row>
    <row r="3322" spans="1:7" x14ac:dyDescent="0.3">
      <c r="A3322" s="198">
        <v>1036685923</v>
      </c>
      <c r="B3322" s="192" t="s">
        <v>1710</v>
      </c>
      <c r="C3322" s="196">
        <v>3490103</v>
      </c>
      <c r="D3322" s="196">
        <v>0</v>
      </c>
      <c r="E3322" s="196">
        <v>0</v>
      </c>
      <c r="F3322" s="196">
        <v>0</v>
      </c>
      <c r="G3322" s="196">
        <v>3490103</v>
      </c>
    </row>
    <row r="3323" spans="1:7" x14ac:dyDescent="0.3">
      <c r="A3323" s="198">
        <v>1020486802</v>
      </c>
      <c r="B3323" s="192" t="s">
        <v>2327</v>
      </c>
      <c r="C3323" s="196">
        <v>526617</v>
      </c>
      <c r="D3323" s="196">
        <v>0</v>
      </c>
      <c r="E3323" s="196">
        <v>0</v>
      </c>
      <c r="F3323" s="196">
        <v>0</v>
      </c>
      <c r="G3323" s="196">
        <v>526617</v>
      </c>
    </row>
    <row r="3324" spans="1:7" x14ac:dyDescent="0.3">
      <c r="A3324" s="198">
        <v>32108182</v>
      </c>
      <c r="B3324" s="192" t="s">
        <v>2076</v>
      </c>
      <c r="C3324" s="196">
        <v>459560</v>
      </c>
      <c r="D3324" s="196">
        <v>0</v>
      </c>
      <c r="E3324" s="196">
        <v>0</v>
      </c>
      <c r="F3324" s="196">
        <v>0</v>
      </c>
      <c r="G3324" s="196">
        <v>459560</v>
      </c>
    </row>
    <row r="3325" spans="1:7" x14ac:dyDescent="0.3">
      <c r="A3325" s="198">
        <v>71526513</v>
      </c>
      <c r="B3325" s="192" t="s">
        <v>1643</v>
      </c>
      <c r="C3325" s="196">
        <v>9886101</v>
      </c>
      <c r="D3325" s="196">
        <v>0</v>
      </c>
      <c r="E3325" s="196">
        <v>0</v>
      </c>
      <c r="F3325" s="196">
        <v>0</v>
      </c>
      <c r="G3325" s="196">
        <v>9886101</v>
      </c>
    </row>
    <row r="3326" spans="1:7" x14ac:dyDescent="0.3">
      <c r="A3326" s="198">
        <v>9977388</v>
      </c>
      <c r="B3326" s="192" t="s">
        <v>2328</v>
      </c>
      <c r="C3326" s="196">
        <v>8740681</v>
      </c>
      <c r="D3326" s="196">
        <v>0</v>
      </c>
      <c r="E3326" s="196">
        <v>0</v>
      </c>
      <c r="F3326" s="196">
        <v>0</v>
      </c>
      <c r="G3326" s="196">
        <v>8740681</v>
      </c>
    </row>
    <row r="3327" spans="1:7" x14ac:dyDescent="0.3">
      <c r="A3327" s="198">
        <v>1042458852</v>
      </c>
      <c r="B3327" s="192" t="s">
        <v>1711</v>
      </c>
      <c r="C3327" s="196">
        <v>10516152</v>
      </c>
      <c r="D3327" s="196">
        <v>0</v>
      </c>
      <c r="E3327" s="196">
        <v>0</v>
      </c>
      <c r="F3327" s="196">
        <v>0</v>
      </c>
      <c r="G3327" s="196">
        <v>10516152</v>
      </c>
    </row>
    <row r="3328" spans="1:7" x14ac:dyDescent="0.3">
      <c r="A3328" s="198">
        <v>1017194194</v>
      </c>
      <c r="B3328" s="192" t="s">
        <v>2157</v>
      </c>
      <c r="C3328" s="196">
        <v>7467832</v>
      </c>
      <c r="D3328" s="196">
        <v>0</v>
      </c>
      <c r="E3328" s="196">
        <v>0</v>
      </c>
      <c r="F3328" s="196">
        <v>0</v>
      </c>
      <c r="G3328" s="196">
        <v>7467832</v>
      </c>
    </row>
    <row r="3329" spans="1:7" x14ac:dyDescent="0.3">
      <c r="A3329" s="198">
        <v>1020426876</v>
      </c>
      <c r="B3329" s="192" t="s">
        <v>2329</v>
      </c>
      <c r="C3329" s="196">
        <v>2920618</v>
      </c>
      <c r="D3329" s="196">
        <v>0</v>
      </c>
      <c r="E3329" s="196">
        <v>0</v>
      </c>
      <c r="F3329" s="196">
        <v>0</v>
      </c>
      <c r="G3329" s="196">
        <v>2920618</v>
      </c>
    </row>
    <row r="3330" spans="1:7" x14ac:dyDescent="0.3">
      <c r="A3330" s="198">
        <v>1126423558</v>
      </c>
      <c r="B3330" s="192" t="s">
        <v>2159</v>
      </c>
      <c r="C3330" s="196">
        <v>3852559</v>
      </c>
      <c r="D3330" s="196">
        <v>0</v>
      </c>
      <c r="E3330" s="196">
        <v>0</v>
      </c>
      <c r="F3330" s="196">
        <v>0</v>
      </c>
      <c r="G3330" s="196">
        <v>3852559</v>
      </c>
    </row>
    <row r="3331" spans="1:7" x14ac:dyDescent="0.3">
      <c r="A3331" s="198">
        <v>1093744869</v>
      </c>
      <c r="B3331" s="192" t="s">
        <v>1906</v>
      </c>
      <c r="C3331" s="196">
        <v>5617315</v>
      </c>
      <c r="D3331" s="196">
        <v>0</v>
      </c>
      <c r="E3331" s="196">
        <v>0</v>
      </c>
      <c r="F3331" s="196">
        <v>0</v>
      </c>
      <c r="G3331" s="196">
        <v>5617315</v>
      </c>
    </row>
    <row r="3332" spans="1:7" x14ac:dyDescent="0.3">
      <c r="A3332" s="198">
        <v>1007551247</v>
      </c>
      <c r="B3332" s="192" t="s">
        <v>1712</v>
      </c>
      <c r="C3332" s="196">
        <v>6972619</v>
      </c>
      <c r="D3332" s="196">
        <v>0</v>
      </c>
      <c r="E3332" s="196">
        <v>0</v>
      </c>
      <c r="F3332" s="196">
        <v>0</v>
      </c>
      <c r="G3332" s="196">
        <v>6972619</v>
      </c>
    </row>
    <row r="3333" spans="1:7" x14ac:dyDescent="0.3">
      <c r="A3333" s="198">
        <v>1017133284</v>
      </c>
      <c r="B3333" s="192" t="s">
        <v>2037</v>
      </c>
      <c r="C3333" s="196">
        <v>1069453</v>
      </c>
      <c r="D3333" s="196">
        <v>0</v>
      </c>
      <c r="E3333" s="196">
        <v>0</v>
      </c>
      <c r="F3333" s="196">
        <v>0</v>
      </c>
      <c r="G3333" s="196">
        <v>1069453</v>
      </c>
    </row>
    <row r="3334" spans="1:7" x14ac:dyDescent="0.3">
      <c r="A3334" s="198">
        <v>1036679554</v>
      </c>
      <c r="B3334" s="192" t="s">
        <v>2064</v>
      </c>
      <c r="C3334" s="196">
        <v>3038890</v>
      </c>
      <c r="D3334" s="196">
        <v>0</v>
      </c>
      <c r="E3334" s="196">
        <v>0</v>
      </c>
      <c r="F3334" s="196">
        <v>0</v>
      </c>
      <c r="G3334" s="196">
        <v>3038890</v>
      </c>
    </row>
    <row r="3335" spans="1:7" x14ac:dyDescent="0.3">
      <c r="A3335" s="198">
        <v>71222364</v>
      </c>
      <c r="B3335" s="192" t="s">
        <v>2330</v>
      </c>
      <c r="C3335" s="196">
        <v>1222222</v>
      </c>
      <c r="D3335" s="196">
        <v>0</v>
      </c>
      <c r="E3335" s="196">
        <v>0</v>
      </c>
      <c r="F3335" s="196">
        <v>0</v>
      </c>
      <c r="G3335" s="196">
        <v>1222222</v>
      </c>
    </row>
    <row r="3336" spans="1:7" x14ac:dyDescent="0.3">
      <c r="A3336" s="198">
        <v>1127953609</v>
      </c>
      <c r="B3336" s="192" t="s">
        <v>2038</v>
      </c>
      <c r="C3336" s="196">
        <v>1111903</v>
      </c>
      <c r="D3336" s="196">
        <v>0</v>
      </c>
      <c r="E3336" s="196">
        <v>0</v>
      </c>
      <c r="F3336" s="196">
        <v>0</v>
      </c>
      <c r="G3336" s="196">
        <v>1111903</v>
      </c>
    </row>
    <row r="3337" spans="1:7" x14ac:dyDescent="0.3">
      <c r="A3337" s="198">
        <v>1152440998</v>
      </c>
      <c r="B3337" s="192" t="s">
        <v>2039</v>
      </c>
      <c r="C3337" s="196">
        <v>4612044</v>
      </c>
      <c r="D3337" s="196">
        <v>0</v>
      </c>
      <c r="E3337" s="196">
        <v>0</v>
      </c>
      <c r="F3337" s="196">
        <v>0</v>
      </c>
      <c r="G3337" s="196">
        <v>4612044</v>
      </c>
    </row>
    <row r="3338" spans="1:7" x14ac:dyDescent="0.3">
      <c r="A3338" s="198">
        <v>1037631008</v>
      </c>
      <c r="B3338" s="192" t="s">
        <v>2352</v>
      </c>
      <c r="C3338" s="196">
        <v>31154</v>
      </c>
      <c r="D3338" s="196">
        <v>0</v>
      </c>
      <c r="E3338" s="196">
        <v>0</v>
      </c>
      <c r="F3338" s="196">
        <v>0</v>
      </c>
      <c r="G3338" s="196">
        <v>31154</v>
      </c>
    </row>
    <row r="3339" spans="1:7" x14ac:dyDescent="0.3">
      <c r="A3339" s="198">
        <v>1020436418</v>
      </c>
      <c r="B3339" s="192" t="s">
        <v>2040</v>
      </c>
      <c r="C3339" s="196">
        <v>835234</v>
      </c>
      <c r="D3339" s="196">
        <v>0</v>
      </c>
      <c r="E3339" s="196">
        <v>0</v>
      </c>
      <c r="F3339" s="196">
        <v>0</v>
      </c>
      <c r="G3339" s="196">
        <v>835234</v>
      </c>
    </row>
    <row r="3340" spans="1:7" x14ac:dyDescent="0.3">
      <c r="A3340" s="198">
        <v>1144039609</v>
      </c>
      <c r="B3340" s="192" t="s">
        <v>2041</v>
      </c>
      <c r="C3340" s="196">
        <v>2330575</v>
      </c>
      <c r="D3340" s="196">
        <v>0</v>
      </c>
      <c r="E3340" s="196">
        <v>0</v>
      </c>
      <c r="F3340" s="196">
        <v>0</v>
      </c>
      <c r="G3340" s="196">
        <v>2330575</v>
      </c>
    </row>
    <row r="3341" spans="1:7" x14ac:dyDescent="0.3">
      <c r="A3341" s="198">
        <v>1216723387</v>
      </c>
      <c r="B3341" s="192" t="s">
        <v>1713</v>
      </c>
      <c r="C3341" s="196">
        <v>8534944</v>
      </c>
      <c r="D3341" s="196">
        <v>0</v>
      </c>
      <c r="E3341" s="196">
        <v>0</v>
      </c>
      <c r="F3341" s="196">
        <v>0</v>
      </c>
      <c r="G3341" s="196">
        <v>8534944</v>
      </c>
    </row>
    <row r="3342" spans="1:7" x14ac:dyDescent="0.3">
      <c r="A3342" s="198">
        <v>1037589764</v>
      </c>
      <c r="B3342" s="192" t="s">
        <v>2331</v>
      </c>
      <c r="C3342" s="196">
        <v>2597666</v>
      </c>
      <c r="D3342" s="196">
        <v>0</v>
      </c>
      <c r="E3342" s="196">
        <v>0</v>
      </c>
      <c r="F3342" s="196">
        <v>0</v>
      </c>
      <c r="G3342" s="196">
        <v>2597666</v>
      </c>
    </row>
    <row r="3343" spans="1:7" x14ac:dyDescent="0.3">
      <c r="A3343" s="198">
        <v>1040752245</v>
      </c>
      <c r="B3343" s="192" t="s">
        <v>1678</v>
      </c>
      <c r="C3343" s="196">
        <v>3550075</v>
      </c>
      <c r="D3343" s="196">
        <v>0</v>
      </c>
      <c r="E3343" s="196">
        <v>0</v>
      </c>
      <c r="F3343" s="196">
        <v>0</v>
      </c>
      <c r="G3343" s="196">
        <v>3550075</v>
      </c>
    </row>
    <row r="3344" spans="1:7" x14ac:dyDescent="0.3">
      <c r="A3344" s="198">
        <v>1036677041</v>
      </c>
      <c r="B3344" s="192" t="s">
        <v>2332</v>
      </c>
      <c r="C3344" s="196">
        <v>1638660</v>
      </c>
      <c r="D3344" s="196">
        <v>0</v>
      </c>
      <c r="E3344" s="196">
        <v>0</v>
      </c>
      <c r="F3344" s="196">
        <v>0</v>
      </c>
      <c r="G3344" s="196">
        <v>1638660</v>
      </c>
    </row>
    <row r="3345" spans="1:7" x14ac:dyDescent="0.3">
      <c r="A3345" s="198">
        <v>1037636353</v>
      </c>
      <c r="B3345" s="192" t="s">
        <v>2042</v>
      </c>
      <c r="C3345" s="196">
        <v>1563653</v>
      </c>
      <c r="D3345" s="196">
        <v>0</v>
      </c>
      <c r="E3345" s="196">
        <v>0</v>
      </c>
      <c r="F3345" s="196">
        <v>0</v>
      </c>
      <c r="G3345" s="196">
        <v>1563653</v>
      </c>
    </row>
    <row r="3346" spans="1:7" x14ac:dyDescent="0.3">
      <c r="A3346" s="198">
        <v>1038418006</v>
      </c>
      <c r="B3346" s="192" t="s">
        <v>2333</v>
      </c>
      <c r="C3346" s="196">
        <v>721883</v>
      </c>
      <c r="D3346" s="196">
        <v>0</v>
      </c>
      <c r="E3346" s="196">
        <v>0</v>
      </c>
      <c r="F3346" s="196">
        <v>0</v>
      </c>
      <c r="G3346" s="196">
        <v>721883</v>
      </c>
    </row>
    <row r="3347" spans="1:7" x14ac:dyDescent="0.3">
      <c r="A3347" s="198">
        <v>6549128</v>
      </c>
      <c r="B3347" s="192" t="s">
        <v>2043</v>
      </c>
      <c r="C3347" s="196">
        <v>5000000</v>
      </c>
      <c r="D3347" s="196">
        <v>0</v>
      </c>
      <c r="E3347" s="196">
        <v>0</v>
      </c>
      <c r="F3347" s="196">
        <v>0</v>
      </c>
      <c r="G3347" s="196">
        <v>5000000</v>
      </c>
    </row>
    <row r="3348" spans="1:7" x14ac:dyDescent="0.3">
      <c r="A3348" s="198">
        <v>32296772</v>
      </c>
      <c r="B3348" s="192" t="s">
        <v>2334</v>
      </c>
      <c r="C3348" s="196">
        <v>164897</v>
      </c>
      <c r="D3348" s="196">
        <v>0</v>
      </c>
      <c r="E3348" s="196">
        <v>0</v>
      </c>
      <c r="F3348" s="196">
        <v>0</v>
      </c>
      <c r="G3348" s="196">
        <v>164897</v>
      </c>
    </row>
    <row r="3349" spans="1:7" x14ac:dyDescent="0.3">
      <c r="A3349" s="198">
        <v>1128385262</v>
      </c>
      <c r="B3349" s="192" t="s">
        <v>1714</v>
      </c>
      <c r="C3349" s="196">
        <v>2760726</v>
      </c>
      <c r="D3349" s="196">
        <v>0</v>
      </c>
      <c r="E3349" s="196">
        <v>0</v>
      </c>
      <c r="F3349" s="196">
        <v>0</v>
      </c>
      <c r="G3349" s="196">
        <v>2760726</v>
      </c>
    </row>
    <row r="3350" spans="1:7" x14ac:dyDescent="0.3">
      <c r="A3350" s="198">
        <v>1020490983</v>
      </c>
      <c r="B3350" s="192" t="s">
        <v>2335</v>
      </c>
      <c r="C3350" s="196">
        <v>1169746</v>
      </c>
      <c r="D3350" s="196">
        <v>0</v>
      </c>
      <c r="E3350" s="196">
        <v>0</v>
      </c>
      <c r="F3350" s="196">
        <v>0</v>
      </c>
      <c r="G3350" s="196">
        <v>1169746</v>
      </c>
    </row>
    <row r="3351" spans="1:7" x14ac:dyDescent="0.3">
      <c r="A3351" s="198">
        <v>1000646763</v>
      </c>
      <c r="B3351" s="192" t="s">
        <v>2044</v>
      </c>
      <c r="C3351" s="196">
        <v>5447550</v>
      </c>
      <c r="D3351" s="196">
        <v>0</v>
      </c>
      <c r="E3351" s="196">
        <v>0</v>
      </c>
      <c r="F3351" s="196">
        <v>0</v>
      </c>
      <c r="G3351" s="196">
        <v>5447550</v>
      </c>
    </row>
    <row r="3352" spans="1:7" x14ac:dyDescent="0.3">
      <c r="A3352" s="198">
        <v>1039464277</v>
      </c>
      <c r="B3352" s="192" t="s">
        <v>2336</v>
      </c>
      <c r="C3352" s="196">
        <v>325383</v>
      </c>
      <c r="D3352" s="196">
        <v>0</v>
      </c>
      <c r="E3352" s="196">
        <v>0</v>
      </c>
      <c r="F3352" s="196">
        <v>0</v>
      </c>
      <c r="G3352" s="196">
        <v>325383</v>
      </c>
    </row>
    <row r="3353" spans="1:7" x14ac:dyDescent="0.3">
      <c r="A3353" s="198">
        <v>1020431035</v>
      </c>
      <c r="B3353" s="192" t="s">
        <v>1923</v>
      </c>
      <c r="C3353" s="196">
        <v>690194</v>
      </c>
      <c r="D3353" s="196">
        <v>0</v>
      </c>
      <c r="E3353" s="196">
        <v>0</v>
      </c>
      <c r="F3353" s="196">
        <v>0</v>
      </c>
      <c r="G3353" s="196">
        <v>690194</v>
      </c>
    </row>
    <row r="3354" spans="1:7" x14ac:dyDescent="0.3">
      <c r="A3354" s="198">
        <v>32554996</v>
      </c>
      <c r="B3354" s="192" t="s">
        <v>2045</v>
      </c>
      <c r="C3354" s="196">
        <v>44444</v>
      </c>
      <c r="D3354" s="196">
        <v>0</v>
      </c>
      <c r="E3354" s="196">
        <v>0</v>
      </c>
      <c r="F3354" s="196">
        <v>0</v>
      </c>
      <c r="G3354" s="196">
        <v>44444</v>
      </c>
    </row>
    <row r="3355" spans="1:7" x14ac:dyDescent="0.3">
      <c r="A3355" s="198">
        <v>1026158953</v>
      </c>
      <c r="B3355" s="192" t="s">
        <v>2046</v>
      </c>
      <c r="C3355" s="196">
        <v>1094749</v>
      </c>
      <c r="D3355" s="196">
        <v>0</v>
      </c>
      <c r="E3355" s="196">
        <v>0</v>
      </c>
      <c r="F3355" s="196">
        <v>0</v>
      </c>
      <c r="G3355" s="196">
        <v>1094749</v>
      </c>
    </row>
    <row r="3356" spans="1:7" x14ac:dyDescent="0.3">
      <c r="A3356" s="198">
        <v>1035858442</v>
      </c>
      <c r="B3356" s="192" t="s">
        <v>1927</v>
      </c>
      <c r="C3356" s="196">
        <v>8578672</v>
      </c>
      <c r="D3356" s="196">
        <v>0</v>
      </c>
      <c r="E3356" s="196">
        <v>0</v>
      </c>
      <c r="F3356" s="196">
        <v>0</v>
      </c>
      <c r="G3356" s="196">
        <v>8578672</v>
      </c>
    </row>
    <row r="3357" spans="1:7" x14ac:dyDescent="0.3">
      <c r="A3357" s="198">
        <v>1020488916</v>
      </c>
      <c r="B3357" s="192" t="s">
        <v>2337</v>
      </c>
      <c r="C3357" s="196">
        <v>1220722</v>
      </c>
      <c r="D3357" s="196">
        <v>0</v>
      </c>
      <c r="E3357" s="196">
        <v>0</v>
      </c>
      <c r="F3357" s="196">
        <v>0</v>
      </c>
      <c r="G3357" s="196">
        <v>1220722</v>
      </c>
    </row>
    <row r="3358" spans="1:7" x14ac:dyDescent="0.3">
      <c r="A3358" s="198">
        <v>1127941774</v>
      </c>
      <c r="B3358" s="192" t="s">
        <v>2338</v>
      </c>
      <c r="C3358" s="196">
        <v>1699990</v>
      </c>
      <c r="D3358" s="196">
        <v>0</v>
      </c>
      <c r="E3358" s="196">
        <v>0</v>
      </c>
      <c r="F3358" s="196">
        <v>0</v>
      </c>
      <c r="G3358" s="196">
        <v>1699990</v>
      </c>
    </row>
    <row r="3359" spans="1:7" x14ac:dyDescent="0.3">
      <c r="A3359" s="198">
        <v>43551053</v>
      </c>
      <c r="B3359" s="192" t="s">
        <v>2353</v>
      </c>
      <c r="C3359" s="196">
        <v>302164</v>
      </c>
      <c r="D3359" s="196">
        <v>0</v>
      </c>
      <c r="E3359" s="196">
        <v>0</v>
      </c>
      <c r="F3359" s="196">
        <v>0</v>
      </c>
      <c r="G3359" s="196">
        <v>302164</v>
      </c>
    </row>
    <row r="3360" spans="1:7" x14ac:dyDescent="0.3">
      <c r="A3360" s="198">
        <v>1036639954</v>
      </c>
      <c r="B3360" s="192" t="s">
        <v>2047</v>
      </c>
      <c r="C3360" s="196">
        <v>1508554</v>
      </c>
      <c r="D3360" s="196">
        <v>0</v>
      </c>
      <c r="E3360" s="196">
        <v>0</v>
      </c>
      <c r="F3360" s="196">
        <v>0</v>
      </c>
      <c r="G3360" s="196">
        <v>1508554</v>
      </c>
    </row>
    <row r="3361" spans="1:7" x14ac:dyDescent="0.3">
      <c r="A3361" s="198">
        <v>43843451</v>
      </c>
      <c r="B3361" s="192" t="s">
        <v>2048</v>
      </c>
      <c r="C3361" s="196">
        <v>10060743</v>
      </c>
      <c r="D3361" s="196">
        <v>0</v>
      </c>
      <c r="E3361" s="196">
        <v>0</v>
      </c>
      <c r="F3361" s="196">
        <v>0</v>
      </c>
      <c r="G3361" s="196">
        <v>10060743</v>
      </c>
    </row>
    <row r="3362" spans="1:7" x14ac:dyDescent="0.3">
      <c r="A3362" s="198">
        <v>39355612</v>
      </c>
      <c r="B3362" s="192" t="s">
        <v>2077</v>
      </c>
      <c r="C3362" s="196">
        <v>2368620</v>
      </c>
      <c r="D3362" s="196">
        <v>0</v>
      </c>
      <c r="E3362" s="196">
        <v>0</v>
      </c>
      <c r="F3362" s="196">
        <v>0</v>
      </c>
      <c r="G3362" s="196">
        <v>2368620</v>
      </c>
    </row>
    <row r="3363" spans="1:7" x14ac:dyDescent="0.3">
      <c r="A3363" s="198">
        <v>52245050</v>
      </c>
      <c r="B3363" s="192" t="s">
        <v>2319</v>
      </c>
      <c r="C3363" s="196">
        <v>277778</v>
      </c>
      <c r="D3363" s="196">
        <v>0</v>
      </c>
      <c r="E3363" s="196">
        <v>0</v>
      </c>
      <c r="F3363" s="196">
        <v>0</v>
      </c>
      <c r="G3363" s="196">
        <v>277778</v>
      </c>
    </row>
    <row r="3364" spans="1:7" x14ac:dyDescent="0.3">
      <c r="A3364" s="198">
        <v>1027740123</v>
      </c>
      <c r="B3364" s="192" t="s">
        <v>1928</v>
      </c>
      <c r="C3364" s="196">
        <v>1929334</v>
      </c>
      <c r="D3364" s="196">
        <v>0</v>
      </c>
      <c r="E3364" s="196">
        <v>0</v>
      </c>
      <c r="F3364" s="196">
        <v>0</v>
      </c>
      <c r="G3364" s="196">
        <v>1929334</v>
      </c>
    </row>
    <row r="3365" spans="1:7" x14ac:dyDescent="0.3">
      <c r="A3365" s="198">
        <v>43256222</v>
      </c>
      <c r="B3365" s="192" t="s">
        <v>2049</v>
      </c>
      <c r="C3365" s="196">
        <v>3221936</v>
      </c>
      <c r="D3365" s="196">
        <v>0</v>
      </c>
      <c r="E3365" s="196">
        <v>0</v>
      </c>
      <c r="F3365" s="196">
        <v>0</v>
      </c>
      <c r="G3365" s="196">
        <v>3221936</v>
      </c>
    </row>
    <row r="3366" spans="1:7" x14ac:dyDescent="0.3">
      <c r="A3366" s="198">
        <v>1017284611</v>
      </c>
      <c r="B3366" s="192" t="s">
        <v>1715</v>
      </c>
      <c r="C3366" s="196">
        <v>4197653</v>
      </c>
      <c r="D3366" s="196">
        <v>0</v>
      </c>
      <c r="E3366" s="196">
        <v>0</v>
      </c>
      <c r="F3366" s="196">
        <v>0</v>
      </c>
      <c r="G3366" s="196">
        <v>4197653</v>
      </c>
    </row>
    <row r="3367" spans="1:7" x14ac:dyDescent="0.3">
      <c r="A3367" s="198">
        <v>1214732908</v>
      </c>
      <c r="B3367" s="192" t="s">
        <v>1263</v>
      </c>
      <c r="C3367" s="196">
        <v>2133918</v>
      </c>
      <c r="D3367" s="196">
        <v>0</v>
      </c>
      <c r="E3367" s="196">
        <v>0</v>
      </c>
      <c r="F3367" s="196">
        <v>0</v>
      </c>
      <c r="G3367" s="196">
        <v>2133918</v>
      </c>
    </row>
    <row r="3368" spans="1:7" x14ac:dyDescent="0.3">
      <c r="A3368" s="198">
        <v>1127941794</v>
      </c>
      <c r="B3368" s="192" t="s">
        <v>1274</v>
      </c>
      <c r="C3368" s="196">
        <v>3600000</v>
      </c>
      <c r="D3368" s="196">
        <v>0</v>
      </c>
      <c r="E3368" s="196">
        <v>0</v>
      </c>
      <c r="F3368" s="196">
        <v>0</v>
      </c>
      <c r="G3368" s="196">
        <v>3600000</v>
      </c>
    </row>
    <row r="3369" spans="1:7" x14ac:dyDescent="0.3">
      <c r="A3369" s="198">
        <v>574816</v>
      </c>
      <c r="B3369" s="192" t="s">
        <v>2078</v>
      </c>
      <c r="C3369" s="196">
        <v>4279046</v>
      </c>
      <c r="D3369" s="196">
        <v>0</v>
      </c>
      <c r="E3369" s="196">
        <v>0</v>
      </c>
      <c r="F3369" s="196">
        <v>0</v>
      </c>
      <c r="G3369" s="196">
        <v>4279046</v>
      </c>
    </row>
    <row r="3370" spans="1:7" x14ac:dyDescent="0.3">
      <c r="A3370" s="198">
        <v>1214732527</v>
      </c>
      <c r="B3370" s="192" t="s">
        <v>1983</v>
      </c>
      <c r="C3370" s="196">
        <v>7530118</v>
      </c>
      <c r="D3370" s="196">
        <v>0</v>
      </c>
      <c r="E3370" s="196">
        <v>0</v>
      </c>
      <c r="F3370" s="196">
        <v>0</v>
      </c>
      <c r="G3370" s="196">
        <v>7530118</v>
      </c>
    </row>
    <row r="3371" spans="1:7" x14ac:dyDescent="0.3">
      <c r="A3371" s="198">
        <v>43550437</v>
      </c>
      <c r="B3371" s="192" t="s">
        <v>1936</v>
      </c>
      <c r="C3371" s="196">
        <v>2174017</v>
      </c>
      <c r="D3371" s="196">
        <v>0</v>
      </c>
      <c r="E3371" s="196">
        <v>0</v>
      </c>
      <c r="F3371" s="196">
        <v>0</v>
      </c>
      <c r="G3371" s="196">
        <v>2174017</v>
      </c>
    </row>
    <row r="3372" spans="1:7" x14ac:dyDescent="0.3">
      <c r="A3372" s="198">
        <v>43597511</v>
      </c>
      <c r="B3372" s="192" t="s">
        <v>2051</v>
      </c>
      <c r="C3372" s="196">
        <v>1370093</v>
      </c>
      <c r="D3372" s="196">
        <v>0</v>
      </c>
      <c r="E3372" s="196">
        <v>0</v>
      </c>
      <c r="F3372" s="196">
        <v>0</v>
      </c>
      <c r="G3372" s="196">
        <v>1370093</v>
      </c>
    </row>
    <row r="3373" spans="1:7" x14ac:dyDescent="0.3">
      <c r="A3373" s="198">
        <v>1037625960</v>
      </c>
      <c r="B3373" s="192" t="s">
        <v>2354</v>
      </c>
      <c r="C3373" s="196">
        <v>1008360</v>
      </c>
      <c r="D3373" s="196">
        <v>0</v>
      </c>
      <c r="E3373" s="196">
        <v>0</v>
      </c>
      <c r="F3373" s="196">
        <v>0</v>
      </c>
      <c r="G3373" s="196">
        <v>1008360</v>
      </c>
    </row>
    <row r="3374" spans="1:7" x14ac:dyDescent="0.3">
      <c r="A3374" s="198">
        <v>71212982</v>
      </c>
      <c r="B3374" s="192" t="s">
        <v>2341</v>
      </c>
      <c r="C3374" s="196">
        <v>2477778</v>
      </c>
      <c r="D3374" s="196">
        <v>0</v>
      </c>
      <c r="E3374" s="196">
        <v>0</v>
      </c>
      <c r="F3374" s="196">
        <v>0</v>
      </c>
      <c r="G3374" s="196">
        <v>2477778</v>
      </c>
    </row>
    <row r="3375" spans="1:7" x14ac:dyDescent="0.3">
      <c r="A3375" s="198">
        <v>1126429974</v>
      </c>
      <c r="B3375" s="192" t="s">
        <v>2342</v>
      </c>
      <c r="C3375" s="196">
        <v>279209</v>
      </c>
      <c r="D3375" s="196">
        <v>0</v>
      </c>
      <c r="E3375" s="196">
        <v>0</v>
      </c>
      <c r="F3375" s="196">
        <v>0</v>
      </c>
      <c r="G3375" s="196">
        <v>279209</v>
      </c>
    </row>
    <row r="3376" spans="1:7" x14ac:dyDescent="0.3">
      <c r="A3376" s="198">
        <v>809106</v>
      </c>
      <c r="B3376" s="192" t="s">
        <v>1680</v>
      </c>
      <c r="C3376" s="196">
        <v>2735969</v>
      </c>
      <c r="D3376" s="196">
        <v>0</v>
      </c>
      <c r="E3376" s="196">
        <v>0</v>
      </c>
      <c r="F3376" s="196">
        <v>0</v>
      </c>
      <c r="G3376" s="196">
        <v>2735969</v>
      </c>
    </row>
    <row r="3377" spans="1:7" x14ac:dyDescent="0.3">
      <c r="A3377" s="198">
        <v>1028042115</v>
      </c>
      <c r="B3377" s="192" t="s">
        <v>2067</v>
      </c>
      <c r="C3377" s="196">
        <v>1814354</v>
      </c>
      <c r="D3377" s="196">
        <v>0</v>
      </c>
      <c r="E3377" s="196">
        <v>0</v>
      </c>
      <c r="F3377" s="196">
        <v>0</v>
      </c>
      <c r="G3377" s="196">
        <v>1814354</v>
      </c>
    </row>
    <row r="3378" spans="1:7" x14ac:dyDescent="0.3">
      <c r="A3378" s="198">
        <v>1017184852</v>
      </c>
      <c r="B3378" s="192" t="s">
        <v>1716</v>
      </c>
      <c r="C3378" s="196">
        <v>1309584</v>
      </c>
      <c r="D3378" s="196">
        <v>0</v>
      </c>
      <c r="E3378" s="196">
        <v>0</v>
      </c>
      <c r="F3378" s="196">
        <v>0</v>
      </c>
      <c r="G3378" s="196">
        <v>1309584</v>
      </c>
    </row>
    <row r="3379" spans="1:7" x14ac:dyDescent="0.3">
      <c r="A3379" s="198">
        <v>1128423802</v>
      </c>
      <c r="B3379" s="192" t="s">
        <v>2053</v>
      </c>
      <c r="C3379" s="196">
        <v>1208895</v>
      </c>
      <c r="D3379" s="196">
        <v>0</v>
      </c>
      <c r="E3379" s="196">
        <v>0</v>
      </c>
      <c r="F3379" s="196">
        <v>0</v>
      </c>
      <c r="G3379" s="196">
        <v>1208895</v>
      </c>
    </row>
    <row r="3380" spans="1:7" x14ac:dyDescent="0.3">
      <c r="A3380" s="198">
        <v>1035854432</v>
      </c>
      <c r="B3380" s="192" t="s">
        <v>2054</v>
      </c>
      <c r="C3380" s="196">
        <v>895833</v>
      </c>
      <c r="D3380" s="196">
        <v>0</v>
      </c>
      <c r="E3380" s="196">
        <v>0</v>
      </c>
      <c r="F3380" s="196">
        <v>0</v>
      </c>
      <c r="G3380" s="196">
        <v>895833</v>
      </c>
    </row>
    <row r="3381" spans="1:7" x14ac:dyDescent="0.3">
      <c r="A3381" s="198">
        <v>1020420887</v>
      </c>
      <c r="B3381" s="192" t="s">
        <v>2343</v>
      </c>
      <c r="C3381" s="196">
        <v>1924451</v>
      </c>
      <c r="D3381" s="196">
        <v>0</v>
      </c>
      <c r="E3381" s="196">
        <v>0</v>
      </c>
      <c r="F3381" s="196">
        <v>0</v>
      </c>
      <c r="G3381" s="196">
        <v>1924451</v>
      </c>
    </row>
    <row r="3382" spans="1:7" x14ac:dyDescent="0.3">
      <c r="A3382" s="198">
        <v>32181971</v>
      </c>
      <c r="B3382" s="192" t="s">
        <v>2355</v>
      </c>
      <c r="C3382" s="196">
        <v>861942</v>
      </c>
      <c r="D3382" s="196">
        <v>0</v>
      </c>
      <c r="E3382" s="196">
        <v>0</v>
      </c>
      <c r="F3382" s="196">
        <v>0</v>
      </c>
      <c r="G3382" s="196">
        <v>861942</v>
      </c>
    </row>
    <row r="3383" spans="1:7" x14ac:dyDescent="0.3">
      <c r="A3383" s="198">
        <v>1040748779</v>
      </c>
      <c r="B3383" s="192" t="s">
        <v>2055</v>
      </c>
      <c r="C3383" s="196">
        <v>7108210</v>
      </c>
      <c r="D3383" s="196">
        <v>0</v>
      </c>
      <c r="E3383" s="196">
        <v>0</v>
      </c>
      <c r="F3383" s="196">
        <v>0</v>
      </c>
      <c r="G3383" s="196">
        <v>7108210</v>
      </c>
    </row>
    <row r="3384" spans="1:7" x14ac:dyDescent="0.3">
      <c r="A3384" s="198">
        <v>1152207950</v>
      </c>
      <c r="B3384" s="192" t="s">
        <v>2056</v>
      </c>
      <c r="C3384" s="196">
        <v>2347401</v>
      </c>
      <c r="D3384" s="196">
        <v>0</v>
      </c>
      <c r="E3384" s="196">
        <v>0</v>
      </c>
      <c r="F3384" s="196">
        <v>0</v>
      </c>
      <c r="G3384" s="196">
        <v>2347401</v>
      </c>
    </row>
    <row r="3385" spans="1:7" x14ac:dyDescent="0.3">
      <c r="A3385" s="198">
        <v>1001764247</v>
      </c>
      <c r="B3385" s="192" t="s">
        <v>2057</v>
      </c>
      <c r="C3385" s="196">
        <v>10360509</v>
      </c>
      <c r="D3385" s="196">
        <v>0</v>
      </c>
      <c r="E3385" s="196">
        <v>0</v>
      </c>
      <c r="F3385" s="196">
        <v>0</v>
      </c>
      <c r="G3385" s="196">
        <v>10360509</v>
      </c>
    </row>
    <row r="3386" spans="1:7" x14ac:dyDescent="0.3">
      <c r="A3386" s="198">
        <v>1000639361</v>
      </c>
      <c r="B3386" s="192" t="s">
        <v>2058</v>
      </c>
      <c r="C3386" s="196">
        <v>2587112</v>
      </c>
      <c r="D3386" s="196">
        <v>0</v>
      </c>
      <c r="E3386" s="196">
        <v>0</v>
      </c>
      <c r="F3386" s="196">
        <v>0</v>
      </c>
      <c r="G3386" s="196">
        <v>2587112</v>
      </c>
    </row>
    <row r="3387" spans="1:7" x14ac:dyDescent="0.3">
      <c r="A3387" s="198">
        <v>1015067177</v>
      </c>
      <c r="B3387" s="192" t="s">
        <v>2320</v>
      </c>
      <c r="C3387" s="196">
        <v>531061</v>
      </c>
      <c r="D3387" s="196">
        <v>0</v>
      </c>
      <c r="E3387" s="196">
        <v>0</v>
      </c>
      <c r="F3387" s="196">
        <v>0</v>
      </c>
      <c r="G3387" s="196">
        <v>531061</v>
      </c>
    </row>
    <row r="3388" spans="1:7" x14ac:dyDescent="0.3">
      <c r="A3388" s="198">
        <v>1027616481</v>
      </c>
      <c r="B3388" s="192" t="s">
        <v>2059</v>
      </c>
      <c r="C3388" s="196">
        <v>773289</v>
      </c>
      <c r="D3388" s="196">
        <v>0</v>
      </c>
      <c r="E3388" s="196">
        <v>0</v>
      </c>
      <c r="F3388" s="196">
        <v>0</v>
      </c>
      <c r="G3388" s="196">
        <v>773289</v>
      </c>
    </row>
    <row r="3389" spans="1:7" x14ac:dyDescent="0.3">
      <c r="A3389" s="198">
        <v>32299587</v>
      </c>
      <c r="B3389" s="192" t="s">
        <v>2060</v>
      </c>
      <c r="C3389" s="196">
        <v>2383903</v>
      </c>
      <c r="D3389" s="196">
        <v>0</v>
      </c>
      <c r="E3389" s="196">
        <v>0</v>
      </c>
      <c r="F3389" s="196">
        <v>0</v>
      </c>
      <c r="G3389" s="196">
        <v>2383903</v>
      </c>
    </row>
    <row r="3390" spans="1:7" x14ac:dyDescent="0.3">
      <c r="A3390" s="198">
        <v>43972279</v>
      </c>
      <c r="B3390" s="192" t="s">
        <v>2061</v>
      </c>
      <c r="C3390" s="196">
        <v>2101466</v>
      </c>
      <c r="D3390" s="196">
        <v>0</v>
      </c>
      <c r="E3390" s="196">
        <v>0</v>
      </c>
      <c r="F3390" s="196">
        <v>0</v>
      </c>
      <c r="G3390" s="196">
        <v>2101466</v>
      </c>
    </row>
    <row r="3391" spans="1:7" x14ac:dyDescent="0.3">
      <c r="A3391" s="198">
        <v>1001510696</v>
      </c>
      <c r="B3391" s="192" t="s">
        <v>2062</v>
      </c>
      <c r="C3391" s="196">
        <v>5146486</v>
      </c>
      <c r="D3391" s="196">
        <v>0</v>
      </c>
      <c r="E3391" s="196">
        <v>0</v>
      </c>
      <c r="F3391" s="196">
        <v>0</v>
      </c>
      <c r="G3391" s="196">
        <v>5146486</v>
      </c>
    </row>
    <row r="3392" spans="1:7" x14ac:dyDescent="0.3">
      <c r="A3392" s="197">
        <v>2525</v>
      </c>
      <c r="B3392" s="191" t="s">
        <v>2358</v>
      </c>
      <c r="C3392" s="195">
        <v>-59288253.240000002</v>
      </c>
      <c r="D3392" s="195">
        <v>7554405</v>
      </c>
      <c r="E3392" s="195">
        <v>9623200</v>
      </c>
      <c r="F3392" s="195">
        <v>-2068795</v>
      </c>
      <c r="G3392" s="195">
        <v>-61357048.240000002</v>
      </c>
    </row>
    <row r="3393" spans="1:7" x14ac:dyDescent="0.3">
      <c r="A3393" s="197">
        <v>252510</v>
      </c>
      <c r="B3393" s="191" t="s">
        <v>2358</v>
      </c>
      <c r="C3393" s="195">
        <v>-232856230.25999999</v>
      </c>
      <c r="D3393" s="195">
        <v>0</v>
      </c>
      <c r="E3393" s="195">
        <v>9623200</v>
      </c>
      <c r="F3393" s="195">
        <v>-9623200</v>
      </c>
      <c r="G3393" s="195">
        <v>-242479430.25999999</v>
      </c>
    </row>
    <row r="3394" spans="1:7" x14ac:dyDescent="0.3">
      <c r="A3394" s="198">
        <v>25251001</v>
      </c>
      <c r="B3394" s="192" t="s">
        <v>2359</v>
      </c>
      <c r="C3394" s="196">
        <v>-232856230.25999999</v>
      </c>
      <c r="D3394" s="196">
        <v>0</v>
      </c>
      <c r="E3394" s="196">
        <v>9623200</v>
      </c>
      <c r="F3394" s="196">
        <v>-9623200</v>
      </c>
      <c r="G3394" s="196">
        <v>-242479430.25999999</v>
      </c>
    </row>
    <row r="3395" spans="1:7" x14ac:dyDescent="0.3">
      <c r="A3395" s="198">
        <v>31948684</v>
      </c>
      <c r="B3395" s="192" t="s">
        <v>165</v>
      </c>
      <c r="C3395" s="196">
        <v>-25939334</v>
      </c>
      <c r="D3395" s="196">
        <v>0</v>
      </c>
      <c r="E3395" s="196">
        <v>500000</v>
      </c>
      <c r="F3395" s="196">
        <v>-500000</v>
      </c>
      <c r="G3395" s="196">
        <v>-26439334</v>
      </c>
    </row>
    <row r="3396" spans="1:7" x14ac:dyDescent="0.3">
      <c r="A3396" s="198">
        <v>43685485</v>
      </c>
      <c r="B3396" s="192" t="s">
        <v>2028</v>
      </c>
      <c r="C3396" s="196">
        <v>-458333</v>
      </c>
      <c r="D3396" s="196">
        <v>0</v>
      </c>
      <c r="E3396" s="196">
        <v>0</v>
      </c>
      <c r="F3396" s="196">
        <v>0</v>
      </c>
      <c r="G3396" s="196">
        <v>-458333</v>
      </c>
    </row>
    <row r="3397" spans="1:7" x14ac:dyDescent="0.3">
      <c r="A3397" s="198">
        <v>32391236</v>
      </c>
      <c r="B3397" s="192" t="s">
        <v>2029</v>
      </c>
      <c r="C3397" s="196">
        <v>-1000000</v>
      </c>
      <c r="D3397" s="196">
        <v>0</v>
      </c>
      <c r="E3397" s="196">
        <v>83333</v>
      </c>
      <c r="F3397" s="196">
        <v>-83333</v>
      </c>
      <c r="G3397" s="196">
        <v>-1083333</v>
      </c>
    </row>
    <row r="3398" spans="1:7" x14ac:dyDescent="0.3">
      <c r="A3398" s="198">
        <v>1037644962</v>
      </c>
      <c r="B3398" s="192" t="s">
        <v>260</v>
      </c>
      <c r="C3398" s="196">
        <v>-1405298</v>
      </c>
      <c r="D3398" s="196">
        <v>0</v>
      </c>
      <c r="E3398" s="196">
        <v>123775</v>
      </c>
      <c r="F3398" s="196">
        <v>-123775</v>
      </c>
      <c r="G3398" s="196">
        <v>-1529073</v>
      </c>
    </row>
    <row r="3399" spans="1:7" x14ac:dyDescent="0.3">
      <c r="A3399" s="198">
        <v>1193166396</v>
      </c>
      <c r="B3399" s="192" t="s">
        <v>1625</v>
      </c>
      <c r="C3399" s="196">
        <v>-9000044</v>
      </c>
      <c r="D3399" s="196">
        <v>0</v>
      </c>
      <c r="E3399" s="196">
        <v>1145833</v>
      </c>
      <c r="F3399" s="196">
        <v>-1145833</v>
      </c>
      <c r="G3399" s="196">
        <v>-10145877</v>
      </c>
    </row>
    <row r="3400" spans="1:7" x14ac:dyDescent="0.3">
      <c r="A3400" s="198">
        <v>142142879</v>
      </c>
      <c r="B3400" s="192" t="s">
        <v>2349</v>
      </c>
      <c r="C3400" s="196">
        <v>-60666</v>
      </c>
      <c r="D3400" s="196">
        <v>0</v>
      </c>
      <c r="E3400" s="196">
        <v>0</v>
      </c>
      <c r="F3400" s="196">
        <v>0</v>
      </c>
      <c r="G3400" s="196">
        <v>-60666</v>
      </c>
    </row>
    <row r="3401" spans="1:7" x14ac:dyDescent="0.3">
      <c r="A3401" s="198">
        <v>1128393236</v>
      </c>
      <c r="B3401" s="192" t="s">
        <v>1703</v>
      </c>
      <c r="C3401" s="196">
        <v>-268888</v>
      </c>
      <c r="D3401" s="196">
        <v>0</v>
      </c>
      <c r="E3401" s="196">
        <v>0</v>
      </c>
      <c r="F3401" s="196">
        <v>0</v>
      </c>
      <c r="G3401" s="196">
        <v>-268888</v>
      </c>
    </row>
    <row r="3402" spans="1:7" x14ac:dyDescent="0.3">
      <c r="A3402" s="198">
        <v>1020423981</v>
      </c>
      <c r="B3402" s="192" t="s">
        <v>2030</v>
      </c>
      <c r="C3402" s="196">
        <v>-4669350.01</v>
      </c>
      <c r="D3402" s="196">
        <v>0</v>
      </c>
      <c r="E3402" s="196">
        <v>100094</v>
      </c>
      <c r="F3402" s="196">
        <v>-100094</v>
      </c>
      <c r="G3402" s="196">
        <v>-4769444.01</v>
      </c>
    </row>
    <row r="3403" spans="1:7" x14ac:dyDescent="0.3">
      <c r="A3403" s="198">
        <v>1035388687</v>
      </c>
      <c r="B3403" s="192" t="s">
        <v>2360</v>
      </c>
      <c r="C3403" s="196">
        <v>-43033</v>
      </c>
      <c r="D3403" s="196">
        <v>0</v>
      </c>
      <c r="E3403" s="196">
        <v>0</v>
      </c>
      <c r="F3403" s="196">
        <v>0</v>
      </c>
      <c r="G3403" s="196">
        <v>-43033</v>
      </c>
    </row>
    <row r="3404" spans="1:7" x14ac:dyDescent="0.3">
      <c r="A3404" s="198">
        <v>1020489861</v>
      </c>
      <c r="B3404" s="192" t="s">
        <v>1704</v>
      </c>
      <c r="C3404" s="196">
        <v>-1848676</v>
      </c>
      <c r="D3404" s="196">
        <v>0</v>
      </c>
      <c r="E3404" s="196">
        <v>0</v>
      </c>
      <c r="F3404" s="196">
        <v>0</v>
      </c>
      <c r="G3404" s="196">
        <v>-1848676</v>
      </c>
    </row>
    <row r="3405" spans="1:7" x14ac:dyDescent="0.3">
      <c r="A3405" s="198">
        <v>1152689568</v>
      </c>
      <c r="B3405" s="192" t="s">
        <v>1705</v>
      </c>
      <c r="C3405" s="196">
        <v>-6068673</v>
      </c>
      <c r="D3405" s="196">
        <v>0</v>
      </c>
      <c r="E3405" s="196">
        <v>116884</v>
      </c>
      <c r="F3405" s="196">
        <v>-116884</v>
      </c>
      <c r="G3405" s="196">
        <v>-6185557</v>
      </c>
    </row>
    <row r="3406" spans="1:7" x14ac:dyDescent="0.3">
      <c r="A3406" s="198">
        <v>1037266322</v>
      </c>
      <c r="B3406" s="192" t="s">
        <v>2031</v>
      </c>
      <c r="C3406" s="196">
        <v>-533976</v>
      </c>
      <c r="D3406" s="196">
        <v>0</v>
      </c>
      <c r="E3406" s="196">
        <v>0</v>
      </c>
      <c r="F3406" s="196">
        <v>0</v>
      </c>
      <c r="G3406" s="196">
        <v>-533976</v>
      </c>
    </row>
    <row r="3407" spans="1:7" x14ac:dyDescent="0.3">
      <c r="A3407" s="198">
        <v>32144343</v>
      </c>
      <c r="B3407" s="192" t="s">
        <v>1706</v>
      </c>
      <c r="C3407" s="196">
        <v>-3257191.01</v>
      </c>
      <c r="D3407" s="196">
        <v>0</v>
      </c>
      <c r="E3407" s="196">
        <v>72954</v>
      </c>
      <c r="F3407" s="196">
        <v>-72954</v>
      </c>
      <c r="G3407" s="196">
        <v>-3330145.01</v>
      </c>
    </row>
    <row r="3408" spans="1:7" x14ac:dyDescent="0.3">
      <c r="A3408" s="198">
        <v>1037583982</v>
      </c>
      <c r="B3408" s="192" t="s">
        <v>1798</v>
      </c>
      <c r="C3408" s="196">
        <v>-6820669</v>
      </c>
      <c r="D3408" s="196">
        <v>0</v>
      </c>
      <c r="E3408" s="196">
        <v>226815</v>
      </c>
      <c r="F3408" s="196">
        <v>-226815</v>
      </c>
      <c r="G3408" s="196">
        <v>-7047484</v>
      </c>
    </row>
    <row r="3409" spans="1:7" x14ac:dyDescent="0.3">
      <c r="A3409" s="198">
        <v>1017266622</v>
      </c>
      <c r="B3409" s="192" t="s">
        <v>1707</v>
      </c>
      <c r="C3409" s="196">
        <v>-3498541</v>
      </c>
      <c r="D3409" s="196">
        <v>0</v>
      </c>
      <c r="E3409" s="196">
        <v>120833</v>
      </c>
      <c r="F3409" s="196">
        <v>-120833</v>
      </c>
      <c r="G3409" s="196">
        <v>-3619374</v>
      </c>
    </row>
    <row r="3410" spans="1:7" x14ac:dyDescent="0.3">
      <c r="A3410" s="198">
        <v>1041229735</v>
      </c>
      <c r="B3410" s="192" t="s">
        <v>2033</v>
      </c>
      <c r="C3410" s="196">
        <v>-2359832</v>
      </c>
      <c r="D3410" s="196">
        <v>0</v>
      </c>
      <c r="E3410" s="196">
        <v>123255</v>
      </c>
      <c r="F3410" s="196">
        <v>-123255</v>
      </c>
      <c r="G3410" s="196">
        <v>-2483087</v>
      </c>
    </row>
    <row r="3411" spans="1:7" x14ac:dyDescent="0.3">
      <c r="A3411" s="198">
        <v>1036641303</v>
      </c>
      <c r="B3411" s="192" t="s">
        <v>2034</v>
      </c>
      <c r="C3411" s="196">
        <v>-5673443</v>
      </c>
      <c r="D3411" s="196">
        <v>0</v>
      </c>
      <c r="E3411" s="196">
        <v>108334</v>
      </c>
      <c r="F3411" s="196">
        <v>-108334</v>
      </c>
      <c r="G3411" s="196">
        <v>-5781777</v>
      </c>
    </row>
    <row r="3412" spans="1:7" x14ac:dyDescent="0.3">
      <c r="A3412" s="198">
        <v>32265167</v>
      </c>
      <c r="B3412" s="192" t="s">
        <v>2350</v>
      </c>
      <c r="C3412" s="196">
        <v>-21184</v>
      </c>
      <c r="D3412" s="196">
        <v>0</v>
      </c>
      <c r="E3412" s="196">
        <v>0</v>
      </c>
      <c r="F3412" s="196">
        <v>0</v>
      </c>
      <c r="G3412" s="196">
        <v>-21184</v>
      </c>
    </row>
    <row r="3413" spans="1:7" x14ac:dyDescent="0.3">
      <c r="A3413" s="198">
        <v>32865167</v>
      </c>
      <c r="B3413" s="192" t="s">
        <v>2071</v>
      </c>
      <c r="C3413" s="196">
        <v>-610037</v>
      </c>
      <c r="D3413" s="196">
        <v>0</v>
      </c>
      <c r="E3413" s="196">
        <v>0</v>
      </c>
      <c r="F3413" s="196">
        <v>0</v>
      </c>
      <c r="G3413" s="196">
        <v>-610037</v>
      </c>
    </row>
    <row r="3414" spans="1:7" x14ac:dyDescent="0.3">
      <c r="A3414" s="198">
        <v>1037570707</v>
      </c>
      <c r="B3414" s="192" t="s">
        <v>1677</v>
      </c>
      <c r="C3414" s="196">
        <v>-8205983.0099999998</v>
      </c>
      <c r="D3414" s="196">
        <v>0</v>
      </c>
      <c r="E3414" s="196">
        <v>96344</v>
      </c>
      <c r="F3414" s="196">
        <v>-96344</v>
      </c>
      <c r="G3414" s="196">
        <v>-8302327.0099999998</v>
      </c>
    </row>
    <row r="3415" spans="1:7" x14ac:dyDescent="0.3">
      <c r="A3415" s="198">
        <v>1001660174</v>
      </c>
      <c r="B3415" s="192" t="s">
        <v>2318</v>
      </c>
      <c r="C3415" s="196">
        <v>-249167</v>
      </c>
      <c r="D3415" s="196">
        <v>0</v>
      </c>
      <c r="E3415" s="196">
        <v>95833</v>
      </c>
      <c r="F3415" s="196">
        <v>-95833</v>
      </c>
      <c r="G3415" s="196">
        <v>-345000</v>
      </c>
    </row>
    <row r="3416" spans="1:7" x14ac:dyDescent="0.3">
      <c r="A3416" s="198">
        <v>43190602</v>
      </c>
      <c r="B3416" s="192" t="s">
        <v>1708</v>
      </c>
      <c r="C3416" s="196">
        <v>-1670501</v>
      </c>
      <c r="D3416" s="196">
        <v>0</v>
      </c>
      <c r="E3416" s="196">
        <v>87500</v>
      </c>
      <c r="F3416" s="196">
        <v>-87500</v>
      </c>
      <c r="G3416" s="196">
        <v>-1758001</v>
      </c>
    </row>
    <row r="3417" spans="1:7" x14ac:dyDescent="0.3">
      <c r="A3417" s="198">
        <v>43113995</v>
      </c>
      <c r="B3417" s="192" t="s">
        <v>2324</v>
      </c>
      <c r="C3417" s="196">
        <v>-253333</v>
      </c>
      <c r="D3417" s="196">
        <v>0</v>
      </c>
      <c r="E3417" s="196">
        <v>0</v>
      </c>
      <c r="F3417" s="196">
        <v>0</v>
      </c>
      <c r="G3417" s="196">
        <v>-253333</v>
      </c>
    </row>
    <row r="3418" spans="1:7" x14ac:dyDescent="0.3">
      <c r="A3418" s="198">
        <v>3901013</v>
      </c>
      <c r="B3418" s="192" t="s">
        <v>1709</v>
      </c>
      <c r="C3418" s="196">
        <v>-195833</v>
      </c>
      <c r="D3418" s="196">
        <v>0</v>
      </c>
      <c r="E3418" s="196">
        <v>0</v>
      </c>
      <c r="F3418" s="196">
        <v>0</v>
      </c>
      <c r="G3418" s="196">
        <v>-195833</v>
      </c>
    </row>
    <row r="3419" spans="1:7" x14ac:dyDescent="0.3">
      <c r="A3419" s="198">
        <v>3901013</v>
      </c>
      <c r="B3419" s="192" t="s">
        <v>1709</v>
      </c>
      <c r="C3419" s="196">
        <v>-14892575</v>
      </c>
      <c r="D3419" s="196">
        <v>0</v>
      </c>
      <c r="E3419" s="196">
        <v>1666667</v>
      </c>
      <c r="F3419" s="196">
        <v>-1666667</v>
      </c>
      <c r="G3419" s="196">
        <v>-16559242</v>
      </c>
    </row>
    <row r="3420" spans="1:7" x14ac:dyDescent="0.3">
      <c r="A3420" s="198">
        <v>794732</v>
      </c>
      <c r="B3420" s="192" t="s">
        <v>2351</v>
      </c>
      <c r="C3420" s="196">
        <v>-533760</v>
      </c>
      <c r="D3420" s="196">
        <v>0</v>
      </c>
      <c r="E3420" s="196">
        <v>0</v>
      </c>
      <c r="F3420" s="196">
        <v>0</v>
      </c>
      <c r="G3420" s="196">
        <v>-533760</v>
      </c>
    </row>
    <row r="3421" spans="1:7" x14ac:dyDescent="0.3">
      <c r="A3421" s="198">
        <v>1216716838</v>
      </c>
      <c r="B3421" s="192" t="s">
        <v>2036</v>
      </c>
      <c r="C3421" s="196">
        <v>-1574167</v>
      </c>
      <c r="D3421" s="196">
        <v>0</v>
      </c>
      <c r="E3421" s="196">
        <v>108333</v>
      </c>
      <c r="F3421" s="196">
        <v>-108333</v>
      </c>
      <c r="G3421" s="196">
        <v>-1682500</v>
      </c>
    </row>
    <row r="3422" spans="1:7" x14ac:dyDescent="0.3">
      <c r="A3422" s="198">
        <v>1152197675</v>
      </c>
      <c r="B3422" s="192" t="s">
        <v>2325</v>
      </c>
      <c r="C3422" s="196">
        <v>-1406736</v>
      </c>
      <c r="D3422" s="196">
        <v>0</v>
      </c>
      <c r="E3422" s="196">
        <v>0</v>
      </c>
      <c r="F3422" s="196">
        <v>0</v>
      </c>
      <c r="G3422" s="196">
        <v>-1406736</v>
      </c>
    </row>
    <row r="3423" spans="1:7" x14ac:dyDescent="0.3">
      <c r="A3423" s="198">
        <v>43605890</v>
      </c>
      <c r="B3423" s="192" t="s">
        <v>565</v>
      </c>
      <c r="C3423" s="196">
        <v>-9335556</v>
      </c>
      <c r="D3423" s="196">
        <v>0</v>
      </c>
      <c r="E3423" s="196">
        <v>229167</v>
      </c>
      <c r="F3423" s="196">
        <v>-229167</v>
      </c>
      <c r="G3423" s="196">
        <v>-9564723</v>
      </c>
    </row>
    <row r="3424" spans="1:7" x14ac:dyDescent="0.3">
      <c r="A3424" s="198">
        <v>1007045790</v>
      </c>
      <c r="B3424" s="192" t="s">
        <v>2326</v>
      </c>
      <c r="C3424" s="196">
        <v>-4752560</v>
      </c>
      <c r="D3424" s="196">
        <v>0</v>
      </c>
      <c r="E3424" s="196">
        <v>0</v>
      </c>
      <c r="F3424" s="196">
        <v>0</v>
      </c>
      <c r="G3424" s="196">
        <v>-4752560</v>
      </c>
    </row>
    <row r="3425" spans="1:7" x14ac:dyDescent="0.3">
      <c r="A3425" s="198">
        <v>1036685923</v>
      </c>
      <c r="B3425" s="192" t="s">
        <v>1710</v>
      </c>
      <c r="C3425" s="196">
        <v>-2088333</v>
      </c>
      <c r="D3425" s="196">
        <v>0</v>
      </c>
      <c r="E3425" s="196">
        <v>120833</v>
      </c>
      <c r="F3425" s="196">
        <v>-120833</v>
      </c>
      <c r="G3425" s="196">
        <v>-2209166</v>
      </c>
    </row>
    <row r="3426" spans="1:7" x14ac:dyDescent="0.3">
      <c r="A3426" s="198">
        <v>1020486802</v>
      </c>
      <c r="B3426" s="192" t="s">
        <v>2327</v>
      </c>
      <c r="C3426" s="196">
        <v>-244325</v>
      </c>
      <c r="D3426" s="196">
        <v>0</v>
      </c>
      <c r="E3426" s="196">
        <v>0</v>
      </c>
      <c r="F3426" s="196">
        <v>0</v>
      </c>
      <c r="G3426" s="196">
        <v>-244325</v>
      </c>
    </row>
    <row r="3427" spans="1:7" x14ac:dyDescent="0.3">
      <c r="A3427" s="198">
        <v>32108182</v>
      </c>
      <c r="B3427" s="192" t="s">
        <v>2076</v>
      </c>
      <c r="C3427" s="196">
        <v>-227908</v>
      </c>
      <c r="D3427" s="196">
        <v>0</v>
      </c>
      <c r="E3427" s="196">
        <v>0</v>
      </c>
      <c r="F3427" s="196">
        <v>0</v>
      </c>
      <c r="G3427" s="196">
        <v>-227908</v>
      </c>
    </row>
    <row r="3428" spans="1:7" x14ac:dyDescent="0.3">
      <c r="A3428" s="198">
        <v>71526513</v>
      </c>
      <c r="B3428" s="192" t="s">
        <v>1643</v>
      </c>
      <c r="C3428" s="196">
        <v>-6439518.0099999998</v>
      </c>
      <c r="D3428" s="196">
        <v>0</v>
      </c>
      <c r="E3428" s="196">
        <v>184813</v>
      </c>
      <c r="F3428" s="196">
        <v>-184813</v>
      </c>
      <c r="G3428" s="196">
        <v>-6624331.0099999998</v>
      </c>
    </row>
    <row r="3429" spans="1:7" x14ac:dyDescent="0.3">
      <c r="A3429" s="198">
        <v>9977388</v>
      </c>
      <c r="B3429" s="192" t="s">
        <v>2328</v>
      </c>
      <c r="C3429" s="196">
        <v>-5413718</v>
      </c>
      <c r="D3429" s="196">
        <v>0</v>
      </c>
      <c r="E3429" s="196">
        <v>0</v>
      </c>
      <c r="F3429" s="196">
        <v>0</v>
      </c>
      <c r="G3429" s="196">
        <v>-5413718</v>
      </c>
    </row>
    <row r="3430" spans="1:7" x14ac:dyDescent="0.3">
      <c r="A3430" s="198">
        <v>1042458852</v>
      </c>
      <c r="B3430" s="192" t="s">
        <v>1711</v>
      </c>
      <c r="C3430" s="196">
        <v>-7863188</v>
      </c>
      <c r="D3430" s="196">
        <v>0</v>
      </c>
      <c r="E3430" s="196">
        <v>227803</v>
      </c>
      <c r="F3430" s="196">
        <v>-227803</v>
      </c>
      <c r="G3430" s="196">
        <v>-8090991</v>
      </c>
    </row>
    <row r="3431" spans="1:7" x14ac:dyDescent="0.3">
      <c r="A3431" s="198">
        <v>1037604851</v>
      </c>
      <c r="B3431" s="192" t="s">
        <v>2361</v>
      </c>
      <c r="C3431" s="196">
        <v>-364598</v>
      </c>
      <c r="D3431" s="196">
        <v>0</v>
      </c>
      <c r="E3431" s="196">
        <v>0</v>
      </c>
      <c r="F3431" s="196">
        <v>0</v>
      </c>
      <c r="G3431" s="196">
        <v>-364598</v>
      </c>
    </row>
    <row r="3432" spans="1:7" x14ac:dyDescent="0.3">
      <c r="A3432" s="198">
        <v>1017194194</v>
      </c>
      <c r="B3432" s="192" t="s">
        <v>2157</v>
      </c>
      <c r="C3432" s="196">
        <v>-4000243</v>
      </c>
      <c r="D3432" s="196">
        <v>0</v>
      </c>
      <c r="E3432" s="196">
        <v>0</v>
      </c>
      <c r="F3432" s="196">
        <v>0</v>
      </c>
      <c r="G3432" s="196">
        <v>-4000243</v>
      </c>
    </row>
    <row r="3433" spans="1:7" x14ac:dyDescent="0.3">
      <c r="A3433" s="198">
        <v>1020426876</v>
      </c>
      <c r="B3433" s="192" t="s">
        <v>2329</v>
      </c>
      <c r="C3433" s="196">
        <v>-1506667</v>
      </c>
      <c r="D3433" s="196">
        <v>0</v>
      </c>
      <c r="E3433" s="196">
        <v>0</v>
      </c>
      <c r="F3433" s="196">
        <v>0</v>
      </c>
      <c r="G3433" s="196">
        <v>-1506667</v>
      </c>
    </row>
    <row r="3434" spans="1:7" x14ac:dyDescent="0.3">
      <c r="A3434" s="198">
        <v>1126423558</v>
      </c>
      <c r="B3434" s="192" t="s">
        <v>2159</v>
      </c>
      <c r="C3434" s="196">
        <v>-2019308</v>
      </c>
      <c r="D3434" s="196">
        <v>0</v>
      </c>
      <c r="E3434" s="196">
        <v>0</v>
      </c>
      <c r="F3434" s="196">
        <v>0</v>
      </c>
      <c r="G3434" s="196">
        <v>-2019308</v>
      </c>
    </row>
    <row r="3435" spans="1:7" x14ac:dyDescent="0.3">
      <c r="A3435" s="198">
        <v>1093744869</v>
      </c>
      <c r="B3435" s="192" t="s">
        <v>1906</v>
      </c>
      <c r="C3435" s="196">
        <v>-2946298.01</v>
      </c>
      <c r="D3435" s="196">
        <v>0</v>
      </c>
      <c r="E3435" s="196">
        <v>0</v>
      </c>
      <c r="F3435" s="196">
        <v>0</v>
      </c>
      <c r="G3435" s="196">
        <v>-2946298.01</v>
      </c>
    </row>
    <row r="3436" spans="1:7" x14ac:dyDescent="0.3">
      <c r="A3436" s="198">
        <v>1007551247</v>
      </c>
      <c r="B3436" s="192" t="s">
        <v>1712</v>
      </c>
      <c r="C3436" s="196">
        <v>-4317669</v>
      </c>
      <c r="D3436" s="196">
        <v>0</v>
      </c>
      <c r="E3436" s="196">
        <v>0</v>
      </c>
      <c r="F3436" s="196">
        <v>0</v>
      </c>
      <c r="G3436" s="196">
        <v>-4317669</v>
      </c>
    </row>
    <row r="3437" spans="1:7" x14ac:dyDescent="0.3">
      <c r="A3437" s="198">
        <v>1017133284</v>
      </c>
      <c r="B3437" s="192" t="s">
        <v>2037</v>
      </c>
      <c r="C3437" s="196">
        <v>-503461</v>
      </c>
      <c r="D3437" s="196">
        <v>0</v>
      </c>
      <c r="E3437" s="196">
        <v>95833</v>
      </c>
      <c r="F3437" s="196">
        <v>-95833</v>
      </c>
      <c r="G3437" s="196">
        <v>-599294</v>
      </c>
    </row>
    <row r="3438" spans="1:7" x14ac:dyDescent="0.3">
      <c r="A3438" s="198">
        <v>1036679554</v>
      </c>
      <c r="B3438" s="192" t="s">
        <v>2064</v>
      </c>
      <c r="C3438" s="196">
        <v>-1899260</v>
      </c>
      <c r="D3438" s="196">
        <v>0</v>
      </c>
      <c r="E3438" s="196">
        <v>0</v>
      </c>
      <c r="F3438" s="196">
        <v>0</v>
      </c>
      <c r="G3438" s="196">
        <v>-1899260</v>
      </c>
    </row>
    <row r="3439" spans="1:7" x14ac:dyDescent="0.3">
      <c r="A3439" s="198">
        <v>71222364</v>
      </c>
      <c r="B3439" s="192" t="s">
        <v>2330</v>
      </c>
      <c r="C3439" s="196">
        <v>-611111</v>
      </c>
      <c r="D3439" s="196">
        <v>0</v>
      </c>
      <c r="E3439" s="196">
        <v>0</v>
      </c>
      <c r="F3439" s="196">
        <v>0</v>
      </c>
      <c r="G3439" s="196">
        <v>-611111</v>
      </c>
    </row>
    <row r="3440" spans="1:7" x14ac:dyDescent="0.3">
      <c r="A3440" s="198">
        <v>1127953609</v>
      </c>
      <c r="B3440" s="192" t="s">
        <v>2038</v>
      </c>
      <c r="C3440" s="196">
        <v>-403026</v>
      </c>
      <c r="D3440" s="196">
        <v>0</v>
      </c>
      <c r="E3440" s="196">
        <v>0</v>
      </c>
      <c r="F3440" s="196">
        <v>0</v>
      </c>
      <c r="G3440" s="196">
        <v>-403026</v>
      </c>
    </row>
    <row r="3441" spans="1:7" x14ac:dyDescent="0.3">
      <c r="A3441" s="198">
        <v>1152440998</v>
      </c>
      <c r="B3441" s="192" t="s">
        <v>2039</v>
      </c>
      <c r="C3441" s="196">
        <v>-3136421</v>
      </c>
      <c r="D3441" s="196">
        <v>0</v>
      </c>
      <c r="E3441" s="196">
        <v>226969</v>
      </c>
      <c r="F3441" s="196">
        <v>-226969</v>
      </c>
      <c r="G3441" s="196">
        <v>-3363390</v>
      </c>
    </row>
    <row r="3442" spans="1:7" x14ac:dyDescent="0.3">
      <c r="A3442" s="198">
        <v>1037631008</v>
      </c>
      <c r="B3442" s="192" t="s">
        <v>2352</v>
      </c>
      <c r="C3442" s="196">
        <v>-15596</v>
      </c>
      <c r="D3442" s="196">
        <v>0</v>
      </c>
      <c r="E3442" s="196">
        <v>0</v>
      </c>
      <c r="F3442" s="196">
        <v>0</v>
      </c>
      <c r="G3442" s="196">
        <v>-15596</v>
      </c>
    </row>
    <row r="3443" spans="1:7" x14ac:dyDescent="0.3">
      <c r="A3443" s="198">
        <v>1020436418</v>
      </c>
      <c r="B3443" s="192" t="s">
        <v>2040</v>
      </c>
      <c r="C3443" s="196">
        <v>-373333</v>
      </c>
      <c r="D3443" s="196">
        <v>0</v>
      </c>
      <c r="E3443" s="196">
        <v>87500</v>
      </c>
      <c r="F3443" s="196">
        <v>-87500</v>
      </c>
      <c r="G3443" s="196">
        <v>-460833</v>
      </c>
    </row>
    <row r="3444" spans="1:7" x14ac:dyDescent="0.3">
      <c r="A3444" s="198">
        <v>1144039609</v>
      </c>
      <c r="B3444" s="192" t="s">
        <v>2041</v>
      </c>
      <c r="C3444" s="196">
        <v>-1166621</v>
      </c>
      <c r="D3444" s="196">
        <v>0</v>
      </c>
      <c r="E3444" s="196">
        <v>227044</v>
      </c>
      <c r="F3444" s="196">
        <v>-227044</v>
      </c>
      <c r="G3444" s="196">
        <v>-1393665</v>
      </c>
    </row>
    <row r="3445" spans="1:7" x14ac:dyDescent="0.3">
      <c r="A3445" s="198">
        <v>1216723387</v>
      </c>
      <c r="B3445" s="192" t="s">
        <v>1713</v>
      </c>
      <c r="C3445" s="196">
        <v>-4631697</v>
      </c>
      <c r="D3445" s="196">
        <v>0</v>
      </c>
      <c r="E3445" s="196">
        <v>120080</v>
      </c>
      <c r="F3445" s="196">
        <v>-120080</v>
      </c>
      <c r="G3445" s="196">
        <v>-4751777</v>
      </c>
    </row>
    <row r="3446" spans="1:7" x14ac:dyDescent="0.3">
      <c r="A3446" s="198">
        <v>1037589764</v>
      </c>
      <c r="B3446" s="192" t="s">
        <v>2331</v>
      </c>
      <c r="C3446" s="196">
        <v>-1317944</v>
      </c>
      <c r="D3446" s="196">
        <v>0</v>
      </c>
      <c r="E3446" s="196">
        <v>0</v>
      </c>
      <c r="F3446" s="196">
        <v>0</v>
      </c>
      <c r="G3446" s="196">
        <v>-1317944</v>
      </c>
    </row>
    <row r="3447" spans="1:7" x14ac:dyDescent="0.3">
      <c r="A3447" s="198">
        <v>1040752245</v>
      </c>
      <c r="B3447" s="192" t="s">
        <v>1678</v>
      </c>
      <c r="C3447" s="196">
        <v>-2048514</v>
      </c>
      <c r="D3447" s="196">
        <v>0</v>
      </c>
      <c r="E3447" s="196">
        <v>19166</v>
      </c>
      <c r="F3447" s="196">
        <v>-19166</v>
      </c>
      <c r="G3447" s="196">
        <v>-2067680</v>
      </c>
    </row>
    <row r="3448" spans="1:7" x14ac:dyDescent="0.3">
      <c r="A3448" s="198">
        <v>1036677041</v>
      </c>
      <c r="B3448" s="192" t="s">
        <v>2332</v>
      </c>
      <c r="C3448" s="196">
        <v>-770833</v>
      </c>
      <c r="D3448" s="196">
        <v>0</v>
      </c>
      <c r="E3448" s="196">
        <v>0</v>
      </c>
      <c r="F3448" s="196">
        <v>0</v>
      </c>
      <c r="G3448" s="196">
        <v>-770833</v>
      </c>
    </row>
    <row r="3449" spans="1:7" x14ac:dyDescent="0.3">
      <c r="A3449" s="198">
        <v>1037636353</v>
      </c>
      <c r="B3449" s="192" t="s">
        <v>2042</v>
      </c>
      <c r="C3449" s="196">
        <v>-863889</v>
      </c>
      <c r="D3449" s="196">
        <v>0</v>
      </c>
      <c r="E3449" s="196">
        <v>0</v>
      </c>
      <c r="F3449" s="196">
        <v>0</v>
      </c>
      <c r="G3449" s="196">
        <v>-863889</v>
      </c>
    </row>
    <row r="3450" spans="1:7" x14ac:dyDescent="0.3">
      <c r="A3450" s="198">
        <v>1038418006</v>
      </c>
      <c r="B3450" s="192" t="s">
        <v>2333</v>
      </c>
      <c r="C3450" s="196">
        <v>-596667</v>
      </c>
      <c r="D3450" s="196">
        <v>0</v>
      </c>
      <c r="E3450" s="196">
        <v>0</v>
      </c>
      <c r="F3450" s="196">
        <v>0</v>
      </c>
      <c r="G3450" s="196">
        <v>-596667</v>
      </c>
    </row>
    <row r="3451" spans="1:7" x14ac:dyDescent="0.3">
      <c r="A3451" s="198">
        <v>6549128</v>
      </c>
      <c r="B3451" s="192" t="s">
        <v>2043</v>
      </c>
      <c r="C3451" s="196">
        <v>-2500000</v>
      </c>
      <c r="D3451" s="196">
        <v>0</v>
      </c>
      <c r="E3451" s="196">
        <v>104167</v>
      </c>
      <c r="F3451" s="196">
        <v>-104167</v>
      </c>
      <c r="G3451" s="196">
        <v>-2604167</v>
      </c>
    </row>
    <row r="3452" spans="1:7" x14ac:dyDescent="0.3">
      <c r="A3452" s="198">
        <v>32296772</v>
      </c>
      <c r="B3452" s="192" t="s">
        <v>2334</v>
      </c>
      <c r="C3452" s="196">
        <v>-75924</v>
      </c>
      <c r="D3452" s="196">
        <v>0</v>
      </c>
      <c r="E3452" s="196">
        <v>0</v>
      </c>
      <c r="F3452" s="196">
        <v>0</v>
      </c>
      <c r="G3452" s="196">
        <v>-75924</v>
      </c>
    </row>
    <row r="3453" spans="1:7" x14ac:dyDescent="0.3">
      <c r="A3453" s="198">
        <v>1128385262</v>
      </c>
      <c r="B3453" s="192" t="s">
        <v>1714</v>
      </c>
      <c r="C3453" s="196">
        <v>-1482909</v>
      </c>
      <c r="D3453" s="196">
        <v>0</v>
      </c>
      <c r="E3453" s="196">
        <v>122962</v>
      </c>
      <c r="F3453" s="196">
        <v>-122962</v>
      </c>
      <c r="G3453" s="196">
        <v>-1605871</v>
      </c>
    </row>
    <row r="3454" spans="1:7" x14ac:dyDescent="0.3">
      <c r="A3454" s="198">
        <v>1020490983</v>
      </c>
      <c r="B3454" s="192" t="s">
        <v>2335</v>
      </c>
      <c r="C3454" s="196">
        <v>-515208</v>
      </c>
      <c r="D3454" s="196">
        <v>0</v>
      </c>
      <c r="E3454" s="196">
        <v>0</v>
      </c>
      <c r="F3454" s="196">
        <v>0</v>
      </c>
      <c r="G3454" s="196">
        <v>-515208</v>
      </c>
    </row>
    <row r="3455" spans="1:7" x14ac:dyDescent="0.3">
      <c r="A3455" s="198">
        <v>1000646763</v>
      </c>
      <c r="B3455" s="192" t="s">
        <v>2044</v>
      </c>
      <c r="C3455" s="196">
        <v>-3224109.01</v>
      </c>
      <c r="D3455" s="196">
        <v>0</v>
      </c>
      <c r="E3455" s="196">
        <v>124716</v>
      </c>
      <c r="F3455" s="196">
        <v>-124716</v>
      </c>
      <c r="G3455" s="196">
        <v>-3348825.01</v>
      </c>
    </row>
    <row r="3456" spans="1:7" x14ac:dyDescent="0.3">
      <c r="A3456" s="198">
        <v>1039464277</v>
      </c>
      <c r="B3456" s="192" t="s">
        <v>2336</v>
      </c>
      <c r="C3456" s="196">
        <v>-151667</v>
      </c>
      <c r="D3456" s="196">
        <v>0</v>
      </c>
      <c r="E3456" s="196">
        <v>0</v>
      </c>
      <c r="F3456" s="196">
        <v>0</v>
      </c>
      <c r="G3456" s="196">
        <v>-151667</v>
      </c>
    </row>
    <row r="3457" spans="1:7" x14ac:dyDescent="0.3">
      <c r="A3457" s="198">
        <v>1020431035</v>
      </c>
      <c r="B3457" s="192" t="s">
        <v>1923</v>
      </c>
      <c r="C3457" s="196">
        <v>-311538</v>
      </c>
      <c r="D3457" s="196">
        <v>0</v>
      </c>
      <c r="E3457" s="196">
        <v>97031</v>
      </c>
      <c r="F3457" s="196">
        <v>-97031</v>
      </c>
      <c r="G3457" s="196">
        <v>-408569</v>
      </c>
    </row>
    <row r="3458" spans="1:7" x14ac:dyDescent="0.3">
      <c r="A3458" s="198">
        <v>32554996</v>
      </c>
      <c r="B3458" s="192" t="s">
        <v>2045</v>
      </c>
      <c r="C3458" s="196">
        <v>-20000</v>
      </c>
      <c r="D3458" s="196">
        <v>0</v>
      </c>
      <c r="E3458" s="196">
        <v>0</v>
      </c>
      <c r="F3458" s="196">
        <v>0</v>
      </c>
      <c r="G3458" s="196">
        <v>-20000</v>
      </c>
    </row>
    <row r="3459" spans="1:7" x14ac:dyDescent="0.3">
      <c r="A3459" s="198">
        <v>9100888100</v>
      </c>
      <c r="B3459" s="192" t="s">
        <v>2362</v>
      </c>
      <c r="C3459" s="196">
        <v>-336111</v>
      </c>
      <c r="D3459" s="196">
        <v>0</v>
      </c>
      <c r="E3459" s="196">
        <v>0</v>
      </c>
      <c r="F3459" s="196">
        <v>0</v>
      </c>
      <c r="G3459" s="196">
        <v>-336111</v>
      </c>
    </row>
    <row r="3460" spans="1:7" x14ac:dyDescent="0.3">
      <c r="A3460" s="198">
        <v>1026158953</v>
      </c>
      <c r="B3460" s="192" t="s">
        <v>2046</v>
      </c>
      <c r="C3460" s="196">
        <v>-495139</v>
      </c>
      <c r="D3460" s="196">
        <v>0</v>
      </c>
      <c r="E3460" s="196">
        <v>95834</v>
      </c>
      <c r="F3460" s="196">
        <v>-95834</v>
      </c>
      <c r="G3460" s="196">
        <v>-590973</v>
      </c>
    </row>
    <row r="3461" spans="1:7" x14ac:dyDescent="0.3">
      <c r="A3461" s="198">
        <v>1035858442</v>
      </c>
      <c r="B3461" s="192" t="s">
        <v>1927</v>
      </c>
      <c r="C3461" s="196">
        <v>-5209535.01</v>
      </c>
      <c r="D3461" s="196">
        <v>0</v>
      </c>
      <c r="E3461" s="196">
        <v>116667</v>
      </c>
      <c r="F3461" s="196">
        <v>-116667</v>
      </c>
      <c r="G3461" s="196">
        <v>-5326202.01</v>
      </c>
    </row>
    <row r="3462" spans="1:7" x14ac:dyDescent="0.3">
      <c r="A3462" s="198">
        <v>1020488916</v>
      </c>
      <c r="B3462" s="192" t="s">
        <v>2337</v>
      </c>
      <c r="C3462" s="196">
        <v>-587778</v>
      </c>
      <c r="D3462" s="196">
        <v>0</v>
      </c>
      <c r="E3462" s="196">
        <v>0</v>
      </c>
      <c r="F3462" s="196">
        <v>0</v>
      </c>
      <c r="G3462" s="196">
        <v>-587778</v>
      </c>
    </row>
    <row r="3463" spans="1:7" x14ac:dyDescent="0.3">
      <c r="A3463" s="198">
        <v>1127941774</v>
      </c>
      <c r="B3463" s="192" t="s">
        <v>2338</v>
      </c>
      <c r="C3463" s="196">
        <v>-850002</v>
      </c>
      <c r="D3463" s="196">
        <v>0</v>
      </c>
      <c r="E3463" s="196">
        <v>0</v>
      </c>
      <c r="F3463" s="196">
        <v>0</v>
      </c>
      <c r="G3463" s="196">
        <v>-850002</v>
      </c>
    </row>
    <row r="3464" spans="1:7" x14ac:dyDescent="0.3">
      <c r="A3464" s="198">
        <v>43551053</v>
      </c>
      <c r="B3464" s="192" t="s">
        <v>2353</v>
      </c>
      <c r="C3464" s="196">
        <v>-150000</v>
      </c>
      <c r="D3464" s="196">
        <v>0</v>
      </c>
      <c r="E3464" s="196">
        <v>0</v>
      </c>
      <c r="F3464" s="196">
        <v>0</v>
      </c>
      <c r="G3464" s="196">
        <v>-150000</v>
      </c>
    </row>
    <row r="3465" spans="1:7" x14ac:dyDescent="0.3">
      <c r="A3465" s="198">
        <v>1036639954</v>
      </c>
      <c r="B3465" s="192" t="s">
        <v>2047</v>
      </c>
      <c r="C3465" s="196">
        <v>-715763</v>
      </c>
      <c r="D3465" s="196">
        <v>0</v>
      </c>
      <c r="E3465" s="196">
        <v>190214</v>
      </c>
      <c r="F3465" s="196">
        <v>-190214</v>
      </c>
      <c r="G3465" s="196">
        <v>-905977</v>
      </c>
    </row>
    <row r="3466" spans="1:7" x14ac:dyDescent="0.3">
      <c r="A3466" s="198">
        <v>43843451</v>
      </c>
      <c r="B3466" s="192" t="s">
        <v>2048</v>
      </c>
      <c r="C3466" s="196">
        <v>-6348703.0099999998</v>
      </c>
      <c r="D3466" s="196">
        <v>0</v>
      </c>
      <c r="E3466" s="196">
        <v>0</v>
      </c>
      <c r="F3466" s="196">
        <v>0</v>
      </c>
      <c r="G3466" s="196">
        <v>-6348703.0099999998</v>
      </c>
    </row>
    <row r="3467" spans="1:7" x14ac:dyDescent="0.3">
      <c r="A3467" s="198">
        <v>39355612</v>
      </c>
      <c r="B3467" s="192" t="s">
        <v>2077</v>
      </c>
      <c r="C3467" s="196">
        <v>-1208011</v>
      </c>
      <c r="D3467" s="196">
        <v>0</v>
      </c>
      <c r="E3467" s="196">
        <v>0</v>
      </c>
      <c r="F3467" s="196">
        <v>0</v>
      </c>
      <c r="G3467" s="196">
        <v>-1208011</v>
      </c>
    </row>
    <row r="3468" spans="1:7" x14ac:dyDescent="0.3">
      <c r="A3468" s="198">
        <v>98522586</v>
      </c>
      <c r="B3468" s="192" t="s">
        <v>2339</v>
      </c>
      <c r="C3468" s="196">
        <v>-113056</v>
      </c>
      <c r="D3468" s="196">
        <v>0</v>
      </c>
      <c r="E3468" s="196">
        <v>0</v>
      </c>
      <c r="F3468" s="196">
        <v>0</v>
      </c>
      <c r="G3468" s="196">
        <v>-113056</v>
      </c>
    </row>
    <row r="3469" spans="1:7" x14ac:dyDescent="0.3">
      <c r="A3469" s="198">
        <v>52245050</v>
      </c>
      <c r="B3469" s="192" t="s">
        <v>2319</v>
      </c>
      <c r="C3469" s="196">
        <v>-121591</v>
      </c>
      <c r="D3469" s="196">
        <v>0</v>
      </c>
      <c r="E3469" s="196">
        <v>72954</v>
      </c>
      <c r="F3469" s="196">
        <v>-72954</v>
      </c>
      <c r="G3469" s="196">
        <v>-194545</v>
      </c>
    </row>
    <row r="3470" spans="1:7" x14ac:dyDescent="0.3">
      <c r="A3470" s="198">
        <v>1027740123</v>
      </c>
      <c r="B3470" s="192" t="s">
        <v>1928</v>
      </c>
      <c r="C3470" s="196">
        <v>-832303</v>
      </c>
      <c r="D3470" s="196">
        <v>0</v>
      </c>
      <c r="E3470" s="196">
        <v>0</v>
      </c>
      <c r="F3470" s="196">
        <v>0</v>
      </c>
      <c r="G3470" s="196">
        <v>-832303</v>
      </c>
    </row>
    <row r="3471" spans="1:7" x14ac:dyDescent="0.3">
      <c r="A3471" s="198">
        <v>43256222</v>
      </c>
      <c r="B3471" s="192" t="s">
        <v>2049</v>
      </c>
      <c r="C3471" s="196">
        <v>-2130084</v>
      </c>
      <c r="D3471" s="196">
        <v>0</v>
      </c>
      <c r="E3471" s="196">
        <v>87500</v>
      </c>
      <c r="F3471" s="196">
        <v>-87500</v>
      </c>
      <c r="G3471" s="196">
        <v>-2217584</v>
      </c>
    </row>
    <row r="3472" spans="1:7" x14ac:dyDescent="0.3">
      <c r="A3472" s="198">
        <v>1017284611</v>
      </c>
      <c r="B3472" s="192" t="s">
        <v>1715</v>
      </c>
      <c r="C3472" s="196">
        <v>-2373300</v>
      </c>
      <c r="D3472" s="196">
        <v>0</v>
      </c>
      <c r="E3472" s="196">
        <v>72955</v>
      </c>
      <c r="F3472" s="196">
        <v>-72955</v>
      </c>
      <c r="G3472" s="196">
        <v>-2446255</v>
      </c>
    </row>
    <row r="3473" spans="1:7" x14ac:dyDescent="0.3">
      <c r="A3473" s="198">
        <v>1214732908</v>
      </c>
      <c r="B3473" s="192" t="s">
        <v>1263</v>
      </c>
      <c r="C3473" s="196">
        <v>-1044612</v>
      </c>
      <c r="D3473" s="196">
        <v>0</v>
      </c>
      <c r="E3473" s="196">
        <v>0</v>
      </c>
      <c r="F3473" s="196">
        <v>0</v>
      </c>
      <c r="G3473" s="196">
        <v>-1044612</v>
      </c>
    </row>
    <row r="3474" spans="1:7" x14ac:dyDescent="0.3">
      <c r="A3474" s="198">
        <v>1127941794</v>
      </c>
      <c r="B3474" s="192" t="s">
        <v>1274</v>
      </c>
      <c r="C3474" s="196">
        <v>-1800000</v>
      </c>
      <c r="D3474" s="196">
        <v>0</v>
      </c>
      <c r="E3474" s="196">
        <v>450000</v>
      </c>
      <c r="F3474" s="196">
        <v>-450000</v>
      </c>
      <c r="G3474" s="196">
        <v>-2250000</v>
      </c>
    </row>
    <row r="3475" spans="1:7" x14ac:dyDescent="0.3">
      <c r="A3475" s="198">
        <v>1013456905</v>
      </c>
      <c r="B3475" s="192" t="s">
        <v>1932</v>
      </c>
      <c r="C3475" s="196">
        <v>0</v>
      </c>
      <c r="D3475" s="196">
        <v>0</v>
      </c>
      <c r="E3475" s="196">
        <v>60795</v>
      </c>
      <c r="F3475" s="196">
        <v>-60795</v>
      </c>
      <c r="G3475" s="196">
        <v>-60795</v>
      </c>
    </row>
    <row r="3476" spans="1:7" x14ac:dyDescent="0.3">
      <c r="A3476" s="198">
        <v>574816</v>
      </c>
      <c r="B3476" s="192" t="s">
        <v>2078</v>
      </c>
      <c r="C3476" s="196">
        <v>-3436789</v>
      </c>
      <c r="D3476" s="196">
        <v>0</v>
      </c>
      <c r="E3476" s="196">
        <v>0</v>
      </c>
      <c r="F3476" s="196">
        <v>0</v>
      </c>
      <c r="G3476" s="196">
        <v>-3436789</v>
      </c>
    </row>
    <row r="3477" spans="1:7" x14ac:dyDescent="0.3">
      <c r="A3477" s="198">
        <v>1214732527</v>
      </c>
      <c r="B3477" s="192" t="s">
        <v>1983</v>
      </c>
      <c r="C3477" s="196">
        <v>-4613696</v>
      </c>
      <c r="D3477" s="196">
        <v>0</v>
      </c>
      <c r="E3477" s="196">
        <v>0</v>
      </c>
      <c r="F3477" s="196">
        <v>0</v>
      </c>
      <c r="G3477" s="196">
        <v>-4613696</v>
      </c>
    </row>
    <row r="3478" spans="1:7" x14ac:dyDescent="0.3">
      <c r="A3478" s="198">
        <v>4550437</v>
      </c>
      <c r="B3478" s="192" t="s">
        <v>2340</v>
      </c>
      <c r="C3478" s="196">
        <v>-14167</v>
      </c>
      <c r="D3478" s="196">
        <v>0</v>
      </c>
      <c r="E3478" s="196">
        <v>0</v>
      </c>
      <c r="F3478" s="196">
        <v>0</v>
      </c>
      <c r="G3478" s="196">
        <v>-14167</v>
      </c>
    </row>
    <row r="3479" spans="1:7" x14ac:dyDescent="0.3">
      <c r="A3479" s="198">
        <v>43550437</v>
      </c>
      <c r="B3479" s="192" t="s">
        <v>1936</v>
      </c>
      <c r="C3479" s="196">
        <v>-878707</v>
      </c>
      <c r="D3479" s="196">
        <v>0</v>
      </c>
      <c r="E3479" s="196">
        <v>0</v>
      </c>
      <c r="F3479" s="196">
        <v>0</v>
      </c>
      <c r="G3479" s="196">
        <v>-878707</v>
      </c>
    </row>
    <row r="3480" spans="1:7" x14ac:dyDescent="0.3">
      <c r="A3480" s="198">
        <v>900755062</v>
      </c>
      <c r="B3480" s="192" t="s">
        <v>1700</v>
      </c>
      <c r="C3480" s="196">
        <v>11157889.84</v>
      </c>
      <c r="D3480" s="196">
        <v>0</v>
      </c>
      <c r="E3480" s="196">
        <v>0</v>
      </c>
      <c r="F3480" s="196">
        <v>0</v>
      </c>
      <c r="G3480" s="196">
        <v>11157889.84</v>
      </c>
    </row>
    <row r="3481" spans="1:7" x14ac:dyDescent="0.3">
      <c r="A3481" s="198">
        <v>43597511</v>
      </c>
      <c r="B3481" s="192" t="s">
        <v>2051</v>
      </c>
      <c r="C3481" s="196">
        <v>-1362968</v>
      </c>
      <c r="D3481" s="196">
        <v>0</v>
      </c>
      <c r="E3481" s="196">
        <v>0</v>
      </c>
      <c r="F3481" s="196">
        <v>0</v>
      </c>
      <c r="G3481" s="196">
        <v>-1362968</v>
      </c>
    </row>
    <row r="3482" spans="1:7" x14ac:dyDescent="0.3">
      <c r="A3482" s="198">
        <v>1037625960</v>
      </c>
      <c r="B3482" s="192" t="s">
        <v>2354</v>
      </c>
      <c r="C3482" s="196">
        <v>-1147773</v>
      </c>
      <c r="D3482" s="196">
        <v>0</v>
      </c>
      <c r="E3482" s="196">
        <v>0</v>
      </c>
      <c r="F3482" s="196">
        <v>0</v>
      </c>
      <c r="G3482" s="196">
        <v>-1147773</v>
      </c>
    </row>
    <row r="3483" spans="1:7" x14ac:dyDescent="0.3">
      <c r="A3483" s="198">
        <v>71212982</v>
      </c>
      <c r="B3483" s="192" t="s">
        <v>2341</v>
      </c>
      <c r="C3483" s="196">
        <v>-1638889.01</v>
      </c>
      <c r="D3483" s="196">
        <v>0</v>
      </c>
      <c r="E3483" s="196">
        <v>0</v>
      </c>
      <c r="F3483" s="196">
        <v>0</v>
      </c>
      <c r="G3483" s="196">
        <v>-1638889.01</v>
      </c>
    </row>
    <row r="3484" spans="1:7" x14ac:dyDescent="0.3">
      <c r="A3484" s="198">
        <v>1126429974</v>
      </c>
      <c r="B3484" s="192" t="s">
        <v>2342</v>
      </c>
      <c r="C3484" s="196">
        <v>-125278</v>
      </c>
      <c r="D3484" s="196">
        <v>0</v>
      </c>
      <c r="E3484" s="196">
        <v>0</v>
      </c>
      <c r="F3484" s="196">
        <v>0</v>
      </c>
      <c r="G3484" s="196">
        <v>-125278</v>
      </c>
    </row>
    <row r="3485" spans="1:7" x14ac:dyDescent="0.3">
      <c r="A3485" s="198">
        <v>809106</v>
      </c>
      <c r="B3485" s="192" t="s">
        <v>1680</v>
      </c>
      <c r="C3485" s="196">
        <v>-1264414</v>
      </c>
      <c r="D3485" s="196">
        <v>0</v>
      </c>
      <c r="E3485" s="196">
        <v>103043</v>
      </c>
      <c r="F3485" s="196">
        <v>-103043</v>
      </c>
      <c r="G3485" s="196">
        <v>-1367457</v>
      </c>
    </row>
    <row r="3486" spans="1:7" x14ac:dyDescent="0.3">
      <c r="A3486" s="198">
        <v>1028042115</v>
      </c>
      <c r="B3486" s="192" t="s">
        <v>2067</v>
      </c>
      <c r="C3486" s="196">
        <v>-1181364</v>
      </c>
      <c r="D3486" s="196">
        <v>0</v>
      </c>
      <c r="E3486" s="196">
        <v>96533</v>
      </c>
      <c r="F3486" s="196">
        <v>-96533</v>
      </c>
      <c r="G3486" s="196">
        <v>-1277897</v>
      </c>
    </row>
    <row r="3487" spans="1:7" x14ac:dyDescent="0.3">
      <c r="A3487" s="198">
        <v>1017184852</v>
      </c>
      <c r="B3487" s="192" t="s">
        <v>1716</v>
      </c>
      <c r="C3487" s="196">
        <v>-603243</v>
      </c>
      <c r="D3487" s="196">
        <v>0</v>
      </c>
      <c r="E3487" s="196">
        <v>121458</v>
      </c>
      <c r="F3487" s="196">
        <v>-121458</v>
      </c>
      <c r="G3487" s="196">
        <v>-724701</v>
      </c>
    </row>
    <row r="3488" spans="1:7" x14ac:dyDescent="0.3">
      <c r="A3488" s="198">
        <v>1128423802</v>
      </c>
      <c r="B3488" s="192" t="s">
        <v>2053</v>
      </c>
      <c r="C3488" s="196">
        <v>-557742</v>
      </c>
      <c r="D3488" s="196">
        <v>0</v>
      </c>
      <c r="E3488" s="196">
        <v>122471</v>
      </c>
      <c r="F3488" s="196">
        <v>-122471</v>
      </c>
      <c r="G3488" s="196">
        <v>-680213</v>
      </c>
    </row>
    <row r="3489" spans="1:7" x14ac:dyDescent="0.3">
      <c r="A3489" s="198">
        <v>1035854432</v>
      </c>
      <c r="B3489" s="192" t="s">
        <v>2054</v>
      </c>
      <c r="C3489" s="196">
        <v>-380139</v>
      </c>
      <c r="D3489" s="196">
        <v>0</v>
      </c>
      <c r="E3489" s="196">
        <v>0</v>
      </c>
      <c r="F3489" s="196">
        <v>0</v>
      </c>
      <c r="G3489" s="196">
        <v>-380139</v>
      </c>
    </row>
    <row r="3490" spans="1:7" x14ac:dyDescent="0.3">
      <c r="A3490" s="198">
        <v>1020420887</v>
      </c>
      <c r="B3490" s="192" t="s">
        <v>2343</v>
      </c>
      <c r="C3490" s="196">
        <v>-1095981.01</v>
      </c>
      <c r="D3490" s="196">
        <v>0</v>
      </c>
      <c r="E3490" s="196">
        <v>0</v>
      </c>
      <c r="F3490" s="196">
        <v>0</v>
      </c>
      <c r="G3490" s="196">
        <v>-1095981.01</v>
      </c>
    </row>
    <row r="3491" spans="1:7" x14ac:dyDescent="0.3">
      <c r="A3491" s="198">
        <v>32181971</v>
      </c>
      <c r="B3491" s="192" t="s">
        <v>2355</v>
      </c>
      <c r="C3491" s="196">
        <v>-388925</v>
      </c>
      <c r="D3491" s="196">
        <v>0</v>
      </c>
      <c r="E3491" s="196">
        <v>0</v>
      </c>
      <c r="F3491" s="196">
        <v>0</v>
      </c>
      <c r="G3491" s="196">
        <v>-388925</v>
      </c>
    </row>
    <row r="3492" spans="1:7" x14ac:dyDescent="0.3">
      <c r="A3492" s="198">
        <v>1040748779</v>
      </c>
      <c r="B3492" s="192" t="s">
        <v>2055</v>
      </c>
      <c r="C3492" s="196">
        <v>-4759509</v>
      </c>
      <c r="D3492" s="196">
        <v>0</v>
      </c>
      <c r="E3492" s="196">
        <v>138882</v>
      </c>
      <c r="F3492" s="196">
        <v>-138882</v>
      </c>
      <c r="G3492" s="196">
        <v>-4898391</v>
      </c>
    </row>
    <row r="3493" spans="1:7" x14ac:dyDescent="0.3">
      <c r="A3493" s="198">
        <v>1152207950</v>
      </c>
      <c r="B3493" s="192" t="s">
        <v>2056</v>
      </c>
      <c r="C3493" s="196">
        <v>-1260000</v>
      </c>
      <c r="D3493" s="196">
        <v>0</v>
      </c>
      <c r="E3493" s="196">
        <v>108333</v>
      </c>
      <c r="F3493" s="196">
        <v>-108333</v>
      </c>
      <c r="G3493" s="196">
        <v>-1368333</v>
      </c>
    </row>
    <row r="3494" spans="1:7" x14ac:dyDescent="0.3">
      <c r="A3494" s="198">
        <v>1001764247</v>
      </c>
      <c r="B3494" s="192" t="s">
        <v>2057</v>
      </c>
      <c r="C3494" s="196">
        <v>-6786235</v>
      </c>
      <c r="D3494" s="196">
        <v>0</v>
      </c>
      <c r="E3494" s="196">
        <v>312040</v>
      </c>
      <c r="F3494" s="196">
        <v>-312040</v>
      </c>
      <c r="G3494" s="196">
        <v>-7098275</v>
      </c>
    </row>
    <row r="3495" spans="1:7" x14ac:dyDescent="0.3">
      <c r="A3495" s="198">
        <v>1000639361</v>
      </c>
      <c r="B3495" s="192" t="s">
        <v>2058</v>
      </c>
      <c r="C3495" s="196">
        <v>-1516555</v>
      </c>
      <c r="D3495" s="196">
        <v>0</v>
      </c>
      <c r="E3495" s="196">
        <v>0</v>
      </c>
      <c r="F3495" s="196">
        <v>0</v>
      </c>
      <c r="G3495" s="196">
        <v>-1516555</v>
      </c>
    </row>
    <row r="3496" spans="1:7" x14ac:dyDescent="0.3">
      <c r="A3496" s="198">
        <v>1015067177</v>
      </c>
      <c r="B3496" s="192" t="s">
        <v>2320</v>
      </c>
      <c r="C3496" s="196">
        <v>-239583</v>
      </c>
      <c r="D3496" s="196">
        <v>0</v>
      </c>
      <c r="E3496" s="196">
        <v>95834</v>
      </c>
      <c r="F3496" s="196">
        <v>-95834</v>
      </c>
      <c r="G3496" s="196">
        <v>-335417</v>
      </c>
    </row>
    <row r="3497" spans="1:7" x14ac:dyDescent="0.3">
      <c r="A3497" s="198">
        <v>1027616481</v>
      </c>
      <c r="B3497" s="192" t="s">
        <v>2059</v>
      </c>
      <c r="C3497" s="196">
        <v>-350318</v>
      </c>
      <c r="D3497" s="196">
        <v>0</v>
      </c>
      <c r="E3497" s="196">
        <v>100167</v>
      </c>
      <c r="F3497" s="196">
        <v>-100167</v>
      </c>
      <c r="G3497" s="196">
        <v>-450485</v>
      </c>
    </row>
    <row r="3498" spans="1:7" x14ac:dyDescent="0.3">
      <c r="A3498" s="198">
        <v>32299587</v>
      </c>
      <c r="B3498" s="192" t="s">
        <v>2060</v>
      </c>
      <c r="C3498" s="196">
        <v>-1403086</v>
      </c>
      <c r="D3498" s="196">
        <v>0</v>
      </c>
      <c r="E3498" s="196">
        <v>100294</v>
      </c>
      <c r="F3498" s="196">
        <v>-100294</v>
      </c>
      <c r="G3498" s="196">
        <v>-1503380</v>
      </c>
    </row>
    <row r="3499" spans="1:7" x14ac:dyDescent="0.3">
      <c r="A3499" s="198">
        <v>43972279</v>
      </c>
      <c r="B3499" s="192" t="s">
        <v>2061</v>
      </c>
      <c r="C3499" s="196">
        <v>-1050733</v>
      </c>
      <c r="D3499" s="196">
        <v>0</v>
      </c>
      <c r="E3499" s="196">
        <v>228937</v>
      </c>
      <c r="F3499" s="196">
        <v>-228937</v>
      </c>
      <c r="G3499" s="196">
        <v>-1279670</v>
      </c>
    </row>
    <row r="3500" spans="1:7" x14ac:dyDescent="0.3">
      <c r="A3500" s="198">
        <v>1001510696</v>
      </c>
      <c r="B3500" s="192" t="s">
        <v>2062</v>
      </c>
      <c r="C3500" s="196">
        <v>-2983198</v>
      </c>
      <c r="D3500" s="196">
        <v>0</v>
      </c>
      <c r="E3500" s="196">
        <v>183418</v>
      </c>
      <c r="F3500" s="196">
        <v>-183418</v>
      </c>
      <c r="G3500" s="196">
        <v>-3166616</v>
      </c>
    </row>
    <row r="3501" spans="1:7" x14ac:dyDescent="0.3">
      <c r="A3501" s="197">
        <v>252595</v>
      </c>
      <c r="B3501" s="191" t="s">
        <v>2363</v>
      </c>
      <c r="C3501" s="195">
        <v>173567977.02000001</v>
      </c>
      <c r="D3501" s="195">
        <v>7554405</v>
      </c>
      <c r="E3501" s="195">
        <v>0</v>
      </c>
      <c r="F3501" s="195">
        <v>7554405</v>
      </c>
      <c r="G3501" s="195">
        <v>181122382.02000001</v>
      </c>
    </row>
    <row r="3502" spans="1:7" x14ac:dyDescent="0.3">
      <c r="A3502" s="198">
        <v>25259501</v>
      </c>
      <c r="B3502" s="192" t="s">
        <v>2364</v>
      </c>
      <c r="C3502" s="196">
        <v>148135259.02000001</v>
      </c>
      <c r="D3502" s="196">
        <v>7554405</v>
      </c>
      <c r="E3502" s="196">
        <v>0</v>
      </c>
      <c r="F3502" s="196">
        <v>7554405</v>
      </c>
      <c r="G3502" s="196">
        <v>155689664.02000001</v>
      </c>
    </row>
    <row r="3503" spans="1:7" x14ac:dyDescent="0.3">
      <c r="A3503" s="198">
        <v>31948684</v>
      </c>
      <c r="B3503" s="192" t="s">
        <v>165</v>
      </c>
      <c r="C3503" s="196">
        <v>15739334</v>
      </c>
      <c r="D3503" s="196">
        <v>0</v>
      </c>
      <c r="E3503" s="196">
        <v>0</v>
      </c>
      <c r="F3503" s="196">
        <v>0</v>
      </c>
      <c r="G3503" s="196">
        <v>15739334</v>
      </c>
    </row>
    <row r="3504" spans="1:7" x14ac:dyDescent="0.3">
      <c r="A3504" s="198">
        <v>1037644962</v>
      </c>
      <c r="B3504" s="192" t="s">
        <v>260</v>
      </c>
      <c r="C3504" s="196">
        <v>1059266</v>
      </c>
      <c r="D3504" s="196">
        <v>0</v>
      </c>
      <c r="E3504" s="196">
        <v>0</v>
      </c>
      <c r="F3504" s="196">
        <v>0</v>
      </c>
      <c r="G3504" s="196">
        <v>1059266</v>
      </c>
    </row>
    <row r="3505" spans="1:7" x14ac:dyDescent="0.3">
      <c r="A3505" s="198">
        <v>1193166396</v>
      </c>
      <c r="B3505" s="192" t="s">
        <v>1625</v>
      </c>
      <c r="C3505" s="196">
        <v>6830600</v>
      </c>
      <c r="D3505" s="196">
        <v>2933333</v>
      </c>
      <c r="E3505" s="196">
        <v>0</v>
      </c>
      <c r="F3505" s="196">
        <v>2933333</v>
      </c>
      <c r="G3505" s="196">
        <v>9763933</v>
      </c>
    </row>
    <row r="3506" spans="1:7" x14ac:dyDescent="0.3">
      <c r="A3506" s="198">
        <v>1020423981</v>
      </c>
      <c r="B3506" s="192" t="s">
        <v>2030</v>
      </c>
      <c r="C3506" s="196">
        <v>2860972</v>
      </c>
      <c r="D3506" s="196">
        <v>0</v>
      </c>
      <c r="E3506" s="196">
        <v>0</v>
      </c>
      <c r="F3506" s="196">
        <v>0</v>
      </c>
      <c r="G3506" s="196">
        <v>2860972</v>
      </c>
    </row>
    <row r="3507" spans="1:7" x14ac:dyDescent="0.3">
      <c r="A3507" s="198">
        <v>1020489861</v>
      </c>
      <c r="B3507" s="192" t="s">
        <v>1704</v>
      </c>
      <c r="C3507" s="196">
        <v>1483408</v>
      </c>
      <c r="D3507" s="196">
        <v>0</v>
      </c>
      <c r="E3507" s="196">
        <v>0</v>
      </c>
      <c r="F3507" s="196">
        <v>0</v>
      </c>
      <c r="G3507" s="196">
        <v>1483408</v>
      </c>
    </row>
    <row r="3508" spans="1:7" x14ac:dyDescent="0.3">
      <c r="A3508" s="198">
        <v>1152689568</v>
      </c>
      <c r="B3508" s="192" t="s">
        <v>1705</v>
      </c>
      <c r="C3508" s="196">
        <v>5793616</v>
      </c>
      <c r="D3508" s="196">
        <v>0</v>
      </c>
      <c r="E3508" s="196">
        <v>0</v>
      </c>
      <c r="F3508" s="196">
        <v>0</v>
      </c>
      <c r="G3508" s="196">
        <v>5793616</v>
      </c>
    </row>
    <row r="3509" spans="1:7" x14ac:dyDescent="0.3">
      <c r="A3509" s="198">
        <v>32144343</v>
      </c>
      <c r="B3509" s="192" t="s">
        <v>1706</v>
      </c>
      <c r="C3509" s="196">
        <v>2603033</v>
      </c>
      <c r="D3509" s="196">
        <v>0</v>
      </c>
      <c r="E3509" s="196">
        <v>0</v>
      </c>
      <c r="F3509" s="196">
        <v>0</v>
      </c>
      <c r="G3509" s="196">
        <v>2603033</v>
      </c>
    </row>
    <row r="3510" spans="1:7" x14ac:dyDescent="0.3">
      <c r="A3510" s="198">
        <v>1037583982</v>
      </c>
      <c r="B3510" s="192" t="s">
        <v>1798</v>
      </c>
      <c r="C3510" s="196">
        <v>1877221</v>
      </c>
      <c r="D3510" s="196">
        <v>0</v>
      </c>
      <c r="E3510" s="196">
        <v>0</v>
      </c>
      <c r="F3510" s="196">
        <v>0</v>
      </c>
      <c r="G3510" s="196">
        <v>1877221</v>
      </c>
    </row>
    <row r="3511" spans="1:7" x14ac:dyDescent="0.3">
      <c r="A3511" s="198">
        <v>1017266622</v>
      </c>
      <c r="B3511" s="192" t="s">
        <v>1707</v>
      </c>
      <c r="C3511" s="196">
        <v>2585764</v>
      </c>
      <c r="D3511" s="196">
        <v>0</v>
      </c>
      <c r="E3511" s="196">
        <v>0</v>
      </c>
      <c r="F3511" s="196">
        <v>0</v>
      </c>
      <c r="G3511" s="196">
        <v>2585764</v>
      </c>
    </row>
    <row r="3512" spans="1:7" x14ac:dyDescent="0.3">
      <c r="A3512" s="198">
        <v>1041229735</v>
      </c>
      <c r="B3512" s="192" t="s">
        <v>2033</v>
      </c>
      <c r="C3512" s="196">
        <v>2326970</v>
      </c>
      <c r="D3512" s="196">
        <v>0</v>
      </c>
      <c r="E3512" s="196">
        <v>0</v>
      </c>
      <c r="F3512" s="196">
        <v>0</v>
      </c>
      <c r="G3512" s="196">
        <v>2326970</v>
      </c>
    </row>
    <row r="3513" spans="1:7" x14ac:dyDescent="0.3">
      <c r="A3513" s="198">
        <v>1036641303</v>
      </c>
      <c r="B3513" s="192" t="s">
        <v>2034</v>
      </c>
      <c r="C3513" s="196">
        <v>4366221</v>
      </c>
      <c r="D3513" s="196">
        <v>86667</v>
      </c>
      <c r="E3513" s="196">
        <v>0</v>
      </c>
      <c r="F3513" s="196">
        <v>86667</v>
      </c>
      <c r="G3513" s="196">
        <v>4452888</v>
      </c>
    </row>
    <row r="3514" spans="1:7" x14ac:dyDescent="0.3">
      <c r="A3514" s="198">
        <v>1037570707</v>
      </c>
      <c r="B3514" s="192" t="s">
        <v>1677</v>
      </c>
      <c r="C3514" s="196">
        <v>6898193.7999999998</v>
      </c>
      <c r="D3514" s="196">
        <v>0</v>
      </c>
      <c r="E3514" s="196">
        <v>0</v>
      </c>
      <c r="F3514" s="196">
        <v>0</v>
      </c>
      <c r="G3514" s="196">
        <v>6898193.7999999998</v>
      </c>
    </row>
    <row r="3515" spans="1:7" x14ac:dyDescent="0.3">
      <c r="A3515" s="198">
        <v>43190602</v>
      </c>
      <c r="B3515" s="192" t="s">
        <v>1708</v>
      </c>
      <c r="C3515" s="196">
        <v>1116334</v>
      </c>
      <c r="D3515" s="196">
        <v>0</v>
      </c>
      <c r="E3515" s="196">
        <v>0</v>
      </c>
      <c r="F3515" s="196">
        <v>0</v>
      </c>
      <c r="G3515" s="196">
        <v>1116334</v>
      </c>
    </row>
    <row r="3516" spans="1:7" x14ac:dyDescent="0.3">
      <c r="A3516" s="198">
        <v>3901013</v>
      </c>
      <c r="B3516" s="192" t="s">
        <v>1709</v>
      </c>
      <c r="C3516" s="196">
        <v>940000</v>
      </c>
      <c r="D3516" s="196">
        <v>0</v>
      </c>
      <c r="E3516" s="196">
        <v>0</v>
      </c>
      <c r="F3516" s="196">
        <v>0</v>
      </c>
      <c r="G3516" s="196">
        <v>940000</v>
      </c>
    </row>
    <row r="3517" spans="1:7" x14ac:dyDescent="0.3">
      <c r="A3517" s="198">
        <v>3901013</v>
      </c>
      <c r="B3517" s="192" t="s">
        <v>1709</v>
      </c>
      <c r="C3517" s="196">
        <v>10782168</v>
      </c>
      <c r="D3517" s="196">
        <v>3466667</v>
      </c>
      <c r="E3517" s="196">
        <v>0</v>
      </c>
      <c r="F3517" s="196">
        <v>3466667</v>
      </c>
      <c r="G3517" s="196">
        <v>14248835</v>
      </c>
    </row>
    <row r="3518" spans="1:7" x14ac:dyDescent="0.3">
      <c r="A3518" s="198">
        <v>1216716838</v>
      </c>
      <c r="B3518" s="192" t="s">
        <v>2036</v>
      </c>
      <c r="C3518" s="196">
        <v>480000</v>
      </c>
      <c r="D3518" s="196">
        <v>0</v>
      </c>
      <c r="E3518" s="196">
        <v>0</v>
      </c>
      <c r="F3518" s="196">
        <v>0</v>
      </c>
      <c r="G3518" s="196">
        <v>480000</v>
      </c>
    </row>
    <row r="3519" spans="1:7" x14ac:dyDescent="0.3">
      <c r="A3519" s="198">
        <v>1152197675</v>
      </c>
      <c r="B3519" s="192" t="s">
        <v>2325</v>
      </c>
      <c r="C3519" s="196">
        <v>995000</v>
      </c>
      <c r="D3519" s="196">
        <v>0</v>
      </c>
      <c r="E3519" s="196">
        <v>0</v>
      </c>
      <c r="F3519" s="196">
        <v>0</v>
      </c>
      <c r="G3519" s="196">
        <v>995000</v>
      </c>
    </row>
    <row r="3520" spans="1:7" x14ac:dyDescent="0.3">
      <c r="A3520" s="198">
        <v>43605890</v>
      </c>
      <c r="B3520" s="192" t="s">
        <v>565</v>
      </c>
      <c r="C3520" s="196">
        <v>5019584</v>
      </c>
      <c r="D3520" s="196">
        <v>0</v>
      </c>
      <c r="E3520" s="196">
        <v>0</v>
      </c>
      <c r="F3520" s="196">
        <v>0</v>
      </c>
      <c r="G3520" s="196">
        <v>5019584</v>
      </c>
    </row>
    <row r="3521" spans="1:7" x14ac:dyDescent="0.3">
      <c r="A3521" s="198">
        <v>1007045790</v>
      </c>
      <c r="B3521" s="192" t="s">
        <v>2326</v>
      </c>
      <c r="C3521" s="196">
        <v>2427920.2200000002</v>
      </c>
      <c r="D3521" s="196">
        <v>0</v>
      </c>
      <c r="E3521" s="196">
        <v>0</v>
      </c>
      <c r="F3521" s="196">
        <v>0</v>
      </c>
      <c r="G3521" s="196">
        <v>2427920.2200000002</v>
      </c>
    </row>
    <row r="3522" spans="1:7" x14ac:dyDescent="0.3">
      <c r="A3522" s="198">
        <v>1036685923</v>
      </c>
      <c r="B3522" s="192" t="s">
        <v>1710</v>
      </c>
      <c r="C3522" s="196">
        <v>1073333</v>
      </c>
      <c r="D3522" s="196">
        <v>0</v>
      </c>
      <c r="E3522" s="196">
        <v>0</v>
      </c>
      <c r="F3522" s="196">
        <v>0</v>
      </c>
      <c r="G3522" s="196">
        <v>1073333</v>
      </c>
    </row>
    <row r="3523" spans="1:7" x14ac:dyDescent="0.3">
      <c r="A3523" s="198">
        <v>32108182</v>
      </c>
      <c r="B3523" s="192" t="s">
        <v>2076</v>
      </c>
      <c r="C3523" s="196">
        <v>205680</v>
      </c>
      <c r="D3523" s="196">
        <v>0</v>
      </c>
      <c r="E3523" s="196">
        <v>0</v>
      </c>
      <c r="F3523" s="196">
        <v>0</v>
      </c>
      <c r="G3523" s="196">
        <v>205680</v>
      </c>
    </row>
    <row r="3524" spans="1:7" x14ac:dyDescent="0.3">
      <c r="A3524" s="198">
        <v>71526513</v>
      </c>
      <c r="B3524" s="192" t="s">
        <v>1643</v>
      </c>
      <c r="C3524" s="196">
        <v>4144999</v>
      </c>
      <c r="D3524" s="196">
        <v>0</v>
      </c>
      <c r="E3524" s="196">
        <v>0</v>
      </c>
      <c r="F3524" s="196">
        <v>0</v>
      </c>
      <c r="G3524" s="196">
        <v>4144999</v>
      </c>
    </row>
    <row r="3525" spans="1:7" x14ac:dyDescent="0.3">
      <c r="A3525" s="198">
        <v>9977388</v>
      </c>
      <c r="B3525" s="192" t="s">
        <v>2328</v>
      </c>
      <c r="C3525" s="196">
        <v>3726000</v>
      </c>
      <c r="D3525" s="196">
        <v>0</v>
      </c>
      <c r="E3525" s="196">
        <v>0</v>
      </c>
      <c r="F3525" s="196">
        <v>0</v>
      </c>
      <c r="G3525" s="196">
        <v>3726000</v>
      </c>
    </row>
    <row r="3526" spans="1:7" x14ac:dyDescent="0.3">
      <c r="A3526" s="198">
        <v>1042458852</v>
      </c>
      <c r="B3526" s="192" t="s">
        <v>1711</v>
      </c>
      <c r="C3526" s="196">
        <v>6794202</v>
      </c>
      <c r="D3526" s="196">
        <v>0</v>
      </c>
      <c r="E3526" s="196">
        <v>0</v>
      </c>
      <c r="F3526" s="196">
        <v>0</v>
      </c>
      <c r="G3526" s="196">
        <v>6794202</v>
      </c>
    </row>
    <row r="3527" spans="1:7" x14ac:dyDescent="0.3">
      <c r="A3527" s="198">
        <v>1017194194</v>
      </c>
      <c r="B3527" s="192" t="s">
        <v>2157</v>
      </c>
      <c r="C3527" s="196">
        <v>2113841</v>
      </c>
      <c r="D3527" s="196">
        <v>0</v>
      </c>
      <c r="E3527" s="196">
        <v>0</v>
      </c>
      <c r="F3527" s="196">
        <v>0</v>
      </c>
      <c r="G3527" s="196">
        <v>2113841</v>
      </c>
    </row>
    <row r="3528" spans="1:7" x14ac:dyDescent="0.3">
      <c r="A3528" s="198">
        <v>1020426876</v>
      </c>
      <c r="B3528" s="192" t="s">
        <v>2329</v>
      </c>
      <c r="C3528" s="196">
        <v>1200000</v>
      </c>
      <c r="D3528" s="196">
        <v>0</v>
      </c>
      <c r="E3528" s="196">
        <v>0</v>
      </c>
      <c r="F3528" s="196">
        <v>0</v>
      </c>
      <c r="G3528" s="196">
        <v>1200000</v>
      </c>
    </row>
    <row r="3529" spans="1:7" x14ac:dyDescent="0.3">
      <c r="A3529" s="198">
        <v>1126423558</v>
      </c>
      <c r="B3529" s="192" t="s">
        <v>2159</v>
      </c>
      <c r="C3529" s="196">
        <v>569309</v>
      </c>
      <c r="D3529" s="196">
        <v>0</v>
      </c>
      <c r="E3529" s="196">
        <v>0</v>
      </c>
      <c r="F3529" s="196">
        <v>0</v>
      </c>
      <c r="G3529" s="196">
        <v>569309</v>
      </c>
    </row>
    <row r="3530" spans="1:7" x14ac:dyDescent="0.3">
      <c r="A3530" s="198">
        <v>1093744869</v>
      </c>
      <c r="B3530" s="192" t="s">
        <v>1906</v>
      </c>
      <c r="C3530" s="196">
        <v>2219999</v>
      </c>
      <c r="D3530" s="196">
        <v>0</v>
      </c>
      <c r="E3530" s="196">
        <v>0</v>
      </c>
      <c r="F3530" s="196">
        <v>0</v>
      </c>
      <c r="G3530" s="196">
        <v>2219999</v>
      </c>
    </row>
    <row r="3531" spans="1:7" x14ac:dyDescent="0.3">
      <c r="A3531" s="198">
        <v>1007551247</v>
      </c>
      <c r="B3531" s="192" t="s">
        <v>1712</v>
      </c>
      <c r="C3531" s="196">
        <v>3029625</v>
      </c>
      <c r="D3531" s="196">
        <v>0</v>
      </c>
      <c r="E3531" s="196">
        <v>0</v>
      </c>
      <c r="F3531" s="196">
        <v>0</v>
      </c>
      <c r="G3531" s="196">
        <v>3029625</v>
      </c>
    </row>
    <row r="3532" spans="1:7" x14ac:dyDescent="0.3">
      <c r="A3532" s="198">
        <v>1036679554</v>
      </c>
      <c r="B3532" s="192" t="s">
        <v>2064</v>
      </c>
      <c r="C3532" s="196">
        <v>1237121</v>
      </c>
      <c r="D3532" s="196">
        <v>0</v>
      </c>
      <c r="E3532" s="196">
        <v>0</v>
      </c>
      <c r="F3532" s="196">
        <v>0</v>
      </c>
      <c r="G3532" s="196">
        <v>1237121</v>
      </c>
    </row>
    <row r="3533" spans="1:7" x14ac:dyDescent="0.3">
      <c r="A3533" s="198">
        <v>1152440998</v>
      </c>
      <c r="B3533" s="192" t="s">
        <v>2039</v>
      </c>
      <c r="C3533" s="196">
        <v>3136421</v>
      </c>
      <c r="D3533" s="196">
        <v>0</v>
      </c>
      <c r="E3533" s="196">
        <v>0</v>
      </c>
      <c r="F3533" s="196">
        <v>0</v>
      </c>
      <c r="G3533" s="196">
        <v>3136421</v>
      </c>
    </row>
    <row r="3534" spans="1:7" x14ac:dyDescent="0.3">
      <c r="A3534" s="198">
        <v>1216723387</v>
      </c>
      <c r="B3534" s="192" t="s">
        <v>1713</v>
      </c>
      <c r="C3534" s="196">
        <v>2251217</v>
      </c>
      <c r="D3534" s="196">
        <v>0</v>
      </c>
      <c r="E3534" s="196">
        <v>0</v>
      </c>
      <c r="F3534" s="196">
        <v>0</v>
      </c>
      <c r="G3534" s="196">
        <v>2251217</v>
      </c>
    </row>
    <row r="3535" spans="1:7" x14ac:dyDescent="0.3">
      <c r="A3535" s="198">
        <v>1037589764</v>
      </c>
      <c r="B3535" s="192" t="s">
        <v>2331</v>
      </c>
      <c r="C3535" s="196">
        <v>920000</v>
      </c>
      <c r="D3535" s="196">
        <v>0</v>
      </c>
      <c r="E3535" s="196">
        <v>0</v>
      </c>
      <c r="F3535" s="196">
        <v>0</v>
      </c>
      <c r="G3535" s="196">
        <v>920000</v>
      </c>
    </row>
    <row r="3536" spans="1:7" x14ac:dyDescent="0.3">
      <c r="A3536" s="198">
        <v>1040752245</v>
      </c>
      <c r="B3536" s="192" t="s">
        <v>1678</v>
      </c>
      <c r="C3536" s="196">
        <v>1281847</v>
      </c>
      <c r="D3536" s="196">
        <v>153333</v>
      </c>
      <c r="E3536" s="196">
        <v>0</v>
      </c>
      <c r="F3536" s="196">
        <v>153333</v>
      </c>
      <c r="G3536" s="196">
        <v>1435180</v>
      </c>
    </row>
    <row r="3537" spans="1:7" x14ac:dyDescent="0.3">
      <c r="A3537" s="198">
        <v>1037636353</v>
      </c>
      <c r="B3537" s="192" t="s">
        <v>2042</v>
      </c>
      <c r="C3537" s="196">
        <v>640000</v>
      </c>
      <c r="D3537" s="196">
        <v>0</v>
      </c>
      <c r="E3537" s="196">
        <v>0</v>
      </c>
      <c r="F3537" s="196">
        <v>0</v>
      </c>
      <c r="G3537" s="196">
        <v>640000</v>
      </c>
    </row>
    <row r="3538" spans="1:7" x14ac:dyDescent="0.3">
      <c r="A3538" s="198">
        <v>1038418006</v>
      </c>
      <c r="B3538" s="192" t="s">
        <v>2333</v>
      </c>
      <c r="C3538" s="196">
        <v>880000</v>
      </c>
      <c r="D3538" s="196">
        <v>0</v>
      </c>
      <c r="E3538" s="196">
        <v>0</v>
      </c>
      <c r="F3538" s="196">
        <v>0</v>
      </c>
      <c r="G3538" s="196">
        <v>880000</v>
      </c>
    </row>
    <row r="3539" spans="1:7" x14ac:dyDescent="0.3">
      <c r="A3539" s="198">
        <v>1128385262</v>
      </c>
      <c r="B3539" s="192" t="s">
        <v>1714</v>
      </c>
      <c r="C3539" s="196">
        <v>530000</v>
      </c>
      <c r="D3539" s="196">
        <v>0</v>
      </c>
      <c r="E3539" s="196">
        <v>0</v>
      </c>
      <c r="F3539" s="196">
        <v>0</v>
      </c>
      <c r="G3539" s="196">
        <v>530000</v>
      </c>
    </row>
    <row r="3540" spans="1:7" x14ac:dyDescent="0.3">
      <c r="A3540" s="198">
        <v>1020490983</v>
      </c>
      <c r="B3540" s="192" t="s">
        <v>2335</v>
      </c>
      <c r="C3540" s="196">
        <v>435000</v>
      </c>
      <c r="D3540" s="196">
        <v>0</v>
      </c>
      <c r="E3540" s="196">
        <v>0</v>
      </c>
      <c r="F3540" s="196">
        <v>0</v>
      </c>
      <c r="G3540" s="196">
        <v>435000</v>
      </c>
    </row>
    <row r="3541" spans="1:7" x14ac:dyDescent="0.3">
      <c r="A3541" s="198">
        <v>1000646763</v>
      </c>
      <c r="B3541" s="192" t="s">
        <v>2044</v>
      </c>
      <c r="C3541" s="196">
        <v>1731527</v>
      </c>
      <c r="D3541" s="196">
        <v>0</v>
      </c>
      <c r="E3541" s="196">
        <v>0</v>
      </c>
      <c r="F3541" s="196">
        <v>0</v>
      </c>
      <c r="G3541" s="196">
        <v>1731527</v>
      </c>
    </row>
    <row r="3542" spans="1:7" x14ac:dyDescent="0.3">
      <c r="A3542" s="198">
        <v>1026158953</v>
      </c>
      <c r="B3542" s="192" t="s">
        <v>2046</v>
      </c>
      <c r="C3542" s="196">
        <v>76667</v>
      </c>
      <c r="D3542" s="196">
        <v>0</v>
      </c>
      <c r="E3542" s="196">
        <v>0</v>
      </c>
      <c r="F3542" s="196">
        <v>0</v>
      </c>
      <c r="G3542" s="196">
        <v>76667</v>
      </c>
    </row>
    <row r="3543" spans="1:7" x14ac:dyDescent="0.3">
      <c r="A3543" s="198">
        <v>1035858442</v>
      </c>
      <c r="B3543" s="192" t="s">
        <v>1927</v>
      </c>
      <c r="C3543" s="196">
        <v>4505646</v>
      </c>
      <c r="D3543" s="196">
        <v>0</v>
      </c>
      <c r="E3543" s="196">
        <v>0</v>
      </c>
      <c r="F3543" s="196">
        <v>0</v>
      </c>
      <c r="G3543" s="196">
        <v>4505646</v>
      </c>
    </row>
    <row r="3544" spans="1:7" x14ac:dyDescent="0.3">
      <c r="A3544" s="198">
        <v>1036639954</v>
      </c>
      <c r="B3544" s="192" t="s">
        <v>2047</v>
      </c>
      <c r="C3544" s="196">
        <v>76667</v>
      </c>
      <c r="D3544" s="196">
        <v>260000</v>
      </c>
      <c r="E3544" s="196">
        <v>0</v>
      </c>
      <c r="F3544" s="196">
        <v>260000</v>
      </c>
      <c r="G3544" s="196">
        <v>336667</v>
      </c>
    </row>
    <row r="3545" spans="1:7" x14ac:dyDescent="0.3">
      <c r="A3545" s="198">
        <v>43843451</v>
      </c>
      <c r="B3545" s="192" t="s">
        <v>2048</v>
      </c>
      <c r="C3545" s="196">
        <v>6361000</v>
      </c>
      <c r="D3545" s="196">
        <v>0</v>
      </c>
      <c r="E3545" s="196">
        <v>0</v>
      </c>
      <c r="F3545" s="196">
        <v>0</v>
      </c>
      <c r="G3545" s="196">
        <v>6361000</v>
      </c>
    </row>
    <row r="3546" spans="1:7" x14ac:dyDescent="0.3">
      <c r="A3546" s="198">
        <v>39355612</v>
      </c>
      <c r="B3546" s="192" t="s">
        <v>2077</v>
      </c>
      <c r="C3546" s="196">
        <v>1050000</v>
      </c>
      <c r="D3546" s="196">
        <v>0</v>
      </c>
      <c r="E3546" s="196">
        <v>0</v>
      </c>
      <c r="F3546" s="196">
        <v>0</v>
      </c>
      <c r="G3546" s="196">
        <v>1050000</v>
      </c>
    </row>
    <row r="3547" spans="1:7" x14ac:dyDescent="0.3">
      <c r="A3547" s="198">
        <v>1027740123</v>
      </c>
      <c r="B3547" s="192" t="s">
        <v>1928</v>
      </c>
      <c r="C3547" s="196">
        <v>95000</v>
      </c>
      <c r="D3547" s="196">
        <v>0</v>
      </c>
      <c r="E3547" s="196">
        <v>0</v>
      </c>
      <c r="F3547" s="196">
        <v>0</v>
      </c>
      <c r="G3547" s="196">
        <v>95000</v>
      </c>
    </row>
    <row r="3548" spans="1:7" x14ac:dyDescent="0.3">
      <c r="A3548" s="198">
        <v>43256222</v>
      </c>
      <c r="B3548" s="192" t="s">
        <v>2049</v>
      </c>
      <c r="C3548" s="196">
        <v>1689334</v>
      </c>
      <c r="D3548" s="196">
        <v>70000</v>
      </c>
      <c r="E3548" s="196">
        <v>0</v>
      </c>
      <c r="F3548" s="196">
        <v>70000</v>
      </c>
      <c r="G3548" s="196">
        <v>1759334</v>
      </c>
    </row>
    <row r="3549" spans="1:7" x14ac:dyDescent="0.3">
      <c r="A3549" s="198">
        <v>1017284611</v>
      </c>
      <c r="B3549" s="192" t="s">
        <v>1715</v>
      </c>
      <c r="C3549" s="196">
        <v>797866</v>
      </c>
      <c r="D3549" s="196">
        <v>0</v>
      </c>
      <c r="E3549" s="196">
        <v>0</v>
      </c>
      <c r="F3549" s="196">
        <v>0</v>
      </c>
      <c r="G3549" s="196">
        <v>797866</v>
      </c>
    </row>
    <row r="3550" spans="1:7" x14ac:dyDescent="0.3">
      <c r="A3550" s="198">
        <v>1214732908</v>
      </c>
      <c r="B3550" s="192" t="s">
        <v>1263</v>
      </c>
      <c r="C3550" s="196">
        <v>283334</v>
      </c>
      <c r="D3550" s="196">
        <v>0</v>
      </c>
      <c r="E3550" s="196">
        <v>0</v>
      </c>
      <c r="F3550" s="196">
        <v>0</v>
      </c>
      <c r="G3550" s="196">
        <v>283334</v>
      </c>
    </row>
    <row r="3551" spans="1:7" x14ac:dyDescent="0.3">
      <c r="A3551" s="198">
        <v>574816</v>
      </c>
      <c r="B3551" s="192" t="s">
        <v>2078</v>
      </c>
      <c r="C3551" s="196">
        <v>396673</v>
      </c>
      <c r="D3551" s="196">
        <v>0</v>
      </c>
      <c r="E3551" s="196">
        <v>0</v>
      </c>
      <c r="F3551" s="196">
        <v>0</v>
      </c>
      <c r="G3551" s="196">
        <v>396673</v>
      </c>
    </row>
    <row r="3552" spans="1:7" x14ac:dyDescent="0.3">
      <c r="A3552" s="198">
        <v>1214732527</v>
      </c>
      <c r="B3552" s="192" t="s">
        <v>1983</v>
      </c>
      <c r="C3552" s="196">
        <v>1625000</v>
      </c>
      <c r="D3552" s="196">
        <v>0</v>
      </c>
      <c r="E3552" s="196">
        <v>0</v>
      </c>
      <c r="F3552" s="196">
        <v>0</v>
      </c>
      <c r="G3552" s="196">
        <v>1625000</v>
      </c>
    </row>
    <row r="3553" spans="1:7" x14ac:dyDescent="0.3">
      <c r="A3553" s="198">
        <v>43550437</v>
      </c>
      <c r="B3553" s="192" t="s">
        <v>1936</v>
      </c>
      <c r="C3553" s="196">
        <v>128585</v>
      </c>
      <c r="D3553" s="196">
        <v>0</v>
      </c>
      <c r="E3553" s="196">
        <v>0</v>
      </c>
      <c r="F3553" s="196">
        <v>0</v>
      </c>
      <c r="G3553" s="196">
        <v>128585</v>
      </c>
    </row>
    <row r="3554" spans="1:7" x14ac:dyDescent="0.3">
      <c r="A3554" s="198">
        <v>43597511</v>
      </c>
      <c r="B3554" s="192" t="s">
        <v>2051</v>
      </c>
      <c r="C3554" s="196">
        <v>563333</v>
      </c>
      <c r="D3554" s="196">
        <v>0</v>
      </c>
      <c r="E3554" s="196">
        <v>0</v>
      </c>
      <c r="F3554" s="196">
        <v>0</v>
      </c>
      <c r="G3554" s="196">
        <v>563333</v>
      </c>
    </row>
    <row r="3555" spans="1:7" x14ac:dyDescent="0.3">
      <c r="A3555" s="198">
        <v>71212982</v>
      </c>
      <c r="B3555" s="192" t="s">
        <v>2341</v>
      </c>
      <c r="C3555" s="196">
        <v>1466667</v>
      </c>
      <c r="D3555" s="196">
        <v>0</v>
      </c>
      <c r="E3555" s="196">
        <v>0</v>
      </c>
      <c r="F3555" s="196">
        <v>0</v>
      </c>
      <c r="G3555" s="196">
        <v>1466667</v>
      </c>
    </row>
    <row r="3556" spans="1:7" x14ac:dyDescent="0.3">
      <c r="A3556" s="198">
        <v>1028042115</v>
      </c>
      <c r="B3556" s="192" t="s">
        <v>2067</v>
      </c>
      <c r="C3556" s="196">
        <v>792429</v>
      </c>
      <c r="D3556" s="196">
        <v>0</v>
      </c>
      <c r="E3556" s="196">
        <v>0</v>
      </c>
      <c r="F3556" s="196">
        <v>0</v>
      </c>
      <c r="G3556" s="196">
        <v>792429</v>
      </c>
    </row>
    <row r="3557" spans="1:7" x14ac:dyDescent="0.3">
      <c r="A3557" s="198">
        <v>1020420887</v>
      </c>
      <c r="B3557" s="192" t="s">
        <v>2343</v>
      </c>
      <c r="C3557" s="196">
        <v>1053333</v>
      </c>
      <c r="D3557" s="196">
        <v>0</v>
      </c>
      <c r="E3557" s="196">
        <v>0</v>
      </c>
      <c r="F3557" s="196">
        <v>0</v>
      </c>
      <c r="G3557" s="196">
        <v>1053333</v>
      </c>
    </row>
    <row r="3558" spans="1:7" x14ac:dyDescent="0.3">
      <c r="A3558" s="198">
        <v>1040748779</v>
      </c>
      <c r="B3558" s="192" t="s">
        <v>2055</v>
      </c>
      <c r="C3558" s="196">
        <v>3527639</v>
      </c>
      <c r="D3558" s="196">
        <v>0</v>
      </c>
      <c r="E3558" s="196">
        <v>0</v>
      </c>
      <c r="F3558" s="196">
        <v>0</v>
      </c>
      <c r="G3558" s="196">
        <v>3527639</v>
      </c>
    </row>
    <row r="3559" spans="1:7" x14ac:dyDescent="0.3">
      <c r="A3559" s="198">
        <v>1152207950</v>
      </c>
      <c r="B3559" s="192" t="s">
        <v>2056</v>
      </c>
      <c r="C3559" s="196">
        <v>480000</v>
      </c>
      <c r="D3559" s="196">
        <v>0</v>
      </c>
      <c r="E3559" s="196">
        <v>0</v>
      </c>
      <c r="F3559" s="196">
        <v>0</v>
      </c>
      <c r="G3559" s="196">
        <v>480000</v>
      </c>
    </row>
    <row r="3560" spans="1:7" x14ac:dyDescent="0.3">
      <c r="A3560" s="198">
        <v>1001764247</v>
      </c>
      <c r="B3560" s="192" t="s">
        <v>2057</v>
      </c>
      <c r="C3560" s="196">
        <v>5247404</v>
      </c>
      <c r="D3560" s="196">
        <v>584405</v>
      </c>
      <c r="E3560" s="196">
        <v>0</v>
      </c>
      <c r="F3560" s="196">
        <v>584405</v>
      </c>
      <c r="G3560" s="196">
        <v>5831809</v>
      </c>
    </row>
    <row r="3561" spans="1:7" x14ac:dyDescent="0.3">
      <c r="A3561" s="198">
        <v>1000639361</v>
      </c>
      <c r="B3561" s="192" t="s">
        <v>2058</v>
      </c>
      <c r="C3561" s="196">
        <v>1177666</v>
      </c>
      <c r="D3561" s="196">
        <v>0</v>
      </c>
      <c r="E3561" s="196">
        <v>0</v>
      </c>
      <c r="F3561" s="196">
        <v>0</v>
      </c>
      <c r="G3561" s="196">
        <v>1177666</v>
      </c>
    </row>
    <row r="3562" spans="1:7" x14ac:dyDescent="0.3">
      <c r="A3562" s="198">
        <v>32299587</v>
      </c>
      <c r="B3562" s="192" t="s">
        <v>2060</v>
      </c>
      <c r="C3562" s="196">
        <v>968351</v>
      </c>
      <c r="D3562" s="196">
        <v>0</v>
      </c>
      <c r="E3562" s="196">
        <v>0</v>
      </c>
      <c r="F3562" s="196">
        <v>0</v>
      </c>
      <c r="G3562" s="196">
        <v>968351</v>
      </c>
    </row>
    <row r="3563" spans="1:7" x14ac:dyDescent="0.3">
      <c r="A3563" s="198">
        <v>1001510696</v>
      </c>
      <c r="B3563" s="192" t="s">
        <v>2062</v>
      </c>
      <c r="C3563" s="196">
        <v>1466939</v>
      </c>
      <c r="D3563" s="196">
        <v>0</v>
      </c>
      <c r="E3563" s="196">
        <v>0</v>
      </c>
      <c r="F3563" s="196">
        <v>0</v>
      </c>
      <c r="G3563" s="196">
        <v>1466939</v>
      </c>
    </row>
    <row r="3564" spans="1:7" x14ac:dyDescent="0.3">
      <c r="A3564" s="198">
        <v>25259502</v>
      </c>
      <c r="B3564" s="192" t="s">
        <v>2365</v>
      </c>
      <c r="C3564" s="196">
        <v>25432718</v>
      </c>
      <c r="D3564" s="196">
        <v>0</v>
      </c>
      <c r="E3564" s="196">
        <v>0</v>
      </c>
      <c r="F3564" s="196">
        <v>0</v>
      </c>
      <c r="G3564" s="196">
        <v>25432718</v>
      </c>
    </row>
    <row r="3565" spans="1:7" x14ac:dyDescent="0.3">
      <c r="A3565" s="198">
        <v>43685485</v>
      </c>
      <c r="B3565" s="192" t="s">
        <v>2028</v>
      </c>
      <c r="C3565" s="196">
        <v>458333</v>
      </c>
      <c r="D3565" s="196">
        <v>0</v>
      </c>
      <c r="E3565" s="196">
        <v>0</v>
      </c>
      <c r="F3565" s="196">
        <v>0</v>
      </c>
      <c r="G3565" s="196">
        <v>458333</v>
      </c>
    </row>
    <row r="3566" spans="1:7" x14ac:dyDescent="0.3">
      <c r="A3566" s="198">
        <v>1128393236</v>
      </c>
      <c r="B3566" s="192" t="s">
        <v>1703</v>
      </c>
      <c r="C3566" s="196">
        <v>268888</v>
      </c>
      <c r="D3566" s="196">
        <v>0</v>
      </c>
      <c r="E3566" s="196">
        <v>0</v>
      </c>
      <c r="F3566" s="196">
        <v>0</v>
      </c>
      <c r="G3566" s="196">
        <v>268888</v>
      </c>
    </row>
    <row r="3567" spans="1:7" x14ac:dyDescent="0.3">
      <c r="A3567" s="198">
        <v>1020489861</v>
      </c>
      <c r="B3567" s="192" t="s">
        <v>1704</v>
      </c>
      <c r="C3567" s="196">
        <v>365268</v>
      </c>
      <c r="D3567" s="196">
        <v>0</v>
      </c>
      <c r="E3567" s="196">
        <v>0</v>
      </c>
      <c r="F3567" s="196">
        <v>0</v>
      </c>
      <c r="G3567" s="196">
        <v>365268</v>
      </c>
    </row>
    <row r="3568" spans="1:7" x14ac:dyDescent="0.3">
      <c r="A3568" s="198">
        <v>1037266322</v>
      </c>
      <c r="B3568" s="192" t="s">
        <v>2031</v>
      </c>
      <c r="C3568" s="196">
        <v>533976</v>
      </c>
      <c r="D3568" s="196">
        <v>0</v>
      </c>
      <c r="E3568" s="196">
        <v>0</v>
      </c>
      <c r="F3568" s="196">
        <v>0</v>
      </c>
      <c r="G3568" s="196">
        <v>533976</v>
      </c>
    </row>
    <row r="3569" spans="1:7" x14ac:dyDescent="0.3">
      <c r="A3569" s="198">
        <v>1037583982</v>
      </c>
      <c r="B3569" s="192" t="s">
        <v>1798</v>
      </c>
      <c r="C3569" s="196">
        <v>1722675</v>
      </c>
      <c r="D3569" s="196">
        <v>0</v>
      </c>
      <c r="E3569" s="196">
        <v>0</v>
      </c>
      <c r="F3569" s="196">
        <v>0</v>
      </c>
      <c r="G3569" s="196">
        <v>1722675</v>
      </c>
    </row>
    <row r="3570" spans="1:7" x14ac:dyDescent="0.3">
      <c r="A3570" s="198">
        <v>1017266622</v>
      </c>
      <c r="B3570" s="192" t="s">
        <v>1707</v>
      </c>
      <c r="C3570" s="196">
        <v>659027</v>
      </c>
      <c r="D3570" s="196">
        <v>0</v>
      </c>
      <c r="E3570" s="196">
        <v>0</v>
      </c>
      <c r="F3570" s="196">
        <v>0</v>
      </c>
      <c r="G3570" s="196">
        <v>659027</v>
      </c>
    </row>
    <row r="3571" spans="1:7" x14ac:dyDescent="0.3">
      <c r="A3571" s="198">
        <v>43190602</v>
      </c>
      <c r="B3571" s="192" t="s">
        <v>1708</v>
      </c>
      <c r="C3571" s="196">
        <v>350000</v>
      </c>
      <c r="D3571" s="196">
        <v>0</v>
      </c>
      <c r="E3571" s="196">
        <v>0</v>
      </c>
      <c r="F3571" s="196">
        <v>0</v>
      </c>
      <c r="G3571" s="196">
        <v>350000</v>
      </c>
    </row>
    <row r="3572" spans="1:7" x14ac:dyDescent="0.3">
      <c r="A3572" s="198">
        <v>43113995</v>
      </c>
      <c r="B3572" s="192" t="s">
        <v>2324</v>
      </c>
      <c r="C3572" s="196">
        <v>253333</v>
      </c>
      <c r="D3572" s="196">
        <v>0</v>
      </c>
      <c r="E3572" s="196">
        <v>0</v>
      </c>
      <c r="F3572" s="196">
        <v>0</v>
      </c>
      <c r="G3572" s="196">
        <v>253333</v>
      </c>
    </row>
    <row r="3573" spans="1:7" x14ac:dyDescent="0.3">
      <c r="A3573" s="198">
        <v>1216716838</v>
      </c>
      <c r="B3573" s="192" t="s">
        <v>2036</v>
      </c>
      <c r="C3573" s="196">
        <v>606667</v>
      </c>
      <c r="D3573" s="196">
        <v>0</v>
      </c>
      <c r="E3573" s="196">
        <v>0</v>
      </c>
      <c r="F3573" s="196">
        <v>0</v>
      </c>
      <c r="G3573" s="196">
        <v>606667</v>
      </c>
    </row>
    <row r="3574" spans="1:7" x14ac:dyDescent="0.3">
      <c r="A3574" s="198">
        <v>1152197675</v>
      </c>
      <c r="B3574" s="192" t="s">
        <v>2325</v>
      </c>
      <c r="C3574" s="196">
        <v>411736</v>
      </c>
      <c r="D3574" s="196">
        <v>0</v>
      </c>
      <c r="E3574" s="196">
        <v>0</v>
      </c>
      <c r="F3574" s="196">
        <v>0</v>
      </c>
      <c r="G3574" s="196">
        <v>411736</v>
      </c>
    </row>
    <row r="3575" spans="1:7" x14ac:dyDescent="0.3">
      <c r="A3575" s="198">
        <v>1020486802</v>
      </c>
      <c r="B3575" s="192" t="s">
        <v>2327</v>
      </c>
      <c r="C3575" s="196">
        <v>244325</v>
      </c>
      <c r="D3575" s="196">
        <v>0</v>
      </c>
      <c r="E3575" s="196">
        <v>0</v>
      </c>
      <c r="F3575" s="196">
        <v>0</v>
      </c>
      <c r="G3575" s="196">
        <v>244325</v>
      </c>
    </row>
    <row r="3576" spans="1:7" x14ac:dyDescent="0.3">
      <c r="A3576" s="198">
        <v>71526513</v>
      </c>
      <c r="B3576" s="192" t="s">
        <v>1643</v>
      </c>
      <c r="C3576" s="196">
        <v>1014958</v>
      </c>
      <c r="D3576" s="196">
        <v>0</v>
      </c>
      <c r="E3576" s="196">
        <v>0</v>
      </c>
      <c r="F3576" s="196">
        <v>0</v>
      </c>
      <c r="G3576" s="196">
        <v>1014958</v>
      </c>
    </row>
    <row r="3577" spans="1:7" x14ac:dyDescent="0.3">
      <c r="A3577" s="198">
        <v>1017194194</v>
      </c>
      <c r="B3577" s="192" t="s">
        <v>2157</v>
      </c>
      <c r="C3577" s="196">
        <v>699083</v>
      </c>
      <c r="D3577" s="196">
        <v>0</v>
      </c>
      <c r="E3577" s="196">
        <v>0</v>
      </c>
      <c r="F3577" s="196">
        <v>0</v>
      </c>
      <c r="G3577" s="196">
        <v>699083</v>
      </c>
    </row>
    <row r="3578" spans="1:7" x14ac:dyDescent="0.3">
      <c r="A3578" s="198">
        <v>1020426876</v>
      </c>
      <c r="B3578" s="192" t="s">
        <v>2329</v>
      </c>
      <c r="C3578" s="196">
        <v>306667</v>
      </c>
      <c r="D3578" s="196">
        <v>0</v>
      </c>
      <c r="E3578" s="196">
        <v>0</v>
      </c>
      <c r="F3578" s="196">
        <v>0</v>
      </c>
      <c r="G3578" s="196">
        <v>306667</v>
      </c>
    </row>
    <row r="3579" spans="1:7" x14ac:dyDescent="0.3">
      <c r="A3579" s="198">
        <v>1126423558</v>
      </c>
      <c r="B3579" s="192" t="s">
        <v>2159</v>
      </c>
      <c r="C3579" s="196">
        <v>357247</v>
      </c>
      <c r="D3579" s="196">
        <v>0</v>
      </c>
      <c r="E3579" s="196">
        <v>0</v>
      </c>
      <c r="F3579" s="196">
        <v>0</v>
      </c>
      <c r="G3579" s="196">
        <v>357247</v>
      </c>
    </row>
    <row r="3580" spans="1:7" x14ac:dyDescent="0.3">
      <c r="A3580" s="198">
        <v>1093744869</v>
      </c>
      <c r="B3580" s="192" t="s">
        <v>1906</v>
      </c>
      <c r="C3580" s="196">
        <v>995024</v>
      </c>
      <c r="D3580" s="196">
        <v>0</v>
      </c>
      <c r="E3580" s="196">
        <v>0</v>
      </c>
      <c r="F3580" s="196">
        <v>0</v>
      </c>
      <c r="G3580" s="196">
        <v>995024</v>
      </c>
    </row>
    <row r="3581" spans="1:7" x14ac:dyDescent="0.3">
      <c r="A3581" s="198">
        <v>1007551247</v>
      </c>
      <c r="B3581" s="192" t="s">
        <v>1712</v>
      </c>
      <c r="C3581" s="196">
        <v>1288044</v>
      </c>
      <c r="D3581" s="196">
        <v>0</v>
      </c>
      <c r="E3581" s="196">
        <v>0</v>
      </c>
      <c r="F3581" s="196">
        <v>0</v>
      </c>
      <c r="G3581" s="196">
        <v>1288044</v>
      </c>
    </row>
    <row r="3582" spans="1:7" x14ac:dyDescent="0.3">
      <c r="A3582" s="198">
        <v>1036679554</v>
      </c>
      <c r="B3582" s="192" t="s">
        <v>2064</v>
      </c>
      <c r="C3582" s="196">
        <v>662139</v>
      </c>
      <c r="D3582" s="196">
        <v>0</v>
      </c>
      <c r="E3582" s="196">
        <v>0</v>
      </c>
      <c r="F3582" s="196">
        <v>0</v>
      </c>
      <c r="G3582" s="196">
        <v>662139</v>
      </c>
    </row>
    <row r="3583" spans="1:7" x14ac:dyDescent="0.3">
      <c r="A3583" s="198">
        <v>71222364</v>
      </c>
      <c r="B3583" s="192" t="s">
        <v>2330</v>
      </c>
      <c r="C3583" s="196">
        <v>611111</v>
      </c>
      <c r="D3583" s="196">
        <v>0</v>
      </c>
      <c r="E3583" s="196">
        <v>0</v>
      </c>
      <c r="F3583" s="196">
        <v>0</v>
      </c>
      <c r="G3583" s="196">
        <v>611111</v>
      </c>
    </row>
    <row r="3584" spans="1:7" x14ac:dyDescent="0.3">
      <c r="A3584" s="198">
        <v>1127953609</v>
      </c>
      <c r="B3584" s="192" t="s">
        <v>2038</v>
      </c>
      <c r="C3584" s="196">
        <v>448499</v>
      </c>
      <c r="D3584" s="196">
        <v>0</v>
      </c>
      <c r="E3584" s="196">
        <v>0</v>
      </c>
      <c r="F3584" s="196">
        <v>0</v>
      </c>
      <c r="G3584" s="196">
        <v>448499</v>
      </c>
    </row>
    <row r="3585" spans="1:7" x14ac:dyDescent="0.3">
      <c r="A3585" s="198">
        <v>1037589764</v>
      </c>
      <c r="B3585" s="192" t="s">
        <v>2331</v>
      </c>
      <c r="C3585" s="196">
        <v>397944</v>
      </c>
      <c r="D3585" s="196">
        <v>0</v>
      </c>
      <c r="E3585" s="196">
        <v>0</v>
      </c>
      <c r="F3585" s="196">
        <v>0</v>
      </c>
      <c r="G3585" s="196">
        <v>397944</v>
      </c>
    </row>
    <row r="3586" spans="1:7" x14ac:dyDescent="0.3">
      <c r="A3586" s="198">
        <v>1036677041</v>
      </c>
      <c r="B3586" s="192" t="s">
        <v>2332</v>
      </c>
      <c r="C3586" s="196">
        <v>770833</v>
      </c>
      <c r="D3586" s="196">
        <v>0</v>
      </c>
      <c r="E3586" s="196">
        <v>0</v>
      </c>
      <c r="F3586" s="196">
        <v>0</v>
      </c>
      <c r="G3586" s="196">
        <v>770833</v>
      </c>
    </row>
    <row r="3587" spans="1:7" x14ac:dyDescent="0.3">
      <c r="A3587" s="198">
        <v>1037636353</v>
      </c>
      <c r="B3587" s="192" t="s">
        <v>2042</v>
      </c>
      <c r="C3587" s="196">
        <v>223889</v>
      </c>
      <c r="D3587" s="196">
        <v>0</v>
      </c>
      <c r="E3587" s="196">
        <v>0</v>
      </c>
      <c r="F3587" s="196">
        <v>0</v>
      </c>
      <c r="G3587" s="196">
        <v>223889</v>
      </c>
    </row>
    <row r="3588" spans="1:7" x14ac:dyDescent="0.3">
      <c r="A3588" s="198">
        <v>32296772</v>
      </c>
      <c r="B3588" s="192" t="s">
        <v>2334</v>
      </c>
      <c r="C3588" s="196">
        <v>75924</v>
      </c>
      <c r="D3588" s="196">
        <v>0</v>
      </c>
      <c r="E3588" s="196">
        <v>0</v>
      </c>
      <c r="F3588" s="196">
        <v>0</v>
      </c>
      <c r="G3588" s="196">
        <v>75924</v>
      </c>
    </row>
    <row r="3589" spans="1:7" x14ac:dyDescent="0.3">
      <c r="A3589" s="198">
        <v>1020490983</v>
      </c>
      <c r="B3589" s="192" t="s">
        <v>2335</v>
      </c>
      <c r="C3589" s="196">
        <v>80208</v>
      </c>
      <c r="D3589" s="196">
        <v>0</v>
      </c>
      <c r="E3589" s="196">
        <v>0</v>
      </c>
      <c r="F3589" s="196">
        <v>0</v>
      </c>
      <c r="G3589" s="196">
        <v>80208</v>
      </c>
    </row>
    <row r="3590" spans="1:7" x14ac:dyDescent="0.3">
      <c r="A3590" s="198">
        <v>1000646763</v>
      </c>
      <c r="B3590" s="192" t="s">
        <v>2044</v>
      </c>
      <c r="C3590" s="196">
        <v>796044</v>
      </c>
      <c r="D3590" s="196">
        <v>0</v>
      </c>
      <c r="E3590" s="196">
        <v>0</v>
      </c>
      <c r="F3590" s="196">
        <v>0</v>
      </c>
      <c r="G3590" s="196">
        <v>796044</v>
      </c>
    </row>
    <row r="3591" spans="1:7" x14ac:dyDescent="0.3">
      <c r="A3591" s="198">
        <v>1039464277</v>
      </c>
      <c r="B3591" s="192" t="s">
        <v>2336</v>
      </c>
      <c r="C3591" s="196">
        <v>151667</v>
      </c>
      <c r="D3591" s="196">
        <v>0</v>
      </c>
      <c r="E3591" s="196">
        <v>0</v>
      </c>
      <c r="F3591" s="196">
        <v>0</v>
      </c>
      <c r="G3591" s="196">
        <v>151667</v>
      </c>
    </row>
    <row r="3592" spans="1:7" x14ac:dyDescent="0.3">
      <c r="A3592" s="198">
        <v>32554996</v>
      </c>
      <c r="B3592" s="192" t="s">
        <v>2045</v>
      </c>
      <c r="C3592" s="196">
        <v>20000</v>
      </c>
      <c r="D3592" s="196">
        <v>0</v>
      </c>
      <c r="E3592" s="196">
        <v>0</v>
      </c>
      <c r="F3592" s="196">
        <v>0</v>
      </c>
      <c r="G3592" s="196">
        <v>20000</v>
      </c>
    </row>
    <row r="3593" spans="1:7" x14ac:dyDescent="0.3">
      <c r="A3593" s="198">
        <v>1020488916</v>
      </c>
      <c r="B3593" s="192" t="s">
        <v>2337</v>
      </c>
      <c r="C3593" s="196">
        <v>587778</v>
      </c>
      <c r="D3593" s="196">
        <v>0</v>
      </c>
      <c r="E3593" s="196">
        <v>0</v>
      </c>
      <c r="F3593" s="196">
        <v>0</v>
      </c>
      <c r="G3593" s="196">
        <v>587778</v>
      </c>
    </row>
    <row r="3594" spans="1:7" x14ac:dyDescent="0.3">
      <c r="A3594" s="198">
        <v>1127941774</v>
      </c>
      <c r="B3594" s="192" t="s">
        <v>2338</v>
      </c>
      <c r="C3594" s="196">
        <v>843750</v>
      </c>
      <c r="D3594" s="196">
        <v>0</v>
      </c>
      <c r="E3594" s="196">
        <v>0</v>
      </c>
      <c r="F3594" s="196">
        <v>0</v>
      </c>
      <c r="G3594" s="196">
        <v>843750</v>
      </c>
    </row>
    <row r="3595" spans="1:7" x14ac:dyDescent="0.3">
      <c r="A3595" s="198">
        <v>39355612</v>
      </c>
      <c r="B3595" s="192" t="s">
        <v>2077</v>
      </c>
      <c r="C3595" s="196">
        <v>329583</v>
      </c>
      <c r="D3595" s="196">
        <v>0</v>
      </c>
      <c r="E3595" s="196">
        <v>0</v>
      </c>
      <c r="F3595" s="196">
        <v>0</v>
      </c>
      <c r="G3595" s="196">
        <v>329583</v>
      </c>
    </row>
    <row r="3596" spans="1:7" x14ac:dyDescent="0.3">
      <c r="A3596" s="198">
        <v>98522586</v>
      </c>
      <c r="B3596" s="192" t="s">
        <v>2339</v>
      </c>
      <c r="C3596" s="196">
        <v>113056</v>
      </c>
      <c r="D3596" s="196">
        <v>0</v>
      </c>
      <c r="E3596" s="196">
        <v>0</v>
      </c>
      <c r="F3596" s="196">
        <v>0</v>
      </c>
      <c r="G3596" s="196">
        <v>113056</v>
      </c>
    </row>
    <row r="3597" spans="1:7" x14ac:dyDescent="0.3">
      <c r="A3597" s="198">
        <v>1027740123</v>
      </c>
      <c r="B3597" s="192" t="s">
        <v>1928</v>
      </c>
      <c r="C3597" s="196">
        <v>740278</v>
      </c>
      <c r="D3597" s="196">
        <v>0</v>
      </c>
      <c r="E3597" s="196">
        <v>0</v>
      </c>
      <c r="F3597" s="196">
        <v>0</v>
      </c>
      <c r="G3597" s="196">
        <v>740278</v>
      </c>
    </row>
    <row r="3598" spans="1:7" x14ac:dyDescent="0.3">
      <c r="A3598" s="198">
        <v>1017284611</v>
      </c>
      <c r="B3598" s="192" t="s">
        <v>1715</v>
      </c>
      <c r="C3598" s="196">
        <v>408528</v>
      </c>
      <c r="D3598" s="196">
        <v>0</v>
      </c>
      <c r="E3598" s="196">
        <v>0</v>
      </c>
      <c r="F3598" s="196">
        <v>0</v>
      </c>
      <c r="G3598" s="196">
        <v>408528</v>
      </c>
    </row>
    <row r="3599" spans="1:7" x14ac:dyDescent="0.3">
      <c r="A3599" s="198">
        <v>1214732908</v>
      </c>
      <c r="B3599" s="192" t="s">
        <v>1263</v>
      </c>
      <c r="C3599" s="196">
        <v>761278</v>
      </c>
      <c r="D3599" s="196">
        <v>0</v>
      </c>
      <c r="E3599" s="196">
        <v>0</v>
      </c>
      <c r="F3599" s="196">
        <v>0</v>
      </c>
      <c r="G3599" s="196">
        <v>761278</v>
      </c>
    </row>
    <row r="3600" spans="1:7" x14ac:dyDescent="0.3">
      <c r="A3600" s="198">
        <v>574816</v>
      </c>
      <c r="B3600" s="192" t="s">
        <v>2078</v>
      </c>
      <c r="C3600" s="196">
        <v>1509056</v>
      </c>
      <c r="D3600" s="196">
        <v>0</v>
      </c>
      <c r="E3600" s="196">
        <v>0</v>
      </c>
      <c r="F3600" s="196">
        <v>0</v>
      </c>
      <c r="G3600" s="196">
        <v>1509056</v>
      </c>
    </row>
    <row r="3601" spans="1:7" x14ac:dyDescent="0.3">
      <c r="A3601" s="198">
        <v>1214732527</v>
      </c>
      <c r="B3601" s="192" t="s">
        <v>1983</v>
      </c>
      <c r="C3601" s="196">
        <v>2997029</v>
      </c>
      <c r="D3601" s="196">
        <v>0</v>
      </c>
      <c r="E3601" s="196">
        <v>0</v>
      </c>
      <c r="F3601" s="196">
        <v>0</v>
      </c>
      <c r="G3601" s="196">
        <v>2997029</v>
      </c>
    </row>
    <row r="3602" spans="1:7" x14ac:dyDescent="0.3">
      <c r="A3602" s="198">
        <v>43550437</v>
      </c>
      <c r="B3602" s="192" t="s">
        <v>1936</v>
      </c>
      <c r="C3602" s="196">
        <v>626771</v>
      </c>
      <c r="D3602" s="196">
        <v>0</v>
      </c>
      <c r="E3602" s="196">
        <v>0</v>
      </c>
      <c r="F3602" s="196">
        <v>0</v>
      </c>
      <c r="G3602" s="196">
        <v>626771</v>
      </c>
    </row>
    <row r="3603" spans="1:7" x14ac:dyDescent="0.3">
      <c r="A3603" s="198">
        <v>43597511</v>
      </c>
      <c r="B3603" s="192" t="s">
        <v>2051</v>
      </c>
      <c r="C3603" s="196">
        <v>277751</v>
      </c>
      <c r="D3603" s="196">
        <v>0</v>
      </c>
      <c r="E3603" s="196">
        <v>0</v>
      </c>
      <c r="F3603" s="196">
        <v>0</v>
      </c>
      <c r="G3603" s="196">
        <v>277751</v>
      </c>
    </row>
    <row r="3604" spans="1:7" x14ac:dyDescent="0.3">
      <c r="A3604" s="198">
        <v>71212982</v>
      </c>
      <c r="B3604" s="192" t="s">
        <v>2341</v>
      </c>
      <c r="C3604" s="196">
        <v>172222</v>
      </c>
      <c r="D3604" s="196">
        <v>0</v>
      </c>
      <c r="E3604" s="196">
        <v>0</v>
      </c>
      <c r="F3604" s="196">
        <v>0</v>
      </c>
      <c r="G3604" s="196">
        <v>172222</v>
      </c>
    </row>
    <row r="3605" spans="1:7" x14ac:dyDescent="0.3">
      <c r="A3605" s="198">
        <v>1126429974</v>
      </c>
      <c r="B3605" s="192" t="s">
        <v>2342</v>
      </c>
      <c r="C3605" s="196">
        <v>125278</v>
      </c>
      <c r="D3605" s="196">
        <v>0</v>
      </c>
      <c r="E3605" s="196">
        <v>0</v>
      </c>
      <c r="F3605" s="196">
        <v>0</v>
      </c>
      <c r="G3605" s="196">
        <v>125278</v>
      </c>
    </row>
    <row r="3606" spans="1:7" x14ac:dyDescent="0.3">
      <c r="A3606" s="198">
        <v>1035854432</v>
      </c>
      <c r="B3606" s="192" t="s">
        <v>2054</v>
      </c>
      <c r="C3606" s="196">
        <v>412083</v>
      </c>
      <c r="D3606" s="196">
        <v>0</v>
      </c>
      <c r="E3606" s="196">
        <v>0</v>
      </c>
      <c r="F3606" s="196">
        <v>0</v>
      </c>
      <c r="G3606" s="196">
        <v>412083</v>
      </c>
    </row>
    <row r="3607" spans="1:7" x14ac:dyDescent="0.3">
      <c r="A3607" s="198">
        <v>1020420887</v>
      </c>
      <c r="B3607" s="192" t="s">
        <v>2343</v>
      </c>
      <c r="C3607" s="196">
        <v>14581</v>
      </c>
      <c r="D3607" s="196">
        <v>0</v>
      </c>
      <c r="E3607" s="196">
        <v>0</v>
      </c>
      <c r="F3607" s="196">
        <v>0</v>
      </c>
      <c r="G3607" s="196">
        <v>14581</v>
      </c>
    </row>
    <row r="3608" spans="1:7" x14ac:dyDescent="0.3">
      <c r="A3608" s="198">
        <v>1000639361</v>
      </c>
      <c r="B3608" s="192" t="s">
        <v>2058</v>
      </c>
      <c r="C3608" s="196">
        <v>338889</v>
      </c>
      <c r="D3608" s="196">
        <v>0</v>
      </c>
      <c r="E3608" s="196">
        <v>0</v>
      </c>
      <c r="F3608" s="196">
        <v>0</v>
      </c>
      <c r="G3608" s="196">
        <v>338889</v>
      </c>
    </row>
    <row r="3609" spans="1:7" x14ac:dyDescent="0.3">
      <c r="A3609" s="198">
        <v>32299587</v>
      </c>
      <c r="B3609" s="192" t="s">
        <v>2060</v>
      </c>
      <c r="C3609" s="196">
        <v>401298</v>
      </c>
      <c r="D3609" s="196">
        <v>0</v>
      </c>
      <c r="E3609" s="196">
        <v>0</v>
      </c>
      <c r="F3609" s="196">
        <v>0</v>
      </c>
      <c r="G3609" s="196">
        <v>401298</v>
      </c>
    </row>
    <row r="3610" spans="1:7" x14ac:dyDescent="0.3">
      <c r="A3610" s="197">
        <v>28</v>
      </c>
      <c r="B3610" s="191" t="s">
        <v>2366</v>
      </c>
      <c r="C3610" s="195">
        <v>-915612543.65999997</v>
      </c>
      <c r="D3610" s="195">
        <v>259587379</v>
      </c>
      <c r="E3610" s="195">
        <v>31768650</v>
      </c>
      <c r="F3610" s="195">
        <v>227818729</v>
      </c>
      <c r="G3610" s="195">
        <v>-687793814.65999997</v>
      </c>
    </row>
    <row r="3611" spans="1:7" x14ac:dyDescent="0.3">
      <c r="A3611" s="197">
        <v>2805</v>
      </c>
      <c r="B3611" s="191" t="s">
        <v>2367</v>
      </c>
      <c r="C3611" s="195">
        <v>-425612463.66000003</v>
      </c>
      <c r="D3611" s="195">
        <v>259587379</v>
      </c>
      <c r="E3611" s="195">
        <v>31768650</v>
      </c>
      <c r="F3611" s="195">
        <v>227818729</v>
      </c>
      <c r="G3611" s="195">
        <v>-197793734.66</v>
      </c>
    </row>
    <row r="3612" spans="1:7" x14ac:dyDescent="0.3">
      <c r="A3612" s="197">
        <v>280505</v>
      </c>
      <c r="B3612" s="191" t="s">
        <v>2368</v>
      </c>
      <c r="C3612" s="195">
        <v>-425612463.66000003</v>
      </c>
      <c r="D3612" s="195">
        <v>259587379</v>
      </c>
      <c r="E3612" s="195">
        <v>31768650</v>
      </c>
      <c r="F3612" s="195">
        <v>227818729</v>
      </c>
      <c r="G3612" s="195">
        <v>-197793734.66</v>
      </c>
    </row>
    <row r="3613" spans="1:7" x14ac:dyDescent="0.3">
      <c r="A3613" s="198">
        <v>28050501</v>
      </c>
      <c r="B3613" s="192" t="s">
        <v>36</v>
      </c>
      <c r="C3613" s="196">
        <v>-425612463.66000003</v>
      </c>
      <c r="D3613" s="196">
        <v>259587379</v>
      </c>
      <c r="E3613" s="196">
        <v>31768650</v>
      </c>
      <c r="F3613" s="196">
        <v>227818729</v>
      </c>
      <c r="G3613" s="196">
        <v>-197793734.66</v>
      </c>
    </row>
    <row r="3614" spans="1:7" x14ac:dyDescent="0.3">
      <c r="A3614" s="198">
        <v>70546915</v>
      </c>
      <c r="B3614" s="192" t="s">
        <v>160</v>
      </c>
      <c r="C3614" s="196">
        <v>-7500000</v>
      </c>
      <c r="D3614" s="196">
        <v>7500000</v>
      </c>
      <c r="E3614" s="196">
        <v>0</v>
      </c>
      <c r="F3614" s="196">
        <v>7500000</v>
      </c>
      <c r="G3614" s="196">
        <v>0</v>
      </c>
    </row>
    <row r="3615" spans="1:7" x14ac:dyDescent="0.3">
      <c r="A3615" s="198">
        <v>31948684</v>
      </c>
      <c r="B3615" s="192" t="s">
        <v>165</v>
      </c>
      <c r="C3615" s="196">
        <v>-263800</v>
      </c>
      <c r="D3615" s="196">
        <v>263800</v>
      </c>
      <c r="E3615" s="196">
        <v>0</v>
      </c>
      <c r="F3615" s="196">
        <v>263800</v>
      </c>
      <c r="G3615" s="196">
        <v>0</v>
      </c>
    </row>
    <row r="3616" spans="1:7" x14ac:dyDescent="0.3">
      <c r="A3616" s="198">
        <v>43532661</v>
      </c>
      <c r="B3616" s="192" t="s">
        <v>175</v>
      </c>
      <c r="C3616" s="196">
        <v>-15000000</v>
      </c>
      <c r="D3616" s="196">
        <v>15000000</v>
      </c>
      <c r="E3616" s="196">
        <v>0</v>
      </c>
      <c r="F3616" s="196">
        <v>15000000</v>
      </c>
      <c r="G3616" s="196">
        <v>0</v>
      </c>
    </row>
    <row r="3617" spans="1:7" x14ac:dyDescent="0.3">
      <c r="A3617" s="192" t="s">
        <v>2369</v>
      </c>
      <c r="B3617" s="192" t="s">
        <v>2370</v>
      </c>
      <c r="C3617" s="196">
        <v>-1186978</v>
      </c>
      <c r="D3617" s="196">
        <v>0</v>
      </c>
      <c r="E3617" s="196">
        <v>0</v>
      </c>
      <c r="F3617" s="196">
        <v>0</v>
      </c>
      <c r="G3617" s="196">
        <v>-1186978</v>
      </c>
    </row>
    <row r="3618" spans="1:7" x14ac:dyDescent="0.3">
      <c r="A3618" s="198">
        <v>1053847639</v>
      </c>
      <c r="B3618" s="192" t="s">
        <v>2371</v>
      </c>
      <c r="C3618" s="196">
        <v>-1336000</v>
      </c>
      <c r="D3618" s="196">
        <v>0</v>
      </c>
      <c r="E3618" s="196">
        <v>0</v>
      </c>
      <c r="F3618" s="196">
        <v>0</v>
      </c>
      <c r="G3618" s="196">
        <v>-1336000</v>
      </c>
    </row>
    <row r="3619" spans="1:7" x14ac:dyDescent="0.3">
      <c r="A3619" s="198">
        <v>18517738</v>
      </c>
      <c r="B3619" s="192" t="s">
        <v>212</v>
      </c>
      <c r="C3619" s="196">
        <v>-10299200</v>
      </c>
      <c r="D3619" s="196">
        <v>10299200</v>
      </c>
      <c r="E3619" s="196">
        <v>0</v>
      </c>
      <c r="F3619" s="196">
        <v>10299200</v>
      </c>
      <c r="G3619" s="196">
        <v>0</v>
      </c>
    </row>
    <row r="3620" spans="1:7" x14ac:dyDescent="0.3">
      <c r="A3620" s="198">
        <v>860027404</v>
      </c>
      <c r="B3620" s="192" t="s">
        <v>228</v>
      </c>
      <c r="C3620" s="196">
        <v>-46583.6</v>
      </c>
      <c r="D3620" s="196">
        <v>0</v>
      </c>
      <c r="E3620" s="196">
        <v>0</v>
      </c>
      <c r="F3620" s="196">
        <v>0</v>
      </c>
      <c r="G3620" s="196">
        <v>-46583.6</v>
      </c>
    </row>
    <row r="3621" spans="1:7" x14ac:dyDescent="0.3">
      <c r="A3621" s="192" t="s">
        <v>2372</v>
      </c>
      <c r="B3621" s="192" t="s">
        <v>2373</v>
      </c>
      <c r="C3621" s="196">
        <v>-3942400</v>
      </c>
      <c r="D3621" s="196">
        <v>0</v>
      </c>
      <c r="E3621" s="196">
        <v>0</v>
      </c>
      <c r="F3621" s="196">
        <v>0</v>
      </c>
      <c r="G3621" s="196">
        <v>-3942400</v>
      </c>
    </row>
    <row r="3622" spans="1:7" x14ac:dyDescent="0.3">
      <c r="A3622" s="198">
        <v>43971912</v>
      </c>
      <c r="B3622" s="192" t="s">
        <v>2374</v>
      </c>
      <c r="C3622" s="196">
        <v>-49800</v>
      </c>
      <c r="D3622" s="196">
        <v>0</v>
      </c>
      <c r="E3622" s="196">
        <v>0</v>
      </c>
      <c r="F3622" s="196">
        <v>0</v>
      </c>
      <c r="G3622" s="196">
        <v>-49800</v>
      </c>
    </row>
    <row r="3623" spans="1:7" x14ac:dyDescent="0.3">
      <c r="A3623" s="192" t="s">
        <v>2375</v>
      </c>
      <c r="B3623" s="192" t="s">
        <v>2376</v>
      </c>
      <c r="C3623" s="196">
        <v>-555000</v>
      </c>
      <c r="D3623" s="196">
        <v>0</v>
      </c>
      <c r="E3623" s="196">
        <v>0</v>
      </c>
      <c r="F3623" s="196">
        <v>0</v>
      </c>
      <c r="G3623" s="196">
        <v>-555000</v>
      </c>
    </row>
    <row r="3624" spans="1:7" x14ac:dyDescent="0.3">
      <c r="A3624" s="198">
        <v>1220465759</v>
      </c>
      <c r="B3624" s="192" t="s">
        <v>325</v>
      </c>
      <c r="C3624" s="196">
        <v>0</v>
      </c>
      <c r="D3624" s="196">
        <v>0</v>
      </c>
      <c r="E3624" s="196">
        <v>111000</v>
      </c>
      <c r="F3624" s="196">
        <v>-111000</v>
      </c>
      <c r="G3624" s="196">
        <v>-111000</v>
      </c>
    </row>
    <row r="3625" spans="1:7" x14ac:dyDescent="0.3">
      <c r="A3625" s="198">
        <v>860002183</v>
      </c>
      <c r="B3625" s="192" t="s">
        <v>337</v>
      </c>
      <c r="C3625" s="196">
        <v>-82000</v>
      </c>
      <c r="D3625" s="196">
        <v>0</v>
      </c>
      <c r="E3625" s="196">
        <v>0</v>
      </c>
      <c r="F3625" s="196">
        <v>0</v>
      </c>
      <c r="G3625" s="196">
        <v>-82000</v>
      </c>
    </row>
    <row r="3626" spans="1:7" x14ac:dyDescent="0.3">
      <c r="A3626" s="192" t="s">
        <v>104</v>
      </c>
      <c r="B3626" s="192" t="s">
        <v>105</v>
      </c>
      <c r="C3626" s="196">
        <v>-4300000</v>
      </c>
      <c r="D3626" s="196">
        <v>4300000</v>
      </c>
      <c r="E3626" s="196">
        <v>0</v>
      </c>
      <c r="F3626" s="196">
        <v>4300000</v>
      </c>
      <c r="G3626" s="196">
        <v>0</v>
      </c>
    </row>
    <row r="3627" spans="1:7" x14ac:dyDescent="0.3">
      <c r="A3627" s="198">
        <v>890903938</v>
      </c>
      <c r="B3627" s="192" t="s">
        <v>1691</v>
      </c>
      <c r="C3627" s="196">
        <v>-564359</v>
      </c>
      <c r="D3627" s="196">
        <v>0</v>
      </c>
      <c r="E3627" s="196">
        <v>0</v>
      </c>
      <c r="F3627" s="196">
        <v>0</v>
      </c>
      <c r="G3627" s="196">
        <v>-564359</v>
      </c>
    </row>
    <row r="3628" spans="1:7" x14ac:dyDescent="0.3">
      <c r="A3628" s="198">
        <v>43062123</v>
      </c>
      <c r="B3628" s="192" t="s">
        <v>342</v>
      </c>
      <c r="C3628" s="196">
        <v>-2658000</v>
      </c>
      <c r="D3628" s="196">
        <v>2658000</v>
      </c>
      <c r="E3628" s="196">
        <v>0</v>
      </c>
      <c r="F3628" s="196">
        <v>2658000</v>
      </c>
      <c r="G3628" s="196">
        <v>0</v>
      </c>
    </row>
    <row r="3629" spans="1:7" x14ac:dyDescent="0.3">
      <c r="A3629" s="198">
        <v>22103904</v>
      </c>
      <c r="B3629" s="192" t="s">
        <v>351</v>
      </c>
      <c r="C3629" s="196">
        <v>-254000</v>
      </c>
      <c r="D3629" s="196">
        <v>254000</v>
      </c>
      <c r="E3629" s="196">
        <v>0</v>
      </c>
      <c r="F3629" s="196">
        <v>254000</v>
      </c>
      <c r="G3629" s="196">
        <v>0</v>
      </c>
    </row>
    <row r="3630" spans="1:7" x14ac:dyDescent="0.3">
      <c r="A3630" s="198">
        <v>52319132</v>
      </c>
      <c r="B3630" s="192" t="s">
        <v>356</v>
      </c>
      <c r="C3630" s="196">
        <v>-9886000</v>
      </c>
      <c r="D3630" s="196">
        <v>9886000</v>
      </c>
      <c r="E3630" s="196">
        <v>0</v>
      </c>
      <c r="F3630" s="196">
        <v>9886000</v>
      </c>
      <c r="G3630" s="196">
        <v>0</v>
      </c>
    </row>
    <row r="3631" spans="1:7" x14ac:dyDescent="0.3">
      <c r="A3631" s="198">
        <v>25062889</v>
      </c>
      <c r="B3631" s="192" t="s">
        <v>364</v>
      </c>
      <c r="C3631" s="196">
        <v>-676000</v>
      </c>
      <c r="D3631" s="196">
        <v>676000</v>
      </c>
      <c r="E3631" s="196">
        <v>0</v>
      </c>
      <c r="F3631" s="196">
        <v>676000</v>
      </c>
      <c r="G3631" s="196">
        <v>0</v>
      </c>
    </row>
    <row r="3632" spans="1:7" x14ac:dyDescent="0.3">
      <c r="A3632" s="198">
        <v>16270788</v>
      </c>
      <c r="B3632" s="192" t="s">
        <v>391</v>
      </c>
      <c r="C3632" s="196">
        <v>-253000</v>
      </c>
      <c r="D3632" s="196">
        <v>253000</v>
      </c>
      <c r="E3632" s="196">
        <v>0</v>
      </c>
      <c r="F3632" s="196">
        <v>253000</v>
      </c>
      <c r="G3632" s="196">
        <v>0</v>
      </c>
    </row>
    <row r="3633" spans="1:7" x14ac:dyDescent="0.3">
      <c r="A3633" s="198">
        <v>1017163015</v>
      </c>
      <c r="B3633" s="192" t="s">
        <v>2377</v>
      </c>
      <c r="C3633" s="196">
        <v>-2000000</v>
      </c>
      <c r="D3633" s="196">
        <v>0</v>
      </c>
      <c r="E3633" s="196">
        <v>0</v>
      </c>
      <c r="F3633" s="196">
        <v>0</v>
      </c>
      <c r="G3633" s="196">
        <v>-2000000</v>
      </c>
    </row>
    <row r="3634" spans="1:7" x14ac:dyDescent="0.3">
      <c r="A3634" s="198">
        <v>75063307</v>
      </c>
      <c r="B3634" s="192" t="s">
        <v>2378</v>
      </c>
      <c r="C3634" s="196">
        <v>-6279600</v>
      </c>
      <c r="D3634" s="196">
        <v>0</v>
      </c>
      <c r="E3634" s="196">
        <v>0</v>
      </c>
      <c r="F3634" s="196">
        <v>0</v>
      </c>
      <c r="G3634" s="196">
        <v>-6279600</v>
      </c>
    </row>
    <row r="3635" spans="1:7" x14ac:dyDescent="0.3">
      <c r="A3635" s="198">
        <v>8766628</v>
      </c>
      <c r="B3635" s="192" t="s">
        <v>2379</v>
      </c>
      <c r="C3635" s="196">
        <v>-6000</v>
      </c>
      <c r="D3635" s="196">
        <v>0</v>
      </c>
      <c r="E3635" s="196">
        <v>0</v>
      </c>
      <c r="F3635" s="196">
        <v>0</v>
      </c>
      <c r="G3635" s="196">
        <v>-6000</v>
      </c>
    </row>
    <row r="3636" spans="1:7" x14ac:dyDescent="0.3">
      <c r="A3636" s="198">
        <v>79236164</v>
      </c>
      <c r="B3636" s="192" t="s">
        <v>429</v>
      </c>
      <c r="C3636" s="196">
        <v>-40600</v>
      </c>
      <c r="D3636" s="196">
        <v>0</v>
      </c>
      <c r="E3636" s="196">
        <v>0</v>
      </c>
      <c r="F3636" s="196">
        <v>0</v>
      </c>
      <c r="G3636" s="196">
        <v>-40600</v>
      </c>
    </row>
    <row r="3637" spans="1:7" x14ac:dyDescent="0.3">
      <c r="A3637" s="198">
        <v>678408825</v>
      </c>
      <c r="B3637" s="192" t="s">
        <v>2380</v>
      </c>
      <c r="C3637" s="196">
        <v>-1051500</v>
      </c>
      <c r="D3637" s="196">
        <v>0</v>
      </c>
      <c r="E3637" s="196">
        <v>0</v>
      </c>
      <c r="F3637" s="196">
        <v>0</v>
      </c>
      <c r="G3637" s="196">
        <v>-1051500</v>
      </c>
    </row>
    <row r="3638" spans="1:7" x14ac:dyDescent="0.3">
      <c r="A3638" s="198">
        <v>8162046</v>
      </c>
      <c r="B3638" s="192" t="s">
        <v>444</v>
      </c>
      <c r="C3638" s="196">
        <v>-101800</v>
      </c>
      <c r="D3638" s="196">
        <v>0</v>
      </c>
      <c r="E3638" s="196">
        <v>0</v>
      </c>
      <c r="F3638" s="196">
        <v>0</v>
      </c>
      <c r="G3638" s="196">
        <v>-101800</v>
      </c>
    </row>
    <row r="3639" spans="1:7" x14ac:dyDescent="0.3">
      <c r="A3639" s="198">
        <v>800106339</v>
      </c>
      <c r="B3639" s="192" t="s">
        <v>454</v>
      </c>
      <c r="C3639" s="196">
        <v>-231100</v>
      </c>
      <c r="D3639" s="196">
        <v>0</v>
      </c>
      <c r="E3639" s="196">
        <v>0</v>
      </c>
      <c r="F3639" s="196">
        <v>0</v>
      </c>
      <c r="G3639" s="196">
        <v>-231100</v>
      </c>
    </row>
    <row r="3640" spans="1:7" x14ac:dyDescent="0.3">
      <c r="A3640" s="198">
        <v>805009741</v>
      </c>
      <c r="B3640" s="192" t="s">
        <v>461</v>
      </c>
      <c r="C3640" s="196">
        <v>-26544.58</v>
      </c>
      <c r="D3640" s="196">
        <v>0</v>
      </c>
      <c r="E3640" s="196">
        <v>0</v>
      </c>
      <c r="F3640" s="196">
        <v>0</v>
      </c>
      <c r="G3640" s="196">
        <v>-26544.58</v>
      </c>
    </row>
    <row r="3641" spans="1:7" x14ac:dyDescent="0.3">
      <c r="A3641" s="192" t="s">
        <v>2381</v>
      </c>
      <c r="B3641" s="192" t="s">
        <v>2382</v>
      </c>
      <c r="C3641" s="196">
        <v>-9086199</v>
      </c>
      <c r="D3641" s="196">
        <v>0</v>
      </c>
      <c r="E3641" s="196">
        <v>0</v>
      </c>
      <c r="F3641" s="196">
        <v>0</v>
      </c>
      <c r="G3641" s="196">
        <v>-9086199</v>
      </c>
    </row>
    <row r="3642" spans="1:7" x14ac:dyDescent="0.3">
      <c r="A3642" s="198">
        <v>1020448582</v>
      </c>
      <c r="B3642" s="192" t="s">
        <v>483</v>
      </c>
      <c r="C3642" s="196">
        <v>0</v>
      </c>
      <c r="D3642" s="196">
        <v>0</v>
      </c>
      <c r="E3642" s="196">
        <v>1500000</v>
      </c>
      <c r="F3642" s="196">
        <v>-1500000</v>
      </c>
      <c r="G3642" s="196">
        <v>-1500000</v>
      </c>
    </row>
    <row r="3643" spans="1:7" x14ac:dyDescent="0.3">
      <c r="A3643" s="198">
        <v>1036672398</v>
      </c>
      <c r="B3643" s="192" t="s">
        <v>484</v>
      </c>
      <c r="C3643" s="196">
        <v>-3595000</v>
      </c>
      <c r="D3643" s="196">
        <v>3595000</v>
      </c>
      <c r="E3643" s="196">
        <v>0</v>
      </c>
      <c r="F3643" s="196">
        <v>3595000</v>
      </c>
      <c r="G3643" s="196">
        <v>0</v>
      </c>
    </row>
    <row r="3644" spans="1:7" x14ac:dyDescent="0.3">
      <c r="A3644" s="198">
        <v>1004777586</v>
      </c>
      <c r="B3644" s="192" t="s">
        <v>2383</v>
      </c>
      <c r="C3644" s="196">
        <v>-970000</v>
      </c>
      <c r="D3644" s="196">
        <v>0</v>
      </c>
      <c r="E3644" s="196">
        <v>0</v>
      </c>
      <c r="F3644" s="196">
        <v>0</v>
      </c>
      <c r="G3644" s="196">
        <v>-970000</v>
      </c>
    </row>
    <row r="3645" spans="1:7" x14ac:dyDescent="0.3">
      <c r="A3645" s="192" t="s">
        <v>515</v>
      </c>
      <c r="B3645" s="192" t="s">
        <v>516</v>
      </c>
      <c r="C3645" s="196">
        <v>-4339000</v>
      </c>
      <c r="D3645" s="196">
        <v>0</v>
      </c>
      <c r="E3645" s="196">
        <v>0</v>
      </c>
      <c r="F3645" s="196">
        <v>0</v>
      </c>
      <c r="G3645" s="196">
        <v>-4339000</v>
      </c>
    </row>
    <row r="3646" spans="1:7" x14ac:dyDescent="0.3">
      <c r="A3646" s="198">
        <v>43529042</v>
      </c>
      <c r="B3646" s="192" t="s">
        <v>2384</v>
      </c>
      <c r="C3646" s="196">
        <v>-7516000</v>
      </c>
      <c r="D3646" s="196">
        <v>0</v>
      </c>
      <c r="E3646" s="196">
        <v>0</v>
      </c>
      <c r="F3646" s="196">
        <v>0</v>
      </c>
      <c r="G3646" s="196">
        <v>-7516000</v>
      </c>
    </row>
    <row r="3647" spans="1:7" x14ac:dyDescent="0.3">
      <c r="A3647" s="198">
        <v>39160600</v>
      </c>
      <c r="B3647" s="192" t="s">
        <v>2385</v>
      </c>
      <c r="C3647" s="196">
        <v>-14109200</v>
      </c>
      <c r="D3647" s="196">
        <v>0</v>
      </c>
      <c r="E3647" s="196">
        <v>0</v>
      </c>
      <c r="F3647" s="196">
        <v>0</v>
      </c>
      <c r="G3647" s="196">
        <v>-14109200</v>
      </c>
    </row>
    <row r="3648" spans="1:7" x14ac:dyDescent="0.3">
      <c r="A3648" s="198">
        <v>43605890</v>
      </c>
      <c r="B3648" s="192" t="s">
        <v>565</v>
      </c>
      <c r="C3648" s="196">
        <v>-689300</v>
      </c>
      <c r="D3648" s="196">
        <v>689300</v>
      </c>
      <c r="E3648" s="196">
        <v>0</v>
      </c>
      <c r="F3648" s="196">
        <v>689300</v>
      </c>
      <c r="G3648" s="196">
        <v>0</v>
      </c>
    </row>
    <row r="3649" spans="1:7" x14ac:dyDescent="0.3">
      <c r="A3649" s="198">
        <v>43084499</v>
      </c>
      <c r="B3649" s="192" t="s">
        <v>2386</v>
      </c>
      <c r="C3649" s="196">
        <v>-9908000</v>
      </c>
      <c r="D3649" s="196">
        <v>0</v>
      </c>
      <c r="E3649" s="196">
        <v>0</v>
      </c>
      <c r="F3649" s="196">
        <v>0</v>
      </c>
      <c r="G3649" s="196">
        <v>-9908000</v>
      </c>
    </row>
    <row r="3650" spans="1:7" x14ac:dyDescent="0.3">
      <c r="A3650" s="198">
        <v>43592243</v>
      </c>
      <c r="B3650" s="192" t="s">
        <v>2387</v>
      </c>
      <c r="C3650" s="196">
        <v>-46100</v>
      </c>
      <c r="D3650" s="196">
        <v>0</v>
      </c>
      <c r="E3650" s="196">
        <v>0</v>
      </c>
      <c r="F3650" s="196">
        <v>0</v>
      </c>
      <c r="G3650" s="196">
        <v>-46100</v>
      </c>
    </row>
    <row r="3651" spans="1:7" x14ac:dyDescent="0.3">
      <c r="A3651" s="198">
        <v>1065584306</v>
      </c>
      <c r="B3651" s="192" t="s">
        <v>2388</v>
      </c>
      <c r="C3651" s="196">
        <v>-47000</v>
      </c>
      <c r="D3651" s="196">
        <v>0</v>
      </c>
      <c r="E3651" s="196">
        <v>0</v>
      </c>
      <c r="F3651" s="196">
        <v>0</v>
      </c>
      <c r="G3651" s="196">
        <v>-47000</v>
      </c>
    </row>
    <row r="3652" spans="1:7" x14ac:dyDescent="0.3">
      <c r="A3652" s="198">
        <v>901503425</v>
      </c>
      <c r="B3652" s="192" t="s">
        <v>118</v>
      </c>
      <c r="C3652" s="196">
        <v>-82500</v>
      </c>
      <c r="D3652" s="196">
        <v>0</v>
      </c>
      <c r="E3652" s="196">
        <v>0</v>
      </c>
      <c r="F3652" s="196">
        <v>0</v>
      </c>
      <c r="G3652" s="196">
        <v>-82500</v>
      </c>
    </row>
    <row r="3653" spans="1:7" x14ac:dyDescent="0.3">
      <c r="A3653" s="198">
        <v>8280141</v>
      </c>
      <c r="B3653" s="192" t="s">
        <v>608</v>
      </c>
      <c r="C3653" s="196">
        <v>-12830000</v>
      </c>
      <c r="D3653" s="196">
        <v>12830000</v>
      </c>
      <c r="E3653" s="196">
        <v>0</v>
      </c>
      <c r="F3653" s="196">
        <v>12830000</v>
      </c>
      <c r="G3653" s="196">
        <v>0</v>
      </c>
    </row>
    <row r="3654" spans="1:7" x14ac:dyDescent="0.3">
      <c r="A3654" s="198">
        <v>15442720</v>
      </c>
      <c r="B3654" s="192" t="s">
        <v>609</v>
      </c>
      <c r="C3654" s="196">
        <v>0</v>
      </c>
      <c r="D3654" s="196">
        <v>0</v>
      </c>
      <c r="E3654" s="196">
        <v>8614000</v>
      </c>
      <c r="F3654" s="196">
        <v>-8614000</v>
      </c>
      <c r="G3654" s="196">
        <v>-8614000</v>
      </c>
    </row>
    <row r="3655" spans="1:7" x14ac:dyDescent="0.3">
      <c r="A3655" s="198">
        <v>28687608</v>
      </c>
      <c r="B3655" s="192" t="s">
        <v>2389</v>
      </c>
      <c r="C3655" s="196">
        <v>-3849800</v>
      </c>
      <c r="D3655" s="196">
        <v>0</v>
      </c>
      <c r="E3655" s="196">
        <v>0</v>
      </c>
      <c r="F3655" s="196">
        <v>0</v>
      </c>
      <c r="G3655" s="196">
        <v>-3849800</v>
      </c>
    </row>
    <row r="3656" spans="1:7" x14ac:dyDescent="0.3">
      <c r="A3656" s="198">
        <v>1037570450</v>
      </c>
      <c r="B3656" s="192" t="s">
        <v>2390</v>
      </c>
      <c r="C3656" s="196">
        <v>-41799</v>
      </c>
      <c r="D3656" s="196">
        <v>0</v>
      </c>
      <c r="E3656" s="196">
        <v>0</v>
      </c>
      <c r="F3656" s="196">
        <v>0</v>
      </c>
      <c r="G3656" s="196">
        <v>-41799</v>
      </c>
    </row>
    <row r="3657" spans="1:7" x14ac:dyDescent="0.3">
      <c r="A3657" s="198">
        <v>65496748</v>
      </c>
      <c r="B3657" s="192" t="s">
        <v>2391</v>
      </c>
      <c r="C3657" s="196">
        <v>-6300</v>
      </c>
      <c r="D3657" s="196">
        <v>0</v>
      </c>
      <c r="E3657" s="196">
        <v>0</v>
      </c>
      <c r="F3657" s="196">
        <v>0</v>
      </c>
      <c r="G3657" s="196">
        <v>-6300</v>
      </c>
    </row>
    <row r="3658" spans="1:7" x14ac:dyDescent="0.3">
      <c r="A3658" s="198">
        <v>37825638</v>
      </c>
      <c r="B3658" s="192" t="s">
        <v>666</v>
      </c>
      <c r="C3658" s="196">
        <v>-12608200</v>
      </c>
      <c r="D3658" s="196">
        <v>12608200</v>
      </c>
      <c r="E3658" s="196">
        <v>0</v>
      </c>
      <c r="F3658" s="196">
        <v>12608200</v>
      </c>
      <c r="G3658" s="196">
        <v>0</v>
      </c>
    </row>
    <row r="3659" spans="1:7" x14ac:dyDescent="0.3">
      <c r="A3659" s="198">
        <v>32334815</v>
      </c>
      <c r="B3659" s="192" t="s">
        <v>669</v>
      </c>
      <c r="C3659" s="196">
        <v>-412000</v>
      </c>
      <c r="D3659" s="196">
        <v>412000</v>
      </c>
      <c r="E3659" s="196">
        <v>0</v>
      </c>
      <c r="F3659" s="196">
        <v>412000</v>
      </c>
      <c r="G3659" s="196">
        <v>0</v>
      </c>
    </row>
    <row r="3660" spans="1:7" x14ac:dyDescent="0.3">
      <c r="A3660" s="198">
        <v>11808697</v>
      </c>
      <c r="B3660" s="192" t="s">
        <v>2392</v>
      </c>
      <c r="C3660" s="196">
        <v>-360000</v>
      </c>
      <c r="D3660" s="196">
        <v>0</v>
      </c>
      <c r="E3660" s="196">
        <v>0</v>
      </c>
      <c r="F3660" s="196">
        <v>0</v>
      </c>
      <c r="G3660" s="196">
        <v>-360000</v>
      </c>
    </row>
    <row r="3661" spans="1:7" x14ac:dyDescent="0.3">
      <c r="A3661" s="198">
        <v>1239490574</v>
      </c>
      <c r="B3661" s="192" t="s">
        <v>2393</v>
      </c>
      <c r="C3661" s="196">
        <v>-3100</v>
      </c>
      <c r="D3661" s="196">
        <v>0</v>
      </c>
      <c r="E3661" s="196">
        <v>0</v>
      </c>
      <c r="F3661" s="196">
        <v>0</v>
      </c>
      <c r="G3661" s="196">
        <v>-3100</v>
      </c>
    </row>
    <row r="3662" spans="1:7" x14ac:dyDescent="0.3">
      <c r="A3662" s="198">
        <v>39411771</v>
      </c>
      <c r="B3662" s="192" t="s">
        <v>2394</v>
      </c>
      <c r="C3662" s="196">
        <v>-737000</v>
      </c>
      <c r="D3662" s="196">
        <v>0</v>
      </c>
      <c r="E3662" s="196">
        <v>0</v>
      </c>
      <c r="F3662" s="196">
        <v>0</v>
      </c>
      <c r="G3662" s="196">
        <v>-737000</v>
      </c>
    </row>
    <row r="3663" spans="1:7" x14ac:dyDescent="0.3">
      <c r="A3663" s="198">
        <v>39310209</v>
      </c>
      <c r="B3663" s="192" t="s">
        <v>123</v>
      </c>
      <c r="C3663" s="196">
        <v>-29700</v>
      </c>
      <c r="D3663" s="196">
        <v>0</v>
      </c>
      <c r="E3663" s="196">
        <v>0</v>
      </c>
      <c r="F3663" s="196">
        <v>0</v>
      </c>
      <c r="G3663" s="196">
        <v>-29700</v>
      </c>
    </row>
    <row r="3664" spans="1:7" x14ac:dyDescent="0.3">
      <c r="A3664" s="198">
        <v>1037238811</v>
      </c>
      <c r="B3664" s="192" t="s">
        <v>2395</v>
      </c>
      <c r="C3664" s="196">
        <v>-10000</v>
      </c>
      <c r="D3664" s="196">
        <v>0</v>
      </c>
      <c r="E3664" s="196">
        <v>0</v>
      </c>
      <c r="F3664" s="196">
        <v>0</v>
      </c>
      <c r="G3664" s="196">
        <v>-10000</v>
      </c>
    </row>
    <row r="3665" spans="1:7" x14ac:dyDescent="0.3">
      <c r="A3665" s="198">
        <v>32447962</v>
      </c>
      <c r="B3665" s="192" t="s">
        <v>727</v>
      </c>
      <c r="C3665" s="196">
        <v>-3370000</v>
      </c>
      <c r="D3665" s="196">
        <v>3370000</v>
      </c>
      <c r="E3665" s="196">
        <v>0</v>
      </c>
      <c r="F3665" s="196">
        <v>3370000</v>
      </c>
      <c r="G3665" s="196">
        <v>0</v>
      </c>
    </row>
    <row r="3666" spans="1:7" x14ac:dyDescent="0.3">
      <c r="A3666" s="198">
        <v>1001016812</v>
      </c>
      <c r="B3666" s="192" t="s">
        <v>740</v>
      </c>
      <c r="C3666" s="196">
        <v>-3993000</v>
      </c>
      <c r="D3666" s="196">
        <v>3993000</v>
      </c>
      <c r="E3666" s="196">
        <v>0</v>
      </c>
      <c r="F3666" s="196">
        <v>3993000</v>
      </c>
      <c r="G3666" s="196">
        <v>0</v>
      </c>
    </row>
    <row r="3667" spans="1:7" x14ac:dyDescent="0.3">
      <c r="A3667" s="198">
        <v>1128281149</v>
      </c>
      <c r="B3667" s="192" t="s">
        <v>2396</v>
      </c>
      <c r="C3667" s="196">
        <v>-145000</v>
      </c>
      <c r="D3667" s="196">
        <v>0</v>
      </c>
      <c r="E3667" s="196">
        <v>0</v>
      </c>
      <c r="F3667" s="196">
        <v>0</v>
      </c>
      <c r="G3667" s="196">
        <v>-145000</v>
      </c>
    </row>
    <row r="3668" spans="1:7" x14ac:dyDescent="0.3">
      <c r="A3668" s="198">
        <v>39698892</v>
      </c>
      <c r="B3668" s="192" t="s">
        <v>2397</v>
      </c>
      <c r="C3668" s="196">
        <v>-608500</v>
      </c>
      <c r="D3668" s="196">
        <v>0</v>
      </c>
      <c r="E3668" s="196">
        <v>0</v>
      </c>
      <c r="F3668" s="196">
        <v>0</v>
      </c>
      <c r="G3668" s="196">
        <v>-608500</v>
      </c>
    </row>
    <row r="3669" spans="1:7" x14ac:dyDescent="0.3">
      <c r="A3669" s="198">
        <v>7771800</v>
      </c>
      <c r="B3669" s="192" t="s">
        <v>752</v>
      </c>
      <c r="C3669" s="196">
        <v>-2000000</v>
      </c>
      <c r="D3669" s="196">
        <v>2000000</v>
      </c>
      <c r="E3669" s="196">
        <v>0</v>
      </c>
      <c r="F3669" s="196">
        <v>2000000</v>
      </c>
      <c r="G3669" s="196">
        <v>0</v>
      </c>
    </row>
    <row r="3670" spans="1:7" x14ac:dyDescent="0.3">
      <c r="A3670" s="198">
        <v>43879485</v>
      </c>
      <c r="B3670" s="192" t="s">
        <v>2398</v>
      </c>
      <c r="C3670" s="196">
        <v>-45500</v>
      </c>
      <c r="D3670" s="196">
        <v>0</v>
      </c>
      <c r="E3670" s="196">
        <v>0</v>
      </c>
      <c r="F3670" s="196">
        <v>0</v>
      </c>
      <c r="G3670" s="196">
        <v>-45500</v>
      </c>
    </row>
    <row r="3671" spans="1:7" x14ac:dyDescent="0.3">
      <c r="A3671" s="198">
        <v>1035004138</v>
      </c>
      <c r="B3671" s="192" t="s">
        <v>780</v>
      </c>
      <c r="C3671" s="196">
        <v>-50900</v>
      </c>
      <c r="D3671" s="196">
        <v>50900</v>
      </c>
      <c r="E3671" s="196">
        <v>0</v>
      </c>
      <c r="F3671" s="196">
        <v>50900</v>
      </c>
      <c r="G3671" s="196">
        <v>0</v>
      </c>
    </row>
    <row r="3672" spans="1:7" x14ac:dyDescent="0.3">
      <c r="A3672" s="192" t="s">
        <v>2399</v>
      </c>
      <c r="B3672" s="192" t="s">
        <v>2400</v>
      </c>
      <c r="C3672" s="196">
        <v>-1900000</v>
      </c>
      <c r="D3672" s="196">
        <v>0</v>
      </c>
      <c r="E3672" s="196">
        <v>0</v>
      </c>
      <c r="F3672" s="196">
        <v>0</v>
      </c>
      <c r="G3672" s="196">
        <v>-1900000</v>
      </c>
    </row>
    <row r="3673" spans="1:7" x14ac:dyDescent="0.3">
      <c r="A3673" s="198">
        <v>8300029</v>
      </c>
      <c r="B3673" s="192" t="s">
        <v>2401</v>
      </c>
      <c r="C3673" s="196">
        <v>-3200</v>
      </c>
      <c r="D3673" s="196">
        <v>0</v>
      </c>
      <c r="E3673" s="196">
        <v>0</v>
      </c>
      <c r="F3673" s="196">
        <v>0</v>
      </c>
      <c r="G3673" s="196">
        <v>-3200</v>
      </c>
    </row>
    <row r="3674" spans="1:7" x14ac:dyDescent="0.3">
      <c r="A3674" s="198">
        <v>43260938</v>
      </c>
      <c r="B3674" s="192" t="s">
        <v>2402</v>
      </c>
      <c r="C3674" s="196">
        <v>-3100</v>
      </c>
      <c r="D3674" s="196">
        <v>0</v>
      </c>
      <c r="E3674" s="196">
        <v>0</v>
      </c>
      <c r="F3674" s="196">
        <v>0</v>
      </c>
      <c r="G3674" s="196">
        <v>-3100</v>
      </c>
    </row>
    <row r="3675" spans="1:7" x14ac:dyDescent="0.3">
      <c r="A3675" s="198">
        <v>661249721</v>
      </c>
      <c r="B3675" s="192" t="s">
        <v>809</v>
      </c>
      <c r="C3675" s="196">
        <v>-2190000</v>
      </c>
      <c r="D3675" s="196">
        <v>2190000</v>
      </c>
      <c r="E3675" s="196">
        <v>0</v>
      </c>
      <c r="F3675" s="196">
        <v>2190000</v>
      </c>
      <c r="G3675" s="196">
        <v>0</v>
      </c>
    </row>
    <row r="3676" spans="1:7" x14ac:dyDescent="0.3">
      <c r="A3676" s="198">
        <v>45764892</v>
      </c>
      <c r="B3676" s="192" t="s">
        <v>815</v>
      </c>
      <c r="C3676" s="196">
        <v>-10000000</v>
      </c>
      <c r="D3676" s="196">
        <v>10000000</v>
      </c>
      <c r="E3676" s="196">
        <v>0</v>
      </c>
      <c r="F3676" s="196">
        <v>10000000</v>
      </c>
      <c r="G3676" s="196">
        <v>0</v>
      </c>
    </row>
    <row r="3677" spans="1:7" x14ac:dyDescent="0.3">
      <c r="A3677" s="198">
        <v>71527531</v>
      </c>
      <c r="B3677" s="192" t="s">
        <v>124</v>
      </c>
      <c r="C3677" s="196">
        <v>-3193500</v>
      </c>
      <c r="D3677" s="196">
        <v>0</v>
      </c>
      <c r="E3677" s="196">
        <v>0</v>
      </c>
      <c r="F3677" s="196">
        <v>0</v>
      </c>
      <c r="G3677" s="196">
        <v>-3193500</v>
      </c>
    </row>
    <row r="3678" spans="1:7" x14ac:dyDescent="0.3">
      <c r="A3678" s="198">
        <v>1010076257</v>
      </c>
      <c r="B3678" s="192" t="s">
        <v>816</v>
      </c>
      <c r="C3678" s="196">
        <v>-964200</v>
      </c>
      <c r="D3678" s="196">
        <v>964200</v>
      </c>
      <c r="E3678" s="196">
        <v>0</v>
      </c>
      <c r="F3678" s="196">
        <v>964200</v>
      </c>
      <c r="G3678" s="196">
        <v>0</v>
      </c>
    </row>
    <row r="3679" spans="1:7" x14ac:dyDescent="0.3">
      <c r="A3679" s="198">
        <v>70557708</v>
      </c>
      <c r="B3679" s="192" t="s">
        <v>818</v>
      </c>
      <c r="C3679" s="196">
        <v>0</v>
      </c>
      <c r="D3679" s="196">
        <v>0</v>
      </c>
      <c r="E3679" s="196">
        <v>1153500</v>
      </c>
      <c r="F3679" s="196">
        <v>-1153500</v>
      </c>
      <c r="G3679" s="196">
        <v>-1153500</v>
      </c>
    </row>
    <row r="3680" spans="1:7" x14ac:dyDescent="0.3">
      <c r="A3680" s="198">
        <v>71758337</v>
      </c>
      <c r="B3680" s="192" t="s">
        <v>825</v>
      </c>
      <c r="C3680" s="196">
        <v>-11138000</v>
      </c>
      <c r="D3680" s="196">
        <v>11138000</v>
      </c>
      <c r="E3680" s="196">
        <v>0</v>
      </c>
      <c r="F3680" s="196">
        <v>11138000</v>
      </c>
      <c r="G3680" s="196">
        <v>0</v>
      </c>
    </row>
    <row r="3681" spans="1:7" x14ac:dyDescent="0.3">
      <c r="A3681" s="198">
        <v>71694698</v>
      </c>
      <c r="B3681" s="192" t="s">
        <v>828</v>
      </c>
      <c r="C3681" s="196">
        <v>-5000000</v>
      </c>
      <c r="D3681" s="196">
        <v>5000000</v>
      </c>
      <c r="E3681" s="196">
        <v>0</v>
      </c>
      <c r="F3681" s="196">
        <v>5000000</v>
      </c>
      <c r="G3681" s="196">
        <v>0</v>
      </c>
    </row>
    <row r="3682" spans="1:7" x14ac:dyDescent="0.3">
      <c r="A3682" s="198">
        <v>1015068924</v>
      </c>
      <c r="B3682" s="192" t="s">
        <v>2403</v>
      </c>
      <c r="C3682" s="196">
        <v>-1737900</v>
      </c>
      <c r="D3682" s="196">
        <v>0</v>
      </c>
      <c r="E3682" s="196">
        <v>0</v>
      </c>
      <c r="F3682" s="196">
        <v>0</v>
      </c>
      <c r="G3682" s="196">
        <v>-1737900</v>
      </c>
    </row>
    <row r="3683" spans="1:7" x14ac:dyDescent="0.3">
      <c r="A3683" s="192" t="s">
        <v>2404</v>
      </c>
      <c r="B3683" s="192" t="s">
        <v>2405</v>
      </c>
      <c r="C3683" s="196">
        <v>-1000000</v>
      </c>
      <c r="D3683" s="196">
        <v>0</v>
      </c>
      <c r="E3683" s="196">
        <v>0</v>
      </c>
      <c r="F3683" s="196">
        <v>0</v>
      </c>
      <c r="G3683" s="196">
        <v>-1000000</v>
      </c>
    </row>
    <row r="3684" spans="1:7" x14ac:dyDescent="0.3">
      <c r="A3684" s="198">
        <v>1035911057</v>
      </c>
      <c r="B3684" s="192" t="s">
        <v>869</v>
      </c>
      <c r="C3684" s="196">
        <v>-3827000</v>
      </c>
      <c r="D3684" s="196">
        <v>3827000</v>
      </c>
      <c r="E3684" s="196">
        <v>0</v>
      </c>
      <c r="F3684" s="196">
        <v>3827000</v>
      </c>
      <c r="G3684" s="196">
        <v>0</v>
      </c>
    </row>
    <row r="3685" spans="1:7" x14ac:dyDescent="0.3">
      <c r="A3685" s="198">
        <v>1088300941</v>
      </c>
      <c r="B3685" s="192" t="s">
        <v>889</v>
      </c>
      <c r="C3685" s="196">
        <v>0</v>
      </c>
      <c r="D3685" s="196">
        <v>0</v>
      </c>
      <c r="E3685" s="196">
        <v>1500000</v>
      </c>
      <c r="F3685" s="196">
        <v>-1500000</v>
      </c>
      <c r="G3685" s="196">
        <v>-1500000</v>
      </c>
    </row>
    <row r="3686" spans="1:7" x14ac:dyDescent="0.3">
      <c r="A3686" s="198">
        <v>1075669820</v>
      </c>
      <c r="B3686" s="192" t="s">
        <v>2406</v>
      </c>
      <c r="C3686" s="196">
        <v>-7000000</v>
      </c>
      <c r="D3686" s="196">
        <v>0</v>
      </c>
      <c r="E3686" s="196">
        <v>0</v>
      </c>
      <c r="F3686" s="196">
        <v>0</v>
      </c>
      <c r="G3686" s="196">
        <v>-7000000</v>
      </c>
    </row>
    <row r="3687" spans="1:7" x14ac:dyDescent="0.3">
      <c r="A3687" s="198">
        <v>1020305203</v>
      </c>
      <c r="B3687" s="192" t="s">
        <v>916</v>
      </c>
      <c r="C3687" s="196">
        <v>-3500000</v>
      </c>
      <c r="D3687" s="196">
        <v>3500000</v>
      </c>
      <c r="E3687" s="196">
        <v>0</v>
      </c>
      <c r="F3687" s="196">
        <v>3500000</v>
      </c>
      <c r="G3687" s="196">
        <v>0</v>
      </c>
    </row>
    <row r="3688" spans="1:7" x14ac:dyDescent="0.3">
      <c r="A3688" s="198">
        <v>1128436312</v>
      </c>
      <c r="B3688" s="192" t="s">
        <v>2407</v>
      </c>
      <c r="C3688" s="196">
        <v>-1100000</v>
      </c>
      <c r="D3688" s="196">
        <v>0</v>
      </c>
      <c r="E3688" s="196">
        <v>0</v>
      </c>
      <c r="F3688" s="196">
        <v>0</v>
      </c>
      <c r="G3688" s="196">
        <v>-1100000</v>
      </c>
    </row>
    <row r="3689" spans="1:7" x14ac:dyDescent="0.3">
      <c r="A3689" s="198">
        <v>1018255824</v>
      </c>
      <c r="B3689" s="192" t="s">
        <v>928</v>
      </c>
      <c r="C3689" s="196">
        <v>-7820300</v>
      </c>
      <c r="D3689" s="196">
        <v>0</v>
      </c>
      <c r="E3689" s="196">
        <v>0</v>
      </c>
      <c r="F3689" s="196">
        <v>0</v>
      </c>
      <c r="G3689" s="196">
        <v>-7820300</v>
      </c>
    </row>
    <row r="3690" spans="1:7" x14ac:dyDescent="0.3">
      <c r="A3690" s="198">
        <v>1053845171</v>
      </c>
      <c r="B3690" s="192" t="s">
        <v>2408</v>
      </c>
      <c r="C3690" s="196">
        <v>-47400</v>
      </c>
      <c r="D3690" s="196">
        <v>0</v>
      </c>
      <c r="E3690" s="196">
        <v>0</v>
      </c>
      <c r="F3690" s="196">
        <v>0</v>
      </c>
      <c r="G3690" s="196">
        <v>-47400</v>
      </c>
    </row>
    <row r="3691" spans="1:7" x14ac:dyDescent="0.3">
      <c r="A3691" s="198">
        <v>1152456259</v>
      </c>
      <c r="B3691" s="192" t="s">
        <v>966</v>
      </c>
      <c r="C3691" s="196">
        <v>-2700000</v>
      </c>
      <c r="D3691" s="196">
        <v>2700000</v>
      </c>
      <c r="E3691" s="196">
        <v>0</v>
      </c>
      <c r="F3691" s="196">
        <v>2700000</v>
      </c>
      <c r="G3691" s="196">
        <v>0</v>
      </c>
    </row>
    <row r="3692" spans="1:7" x14ac:dyDescent="0.3">
      <c r="A3692" s="198">
        <v>1094887145</v>
      </c>
      <c r="B3692" s="192" t="s">
        <v>968</v>
      </c>
      <c r="C3692" s="196">
        <v>0</v>
      </c>
      <c r="D3692" s="196">
        <v>0</v>
      </c>
      <c r="E3692" s="196">
        <v>1500000</v>
      </c>
      <c r="F3692" s="196">
        <v>-1500000</v>
      </c>
      <c r="G3692" s="196">
        <v>-1500000</v>
      </c>
    </row>
    <row r="3693" spans="1:7" x14ac:dyDescent="0.3">
      <c r="A3693" s="198">
        <v>1128455563</v>
      </c>
      <c r="B3693" s="192" t="s">
        <v>992</v>
      </c>
      <c r="C3693" s="196">
        <v>0</v>
      </c>
      <c r="D3693" s="196">
        <v>1500000</v>
      </c>
      <c r="E3693" s="196">
        <v>1500000</v>
      </c>
      <c r="F3693" s="196">
        <v>0</v>
      </c>
      <c r="G3693" s="196">
        <v>0</v>
      </c>
    </row>
    <row r="3694" spans="1:7" x14ac:dyDescent="0.3">
      <c r="A3694" s="198">
        <v>71622125</v>
      </c>
      <c r="B3694" s="192" t="s">
        <v>2409</v>
      </c>
      <c r="C3694" s="196">
        <v>-4191800</v>
      </c>
      <c r="D3694" s="196">
        <v>0</v>
      </c>
      <c r="E3694" s="196">
        <v>0</v>
      </c>
      <c r="F3694" s="196">
        <v>0</v>
      </c>
      <c r="G3694" s="196">
        <v>-4191800</v>
      </c>
    </row>
    <row r="3695" spans="1:7" x14ac:dyDescent="0.3">
      <c r="A3695" s="198">
        <v>1040043490</v>
      </c>
      <c r="B3695" s="192" t="s">
        <v>2410</v>
      </c>
      <c r="C3695" s="196">
        <v>-1821000</v>
      </c>
      <c r="D3695" s="196">
        <v>0</v>
      </c>
      <c r="E3695" s="196">
        <v>0</v>
      </c>
      <c r="F3695" s="196">
        <v>0</v>
      </c>
      <c r="G3695" s="196">
        <v>-1821000</v>
      </c>
    </row>
    <row r="3696" spans="1:7" x14ac:dyDescent="0.3">
      <c r="A3696" s="198">
        <v>72186793</v>
      </c>
      <c r="B3696" s="192" t="s">
        <v>2411</v>
      </c>
      <c r="C3696" s="196">
        <v>-12309000</v>
      </c>
      <c r="D3696" s="196">
        <v>0</v>
      </c>
      <c r="E3696" s="196">
        <v>0</v>
      </c>
      <c r="F3696" s="196">
        <v>0</v>
      </c>
      <c r="G3696" s="196">
        <v>-12309000</v>
      </c>
    </row>
    <row r="3697" spans="1:7" x14ac:dyDescent="0.3">
      <c r="A3697" s="198">
        <v>71786318</v>
      </c>
      <c r="B3697" s="192" t="s">
        <v>2412</v>
      </c>
      <c r="C3697" s="196">
        <v>-5667250</v>
      </c>
      <c r="D3697" s="196">
        <v>0</v>
      </c>
      <c r="E3697" s="196">
        <v>0</v>
      </c>
      <c r="F3697" s="196">
        <v>0</v>
      </c>
      <c r="G3697" s="196">
        <v>-5667250</v>
      </c>
    </row>
    <row r="3698" spans="1:7" x14ac:dyDescent="0.3">
      <c r="A3698" s="198">
        <v>12973190</v>
      </c>
      <c r="B3698" s="192" t="s">
        <v>1029</v>
      </c>
      <c r="C3698" s="196">
        <v>-3818000</v>
      </c>
      <c r="D3698" s="196">
        <v>3818000</v>
      </c>
      <c r="E3698" s="196">
        <v>0</v>
      </c>
      <c r="F3698" s="196">
        <v>3818000</v>
      </c>
      <c r="G3698" s="196">
        <v>0</v>
      </c>
    </row>
    <row r="3699" spans="1:7" x14ac:dyDescent="0.3">
      <c r="A3699" s="198">
        <v>43200205</v>
      </c>
      <c r="B3699" s="192" t="s">
        <v>2413</v>
      </c>
      <c r="C3699" s="196">
        <v>-3514200</v>
      </c>
      <c r="D3699" s="196">
        <v>3514200</v>
      </c>
      <c r="E3699" s="196">
        <v>0</v>
      </c>
      <c r="F3699" s="196">
        <v>3514200</v>
      </c>
      <c r="G3699" s="196">
        <v>0</v>
      </c>
    </row>
    <row r="3700" spans="1:7" x14ac:dyDescent="0.3">
      <c r="A3700" s="198">
        <v>1026140853</v>
      </c>
      <c r="B3700" s="192" t="s">
        <v>1039</v>
      </c>
      <c r="C3700" s="196">
        <v>0</v>
      </c>
      <c r="D3700" s="196">
        <v>0</v>
      </c>
      <c r="E3700" s="196">
        <v>1500000</v>
      </c>
      <c r="F3700" s="196">
        <v>-1500000</v>
      </c>
      <c r="G3700" s="196">
        <v>-1500000</v>
      </c>
    </row>
    <row r="3701" spans="1:7" x14ac:dyDescent="0.3">
      <c r="A3701" s="198">
        <v>42763646</v>
      </c>
      <c r="B3701" s="192" t="s">
        <v>2414</v>
      </c>
      <c r="C3701" s="196">
        <v>-4311999</v>
      </c>
      <c r="D3701" s="196">
        <v>0</v>
      </c>
      <c r="E3701" s="196">
        <v>0</v>
      </c>
      <c r="F3701" s="196">
        <v>0</v>
      </c>
      <c r="G3701" s="196">
        <v>-4311999</v>
      </c>
    </row>
    <row r="3702" spans="1:7" x14ac:dyDescent="0.3">
      <c r="A3702" s="198">
        <v>42899001</v>
      </c>
      <c r="B3702" s="192" t="s">
        <v>1053</v>
      </c>
      <c r="C3702" s="196">
        <v>-8000000</v>
      </c>
      <c r="D3702" s="196">
        <v>8000000</v>
      </c>
      <c r="E3702" s="196">
        <v>0</v>
      </c>
      <c r="F3702" s="196">
        <v>8000000</v>
      </c>
      <c r="G3702" s="196">
        <v>0</v>
      </c>
    </row>
    <row r="3703" spans="1:7" x14ac:dyDescent="0.3">
      <c r="A3703" s="198">
        <v>21839395</v>
      </c>
      <c r="B3703" s="192" t="s">
        <v>2415</v>
      </c>
      <c r="C3703" s="196">
        <v>-54000</v>
      </c>
      <c r="D3703" s="196">
        <v>0</v>
      </c>
      <c r="E3703" s="196">
        <v>0</v>
      </c>
      <c r="F3703" s="196">
        <v>0</v>
      </c>
      <c r="G3703" s="196">
        <v>-54000</v>
      </c>
    </row>
    <row r="3704" spans="1:7" x14ac:dyDescent="0.3">
      <c r="A3704" s="198">
        <v>39185235</v>
      </c>
      <c r="B3704" s="192" t="s">
        <v>2416</v>
      </c>
      <c r="C3704" s="196">
        <v>-3565000</v>
      </c>
      <c r="D3704" s="196">
        <v>0</v>
      </c>
      <c r="E3704" s="196">
        <v>0</v>
      </c>
      <c r="F3704" s="196">
        <v>0</v>
      </c>
      <c r="G3704" s="196">
        <v>-3565000</v>
      </c>
    </row>
    <row r="3705" spans="1:7" x14ac:dyDescent="0.3">
      <c r="A3705" s="198">
        <v>1003286661</v>
      </c>
      <c r="B3705" s="192" t="s">
        <v>1067</v>
      </c>
      <c r="C3705" s="196">
        <v>-3622500</v>
      </c>
      <c r="D3705" s="196">
        <v>3622500</v>
      </c>
      <c r="E3705" s="196">
        <v>0</v>
      </c>
      <c r="F3705" s="196">
        <v>3622500</v>
      </c>
      <c r="G3705" s="196">
        <v>0</v>
      </c>
    </row>
    <row r="3706" spans="1:7" x14ac:dyDescent="0.3">
      <c r="A3706" s="198">
        <v>42901095</v>
      </c>
      <c r="B3706" s="192" t="s">
        <v>1069</v>
      </c>
      <c r="C3706" s="196">
        <v>-6184000</v>
      </c>
      <c r="D3706" s="196">
        <v>6184000</v>
      </c>
      <c r="E3706" s="196">
        <v>0</v>
      </c>
      <c r="F3706" s="196">
        <v>6184000</v>
      </c>
      <c r="G3706" s="196">
        <v>0</v>
      </c>
    </row>
    <row r="3707" spans="1:7" x14ac:dyDescent="0.3">
      <c r="A3707" s="198">
        <v>1038540158</v>
      </c>
      <c r="B3707" s="192" t="s">
        <v>1074</v>
      </c>
      <c r="C3707" s="196">
        <v>-1500000</v>
      </c>
      <c r="D3707" s="196">
        <v>1500000</v>
      </c>
      <c r="E3707" s="196">
        <v>0</v>
      </c>
      <c r="F3707" s="196">
        <v>1500000</v>
      </c>
      <c r="G3707" s="196">
        <v>0</v>
      </c>
    </row>
    <row r="3708" spans="1:7" x14ac:dyDescent="0.3">
      <c r="A3708" s="198">
        <v>43867582</v>
      </c>
      <c r="B3708" s="192" t="s">
        <v>2417</v>
      </c>
      <c r="C3708" s="196">
        <v>-2250000</v>
      </c>
      <c r="D3708" s="196">
        <v>0</v>
      </c>
      <c r="E3708" s="196">
        <v>0</v>
      </c>
      <c r="F3708" s="196">
        <v>0</v>
      </c>
      <c r="G3708" s="196">
        <v>-2250000</v>
      </c>
    </row>
    <row r="3709" spans="1:7" x14ac:dyDescent="0.3">
      <c r="A3709" s="198">
        <v>1036644422</v>
      </c>
      <c r="B3709" s="192" t="s">
        <v>1083</v>
      </c>
      <c r="C3709" s="196">
        <v>0</v>
      </c>
      <c r="D3709" s="196">
        <v>0</v>
      </c>
      <c r="E3709" s="196">
        <v>4570000</v>
      </c>
      <c r="F3709" s="196">
        <v>-4570000</v>
      </c>
      <c r="G3709" s="196">
        <v>-4570000</v>
      </c>
    </row>
    <row r="3710" spans="1:7" x14ac:dyDescent="0.3">
      <c r="A3710" s="198">
        <v>510546671</v>
      </c>
      <c r="B3710" s="192" t="s">
        <v>2418</v>
      </c>
      <c r="C3710" s="196">
        <v>-50900</v>
      </c>
      <c r="D3710" s="196">
        <v>0</v>
      </c>
      <c r="E3710" s="196">
        <v>0</v>
      </c>
      <c r="F3710" s="196">
        <v>0</v>
      </c>
      <c r="G3710" s="196">
        <v>-50900</v>
      </c>
    </row>
    <row r="3711" spans="1:7" x14ac:dyDescent="0.3">
      <c r="A3711" s="198">
        <v>21823524</v>
      </c>
      <c r="B3711" s="192" t="s">
        <v>2419</v>
      </c>
      <c r="C3711" s="196">
        <v>-40600</v>
      </c>
      <c r="D3711" s="196">
        <v>0</v>
      </c>
      <c r="E3711" s="196">
        <v>0</v>
      </c>
      <c r="F3711" s="196">
        <v>0</v>
      </c>
      <c r="G3711" s="196">
        <v>-40600</v>
      </c>
    </row>
    <row r="3712" spans="1:7" x14ac:dyDescent="0.3">
      <c r="A3712" s="198">
        <v>1001420013</v>
      </c>
      <c r="B3712" s="192" t="s">
        <v>1116</v>
      </c>
      <c r="C3712" s="196">
        <v>-23227000</v>
      </c>
      <c r="D3712" s="196">
        <v>23227000</v>
      </c>
      <c r="E3712" s="196">
        <v>0</v>
      </c>
      <c r="F3712" s="196">
        <v>23227000</v>
      </c>
      <c r="G3712" s="196">
        <v>0</v>
      </c>
    </row>
    <row r="3713" spans="1:7" x14ac:dyDescent="0.3">
      <c r="A3713" s="198">
        <v>1035432939</v>
      </c>
      <c r="B3713" s="192" t="s">
        <v>2420</v>
      </c>
      <c r="C3713" s="196">
        <v>-3649800</v>
      </c>
      <c r="D3713" s="196">
        <v>0</v>
      </c>
      <c r="E3713" s="196">
        <v>0</v>
      </c>
      <c r="F3713" s="196">
        <v>0</v>
      </c>
      <c r="G3713" s="196">
        <v>-3649800</v>
      </c>
    </row>
    <row r="3714" spans="1:7" x14ac:dyDescent="0.3">
      <c r="A3714" s="198">
        <v>23196136</v>
      </c>
      <c r="B3714" s="192" t="s">
        <v>1128</v>
      </c>
      <c r="C3714" s="196">
        <v>-110650</v>
      </c>
      <c r="D3714" s="196">
        <v>110650</v>
      </c>
      <c r="E3714" s="196">
        <v>0</v>
      </c>
      <c r="F3714" s="196">
        <v>110650</v>
      </c>
      <c r="G3714" s="196">
        <v>0</v>
      </c>
    </row>
    <row r="3715" spans="1:7" x14ac:dyDescent="0.3">
      <c r="A3715" s="198">
        <v>51570259</v>
      </c>
      <c r="B3715" s="192" t="s">
        <v>1143</v>
      </c>
      <c r="C3715" s="196">
        <v>-788000</v>
      </c>
      <c r="D3715" s="196">
        <v>788000</v>
      </c>
      <c r="E3715" s="196">
        <v>0</v>
      </c>
      <c r="F3715" s="196">
        <v>788000</v>
      </c>
      <c r="G3715" s="196">
        <v>0</v>
      </c>
    </row>
    <row r="3716" spans="1:7" x14ac:dyDescent="0.3">
      <c r="A3716" s="198">
        <v>1035009957</v>
      </c>
      <c r="B3716" s="192" t="s">
        <v>2421</v>
      </c>
      <c r="C3716" s="196">
        <v>-50000</v>
      </c>
      <c r="D3716" s="196">
        <v>0</v>
      </c>
      <c r="E3716" s="196">
        <v>0</v>
      </c>
      <c r="F3716" s="196">
        <v>0</v>
      </c>
      <c r="G3716" s="196">
        <v>-50000</v>
      </c>
    </row>
    <row r="3717" spans="1:7" x14ac:dyDescent="0.3">
      <c r="A3717" s="198">
        <v>32472190</v>
      </c>
      <c r="B3717" s="192" t="s">
        <v>2422</v>
      </c>
      <c r="C3717" s="196">
        <v>-50000</v>
      </c>
      <c r="D3717" s="196">
        <v>0</v>
      </c>
      <c r="E3717" s="196">
        <v>0</v>
      </c>
      <c r="F3717" s="196">
        <v>0</v>
      </c>
      <c r="G3717" s="196">
        <v>-50000</v>
      </c>
    </row>
    <row r="3718" spans="1:7" x14ac:dyDescent="0.3">
      <c r="A3718" s="198">
        <v>1041631315</v>
      </c>
      <c r="B3718" s="192" t="s">
        <v>2423</v>
      </c>
      <c r="C3718" s="196">
        <v>-47400</v>
      </c>
      <c r="D3718" s="196">
        <v>0</v>
      </c>
      <c r="E3718" s="196">
        <v>0</v>
      </c>
      <c r="F3718" s="196">
        <v>0</v>
      </c>
      <c r="G3718" s="196">
        <v>-47400</v>
      </c>
    </row>
    <row r="3719" spans="1:7" x14ac:dyDescent="0.3">
      <c r="A3719" s="198">
        <v>1095843402</v>
      </c>
      <c r="B3719" s="192" t="s">
        <v>1160</v>
      </c>
      <c r="C3719" s="196">
        <v>-500000</v>
      </c>
      <c r="D3719" s="196">
        <v>0</v>
      </c>
      <c r="E3719" s="196">
        <v>0</v>
      </c>
      <c r="F3719" s="196">
        <v>0</v>
      </c>
      <c r="G3719" s="196">
        <v>-500000</v>
      </c>
    </row>
    <row r="3720" spans="1:7" x14ac:dyDescent="0.3">
      <c r="A3720" s="198">
        <v>32349785</v>
      </c>
      <c r="B3720" s="192" t="s">
        <v>2424</v>
      </c>
      <c r="C3720" s="196">
        <v>-1625000</v>
      </c>
      <c r="D3720" s="196">
        <v>0</v>
      </c>
      <c r="E3720" s="196">
        <v>0</v>
      </c>
      <c r="F3720" s="196">
        <v>0</v>
      </c>
      <c r="G3720" s="196">
        <v>-1625000</v>
      </c>
    </row>
    <row r="3721" spans="1:7" x14ac:dyDescent="0.3">
      <c r="A3721" s="198">
        <v>42882239</v>
      </c>
      <c r="B3721" s="192" t="s">
        <v>1168</v>
      </c>
      <c r="C3721" s="196">
        <v>0</v>
      </c>
      <c r="D3721" s="196">
        <v>0</v>
      </c>
      <c r="E3721" s="196">
        <v>22000</v>
      </c>
      <c r="F3721" s="196">
        <v>-22000</v>
      </c>
      <c r="G3721" s="196">
        <v>-22000</v>
      </c>
    </row>
    <row r="3722" spans="1:7" x14ac:dyDescent="0.3">
      <c r="A3722" s="198">
        <v>37195874</v>
      </c>
      <c r="B3722" s="192" t="s">
        <v>2425</v>
      </c>
      <c r="C3722" s="196">
        <v>-2000000</v>
      </c>
      <c r="D3722" s="196">
        <v>0</v>
      </c>
      <c r="E3722" s="196">
        <v>0</v>
      </c>
      <c r="F3722" s="196">
        <v>0</v>
      </c>
      <c r="G3722" s="196">
        <v>-2000000</v>
      </c>
    </row>
    <row r="3723" spans="1:7" x14ac:dyDescent="0.3">
      <c r="A3723" s="198">
        <v>32522672</v>
      </c>
      <c r="B3723" s="192" t="s">
        <v>1179</v>
      </c>
      <c r="C3723" s="196">
        <v>-5065600</v>
      </c>
      <c r="D3723" s="196">
        <v>5065600</v>
      </c>
      <c r="E3723" s="196">
        <v>0</v>
      </c>
      <c r="F3723" s="196">
        <v>5065600</v>
      </c>
      <c r="G3723" s="196">
        <v>0</v>
      </c>
    </row>
    <row r="3724" spans="1:7" x14ac:dyDescent="0.3">
      <c r="A3724" s="198">
        <v>42881494</v>
      </c>
      <c r="B3724" s="192" t="s">
        <v>2426</v>
      </c>
      <c r="C3724" s="196">
        <v>-3500000</v>
      </c>
      <c r="D3724" s="196">
        <v>0</v>
      </c>
      <c r="E3724" s="196">
        <v>0</v>
      </c>
      <c r="F3724" s="196">
        <v>0</v>
      </c>
      <c r="G3724" s="196">
        <v>-3500000</v>
      </c>
    </row>
    <row r="3725" spans="1:7" x14ac:dyDescent="0.3">
      <c r="A3725" s="198">
        <v>42967780</v>
      </c>
      <c r="B3725" s="192" t="s">
        <v>1184</v>
      </c>
      <c r="C3725" s="196">
        <v>-1511400</v>
      </c>
      <c r="D3725" s="196">
        <v>1511400</v>
      </c>
      <c r="E3725" s="196">
        <v>0</v>
      </c>
      <c r="F3725" s="196">
        <v>1511400</v>
      </c>
      <c r="G3725" s="196">
        <v>0</v>
      </c>
    </row>
    <row r="3726" spans="1:7" x14ac:dyDescent="0.3">
      <c r="A3726" s="198">
        <v>43634940</v>
      </c>
      <c r="B3726" s="192" t="s">
        <v>1187</v>
      </c>
      <c r="C3726" s="196">
        <v>-3500000</v>
      </c>
      <c r="D3726" s="196">
        <v>3500000</v>
      </c>
      <c r="E3726" s="196">
        <v>0</v>
      </c>
      <c r="F3726" s="196">
        <v>3500000</v>
      </c>
      <c r="G3726" s="196">
        <v>0</v>
      </c>
    </row>
    <row r="3727" spans="1:7" x14ac:dyDescent="0.3">
      <c r="A3727" s="198">
        <v>1038406632</v>
      </c>
      <c r="B3727" s="192" t="s">
        <v>1188</v>
      </c>
      <c r="C3727" s="196">
        <v>-2155000</v>
      </c>
      <c r="D3727" s="196">
        <v>2155000</v>
      </c>
      <c r="E3727" s="196">
        <v>0</v>
      </c>
      <c r="F3727" s="196">
        <v>2155000</v>
      </c>
      <c r="G3727" s="196">
        <v>0</v>
      </c>
    </row>
    <row r="3728" spans="1:7" x14ac:dyDescent="0.3">
      <c r="A3728" s="198">
        <v>1038421680</v>
      </c>
      <c r="B3728" s="192" t="s">
        <v>1197</v>
      </c>
      <c r="C3728" s="196">
        <v>0</v>
      </c>
      <c r="D3728" s="196">
        <v>0</v>
      </c>
      <c r="E3728" s="196">
        <v>21950</v>
      </c>
      <c r="F3728" s="196">
        <v>-21950</v>
      </c>
      <c r="G3728" s="196">
        <v>-21950</v>
      </c>
    </row>
    <row r="3729" spans="1:7" x14ac:dyDescent="0.3">
      <c r="A3729" s="198">
        <v>1041230599</v>
      </c>
      <c r="B3729" s="192" t="s">
        <v>2427</v>
      </c>
      <c r="C3729" s="196">
        <v>-3800000</v>
      </c>
      <c r="D3729" s="196">
        <v>0</v>
      </c>
      <c r="E3729" s="196">
        <v>0</v>
      </c>
      <c r="F3729" s="196">
        <v>0</v>
      </c>
      <c r="G3729" s="196">
        <v>-3800000</v>
      </c>
    </row>
    <row r="3730" spans="1:7" x14ac:dyDescent="0.3">
      <c r="A3730" s="192" t="s">
        <v>1209</v>
      </c>
      <c r="B3730" s="192" t="s">
        <v>1210</v>
      </c>
      <c r="C3730" s="196">
        <v>-1396000</v>
      </c>
      <c r="D3730" s="196">
        <v>1396000</v>
      </c>
      <c r="E3730" s="196">
        <v>0</v>
      </c>
      <c r="F3730" s="196">
        <v>1396000</v>
      </c>
      <c r="G3730" s="196">
        <v>0</v>
      </c>
    </row>
    <row r="3731" spans="1:7" x14ac:dyDescent="0.3">
      <c r="A3731" s="198">
        <v>8166929</v>
      </c>
      <c r="B3731" s="192" t="s">
        <v>2428</v>
      </c>
      <c r="C3731" s="196">
        <v>-1240000</v>
      </c>
      <c r="D3731" s="196">
        <v>0</v>
      </c>
      <c r="E3731" s="196">
        <v>0</v>
      </c>
      <c r="F3731" s="196">
        <v>0</v>
      </c>
      <c r="G3731" s="196">
        <v>-1240000</v>
      </c>
    </row>
    <row r="3732" spans="1:7" x14ac:dyDescent="0.3">
      <c r="A3732" s="198">
        <v>1035021061</v>
      </c>
      <c r="B3732" s="192" t="s">
        <v>1241</v>
      </c>
      <c r="C3732" s="196">
        <v>-99500</v>
      </c>
      <c r="D3732" s="196">
        <v>0</v>
      </c>
      <c r="E3732" s="196">
        <v>0</v>
      </c>
      <c r="F3732" s="196">
        <v>0</v>
      </c>
      <c r="G3732" s="196">
        <v>-99500</v>
      </c>
    </row>
    <row r="3733" spans="1:7" x14ac:dyDescent="0.3">
      <c r="A3733" s="198">
        <v>79681020</v>
      </c>
      <c r="B3733" s="192" t="s">
        <v>2429</v>
      </c>
      <c r="C3733" s="196">
        <v>-8890000</v>
      </c>
      <c r="D3733" s="196">
        <v>0</v>
      </c>
      <c r="E3733" s="196">
        <v>0</v>
      </c>
      <c r="F3733" s="196">
        <v>0</v>
      </c>
      <c r="G3733" s="196">
        <v>-8890000</v>
      </c>
    </row>
    <row r="3734" spans="1:7" x14ac:dyDescent="0.3">
      <c r="A3734" s="192" t="s">
        <v>1256</v>
      </c>
      <c r="B3734" s="192" t="s">
        <v>1257</v>
      </c>
      <c r="C3734" s="196">
        <v>-7900000</v>
      </c>
      <c r="D3734" s="196">
        <v>7900000</v>
      </c>
      <c r="E3734" s="196">
        <v>0</v>
      </c>
      <c r="F3734" s="196">
        <v>7900000</v>
      </c>
      <c r="G3734" s="196">
        <v>0</v>
      </c>
    </row>
    <row r="3735" spans="1:7" x14ac:dyDescent="0.3">
      <c r="A3735" s="198">
        <v>1085898476</v>
      </c>
      <c r="B3735" s="192" t="s">
        <v>2430</v>
      </c>
      <c r="C3735" s="196">
        <v>-2619000</v>
      </c>
      <c r="D3735" s="196">
        <v>0</v>
      </c>
      <c r="E3735" s="196">
        <v>0</v>
      </c>
      <c r="F3735" s="196">
        <v>0</v>
      </c>
      <c r="G3735" s="196">
        <v>-2619000</v>
      </c>
    </row>
    <row r="3736" spans="1:7" x14ac:dyDescent="0.3">
      <c r="A3736" s="198">
        <v>1001741281</v>
      </c>
      <c r="B3736" s="192" t="s">
        <v>2431</v>
      </c>
      <c r="C3736" s="196">
        <v>-280000</v>
      </c>
      <c r="D3736" s="196">
        <v>0</v>
      </c>
      <c r="E3736" s="196">
        <v>0</v>
      </c>
      <c r="F3736" s="196">
        <v>0</v>
      </c>
      <c r="G3736" s="196">
        <v>-280000</v>
      </c>
    </row>
    <row r="3737" spans="1:7" x14ac:dyDescent="0.3">
      <c r="A3737" s="198">
        <v>900178724</v>
      </c>
      <c r="B3737" s="192" t="s">
        <v>1259</v>
      </c>
      <c r="C3737" s="196">
        <v>-4633632</v>
      </c>
      <c r="D3737" s="196">
        <v>0</v>
      </c>
      <c r="E3737" s="196">
        <v>0</v>
      </c>
      <c r="F3737" s="196">
        <v>0</v>
      </c>
      <c r="G3737" s="196">
        <v>-4633632</v>
      </c>
    </row>
    <row r="3738" spans="1:7" x14ac:dyDescent="0.3">
      <c r="A3738" s="198">
        <v>1214732908</v>
      </c>
      <c r="B3738" s="192" t="s">
        <v>1263</v>
      </c>
      <c r="C3738" s="196">
        <v>-148500</v>
      </c>
      <c r="D3738" s="196">
        <v>148500</v>
      </c>
      <c r="E3738" s="196">
        <v>0</v>
      </c>
      <c r="F3738" s="196">
        <v>148500</v>
      </c>
      <c r="G3738" s="196">
        <v>0</v>
      </c>
    </row>
    <row r="3739" spans="1:7" x14ac:dyDescent="0.3">
      <c r="A3739" s="198">
        <v>1077469089</v>
      </c>
      <c r="B3739" s="192" t="s">
        <v>1265</v>
      </c>
      <c r="C3739" s="196">
        <v>-2900000</v>
      </c>
      <c r="D3739" s="196">
        <v>2900000</v>
      </c>
      <c r="E3739" s="196">
        <v>0</v>
      </c>
      <c r="F3739" s="196">
        <v>2900000</v>
      </c>
      <c r="G3739" s="196">
        <v>0</v>
      </c>
    </row>
    <row r="3740" spans="1:7" x14ac:dyDescent="0.3">
      <c r="A3740" s="192" t="s">
        <v>1266</v>
      </c>
      <c r="B3740" s="192" t="s">
        <v>1267</v>
      </c>
      <c r="C3740" s="196">
        <v>-1500000</v>
      </c>
      <c r="D3740" s="196">
        <v>1500000</v>
      </c>
      <c r="E3740" s="196">
        <v>0</v>
      </c>
      <c r="F3740" s="196">
        <v>1500000</v>
      </c>
      <c r="G3740" s="196">
        <v>0</v>
      </c>
    </row>
    <row r="3741" spans="1:7" x14ac:dyDescent="0.3">
      <c r="A3741" s="198">
        <v>1127941794</v>
      </c>
      <c r="B3741" s="192" t="s">
        <v>1274</v>
      </c>
      <c r="C3741" s="196">
        <v>0.49</v>
      </c>
      <c r="D3741" s="196">
        <v>0</v>
      </c>
      <c r="E3741" s="196">
        <v>0</v>
      </c>
      <c r="F3741" s="196">
        <v>0</v>
      </c>
      <c r="G3741" s="196">
        <v>0.49</v>
      </c>
    </row>
    <row r="3742" spans="1:7" x14ac:dyDescent="0.3">
      <c r="A3742" s="192" t="s">
        <v>2432</v>
      </c>
      <c r="B3742" s="192" t="s">
        <v>2433</v>
      </c>
      <c r="C3742" s="196">
        <v>-10000</v>
      </c>
      <c r="D3742" s="196">
        <v>0</v>
      </c>
      <c r="E3742" s="196">
        <v>0</v>
      </c>
      <c r="F3742" s="196">
        <v>0</v>
      </c>
      <c r="G3742" s="196">
        <v>-10000</v>
      </c>
    </row>
    <row r="3743" spans="1:7" x14ac:dyDescent="0.3">
      <c r="A3743" s="198">
        <v>66776407</v>
      </c>
      <c r="B3743" s="192" t="s">
        <v>1286</v>
      </c>
      <c r="C3743" s="196">
        <v>-5911100</v>
      </c>
      <c r="D3743" s="196">
        <v>0</v>
      </c>
      <c r="E3743" s="196">
        <v>0</v>
      </c>
      <c r="F3743" s="196">
        <v>0</v>
      </c>
      <c r="G3743" s="196">
        <v>-5911100</v>
      </c>
    </row>
    <row r="3744" spans="1:7" x14ac:dyDescent="0.3">
      <c r="A3744" s="198">
        <v>43831780</v>
      </c>
      <c r="B3744" s="192" t="s">
        <v>2434</v>
      </c>
      <c r="C3744" s="196">
        <v>-49800</v>
      </c>
      <c r="D3744" s="196">
        <v>0</v>
      </c>
      <c r="E3744" s="196">
        <v>0</v>
      </c>
      <c r="F3744" s="196">
        <v>0</v>
      </c>
      <c r="G3744" s="196">
        <v>-49800</v>
      </c>
    </row>
    <row r="3745" spans="1:7" x14ac:dyDescent="0.3">
      <c r="A3745" s="198">
        <v>1037607033</v>
      </c>
      <c r="B3745" s="192" t="s">
        <v>1657</v>
      </c>
      <c r="C3745" s="196">
        <v>-43400</v>
      </c>
      <c r="D3745" s="196">
        <v>0</v>
      </c>
      <c r="E3745" s="196">
        <v>0</v>
      </c>
      <c r="F3745" s="196">
        <v>0</v>
      </c>
      <c r="G3745" s="196">
        <v>-43400</v>
      </c>
    </row>
    <row r="3746" spans="1:7" x14ac:dyDescent="0.3">
      <c r="A3746" s="198">
        <v>42961175</v>
      </c>
      <c r="B3746" s="192" t="s">
        <v>2435</v>
      </c>
      <c r="C3746" s="196">
        <v>-4309200</v>
      </c>
      <c r="D3746" s="196">
        <v>4309200</v>
      </c>
      <c r="E3746" s="196">
        <v>0</v>
      </c>
      <c r="F3746" s="196">
        <v>4309200</v>
      </c>
      <c r="G3746" s="196">
        <v>0</v>
      </c>
    </row>
    <row r="3747" spans="1:7" x14ac:dyDescent="0.3">
      <c r="A3747" s="198">
        <v>1099205849</v>
      </c>
      <c r="B3747" s="192" t="s">
        <v>1313</v>
      </c>
      <c r="C3747" s="196">
        <v>-3500999</v>
      </c>
      <c r="D3747" s="196">
        <v>3500999</v>
      </c>
      <c r="E3747" s="196">
        <v>0</v>
      </c>
      <c r="F3747" s="196">
        <v>3500999</v>
      </c>
      <c r="G3747" s="196">
        <v>0</v>
      </c>
    </row>
    <row r="3748" spans="1:7" x14ac:dyDescent="0.3">
      <c r="A3748" s="198">
        <v>1037664289</v>
      </c>
      <c r="B3748" s="192" t="s">
        <v>2436</v>
      </c>
      <c r="C3748" s="196">
        <v>-24000</v>
      </c>
      <c r="D3748" s="196">
        <v>0</v>
      </c>
      <c r="E3748" s="196">
        <v>0</v>
      </c>
      <c r="F3748" s="196">
        <v>0</v>
      </c>
      <c r="G3748" s="196">
        <v>-24000</v>
      </c>
    </row>
    <row r="3749" spans="1:7" x14ac:dyDescent="0.3">
      <c r="A3749" s="198">
        <v>21943456</v>
      </c>
      <c r="B3749" s="192" t="s">
        <v>1332</v>
      </c>
      <c r="C3749" s="196">
        <v>0</v>
      </c>
      <c r="D3749" s="196">
        <v>5776200</v>
      </c>
      <c r="E3749" s="196">
        <v>5776200</v>
      </c>
      <c r="F3749" s="196">
        <v>0</v>
      </c>
      <c r="G3749" s="196">
        <v>0</v>
      </c>
    </row>
    <row r="3750" spans="1:7" x14ac:dyDescent="0.3">
      <c r="A3750" s="192" t="s">
        <v>1366</v>
      </c>
      <c r="B3750" s="192" t="s">
        <v>1367</v>
      </c>
      <c r="C3750" s="196">
        <v>-550000</v>
      </c>
      <c r="D3750" s="196">
        <v>550000</v>
      </c>
      <c r="E3750" s="196">
        <v>0</v>
      </c>
      <c r="F3750" s="196">
        <v>550000</v>
      </c>
      <c r="G3750" s="196">
        <v>0</v>
      </c>
    </row>
    <row r="3751" spans="1:7" x14ac:dyDescent="0.3">
      <c r="A3751" s="198">
        <v>42825703</v>
      </c>
      <c r="B3751" s="192" t="s">
        <v>1368</v>
      </c>
      <c r="C3751" s="196">
        <v>-1393000</v>
      </c>
      <c r="D3751" s="196">
        <v>1393000</v>
      </c>
      <c r="E3751" s="196">
        <v>0</v>
      </c>
      <c r="F3751" s="196">
        <v>1393000</v>
      </c>
      <c r="G3751" s="196">
        <v>0</v>
      </c>
    </row>
    <row r="3752" spans="1:7" x14ac:dyDescent="0.3">
      <c r="A3752" s="198">
        <v>1121944959</v>
      </c>
      <c r="B3752" s="192" t="s">
        <v>2437</v>
      </c>
      <c r="C3752" s="196">
        <v>-1887800</v>
      </c>
      <c r="D3752" s="196">
        <v>0</v>
      </c>
      <c r="E3752" s="196">
        <v>0</v>
      </c>
      <c r="F3752" s="196">
        <v>0</v>
      </c>
      <c r="G3752" s="196">
        <v>-1887800</v>
      </c>
    </row>
    <row r="3753" spans="1:7" x14ac:dyDescent="0.3">
      <c r="A3753" s="198">
        <v>24297943</v>
      </c>
      <c r="B3753" s="192" t="s">
        <v>1410</v>
      </c>
      <c r="C3753" s="196">
        <v>-400000</v>
      </c>
      <c r="D3753" s="196">
        <v>223330</v>
      </c>
      <c r="E3753" s="196">
        <v>0</v>
      </c>
      <c r="F3753" s="196">
        <v>223330</v>
      </c>
      <c r="G3753" s="196">
        <v>-176670</v>
      </c>
    </row>
    <row r="3754" spans="1:7" x14ac:dyDescent="0.3">
      <c r="A3754" s="198">
        <v>52160394</v>
      </c>
      <c r="B3754" s="192" t="s">
        <v>1411</v>
      </c>
      <c r="C3754" s="196">
        <v>-319000</v>
      </c>
      <c r="D3754" s="196">
        <v>319000</v>
      </c>
      <c r="E3754" s="196">
        <v>0</v>
      </c>
      <c r="F3754" s="196">
        <v>319000</v>
      </c>
      <c r="G3754" s="196">
        <v>0</v>
      </c>
    </row>
    <row r="3755" spans="1:7" x14ac:dyDescent="0.3">
      <c r="A3755" s="198">
        <v>999311979</v>
      </c>
      <c r="B3755" s="192" t="s">
        <v>1419</v>
      </c>
      <c r="C3755" s="196">
        <v>-3849800</v>
      </c>
      <c r="D3755" s="196">
        <v>3849800</v>
      </c>
      <c r="E3755" s="196">
        <v>0</v>
      </c>
      <c r="F3755" s="196">
        <v>3849800</v>
      </c>
      <c r="G3755" s="196">
        <v>0</v>
      </c>
    </row>
    <row r="3756" spans="1:7" x14ac:dyDescent="0.3">
      <c r="A3756" s="198">
        <v>1020327504</v>
      </c>
      <c r="B3756" s="192" t="s">
        <v>2438</v>
      </c>
      <c r="C3756" s="196">
        <v>-1000</v>
      </c>
      <c r="D3756" s="196">
        <v>0</v>
      </c>
      <c r="E3756" s="196">
        <v>0</v>
      </c>
      <c r="F3756" s="196">
        <v>0</v>
      </c>
      <c r="G3756" s="196">
        <v>-1000</v>
      </c>
    </row>
    <row r="3757" spans="1:7" x14ac:dyDescent="0.3">
      <c r="A3757" s="198">
        <v>1007118138</v>
      </c>
      <c r="B3757" s="192" t="s">
        <v>1447</v>
      </c>
      <c r="C3757" s="196">
        <v>-3590000</v>
      </c>
      <c r="D3757" s="196">
        <v>3590000</v>
      </c>
      <c r="E3757" s="196">
        <v>0</v>
      </c>
      <c r="F3757" s="196">
        <v>3590000</v>
      </c>
      <c r="G3757" s="196">
        <v>0</v>
      </c>
    </row>
    <row r="3758" spans="1:7" x14ac:dyDescent="0.3">
      <c r="A3758" s="198">
        <v>1036786021</v>
      </c>
      <c r="B3758" s="192" t="s">
        <v>1464</v>
      </c>
      <c r="C3758" s="196">
        <v>-4000000</v>
      </c>
      <c r="D3758" s="196">
        <v>4000000</v>
      </c>
      <c r="E3758" s="196">
        <v>0</v>
      </c>
      <c r="F3758" s="196">
        <v>4000000</v>
      </c>
      <c r="G3758" s="196">
        <v>0</v>
      </c>
    </row>
    <row r="3759" spans="1:7" x14ac:dyDescent="0.3">
      <c r="A3759" s="198">
        <v>860503617</v>
      </c>
      <c r="B3759" s="192" t="s">
        <v>1668</v>
      </c>
      <c r="C3759" s="196">
        <v>-764100</v>
      </c>
      <c r="D3759" s="196">
        <v>0</v>
      </c>
      <c r="E3759" s="196">
        <v>0</v>
      </c>
      <c r="F3759" s="196">
        <v>0</v>
      </c>
      <c r="G3759" s="196">
        <v>-764100</v>
      </c>
    </row>
    <row r="3760" spans="1:7" x14ac:dyDescent="0.3">
      <c r="A3760" s="198">
        <v>890903790</v>
      </c>
      <c r="B3760" s="192" t="s">
        <v>1466</v>
      </c>
      <c r="C3760" s="196">
        <v>100629.03</v>
      </c>
      <c r="D3760" s="196">
        <v>0</v>
      </c>
      <c r="E3760" s="196">
        <v>0</v>
      </c>
      <c r="F3760" s="196">
        <v>0</v>
      </c>
      <c r="G3760" s="196">
        <v>100629.03</v>
      </c>
    </row>
    <row r="3761" spans="1:7" x14ac:dyDescent="0.3">
      <c r="A3761" s="192" t="s">
        <v>2439</v>
      </c>
      <c r="B3761" s="192" t="s">
        <v>2440</v>
      </c>
      <c r="C3761" s="196">
        <v>-409000</v>
      </c>
      <c r="D3761" s="196">
        <v>0</v>
      </c>
      <c r="E3761" s="196">
        <v>0</v>
      </c>
      <c r="F3761" s="196">
        <v>0</v>
      </c>
      <c r="G3761" s="196">
        <v>-409000</v>
      </c>
    </row>
    <row r="3762" spans="1:7" x14ac:dyDescent="0.3">
      <c r="A3762" s="198">
        <v>1152472229</v>
      </c>
      <c r="B3762" s="192" t="s">
        <v>1489</v>
      </c>
      <c r="C3762" s="196">
        <v>-6115000</v>
      </c>
      <c r="D3762" s="196">
        <v>6115000</v>
      </c>
      <c r="E3762" s="196">
        <v>0</v>
      </c>
      <c r="F3762" s="196">
        <v>6115000</v>
      </c>
      <c r="G3762" s="196">
        <v>0</v>
      </c>
    </row>
    <row r="3763" spans="1:7" x14ac:dyDescent="0.3">
      <c r="A3763" s="192" t="s">
        <v>1495</v>
      </c>
      <c r="B3763" s="192" t="s">
        <v>1496</v>
      </c>
      <c r="C3763" s="196">
        <v>-409000</v>
      </c>
      <c r="D3763" s="196">
        <v>0</v>
      </c>
      <c r="E3763" s="196">
        <v>0</v>
      </c>
      <c r="F3763" s="196">
        <v>0</v>
      </c>
      <c r="G3763" s="196">
        <v>-409000</v>
      </c>
    </row>
    <row r="3764" spans="1:7" x14ac:dyDescent="0.3">
      <c r="A3764" s="192" t="s">
        <v>1504</v>
      </c>
      <c r="B3764" s="192" t="s">
        <v>1505</v>
      </c>
      <c r="C3764" s="196">
        <v>-3000000</v>
      </c>
      <c r="D3764" s="196">
        <v>3000000</v>
      </c>
      <c r="E3764" s="196">
        <v>0</v>
      </c>
      <c r="F3764" s="196">
        <v>3000000</v>
      </c>
      <c r="G3764" s="196">
        <v>0</v>
      </c>
    </row>
    <row r="3765" spans="1:7" x14ac:dyDescent="0.3">
      <c r="A3765" s="198">
        <v>1017265018</v>
      </c>
      <c r="B3765" s="192" t="s">
        <v>1512</v>
      </c>
      <c r="C3765" s="196">
        <v>-600000</v>
      </c>
      <c r="D3765" s="196">
        <v>600000</v>
      </c>
      <c r="E3765" s="196">
        <v>0</v>
      </c>
      <c r="F3765" s="196">
        <v>600000</v>
      </c>
      <c r="G3765" s="196">
        <v>0</v>
      </c>
    </row>
    <row r="3766" spans="1:7" x14ac:dyDescent="0.3">
      <c r="A3766" s="198">
        <v>1214735806</v>
      </c>
      <c r="B3766" s="192" t="s">
        <v>1542</v>
      </c>
      <c r="C3766" s="196">
        <v>0</v>
      </c>
      <c r="D3766" s="196">
        <v>0</v>
      </c>
      <c r="E3766" s="196">
        <v>1500000</v>
      </c>
      <c r="F3766" s="196">
        <v>-1500000</v>
      </c>
      <c r="G3766" s="196">
        <v>-1500000</v>
      </c>
    </row>
    <row r="3767" spans="1:7" x14ac:dyDescent="0.3">
      <c r="A3767" s="198">
        <v>1067944550</v>
      </c>
      <c r="B3767" s="192" t="s">
        <v>2441</v>
      </c>
      <c r="C3767" s="196">
        <v>-1887800</v>
      </c>
      <c r="D3767" s="196">
        <v>0</v>
      </c>
      <c r="E3767" s="196">
        <v>0</v>
      </c>
      <c r="F3767" s="196">
        <v>0</v>
      </c>
      <c r="G3767" s="196">
        <v>-1887800</v>
      </c>
    </row>
    <row r="3768" spans="1:7" x14ac:dyDescent="0.3">
      <c r="A3768" s="198">
        <v>43220215</v>
      </c>
      <c r="B3768" s="192" t="s">
        <v>1555</v>
      </c>
      <c r="C3768" s="196">
        <v>-4852000</v>
      </c>
      <c r="D3768" s="196">
        <v>4852000</v>
      </c>
      <c r="E3768" s="196">
        <v>0</v>
      </c>
      <c r="F3768" s="196">
        <v>4852000</v>
      </c>
      <c r="G3768" s="196">
        <v>0</v>
      </c>
    </row>
    <row r="3769" spans="1:7" x14ac:dyDescent="0.3">
      <c r="A3769" s="198">
        <v>1036942370</v>
      </c>
      <c r="B3769" s="192" t="s">
        <v>2442</v>
      </c>
      <c r="C3769" s="196">
        <v>-1336000</v>
      </c>
      <c r="D3769" s="196">
        <v>0</v>
      </c>
      <c r="E3769" s="196">
        <v>0</v>
      </c>
      <c r="F3769" s="196">
        <v>0</v>
      </c>
      <c r="G3769" s="196">
        <v>-1336000</v>
      </c>
    </row>
    <row r="3770" spans="1:7" x14ac:dyDescent="0.3">
      <c r="A3770" s="198">
        <v>1038101569</v>
      </c>
      <c r="B3770" s="192" t="s">
        <v>1564</v>
      </c>
      <c r="C3770" s="196">
        <v>-4046000</v>
      </c>
      <c r="D3770" s="196">
        <v>4046000</v>
      </c>
      <c r="E3770" s="196">
        <v>0</v>
      </c>
      <c r="F3770" s="196">
        <v>4046000</v>
      </c>
      <c r="G3770" s="196">
        <v>0</v>
      </c>
    </row>
    <row r="3771" spans="1:7" x14ac:dyDescent="0.3">
      <c r="A3771" s="198">
        <v>1152467312</v>
      </c>
      <c r="B3771" s="192" t="s">
        <v>2443</v>
      </c>
      <c r="C3771" s="196">
        <v>-1164400</v>
      </c>
      <c r="D3771" s="196">
        <v>1164400</v>
      </c>
      <c r="E3771" s="196">
        <v>0</v>
      </c>
      <c r="F3771" s="196">
        <v>1164400</v>
      </c>
      <c r="G3771" s="196">
        <v>0</v>
      </c>
    </row>
    <row r="3772" spans="1:7" x14ac:dyDescent="0.3">
      <c r="A3772" s="198">
        <v>1017270884</v>
      </c>
      <c r="B3772" s="192" t="s">
        <v>1580</v>
      </c>
      <c r="C3772" s="196">
        <v>0</v>
      </c>
      <c r="D3772" s="196">
        <v>0</v>
      </c>
      <c r="E3772" s="196">
        <v>2500000</v>
      </c>
      <c r="F3772" s="196">
        <v>-2500000</v>
      </c>
      <c r="G3772" s="196">
        <v>-2500000</v>
      </c>
    </row>
    <row r="3773" spans="1:7" x14ac:dyDescent="0.3">
      <c r="A3773" s="198">
        <v>1121825664</v>
      </c>
      <c r="B3773" s="192" t="s">
        <v>1584</v>
      </c>
      <c r="C3773" s="196">
        <v>-4000000</v>
      </c>
      <c r="D3773" s="196">
        <v>4000000</v>
      </c>
      <c r="E3773" s="196">
        <v>0</v>
      </c>
      <c r="F3773" s="196">
        <v>4000000</v>
      </c>
      <c r="G3773" s="196">
        <v>0</v>
      </c>
    </row>
    <row r="3774" spans="1:7" x14ac:dyDescent="0.3">
      <c r="A3774" s="197">
        <v>2840</v>
      </c>
      <c r="B3774" s="191" t="s">
        <v>2444</v>
      </c>
      <c r="C3774" s="195">
        <v>-490000080</v>
      </c>
      <c r="D3774" s="195">
        <v>0</v>
      </c>
      <c r="E3774" s="195">
        <v>0</v>
      </c>
      <c r="F3774" s="195">
        <v>0</v>
      </c>
      <c r="G3774" s="195">
        <v>-490000080</v>
      </c>
    </row>
    <row r="3775" spans="1:7" x14ac:dyDescent="0.3">
      <c r="A3775" s="197">
        <v>284005</v>
      </c>
      <c r="B3775" s="191" t="s">
        <v>2444</v>
      </c>
      <c r="C3775" s="195">
        <v>-490000080</v>
      </c>
      <c r="D3775" s="195">
        <v>0</v>
      </c>
      <c r="E3775" s="195">
        <v>0</v>
      </c>
      <c r="F3775" s="195">
        <v>0</v>
      </c>
      <c r="G3775" s="195">
        <v>-490000080</v>
      </c>
    </row>
    <row r="3776" spans="1:7" x14ac:dyDescent="0.3">
      <c r="A3776" s="198">
        <v>28400501</v>
      </c>
      <c r="B3776" s="192" t="s">
        <v>2445</v>
      </c>
      <c r="C3776" s="196">
        <v>-490000080</v>
      </c>
      <c r="D3776" s="196">
        <v>0</v>
      </c>
      <c r="E3776" s="196">
        <v>0</v>
      </c>
      <c r="F3776" s="196">
        <v>0</v>
      </c>
      <c r="G3776" s="196">
        <v>-490000080</v>
      </c>
    </row>
    <row r="3777" spans="1:7" x14ac:dyDescent="0.3">
      <c r="A3777" s="198">
        <v>901630573</v>
      </c>
      <c r="B3777" s="192" t="s">
        <v>107</v>
      </c>
      <c r="C3777" s="196">
        <v>-490000080</v>
      </c>
      <c r="D3777" s="196">
        <v>0</v>
      </c>
      <c r="E3777" s="196">
        <v>0</v>
      </c>
      <c r="F3777" s="196">
        <v>0</v>
      </c>
      <c r="G3777" s="196">
        <v>-490000080</v>
      </c>
    </row>
    <row r="3778" spans="1:7" x14ac:dyDescent="0.3">
      <c r="A3778" s="197">
        <v>29</v>
      </c>
      <c r="B3778" s="191" t="s">
        <v>1826</v>
      </c>
      <c r="C3778" s="195">
        <v>-80203562</v>
      </c>
      <c r="D3778" s="195">
        <v>0</v>
      </c>
      <c r="E3778" s="195">
        <v>0</v>
      </c>
      <c r="F3778" s="195">
        <v>0</v>
      </c>
      <c r="G3778" s="195">
        <v>-80203562</v>
      </c>
    </row>
    <row r="3779" spans="1:7" x14ac:dyDescent="0.3">
      <c r="A3779" s="197">
        <v>2915</v>
      </c>
      <c r="B3779" s="191" t="s">
        <v>2446</v>
      </c>
      <c r="C3779" s="195">
        <v>-80203562</v>
      </c>
      <c r="D3779" s="195">
        <v>0</v>
      </c>
      <c r="E3779" s="195">
        <v>0</v>
      </c>
      <c r="F3779" s="195">
        <v>0</v>
      </c>
      <c r="G3779" s="195">
        <v>-80203562</v>
      </c>
    </row>
    <row r="3780" spans="1:7" x14ac:dyDescent="0.3">
      <c r="A3780" s="198">
        <v>291505</v>
      </c>
      <c r="B3780" s="192" t="s">
        <v>2447</v>
      </c>
      <c r="C3780" s="196">
        <v>-80203562</v>
      </c>
      <c r="D3780" s="196">
        <v>0</v>
      </c>
      <c r="E3780" s="196">
        <v>0</v>
      </c>
      <c r="F3780" s="196">
        <v>0</v>
      </c>
      <c r="G3780" s="196">
        <v>-80203562</v>
      </c>
    </row>
    <row r="3781" spans="1:7" x14ac:dyDescent="0.3">
      <c r="A3781" s="198">
        <v>900755062</v>
      </c>
      <c r="B3781" s="192" t="s">
        <v>1700</v>
      </c>
      <c r="C3781" s="196">
        <v>-80203562</v>
      </c>
      <c r="D3781" s="196">
        <v>0</v>
      </c>
      <c r="E3781" s="196">
        <v>0</v>
      </c>
      <c r="F3781" s="196">
        <v>0</v>
      </c>
      <c r="G3781" s="196">
        <v>-80203562</v>
      </c>
    </row>
    <row r="3782" spans="1:7" x14ac:dyDescent="0.3">
      <c r="A3782" s="197">
        <v>3</v>
      </c>
      <c r="B3782" s="191" t="s">
        <v>2448</v>
      </c>
      <c r="C3782" s="195">
        <v>-6237353713.7799997</v>
      </c>
      <c r="D3782" s="195">
        <v>0</v>
      </c>
      <c r="E3782" s="195">
        <v>0</v>
      </c>
      <c r="F3782" s="195">
        <v>0</v>
      </c>
      <c r="G3782" s="195">
        <v>-6237353713.7799997</v>
      </c>
    </row>
    <row r="3783" spans="1:7" x14ac:dyDescent="0.3">
      <c r="A3783" s="197">
        <v>31</v>
      </c>
      <c r="B3783" s="191" t="s">
        <v>2449</v>
      </c>
      <c r="C3783" s="195">
        <v>-5115500000</v>
      </c>
      <c r="D3783" s="195">
        <v>0</v>
      </c>
      <c r="E3783" s="195">
        <v>0</v>
      </c>
      <c r="F3783" s="195">
        <v>0</v>
      </c>
      <c r="G3783" s="195">
        <v>-5115500000</v>
      </c>
    </row>
    <row r="3784" spans="1:7" x14ac:dyDescent="0.3">
      <c r="A3784" s="197">
        <v>3105</v>
      </c>
      <c r="B3784" s="191" t="s">
        <v>2450</v>
      </c>
      <c r="C3784" s="195">
        <v>-1200500000</v>
      </c>
      <c r="D3784" s="195">
        <v>0</v>
      </c>
      <c r="E3784" s="195">
        <v>0</v>
      </c>
      <c r="F3784" s="195">
        <v>0</v>
      </c>
      <c r="G3784" s="195">
        <v>-1200500000</v>
      </c>
    </row>
    <row r="3785" spans="1:7" x14ac:dyDescent="0.3">
      <c r="A3785" s="197">
        <v>310505</v>
      </c>
      <c r="B3785" s="191" t="s">
        <v>2451</v>
      </c>
      <c r="C3785" s="195">
        <v>-1200500000</v>
      </c>
      <c r="D3785" s="195">
        <v>0</v>
      </c>
      <c r="E3785" s="195">
        <v>0</v>
      </c>
      <c r="F3785" s="195">
        <v>0</v>
      </c>
      <c r="G3785" s="195">
        <v>-1200500000</v>
      </c>
    </row>
    <row r="3786" spans="1:7" x14ac:dyDescent="0.3">
      <c r="A3786" s="198">
        <v>31050501</v>
      </c>
      <c r="B3786" s="192" t="s">
        <v>2451</v>
      </c>
      <c r="C3786" s="196">
        <v>-1600000000</v>
      </c>
      <c r="D3786" s="196">
        <v>0</v>
      </c>
      <c r="E3786" s="196">
        <v>0</v>
      </c>
      <c r="F3786" s="196">
        <v>0</v>
      </c>
      <c r="G3786" s="196">
        <v>-1600000000</v>
      </c>
    </row>
    <row r="3787" spans="1:7" x14ac:dyDescent="0.3">
      <c r="A3787" s="198">
        <v>900755062</v>
      </c>
      <c r="B3787" s="192" t="s">
        <v>1700</v>
      </c>
      <c r="C3787" s="196">
        <v>-1600000000</v>
      </c>
      <c r="D3787" s="196">
        <v>0</v>
      </c>
      <c r="E3787" s="196">
        <v>0</v>
      </c>
      <c r="F3787" s="196">
        <v>0</v>
      </c>
      <c r="G3787" s="196">
        <v>-1600000000</v>
      </c>
    </row>
    <row r="3788" spans="1:7" x14ac:dyDescent="0.3">
      <c r="A3788" s="198">
        <v>31050510</v>
      </c>
      <c r="B3788" s="192" t="s">
        <v>2452</v>
      </c>
      <c r="C3788" s="196">
        <v>399500000</v>
      </c>
      <c r="D3788" s="196">
        <v>0</v>
      </c>
      <c r="E3788" s="196">
        <v>0</v>
      </c>
      <c r="F3788" s="196">
        <v>0</v>
      </c>
      <c r="G3788" s="196">
        <v>399500000</v>
      </c>
    </row>
    <row r="3789" spans="1:7" x14ac:dyDescent="0.3">
      <c r="A3789" s="197">
        <v>3115</v>
      </c>
      <c r="B3789" s="191" t="s">
        <v>2453</v>
      </c>
      <c r="C3789" s="195">
        <v>-3915000000</v>
      </c>
      <c r="D3789" s="195">
        <v>0</v>
      </c>
      <c r="E3789" s="195">
        <v>0</v>
      </c>
      <c r="F3789" s="195">
        <v>0</v>
      </c>
      <c r="G3789" s="195">
        <v>-3915000000</v>
      </c>
    </row>
    <row r="3790" spans="1:7" x14ac:dyDescent="0.3">
      <c r="A3790" s="197">
        <v>311510</v>
      </c>
      <c r="B3790" s="191" t="s">
        <v>2454</v>
      </c>
      <c r="C3790" s="195">
        <v>-3915000000</v>
      </c>
      <c r="D3790" s="195">
        <v>0</v>
      </c>
      <c r="E3790" s="195">
        <v>0</v>
      </c>
      <c r="F3790" s="195">
        <v>0</v>
      </c>
      <c r="G3790" s="195">
        <v>-3915000000</v>
      </c>
    </row>
    <row r="3791" spans="1:7" x14ac:dyDescent="0.3">
      <c r="A3791" s="198">
        <v>31151001</v>
      </c>
      <c r="B3791" s="192" t="s">
        <v>2455</v>
      </c>
      <c r="C3791" s="196">
        <v>-3915000000</v>
      </c>
      <c r="D3791" s="196">
        <v>0</v>
      </c>
      <c r="E3791" s="196">
        <v>0</v>
      </c>
      <c r="F3791" s="196">
        <v>0</v>
      </c>
      <c r="G3791" s="196">
        <v>-3915000000</v>
      </c>
    </row>
    <row r="3792" spans="1:7" x14ac:dyDescent="0.3">
      <c r="A3792" s="198">
        <v>900755062</v>
      </c>
      <c r="B3792" s="192" t="s">
        <v>1700</v>
      </c>
      <c r="C3792" s="196">
        <v>-3915000000</v>
      </c>
      <c r="D3792" s="196">
        <v>0</v>
      </c>
      <c r="E3792" s="196">
        <v>0</v>
      </c>
      <c r="F3792" s="196">
        <v>0</v>
      </c>
      <c r="G3792" s="196">
        <v>-3915000000</v>
      </c>
    </row>
    <row r="3793" spans="1:7" x14ac:dyDescent="0.3">
      <c r="A3793" s="197">
        <v>32</v>
      </c>
      <c r="B3793" s="191" t="s">
        <v>2456</v>
      </c>
      <c r="C3793" s="195">
        <v>-388784717.97000003</v>
      </c>
      <c r="D3793" s="195">
        <v>0</v>
      </c>
      <c r="E3793" s="195">
        <v>0</v>
      </c>
      <c r="F3793" s="195">
        <v>0</v>
      </c>
      <c r="G3793" s="195">
        <v>-388784717.97000003</v>
      </c>
    </row>
    <row r="3794" spans="1:7" x14ac:dyDescent="0.3">
      <c r="A3794" s="197">
        <v>3205</v>
      </c>
      <c r="B3794" s="191" t="s">
        <v>2457</v>
      </c>
      <c r="C3794" s="195">
        <v>-388784717.97000003</v>
      </c>
      <c r="D3794" s="195">
        <v>0</v>
      </c>
      <c r="E3794" s="195">
        <v>0</v>
      </c>
      <c r="F3794" s="195">
        <v>0</v>
      </c>
      <c r="G3794" s="195">
        <v>-388784717.97000003</v>
      </c>
    </row>
    <row r="3795" spans="1:7" x14ac:dyDescent="0.3">
      <c r="A3795" s="197">
        <v>320505</v>
      </c>
      <c r="B3795" s="191" t="s">
        <v>2457</v>
      </c>
      <c r="C3795" s="195">
        <v>-388784717.97000003</v>
      </c>
      <c r="D3795" s="195">
        <v>0</v>
      </c>
      <c r="E3795" s="195">
        <v>0</v>
      </c>
      <c r="F3795" s="195">
        <v>0</v>
      </c>
      <c r="G3795" s="195">
        <v>-388784717.97000003</v>
      </c>
    </row>
    <row r="3796" spans="1:7" x14ac:dyDescent="0.3">
      <c r="A3796" s="198">
        <v>32050501</v>
      </c>
      <c r="B3796" s="192" t="s">
        <v>2458</v>
      </c>
      <c r="C3796" s="196">
        <v>-388784717.97000003</v>
      </c>
      <c r="D3796" s="196">
        <v>0</v>
      </c>
      <c r="E3796" s="196">
        <v>0</v>
      </c>
      <c r="F3796" s="196">
        <v>0</v>
      </c>
      <c r="G3796" s="196">
        <v>-388784717.97000003</v>
      </c>
    </row>
    <row r="3797" spans="1:7" x14ac:dyDescent="0.3">
      <c r="A3797" s="197">
        <v>37</v>
      </c>
      <c r="B3797" s="191" t="s">
        <v>2459</v>
      </c>
      <c r="C3797" s="195">
        <v>-733068995.80999994</v>
      </c>
      <c r="D3797" s="195">
        <v>0</v>
      </c>
      <c r="E3797" s="195">
        <v>0</v>
      </c>
      <c r="F3797" s="195">
        <v>0</v>
      </c>
      <c r="G3797" s="195">
        <v>-733068995.80999994</v>
      </c>
    </row>
    <row r="3798" spans="1:7" x14ac:dyDescent="0.3">
      <c r="A3798" s="197">
        <v>3705</v>
      </c>
      <c r="B3798" s="191" t="s">
        <v>2460</v>
      </c>
      <c r="C3798" s="195">
        <v>-1870894766.47</v>
      </c>
      <c r="D3798" s="195">
        <v>0</v>
      </c>
      <c r="E3798" s="195">
        <v>0</v>
      </c>
      <c r="F3798" s="195">
        <v>0</v>
      </c>
      <c r="G3798" s="195">
        <v>-1870894766.47</v>
      </c>
    </row>
    <row r="3799" spans="1:7" x14ac:dyDescent="0.3">
      <c r="A3799" s="197">
        <v>370505</v>
      </c>
      <c r="B3799" s="191" t="s">
        <v>2461</v>
      </c>
      <c r="C3799" s="195">
        <v>-1870894766.47</v>
      </c>
      <c r="D3799" s="195">
        <v>0</v>
      </c>
      <c r="E3799" s="195">
        <v>0</v>
      </c>
      <c r="F3799" s="195">
        <v>0</v>
      </c>
      <c r="G3799" s="195">
        <v>-1870894766.47</v>
      </c>
    </row>
    <row r="3800" spans="1:7" x14ac:dyDescent="0.3">
      <c r="A3800" s="198">
        <v>37050510</v>
      </c>
      <c r="B3800" s="192" t="s">
        <v>2462</v>
      </c>
      <c r="C3800" s="196">
        <v>-1870894766.47</v>
      </c>
      <c r="D3800" s="196">
        <v>0</v>
      </c>
      <c r="E3800" s="196">
        <v>0</v>
      </c>
      <c r="F3800" s="196">
        <v>0</v>
      </c>
      <c r="G3800" s="196">
        <v>-1870894766.47</v>
      </c>
    </row>
    <row r="3801" spans="1:7" x14ac:dyDescent="0.3">
      <c r="A3801" s="197">
        <v>3710</v>
      </c>
      <c r="B3801" s="191" t="s">
        <v>2463</v>
      </c>
      <c r="C3801" s="195">
        <v>971583932.65999997</v>
      </c>
      <c r="D3801" s="195">
        <v>0</v>
      </c>
      <c r="E3801" s="195">
        <v>0</v>
      </c>
      <c r="F3801" s="195">
        <v>0</v>
      </c>
      <c r="G3801" s="195">
        <v>971583932.65999997</v>
      </c>
    </row>
    <row r="3802" spans="1:7" x14ac:dyDescent="0.3">
      <c r="A3802" s="197">
        <v>371005</v>
      </c>
      <c r="B3802" s="191" t="s">
        <v>2464</v>
      </c>
      <c r="C3802" s="195">
        <v>971583932.65999997</v>
      </c>
      <c r="D3802" s="195">
        <v>0</v>
      </c>
      <c r="E3802" s="195">
        <v>0</v>
      </c>
      <c r="F3802" s="195">
        <v>0</v>
      </c>
      <c r="G3802" s="195">
        <v>971583932.65999997</v>
      </c>
    </row>
    <row r="3803" spans="1:7" x14ac:dyDescent="0.3">
      <c r="A3803" s="198">
        <v>37100501</v>
      </c>
      <c r="B3803" s="192" t="s">
        <v>2464</v>
      </c>
      <c r="C3803" s="196">
        <v>971583932.65999997</v>
      </c>
      <c r="D3803" s="196">
        <v>0</v>
      </c>
      <c r="E3803" s="196">
        <v>0</v>
      </c>
      <c r="F3803" s="196">
        <v>0</v>
      </c>
      <c r="G3803" s="196">
        <v>971583932.65999997</v>
      </c>
    </row>
    <row r="3804" spans="1:7" x14ac:dyDescent="0.3">
      <c r="A3804" s="197">
        <v>3715</v>
      </c>
      <c r="B3804" s="191" t="s">
        <v>2465</v>
      </c>
      <c r="C3804" s="195">
        <v>166241838</v>
      </c>
      <c r="D3804" s="195">
        <v>0</v>
      </c>
      <c r="E3804" s="195">
        <v>0</v>
      </c>
      <c r="F3804" s="195">
        <v>0</v>
      </c>
      <c r="G3804" s="195">
        <v>166241838</v>
      </c>
    </row>
    <row r="3805" spans="1:7" x14ac:dyDescent="0.3">
      <c r="A3805" s="198">
        <v>371501</v>
      </c>
      <c r="B3805" s="192" t="s">
        <v>2466</v>
      </c>
      <c r="C3805" s="196">
        <v>182683339</v>
      </c>
      <c r="D3805" s="196">
        <v>0</v>
      </c>
      <c r="E3805" s="196">
        <v>0</v>
      </c>
      <c r="F3805" s="196">
        <v>0</v>
      </c>
      <c r="G3805" s="196">
        <v>182683339</v>
      </c>
    </row>
    <row r="3806" spans="1:7" x14ac:dyDescent="0.3">
      <c r="A3806" s="198">
        <v>900755062</v>
      </c>
      <c r="B3806" s="192" t="s">
        <v>1700</v>
      </c>
      <c r="C3806" s="196">
        <v>182683339</v>
      </c>
      <c r="D3806" s="196">
        <v>0</v>
      </c>
      <c r="E3806" s="196">
        <v>0</v>
      </c>
      <c r="F3806" s="196">
        <v>0</v>
      </c>
      <c r="G3806" s="196">
        <v>182683339</v>
      </c>
    </row>
    <row r="3807" spans="1:7" x14ac:dyDescent="0.3">
      <c r="A3807" s="198">
        <v>371502</v>
      </c>
      <c r="B3807" s="192" t="s">
        <v>2467</v>
      </c>
      <c r="C3807" s="196">
        <v>-16441501</v>
      </c>
      <c r="D3807" s="196">
        <v>0</v>
      </c>
      <c r="E3807" s="196">
        <v>0</v>
      </c>
      <c r="F3807" s="196">
        <v>0</v>
      </c>
      <c r="G3807" s="196">
        <v>-16441501</v>
      </c>
    </row>
    <row r="3808" spans="1:7" x14ac:dyDescent="0.3">
      <c r="A3808" s="198">
        <v>900755062</v>
      </c>
      <c r="B3808" s="192" t="s">
        <v>1700</v>
      </c>
      <c r="C3808" s="196">
        <v>-16441501</v>
      </c>
      <c r="D3808" s="196">
        <v>0</v>
      </c>
      <c r="E3808" s="196">
        <v>0</v>
      </c>
      <c r="F3808" s="196">
        <v>0</v>
      </c>
      <c r="G3808" s="196">
        <v>-16441501</v>
      </c>
    </row>
    <row r="3809" spans="1:7" x14ac:dyDescent="0.3">
      <c r="A3809" s="197">
        <v>4</v>
      </c>
      <c r="B3809" s="191" t="s">
        <v>2468</v>
      </c>
      <c r="C3809" s="195">
        <v>-9080536795</v>
      </c>
      <c r="D3809" s="195">
        <v>61889151</v>
      </c>
      <c r="E3809" s="195">
        <v>1755704782.1600001</v>
      </c>
      <c r="F3809" s="195">
        <v>-1693815631.1600001</v>
      </c>
      <c r="G3809" s="195">
        <v>-10774352426.16</v>
      </c>
    </row>
    <row r="3810" spans="1:7" x14ac:dyDescent="0.3">
      <c r="A3810" s="197">
        <v>41</v>
      </c>
      <c r="B3810" s="191" t="s">
        <v>2469</v>
      </c>
      <c r="C3810" s="195">
        <v>-8956982831</v>
      </c>
      <c r="D3810" s="195">
        <v>61546653</v>
      </c>
      <c r="E3810" s="195">
        <v>1733977723</v>
      </c>
      <c r="F3810" s="195">
        <v>-1672431070</v>
      </c>
      <c r="G3810" s="195">
        <v>-10629413901</v>
      </c>
    </row>
    <row r="3811" spans="1:7" x14ac:dyDescent="0.3">
      <c r="A3811" s="197">
        <v>4165</v>
      </c>
      <c r="B3811" s="191" t="s">
        <v>2470</v>
      </c>
      <c r="C3811" s="195">
        <v>-8958122825</v>
      </c>
      <c r="D3811" s="195">
        <v>61546653</v>
      </c>
      <c r="E3811" s="195">
        <v>1733977723</v>
      </c>
      <c r="F3811" s="195">
        <v>-1672431070</v>
      </c>
      <c r="G3811" s="195">
        <v>-10630553895</v>
      </c>
    </row>
    <row r="3812" spans="1:7" x14ac:dyDescent="0.3">
      <c r="A3812" s="197">
        <v>416510</v>
      </c>
      <c r="B3812" s="191" t="s">
        <v>2471</v>
      </c>
      <c r="C3812" s="195">
        <v>-8958122825</v>
      </c>
      <c r="D3812" s="195">
        <v>61546653</v>
      </c>
      <c r="E3812" s="195">
        <v>1733977723</v>
      </c>
      <c r="F3812" s="195">
        <v>-1672431070</v>
      </c>
      <c r="G3812" s="195">
        <v>-10630553895</v>
      </c>
    </row>
    <row r="3813" spans="1:7" x14ac:dyDescent="0.3">
      <c r="A3813" s="198">
        <v>41651001</v>
      </c>
      <c r="B3813" s="192" t="s">
        <v>2472</v>
      </c>
      <c r="C3813" s="196">
        <v>-711965462</v>
      </c>
      <c r="D3813" s="196">
        <v>1368791</v>
      </c>
      <c r="E3813" s="196">
        <v>137929223</v>
      </c>
      <c r="F3813" s="196">
        <v>-136560432</v>
      </c>
      <c r="G3813" s="196">
        <v>-848525894</v>
      </c>
    </row>
    <row r="3814" spans="1:7" x14ac:dyDescent="0.3">
      <c r="A3814" s="198">
        <v>1219213378</v>
      </c>
      <c r="B3814" s="192" t="s">
        <v>159</v>
      </c>
      <c r="C3814" s="196">
        <v>-1</v>
      </c>
      <c r="D3814" s="196">
        <v>0</v>
      </c>
      <c r="E3814" s="196">
        <v>0</v>
      </c>
      <c r="F3814" s="196">
        <v>0</v>
      </c>
      <c r="G3814" s="196">
        <v>-1</v>
      </c>
    </row>
    <row r="3815" spans="1:7" x14ac:dyDescent="0.3">
      <c r="A3815" s="198">
        <v>1023553394</v>
      </c>
      <c r="B3815" s="192" t="s">
        <v>2473</v>
      </c>
      <c r="C3815" s="196">
        <v>-50900</v>
      </c>
      <c r="D3815" s="196">
        <v>0</v>
      </c>
      <c r="E3815" s="196">
        <v>0</v>
      </c>
      <c r="F3815" s="196">
        <v>0</v>
      </c>
      <c r="G3815" s="196">
        <v>-50900</v>
      </c>
    </row>
    <row r="3816" spans="1:7" x14ac:dyDescent="0.3">
      <c r="A3816" s="198">
        <v>1023570040</v>
      </c>
      <c r="B3816" s="192" t="s">
        <v>2474</v>
      </c>
      <c r="C3816" s="196">
        <v>-340000</v>
      </c>
      <c r="D3816" s="196">
        <v>0</v>
      </c>
      <c r="E3816" s="196">
        <v>0</v>
      </c>
      <c r="F3816" s="196">
        <v>0</v>
      </c>
      <c r="G3816" s="196">
        <v>-340000</v>
      </c>
    </row>
    <row r="3817" spans="1:7" x14ac:dyDescent="0.3">
      <c r="A3817" s="198">
        <v>1042864817</v>
      </c>
      <c r="B3817" s="192" t="s">
        <v>2475</v>
      </c>
      <c r="C3817" s="196">
        <v>-50900</v>
      </c>
      <c r="D3817" s="196">
        <v>0</v>
      </c>
      <c r="E3817" s="196">
        <v>0</v>
      </c>
      <c r="F3817" s="196">
        <v>0</v>
      </c>
      <c r="G3817" s="196">
        <v>-50900</v>
      </c>
    </row>
    <row r="3818" spans="1:7" x14ac:dyDescent="0.3">
      <c r="A3818" s="198">
        <v>70546915</v>
      </c>
      <c r="B3818" s="192" t="s">
        <v>160</v>
      </c>
      <c r="C3818" s="196">
        <v>-297000</v>
      </c>
      <c r="D3818" s="196">
        <v>0</v>
      </c>
      <c r="E3818" s="196">
        <v>0</v>
      </c>
      <c r="F3818" s="196">
        <v>0</v>
      </c>
      <c r="G3818" s="196">
        <v>-297000</v>
      </c>
    </row>
    <row r="3819" spans="1:7" x14ac:dyDescent="0.3">
      <c r="A3819" s="198">
        <v>1020325917</v>
      </c>
      <c r="B3819" s="192" t="s">
        <v>2476</v>
      </c>
      <c r="C3819" s="196">
        <v>-47400</v>
      </c>
      <c r="D3819" s="196">
        <v>0</v>
      </c>
      <c r="E3819" s="196">
        <v>0</v>
      </c>
      <c r="F3819" s="196">
        <v>0</v>
      </c>
      <c r="G3819" s="196">
        <v>-47400</v>
      </c>
    </row>
    <row r="3820" spans="1:7" x14ac:dyDescent="0.3">
      <c r="A3820" s="198">
        <v>4475278</v>
      </c>
      <c r="B3820" s="192" t="s">
        <v>2477</v>
      </c>
      <c r="C3820" s="196">
        <v>-148500</v>
      </c>
      <c r="D3820" s="196">
        <v>0</v>
      </c>
      <c r="E3820" s="196">
        <v>0</v>
      </c>
      <c r="F3820" s="196">
        <v>0</v>
      </c>
      <c r="G3820" s="196">
        <v>-148500</v>
      </c>
    </row>
    <row r="3821" spans="1:7" x14ac:dyDescent="0.3">
      <c r="A3821" s="198">
        <v>52431671</v>
      </c>
      <c r="B3821" s="192" t="s">
        <v>161</v>
      </c>
      <c r="C3821" s="196">
        <v>0</v>
      </c>
      <c r="D3821" s="196">
        <v>0</v>
      </c>
      <c r="E3821" s="196">
        <v>46900</v>
      </c>
      <c r="F3821" s="196">
        <v>-46900</v>
      </c>
      <c r="G3821" s="196">
        <v>-46900</v>
      </c>
    </row>
    <row r="3822" spans="1:7" x14ac:dyDescent="0.3">
      <c r="A3822" s="198">
        <v>8274009</v>
      </c>
      <c r="B3822" s="192" t="s">
        <v>2478</v>
      </c>
      <c r="C3822" s="196">
        <v>-57200</v>
      </c>
      <c r="D3822" s="196">
        <v>0</v>
      </c>
      <c r="E3822" s="196">
        <v>0</v>
      </c>
      <c r="F3822" s="196">
        <v>0</v>
      </c>
      <c r="G3822" s="196">
        <v>-57200</v>
      </c>
    </row>
    <row r="3823" spans="1:7" x14ac:dyDescent="0.3">
      <c r="A3823" s="198">
        <v>168695191</v>
      </c>
      <c r="B3823" s="192" t="s">
        <v>162</v>
      </c>
      <c r="C3823" s="196">
        <v>0</v>
      </c>
      <c r="D3823" s="196">
        <v>0</v>
      </c>
      <c r="E3823" s="196">
        <v>50900</v>
      </c>
      <c r="F3823" s="196">
        <v>-50900</v>
      </c>
      <c r="G3823" s="196">
        <v>-50900</v>
      </c>
    </row>
    <row r="3824" spans="1:7" x14ac:dyDescent="0.3">
      <c r="A3824" s="198">
        <v>32408002</v>
      </c>
      <c r="B3824" s="192" t="s">
        <v>163</v>
      </c>
      <c r="C3824" s="196">
        <v>-101800</v>
      </c>
      <c r="D3824" s="196">
        <v>0</v>
      </c>
      <c r="E3824" s="196">
        <v>50900</v>
      </c>
      <c r="F3824" s="196">
        <v>-50900</v>
      </c>
      <c r="G3824" s="196">
        <v>-152700</v>
      </c>
    </row>
    <row r="3825" spans="1:7" x14ac:dyDescent="0.3">
      <c r="A3825" s="198">
        <v>1111779655</v>
      </c>
      <c r="B3825" s="192" t="s">
        <v>2479</v>
      </c>
      <c r="C3825" s="196">
        <v>-340000</v>
      </c>
      <c r="D3825" s="196">
        <v>0</v>
      </c>
      <c r="E3825" s="196">
        <v>0</v>
      </c>
      <c r="F3825" s="196">
        <v>0</v>
      </c>
      <c r="G3825" s="196">
        <v>-340000</v>
      </c>
    </row>
    <row r="3826" spans="1:7" x14ac:dyDescent="0.3">
      <c r="A3826" s="198">
        <v>42876800</v>
      </c>
      <c r="B3826" s="192" t="s">
        <v>2480</v>
      </c>
      <c r="C3826" s="196">
        <v>-50900</v>
      </c>
      <c r="D3826" s="196">
        <v>0</v>
      </c>
      <c r="E3826" s="196">
        <v>0</v>
      </c>
      <c r="F3826" s="196">
        <v>0</v>
      </c>
      <c r="G3826" s="196">
        <v>-50900</v>
      </c>
    </row>
    <row r="3827" spans="1:7" x14ac:dyDescent="0.3">
      <c r="A3827" s="198">
        <v>15307142</v>
      </c>
      <c r="B3827" s="192" t="s">
        <v>2481</v>
      </c>
      <c r="C3827" s="196">
        <v>-57200</v>
      </c>
      <c r="D3827" s="196">
        <v>0</v>
      </c>
      <c r="E3827" s="196">
        <v>0</v>
      </c>
      <c r="F3827" s="196">
        <v>0</v>
      </c>
      <c r="G3827" s="196">
        <v>-57200</v>
      </c>
    </row>
    <row r="3828" spans="1:7" x14ac:dyDescent="0.3">
      <c r="A3828" s="198">
        <v>79462379</v>
      </c>
      <c r="B3828" s="192" t="s">
        <v>2482</v>
      </c>
      <c r="C3828" s="196">
        <v>-50900</v>
      </c>
      <c r="D3828" s="196">
        <v>0</v>
      </c>
      <c r="E3828" s="196">
        <v>0</v>
      </c>
      <c r="F3828" s="196">
        <v>0</v>
      </c>
      <c r="G3828" s="196">
        <v>-50900</v>
      </c>
    </row>
    <row r="3829" spans="1:7" x14ac:dyDescent="0.3">
      <c r="A3829" s="198">
        <v>8014690</v>
      </c>
      <c r="B3829" s="192" t="s">
        <v>2483</v>
      </c>
      <c r="C3829" s="196">
        <v>-165000</v>
      </c>
      <c r="D3829" s="196">
        <v>0</v>
      </c>
      <c r="E3829" s="196">
        <v>0</v>
      </c>
      <c r="F3829" s="196">
        <v>0</v>
      </c>
      <c r="G3829" s="196">
        <v>-165000</v>
      </c>
    </row>
    <row r="3830" spans="1:7" x14ac:dyDescent="0.3">
      <c r="A3830" s="198">
        <v>1001555310</v>
      </c>
      <c r="B3830" s="192" t="s">
        <v>2484</v>
      </c>
      <c r="C3830" s="196">
        <v>-192500</v>
      </c>
      <c r="D3830" s="196">
        <v>0</v>
      </c>
      <c r="E3830" s="196">
        <v>0</v>
      </c>
      <c r="F3830" s="196">
        <v>0</v>
      </c>
      <c r="G3830" s="196">
        <v>-192500</v>
      </c>
    </row>
    <row r="3831" spans="1:7" x14ac:dyDescent="0.3">
      <c r="A3831" s="198">
        <v>15329264</v>
      </c>
      <c r="B3831" s="192" t="s">
        <v>2485</v>
      </c>
      <c r="C3831" s="196">
        <v>-57200</v>
      </c>
      <c r="D3831" s="196">
        <v>0</v>
      </c>
      <c r="E3831" s="196">
        <v>0</v>
      </c>
      <c r="F3831" s="196">
        <v>0</v>
      </c>
      <c r="G3831" s="196">
        <v>-57200</v>
      </c>
    </row>
    <row r="3832" spans="1:7" x14ac:dyDescent="0.3">
      <c r="A3832" s="192" t="s">
        <v>2486</v>
      </c>
      <c r="B3832" s="192" t="s">
        <v>2487</v>
      </c>
      <c r="C3832" s="196">
        <v>-400000</v>
      </c>
      <c r="D3832" s="196">
        <v>0</v>
      </c>
      <c r="E3832" s="196">
        <v>0</v>
      </c>
      <c r="F3832" s="196">
        <v>0</v>
      </c>
      <c r="G3832" s="196">
        <v>-400000</v>
      </c>
    </row>
    <row r="3833" spans="1:7" x14ac:dyDescent="0.3">
      <c r="A3833" s="198">
        <v>98667207</v>
      </c>
      <c r="B3833" s="192" t="s">
        <v>2488</v>
      </c>
      <c r="C3833" s="196">
        <v>-50900</v>
      </c>
      <c r="D3833" s="196">
        <v>0</v>
      </c>
      <c r="E3833" s="196">
        <v>0</v>
      </c>
      <c r="F3833" s="196">
        <v>0</v>
      </c>
      <c r="G3833" s="196">
        <v>-50900</v>
      </c>
    </row>
    <row r="3834" spans="1:7" x14ac:dyDescent="0.3">
      <c r="A3834" s="198">
        <v>39789207</v>
      </c>
      <c r="B3834" s="192" t="s">
        <v>164</v>
      </c>
      <c r="C3834" s="196">
        <v>0</v>
      </c>
      <c r="D3834" s="196">
        <v>0</v>
      </c>
      <c r="E3834" s="196">
        <v>162000</v>
      </c>
      <c r="F3834" s="196">
        <v>-162000</v>
      </c>
      <c r="G3834" s="196">
        <v>-162000</v>
      </c>
    </row>
    <row r="3835" spans="1:7" x14ac:dyDescent="0.3">
      <c r="A3835" s="198">
        <v>1037578296</v>
      </c>
      <c r="B3835" s="192" t="s">
        <v>2489</v>
      </c>
      <c r="C3835" s="196">
        <v>-47400</v>
      </c>
      <c r="D3835" s="196">
        <v>0</v>
      </c>
      <c r="E3835" s="196">
        <v>0</v>
      </c>
      <c r="F3835" s="196">
        <v>0</v>
      </c>
      <c r="G3835" s="196">
        <v>-47400</v>
      </c>
    </row>
    <row r="3836" spans="1:7" x14ac:dyDescent="0.3">
      <c r="A3836" s="198">
        <v>51921697</v>
      </c>
      <c r="B3836" s="192" t="s">
        <v>2490</v>
      </c>
      <c r="C3836" s="196">
        <v>-41400</v>
      </c>
      <c r="D3836" s="196">
        <v>0</v>
      </c>
      <c r="E3836" s="196">
        <v>0</v>
      </c>
      <c r="F3836" s="196">
        <v>0</v>
      </c>
      <c r="G3836" s="196">
        <v>-41400</v>
      </c>
    </row>
    <row r="3837" spans="1:7" x14ac:dyDescent="0.3">
      <c r="A3837" s="198">
        <v>1098627300</v>
      </c>
      <c r="B3837" s="192" t="s">
        <v>2491</v>
      </c>
      <c r="C3837" s="196">
        <v>-101800</v>
      </c>
      <c r="D3837" s="196">
        <v>0</v>
      </c>
      <c r="E3837" s="196">
        <v>0</v>
      </c>
      <c r="F3837" s="196">
        <v>0</v>
      </c>
      <c r="G3837" s="196">
        <v>-101800</v>
      </c>
    </row>
    <row r="3838" spans="1:7" x14ac:dyDescent="0.3">
      <c r="A3838" s="198">
        <v>28544502</v>
      </c>
      <c r="B3838" s="192" t="s">
        <v>2492</v>
      </c>
      <c r="C3838" s="196">
        <v>-50900</v>
      </c>
      <c r="D3838" s="196">
        <v>0</v>
      </c>
      <c r="E3838" s="196">
        <v>0</v>
      </c>
      <c r="F3838" s="196">
        <v>0</v>
      </c>
      <c r="G3838" s="196">
        <v>-50900</v>
      </c>
    </row>
    <row r="3839" spans="1:7" x14ac:dyDescent="0.3">
      <c r="A3839" s="198">
        <v>43083279</v>
      </c>
      <c r="B3839" s="192" t="s">
        <v>167</v>
      </c>
      <c r="C3839" s="196">
        <v>-50900</v>
      </c>
      <c r="D3839" s="196">
        <v>0</v>
      </c>
      <c r="E3839" s="196">
        <v>101800</v>
      </c>
      <c r="F3839" s="196">
        <v>-101800</v>
      </c>
      <c r="G3839" s="196">
        <v>-152700</v>
      </c>
    </row>
    <row r="3840" spans="1:7" x14ac:dyDescent="0.3">
      <c r="A3840" s="198">
        <v>43097038</v>
      </c>
      <c r="B3840" s="192" t="s">
        <v>2493</v>
      </c>
      <c r="C3840" s="196">
        <v>-50900</v>
      </c>
      <c r="D3840" s="196">
        <v>0</v>
      </c>
      <c r="E3840" s="196">
        <v>0</v>
      </c>
      <c r="F3840" s="196">
        <v>0</v>
      </c>
      <c r="G3840" s="196">
        <v>-50900</v>
      </c>
    </row>
    <row r="3841" spans="1:7" x14ac:dyDescent="0.3">
      <c r="A3841" s="198">
        <v>42772255</v>
      </c>
      <c r="B3841" s="192" t="s">
        <v>168</v>
      </c>
      <c r="C3841" s="196">
        <v>0</v>
      </c>
      <c r="D3841" s="196">
        <v>0</v>
      </c>
      <c r="E3841" s="196">
        <v>297000</v>
      </c>
      <c r="F3841" s="196">
        <v>-297000</v>
      </c>
      <c r="G3841" s="196">
        <v>-297000</v>
      </c>
    </row>
    <row r="3842" spans="1:7" x14ac:dyDescent="0.3">
      <c r="A3842" s="198">
        <v>43505162</v>
      </c>
      <c r="B3842" s="192" t="s">
        <v>2494</v>
      </c>
      <c r="C3842" s="196">
        <v>-54200</v>
      </c>
      <c r="D3842" s="196">
        <v>0</v>
      </c>
      <c r="E3842" s="196">
        <v>0</v>
      </c>
      <c r="F3842" s="196">
        <v>0</v>
      </c>
      <c r="G3842" s="196">
        <v>-54200</v>
      </c>
    </row>
    <row r="3843" spans="1:7" x14ac:dyDescent="0.3">
      <c r="A3843" s="198">
        <v>42766222</v>
      </c>
      <c r="B3843" s="192" t="s">
        <v>2495</v>
      </c>
      <c r="C3843" s="196">
        <v>-57200</v>
      </c>
      <c r="D3843" s="196">
        <v>0</v>
      </c>
      <c r="E3843" s="196">
        <v>0</v>
      </c>
      <c r="F3843" s="196">
        <v>0</v>
      </c>
      <c r="G3843" s="196">
        <v>-57200</v>
      </c>
    </row>
    <row r="3844" spans="1:7" x14ac:dyDescent="0.3">
      <c r="A3844" s="198">
        <v>43507408</v>
      </c>
      <c r="B3844" s="192" t="s">
        <v>2496</v>
      </c>
      <c r="C3844" s="196">
        <v>-54200</v>
      </c>
      <c r="D3844" s="196">
        <v>0</v>
      </c>
      <c r="E3844" s="196">
        <v>0</v>
      </c>
      <c r="F3844" s="196">
        <v>0</v>
      </c>
      <c r="G3844" s="196">
        <v>-54200</v>
      </c>
    </row>
    <row r="3845" spans="1:7" x14ac:dyDescent="0.3">
      <c r="A3845" s="198">
        <v>43530674</v>
      </c>
      <c r="B3845" s="192" t="s">
        <v>2497</v>
      </c>
      <c r="C3845" s="196">
        <v>-50900</v>
      </c>
      <c r="D3845" s="196">
        <v>0</v>
      </c>
      <c r="E3845" s="196">
        <v>0</v>
      </c>
      <c r="F3845" s="196">
        <v>0</v>
      </c>
      <c r="G3845" s="196">
        <v>-50900</v>
      </c>
    </row>
    <row r="3846" spans="1:7" x14ac:dyDescent="0.3">
      <c r="A3846" s="198">
        <v>43729448</v>
      </c>
      <c r="B3846" s="192" t="s">
        <v>170</v>
      </c>
      <c r="C3846" s="196">
        <v>-47400</v>
      </c>
      <c r="D3846" s="196">
        <v>0</v>
      </c>
      <c r="E3846" s="196">
        <v>50900</v>
      </c>
      <c r="F3846" s="196">
        <v>-50900</v>
      </c>
      <c r="G3846" s="196">
        <v>-98300</v>
      </c>
    </row>
    <row r="3847" spans="1:7" x14ac:dyDescent="0.3">
      <c r="A3847" s="198">
        <v>43678444</v>
      </c>
      <c r="B3847" s="192" t="s">
        <v>171</v>
      </c>
      <c r="C3847" s="196">
        <v>-47000</v>
      </c>
      <c r="D3847" s="196">
        <v>0</v>
      </c>
      <c r="E3847" s="196">
        <v>47000</v>
      </c>
      <c r="F3847" s="196">
        <v>-47000</v>
      </c>
      <c r="G3847" s="196">
        <v>-94000</v>
      </c>
    </row>
    <row r="3848" spans="1:7" x14ac:dyDescent="0.3">
      <c r="A3848" s="198">
        <v>66904389</v>
      </c>
      <c r="B3848" s="192" t="s">
        <v>2498</v>
      </c>
      <c r="C3848" s="196">
        <v>-50500</v>
      </c>
      <c r="D3848" s="196">
        <v>0</v>
      </c>
      <c r="E3848" s="196">
        <v>0</v>
      </c>
      <c r="F3848" s="196">
        <v>0</v>
      </c>
      <c r="G3848" s="196">
        <v>-50500</v>
      </c>
    </row>
    <row r="3849" spans="1:7" x14ac:dyDescent="0.3">
      <c r="A3849" s="198">
        <v>42873654</v>
      </c>
      <c r="B3849" s="192" t="s">
        <v>173</v>
      </c>
      <c r="C3849" s="196">
        <v>0</v>
      </c>
      <c r="D3849" s="196">
        <v>0</v>
      </c>
      <c r="E3849" s="196">
        <v>54200</v>
      </c>
      <c r="F3849" s="196">
        <v>-54200</v>
      </c>
      <c r="G3849" s="196">
        <v>-54200</v>
      </c>
    </row>
    <row r="3850" spans="1:7" x14ac:dyDescent="0.3">
      <c r="A3850" s="198">
        <v>43490210</v>
      </c>
      <c r="B3850" s="192" t="s">
        <v>2499</v>
      </c>
      <c r="C3850" s="196">
        <v>-190000</v>
      </c>
      <c r="D3850" s="196">
        <v>0</v>
      </c>
      <c r="E3850" s="196">
        <v>0</v>
      </c>
      <c r="F3850" s="196">
        <v>0</v>
      </c>
      <c r="G3850" s="196">
        <v>-190000</v>
      </c>
    </row>
    <row r="3851" spans="1:7" x14ac:dyDescent="0.3">
      <c r="A3851" s="198">
        <v>42874133</v>
      </c>
      <c r="B3851" s="192" t="s">
        <v>174</v>
      </c>
      <c r="C3851" s="196">
        <v>-54200</v>
      </c>
      <c r="D3851" s="196">
        <v>0</v>
      </c>
      <c r="E3851" s="196">
        <v>108400</v>
      </c>
      <c r="F3851" s="196">
        <v>-108400</v>
      </c>
      <c r="G3851" s="196">
        <v>-162600</v>
      </c>
    </row>
    <row r="3852" spans="1:7" x14ac:dyDescent="0.3">
      <c r="A3852" s="198">
        <v>32257602</v>
      </c>
      <c r="B3852" s="192" t="s">
        <v>2500</v>
      </c>
      <c r="C3852" s="196">
        <v>-50900</v>
      </c>
      <c r="D3852" s="196">
        <v>0</v>
      </c>
      <c r="E3852" s="196">
        <v>0</v>
      </c>
      <c r="F3852" s="196">
        <v>0</v>
      </c>
      <c r="G3852" s="196">
        <v>-50900</v>
      </c>
    </row>
    <row r="3853" spans="1:7" x14ac:dyDescent="0.3">
      <c r="A3853" s="198">
        <v>43532661</v>
      </c>
      <c r="B3853" s="192" t="s">
        <v>175</v>
      </c>
      <c r="C3853" s="196">
        <v>-207900</v>
      </c>
      <c r="D3853" s="196">
        <v>0</v>
      </c>
      <c r="E3853" s="196">
        <v>0</v>
      </c>
      <c r="F3853" s="196">
        <v>0</v>
      </c>
      <c r="G3853" s="196">
        <v>-207900</v>
      </c>
    </row>
    <row r="3854" spans="1:7" x14ac:dyDescent="0.3">
      <c r="A3854" s="198">
        <v>43904849</v>
      </c>
      <c r="B3854" s="192" t="s">
        <v>2501</v>
      </c>
      <c r="C3854" s="196">
        <v>-20000</v>
      </c>
      <c r="D3854" s="196">
        <v>0</v>
      </c>
      <c r="E3854" s="196">
        <v>0</v>
      </c>
      <c r="F3854" s="196">
        <v>0</v>
      </c>
      <c r="G3854" s="196">
        <v>-20000</v>
      </c>
    </row>
    <row r="3855" spans="1:7" x14ac:dyDescent="0.3">
      <c r="A3855" s="198">
        <v>43720751</v>
      </c>
      <c r="B3855" s="192" t="s">
        <v>2502</v>
      </c>
      <c r="C3855" s="196">
        <v>-50900</v>
      </c>
      <c r="D3855" s="196">
        <v>0</v>
      </c>
      <c r="E3855" s="196">
        <v>0</v>
      </c>
      <c r="F3855" s="196">
        <v>0</v>
      </c>
      <c r="G3855" s="196">
        <v>-50900</v>
      </c>
    </row>
    <row r="3856" spans="1:7" x14ac:dyDescent="0.3">
      <c r="A3856" s="198">
        <v>1037588895</v>
      </c>
      <c r="B3856" s="192" t="s">
        <v>2503</v>
      </c>
      <c r="C3856" s="196">
        <v>-50900</v>
      </c>
      <c r="D3856" s="196">
        <v>0</v>
      </c>
      <c r="E3856" s="196">
        <v>0</v>
      </c>
      <c r="F3856" s="196">
        <v>0</v>
      </c>
      <c r="G3856" s="196">
        <v>-50900</v>
      </c>
    </row>
    <row r="3857" spans="1:7" x14ac:dyDescent="0.3">
      <c r="A3857" s="198">
        <v>1017141839</v>
      </c>
      <c r="B3857" s="192" t="s">
        <v>176</v>
      </c>
      <c r="C3857" s="196">
        <v>-80001</v>
      </c>
      <c r="D3857" s="196">
        <v>0</v>
      </c>
      <c r="E3857" s="196">
        <v>0</v>
      </c>
      <c r="F3857" s="196">
        <v>0</v>
      </c>
      <c r="G3857" s="196">
        <v>-80001</v>
      </c>
    </row>
    <row r="3858" spans="1:7" x14ac:dyDescent="0.3">
      <c r="A3858" s="198">
        <v>42682174</v>
      </c>
      <c r="B3858" s="192" t="s">
        <v>177</v>
      </c>
      <c r="C3858" s="196">
        <v>-30001</v>
      </c>
      <c r="D3858" s="196">
        <v>0</v>
      </c>
      <c r="E3858" s="196">
        <v>0</v>
      </c>
      <c r="F3858" s="196">
        <v>0</v>
      </c>
      <c r="G3858" s="196">
        <v>-30001</v>
      </c>
    </row>
    <row r="3859" spans="1:7" x14ac:dyDescent="0.3">
      <c r="A3859" s="198">
        <v>43566324</v>
      </c>
      <c r="B3859" s="192" t="s">
        <v>2504</v>
      </c>
      <c r="C3859" s="196">
        <v>-50900</v>
      </c>
      <c r="D3859" s="196">
        <v>0</v>
      </c>
      <c r="E3859" s="196">
        <v>0</v>
      </c>
      <c r="F3859" s="196">
        <v>0</v>
      </c>
      <c r="G3859" s="196">
        <v>-50900</v>
      </c>
    </row>
    <row r="3860" spans="1:7" x14ac:dyDescent="0.3">
      <c r="A3860" s="198">
        <v>1017129503</v>
      </c>
      <c r="B3860" s="192" t="s">
        <v>178</v>
      </c>
      <c r="C3860" s="196">
        <v>0</v>
      </c>
      <c r="D3860" s="196">
        <v>0</v>
      </c>
      <c r="E3860" s="196">
        <v>50900</v>
      </c>
      <c r="F3860" s="196">
        <v>-50900</v>
      </c>
      <c r="G3860" s="196">
        <v>-50900</v>
      </c>
    </row>
    <row r="3861" spans="1:7" x14ac:dyDescent="0.3">
      <c r="A3861" s="198">
        <v>51739969</v>
      </c>
      <c r="B3861" s="192" t="s">
        <v>2505</v>
      </c>
      <c r="C3861" s="196">
        <v>-114400</v>
      </c>
      <c r="D3861" s="196">
        <v>0</v>
      </c>
      <c r="E3861" s="196">
        <v>0</v>
      </c>
      <c r="F3861" s="196">
        <v>0</v>
      </c>
      <c r="G3861" s="196">
        <v>-114400</v>
      </c>
    </row>
    <row r="3862" spans="1:7" x14ac:dyDescent="0.3">
      <c r="A3862" s="198">
        <v>43879369</v>
      </c>
      <c r="B3862" s="192" t="s">
        <v>2506</v>
      </c>
      <c r="C3862" s="196">
        <v>-54200</v>
      </c>
      <c r="D3862" s="196">
        <v>0</v>
      </c>
      <c r="E3862" s="196">
        <v>0</v>
      </c>
      <c r="F3862" s="196">
        <v>0</v>
      </c>
      <c r="G3862" s="196">
        <v>-54200</v>
      </c>
    </row>
    <row r="3863" spans="1:7" x14ac:dyDescent="0.3">
      <c r="A3863" s="198">
        <v>439042</v>
      </c>
      <c r="B3863" s="192" t="s">
        <v>180</v>
      </c>
      <c r="C3863" s="196">
        <v>0</v>
      </c>
      <c r="D3863" s="196">
        <v>0</v>
      </c>
      <c r="E3863" s="196">
        <v>50900</v>
      </c>
      <c r="F3863" s="196">
        <v>-50900</v>
      </c>
      <c r="G3863" s="196">
        <v>-50900</v>
      </c>
    </row>
    <row r="3864" spans="1:7" x14ac:dyDescent="0.3">
      <c r="A3864" s="198">
        <v>924230</v>
      </c>
      <c r="B3864" s="192" t="s">
        <v>2507</v>
      </c>
      <c r="C3864" s="196">
        <v>-47400</v>
      </c>
      <c r="D3864" s="196">
        <v>0</v>
      </c>
      <c r="E3864" s="196">
        <v>0</v>
      </c>
      <c r="F3864" s="196">
        <v>0</v>
      </c>
      <c r="G3864" s="196">
        <v>-47400</v>
      </c>
    </row>
    <row r="3865" spans="1:7" x14ac:dyDescent="0.3">
      <c r="A3865" s="198">
        <v>70555656</v>
      </c>
      <c r="B3865" s="192" t="s">
        <v>2508</v>
      </c>
      <c r="C3865" s="196">
        <v>-50900</v>
      </c>
      <c r="D3865" s="196">
        <v>0</v>
      </c>
      <c r="E3865" s="196">
        <v>0</v>
      </c>
      <c r="F3865" s="196">
        <v>0</v>
      </c>
      <c r="G3865" s="196">
        <v>-50900</v>
      </c>
    </row>
    <row r="3866" spans="1:7" x14ac:dyDescent="0.3">
      <c r="A3866" s="198">
        <v>1037327496</v>
      </c>
      <c r="B3866" s="192" t="s">
        <v>2509</v>
      </c>
      <c r="C3866" s="196">
        <v>-340000</v>
      </c>
      <c r="D3866" s="196">
        <v>0</v>
      </c>
      <c r="E3866" s="196">
        <v>0</v>
      </c>
      <c r="F3866" s="196">
        <v>0</v>
      </c>
      <c r="G3866" s="196">
        <v>-340000</v>
      </c>
    </row>
    <row r="3867" spans="1:7" x14ac:dyDescent="0.3">
      <c r="A3867" s="198">
        <v>1035025910</v>
      </c>
      <c r="B3867" s="192" t="s">
        <v>2510</v>
      </c>
      <c r="C3867" s="196">
        <v>-50900</v>
      </c>
      <c r="D3867" s="196">
        <v>0</v>
      </c>
      <c r="E3867" s="196">
        <v>0</v>
      </c>
      <c r="F3867" s="196">
        <v>0</v>
      </c>
      <c r="G3867" s="196">
        <v>-50900</v>
      </c>
    </row>
    <row r="3868" spans="1:7" x14ac:dyDescent="0.3">
      <c r="A3868" s="198">
        <v>1020327333</v>
      </c>
      <c r="B3868" s="192" t="s">
        <v>181</v>
      </c>
      <c r="C3868" s="196">
        <v>-47400</v>
      </c>
      <c r="D3868" s="196">
        <v>0</v>
      </c>
      <c r="E3868" s="196">
        <v>50900</v>
      </c>
      <c r="F3868" s="196">
        <v>-50900</v>
      </c>
      <c r="G3868" s="196">
        <v>-98300</v>
      </c>
    </row>
    <row r="3869" spans="1:7" x14ac:dyDescent="0.3">
      <c r="A3869" s="198">
        <v>1035019240</v>
      </c>
      <c r="B3869" s="192" t="s">
        <v>182</v>
      </c>
      <c r="C3869" s="196">
        <v>0</v>
      </c>
      <c r="D3869" s="196">
        <v>0</v>
      </c>
      <c r="E3869" s="196">
        <v>49000</v>
      </c>
      <c r="F3869" s="196">
        <v>-49000</v>
      </c>
      <c r="G3869" s="196">
        <v>-49000</v>
      </c>
    </row>
    <row r="3870" spans="1:7" x14ac:dyDescent="0.3">
      <c r="A3870" s="198">
        <v>1035014137</v>
      </c>
      <c r="B3870" s="192" t="s">
        <v>183</v>
      </c>
      <c r="C3870" s="196">
        <v>0</v>
      </c>
      <c r="D3870" s="196">
        <v>0</v>
      </c>
      <c r="E3870" s="196">
        <v>50900</v>
      </c>
      <c r="F3870" s="196">
        <v>-50900</v>
      </c>
      <c r="G3870" s="196">
        <v>-50900</v>
      </c>
    </row>
    <row r="3871" spans="1:7" x14ac:dyDescent="0.3">
      <c r="A3871" s="198">
        <v>1035014932</v>
      </c>
      <c r="B3871" s="192" t="s">
        <v>2511</v>
      </c>
      <c r="C3871" s="196">
        <v>-47000</v>
      </c>
      <c r="D3871" s="196">
        <v>0</v>
      </c>
      <c r="E3871" s="196">
        <v>0</v>
      </c>
      <c r="F3871" s="196">
        <v>0</v>
      </c>
      <c r="G3871" s="196">
        <v>-47000</v>
      </c>
    </row>
    <row r="3872" spans="1:7" x14ac:dyDescent="0.3">
      <c r="A3872" s="198">
        <v>1036460032</v>
      </c>
      <c r="B3872" s="192" t="s">
        <v>2512</v>
      </c>
      <c r="C3872" s="196">
        <v>-35000</v>
      </c>
      <c r="D3872" s="196">
        <v>0</v>
      </c>
      <c r="E3872" s="196">
        <v>0</v>
      </c>
      <c r="F3872" s="196">
        <v>0</v>
      </c>
      <c r="G3872" s="196">
        <v>-35000</v>
      </c>
    </row>
    <row r="3873" spans="1:7" x14ac:dyDescent="0.3">
      <c r="A3873" s="198">
        <v>675634893</v>
      </c>
      <c r="B3873" s="192" t="s">
        <v>184</v>
      </c>
      <c r="C3873" s="196">
        <v>0</v>
      </c>
      <c r="D3873" s="196">
        <v>0</v>
      </c>
      <c r="E3873" s="196">
        <v>340000</v>
      </c>
      <c r="F3873" s="196">
        <v>-340000</v>
      </c>
      <c r="G3873" s="196">
        <v>-340000</v>
      </c>
    </row>
    <row r="3874" spans="1:7" x14ac:dyDescent="0.3">
      <c r="A3874" s="198">
        <v>1035023807</v>
      </c>
      <c r="B3874" s="192" t="s">
        <v>2513</v>
      </c>
      <c r="C3874" s="196">
        <v>-57200</v>
      </c>
      <c r="D3874" s="196">
        <v>0</v>
      </c>
      <c r="E3874" s="196">
        <v>0</v>
      </c>
      <c r="F3874" s="196">
        <v>0</v>
      </c>
      <c r="G3874" s="196">
        <v>-57200</v>
      </c>
    </row>
    <row r="3875" spans="1:7" x14ac:dyDescent="0.3">
      <c r="A3875" s="198">
        <v>1020306293</v>
      </c>
      <c r="B3875" s="192" t="s">
        <v>2514</v>
      </c>
      <c r="C3875" s="196">
        <v>-50900</v>
      </c>
      <c r="D3875" s="196">
        <v>0</v>
      </c>
      <c r="E3875" s="196">
        <v>0</v>
      </c>
      <c r="F3875" s="196">
        <v>0</v>
      </c>
      <c r="G3875" s="196">
        <v>-50900</v>
      </c>
    </row>
    <row r="3876" spans="1:7" x14ac:dyDescent="0.3">
      <c r="A3876" s="198">
        <v>1034999860</v>
      </c>
      <c r="B3876" s="192" t="s">
        <v>2515</v>
      </c>
      <c r="C3876" s="196">
        <v>-47400</v>
      </c>
      <c r="D3876" s="196">
        <v>0</v>
      </c>
      <c r="E3876" s="196">
        <v>0</v>
      </c>
      <c r="F3876" s="196">
        <v>0</v>
      </c>
      <c r="G3876" s="196">
        <v>-47400</v>
      </c>
    </row>
    <row r="3877" spans="1:7" x14ac:dyDescent="0.3">
      <c r="A3877" s="198">
        <v>1017942290</v>
      </c>
      <c r="B3877" s="192" t="s">
        <v>185</v>
      </c>
      <c r="C3877" s="196">
        <v>0</v>
      </c>
      <c r="D3877" s="196">
        <v>0</v>
      </c>
      <c r="E3877" s="196">
        <v>50900</v>
      </c>
      <c r="F3877" s="196">
        <v>-50900</v>
      </c>
      <c r="G3877" s="196">
        <v>-50900</v>
      </c>
    </row>
    <row r="3878" spans="1:7" x14ac:dyDescent="0.3">
      <c r="A3878" s="198">
        <v>1035023912</v>
      </c>
      <c r="B3878" s="192" t="s">
        <v>2516</v>
      </c>
      <c r="C3878" s="196">
        <v>-50900</v>
      </c>
      <c r="D3878" s="196">
        <v>0</v>
      </c>
      <c r="E3878" s="196">
        <v>0</v>
      </c>
      <c r="F3878" s="196">
        <v>0</v>
      </c>
      <c r="G3878" s="196">
        <v>-50900</v>
      </c>
    </row>
    <row r="3879" spans="1:7" x14ac:dyDescent="0.3">
      <c r="A3879" s="198">
        <v>1035012741</v>
      </c>
      <c r="B3879" s="192" t="s">
        <v>186</v>
      </c>
      <c r="C3879" s="196">
        <v>0</v>
      </c>
      <c r="D3879" s="196">
        <v>0</v>
      </c>
      <c r="E3879" s="196">
        <v>54200</v>
      </c>
      <c r="F3879" s="196">
        <v>-54200</v>
      </c>
      <c r="G3879" s="196">
        <v>-54200</v>
      </c>
    </row>
    <row r="3880" spans="1:7" x14ac:dyDescent="0.3">
      <c r="A3880" s="198">
        <v>1035014845</v>
      </c>
      <c r="B3880" s="192" t="s">
        <v>2517</v>
      </c>
      <c r="C3880" s="196">
        <v>-50900</v>
      </c>
      <c r="D3880" s="196">
        <v>0</v>
      </c>
      <c r="E3880" s="196">
        <v>0</v>
      </c>
      <c r="F3880" s="196">
        <v>0</v>
      </c>
      <c r="G3880" s="196">
        <v>-50900</v>
      </c>
    </row>
    <row r="3881" spans="1:7" x14ac:dyDescent="0.3">
      <c r="A3881" s="198">
        <v>1035021072</v>
      </c>
      <c r="B3881" s="192" t="s">
        <v>2518</v>
      </c>
      <c r="C3881" s="196">
        <v>-50900</v>
      </c>
      <c r="D3881" s="196">
        <v>0</v>
      </c>
      <c r="E3881" s="196">
        <v>0</v>
      </c>
      <c r="F3881" s="196">
        <v>0</v>
      </c>
      <c r="G3881" s="196">
        <v>-50900</v>
      </c>
    </row>
    <row r="3882" spans="1:7" x14ac:dyDescent="0.3">
      <c r="A3882" s="198">
        <v>1036462404</v>
      </c>
      <c r="B3882" s="192" t="s">
        <v>187</v>
      </c>
      <c r="C3882" s="196">
        <v>0</v>
      </c>
      <c r="D3882" s="196">
        <v>0</v>
      </c>
      <c r="E3882" s="196">
        <v>54200</v>
      </c>
      <c r="F3882" s="196">
        <v>-54200</v>
      </c>
      <c r="G3882" s="196">
        <v>-54200</v>
      </c>
    </row>
    <row r="3883" spans="1:7" x14ac:dyDescent="0.3">
      <c r="A3883" s="198">
        <v>1020247310</v>
      </c>
      <c r="B3883" s="192" t="s">
        <v>2519</v>
      </c>
      <c r="C3883" s="196">
        <v>-50900</v>
      </c>
      <c r="D3883" s="196">
        <v>0</v>
      </c>
      <c r="E3883" s="196">
        <v>0</v>
      </c>
      <c r="F3883" s="196">
        <v>0</v>
      </c>
      <c r="G3883" s="196">
        <v>-50900</v>
      </c>
    </row>
    <row r="3884" spans="1:7" x14ac:dyDescent="0.3">
      <c r="A3884" s="198">
        <v>1035014894</v>
      </c>
      <c r="B3884" s="192" t="s">
        <v>2520</v>
      </c>
      <c r="C3884" s="196">
        <v>-50900</v>
      </c>
      <c r="D3884" s="196">
        <v>0</v>
      </c>
      <c r="E3884" s="196">
        <v>0</v>
      </c>
      <c r="F3884" s="196">
        <v>0</v>
      </c>
      <c r="G3884" s="196">
        <v>-50900</v>
      </c>
    </row>
    <row r="3885" spans="1:7" x14ac:dyDescent="0.3">
      <c r="A3885" s="198">
        <v>1022008118</v>
      </c>
      <c r="B3885" s="192" t="s">
        <v>2521</v>
      </c>
      <c r="C3885" s="196">
        <v>-46100</v>
      </c>
      <c r="D3885" s="196">
        <v>0</v>
      </c>
      <c r="E3885" s="196">
        <v>0</v>
      </c>
      <c r="F3885" s="196">
        <v>0</v>
      </c>
      <c r="G3885" s="196">
        <v>-46100</v>
      </c>
    </row>
    <row r="3886" spans="1:7" x14ac:dyDescent="0.3">
      <c r="A3886" s="198">
        <v>1035019961</v>
      </c>
      <c r="B3886" s="192" t="s">
        <v>188</v>
      </c>
      <c r="C3886" s="196">
        <v>0</v>
      </c>
      <c r="D3886" s="196">
        <v>0</v>
      </c>
      <c r="E3886" s="196">
        <v>50900</v>
      </c>
      <c r="F3886" s="196">
        <v>-50900</v>
      </c>
      <c r="G3886" s="196">
        <v>-50900</v>
      </c>
    </row>
    <row r="3887" spans="1:7" x14ac:dyDescent="0.3">
      <c r="A3887" s="198">
        <v>1035024173</v>
      </c>
      <c r="B3887" s="192" t="s">
        <v>2522</v>
      </c>
      <c r="C3887" s="196">
        <v>-50900</v>
      </c>
      <c r="D3887" s="196">
        <v>0</v>
      </c>
      <c r="E3887" s="196">
        <v>0</v>
      </c>
      <c r="F3887" s="196">
        <v>0</v>
      </c>
      <c r="G3887" s="196">
        <v>-50900</v>
      </c>
    </row>
    <row r="3888" spans="1:7" x14ac:dyDescent="0.3">
      <c r="A3888" s="198">
        <v>1020324327</v>
      </c>
      <c r="B3888" s="192" t="s">
        <v>2523</v>
      </c>
      <c r="C3888" s="196">
        <v>-50900</v>
      </c>
      <c r="D3888" s="196">
        <v>0</v>
      </c>
      <c r="E3888" s="196">
        <v>0</v>
      </c>
      <c r="F3888" s="196">
        <v>0</v>
      </c>
      <c r="G3888" s="196">
        <v>-50900</v>
      </c>
    </row>
    <row r="3889" spans="1:7" x14ac:dyDescent="0.3">
      <c r="A3889" s="198">
        <v>1023571758</v>
      </c>
      <c r="B3889" s="192" t="s">
        <v>2524</v>
      </c>
      <c r="C3889" s="196">
        <v>-50900</v>
      </c>
      <c r="D3889" s="196">
        <v>0</v>
      </c>
      <c r="E3889" s="196">
        <v>0</v>
      </c>
      <c r="F3889" s="196">
        <v>0</v>
      </c>
      <c r="G3889" s="196">
        <v>-50900</v>
      </c>
    </row>
    <row r="3890" spans="1:7" x14ac:dyDescent="0.3">
      <c r="A3890" s="198">
        <v>1046541065</v>
      </c>
      <c r="B3890" s="192" t="s">
        <v>2525</v>
      </c>
      <c r="C3890" s="196">
        <v>-297000</v>
      </c>
      <c r="D3890" s="196">
        <v>0</v>
      </c>
      <c r="E3890" s="196">
        <v>0</v>
      </c>
      <c r="F3890" s="196">
        <v>0</v>
      </c>
      <c r="G3890" s="196">
        <v>-297000</v>
      </c>
    </row>
    <row r="3891" spans="1:7" x14ac:dyDescent="0.3">
      <c r="A3891" s="198">
        <v>588430290</v>
      </c>
      <c r="B3891" s="192" t="s">
        <v>2526</v>
      </c>
      <c r="C3891" s="196">
        <v>-207000</v>
      </c>
      <c r="D3891" s="196">
        <v>0</v>
      </c>
      <c r="E3891" s="196">
        <v>0</v>
      </c>
      <c r="F3891" s="196">
        <v>0</v>
      </c>
      <c r="G3891" s="196">
        <v>-207000</v>
      </c>
    </row>
    <row r="3892" spans="1:7" x14ac:dyDescent="0.3">
      <c r="A3892" s="198">
        <v>39801307</v>
      </c>
      <c r="B3892" s="192" t="s">
        <v>2527</v>
      </c>
      <c r="C3892" s="196">
        <v>-297000</v>
      </c>
      <c r="D3892" s="196">
        <v>0</v>
      </c>
      <c r="E3892" s="196">
        <v>0</v>
      </c>
      <c r="F3892" s="196">
        <v>0</v>
      </c>
      <c r="G3892" s="196">
        <v>-297000</v>
      </c>
    </row>
    <row r="3893" spans="1:7" x14ac:dyDescent="0.3">
      <c r="A3893" s="198">
        <v>1035023072</v>
      </c>
      <c r="B3893" s="192" t="s">
        <v>2528</v>
      </c>
      <c r="C3893" s="196">
        <v>-50900</v>
      </c>
      <c r="D3893" s="196">
        <v>0</v>
      </c>
      <c r="E3893" s="196">
        <v>0</v>
      </c>
      <c r="F3893" s="196">
        <v>0</v>
      </c>
      <c r="G3893" s="196">
        <v>-50900</v>
      </c>
    </row>
    <row r="3894" spans="1:7" x14ac:dyDescent="0.3">
      <c r="A3894" s="198">
        <v>1023574642</v>
      </c>
      <c r="B3894" s="192" t="s">
        <v>190</v>
      </c>
      <c r="C3894" s="196">
        <v>0</v>
      </c>
      <c r="D3894" s="196">
        <v>0</v>
      </c>
      <c r="E3894" s="196">
        <v>340000</v>
      </c>
      <c r="F3894" s="196">
        <v>-340000</v>
      </c>
      <c r="G3894" s="196">
        <v>-340000</v>
      </c>
    </row>
    <row r="3895" spans="1:7" x14ac:dyDescent="0.3">
      <c r="A3895" s="192" t="s">
        <v>2529</v>
      </c>
      <c r="B3895" s="192" t="s">
        <v>2530</v>
      </c>
      <c r="C3895" s="196">
        <v>-297000</v>
      </c>
      <c r="D3895" s="196">
        <v>0</v>
      </c>
      <c r="E3895" s="196">
        <v>0</v>
      </c>
      <c r="F3895" s="196">
        <v>0</v>
      </c>
      <c r="G3895" s="196">
        <v>-297000</v>
      </c>
    </row>
    <row r="3896" spans="1:7" x14ac:dyDescent="0.3">
      <c r="A3896" s="198">
        <v>7578221</v>
      </c>
      <c r="B3896" s="192" t="s">
        <v>2531</v>
      </c>
      <c r="C3896" s="196">
        <v>-50900</v>
      </c>
      <c r="D3896" s="196">
        <v>0</v>
      </c>
      <c r="E3896" s="196">
        <v>0</v>
      </c>
      <c r="F3896" s="196">
        <v>0</v>
      </c>
      <c r="G3896" s="196">
        <v>-50900</v>
      </c>
    </row>
    <row r="3897" spans="1:7" x14ac:dyDescent="0.3">
      <c r="A3897" s="198">
        <v>1011421159</v>
      </c>
      <c r="B3897" s="192" t="s">
        <v>2532</v>
      </c>
      <c r="C3897" s="196">
        <v>-20000</v>
      </c>
      <c r="D3897" s="196">
        <v>0</v>
      </c>
      <c r="E3897" s="196">
        <v>0</v>
      </c>
      <c r="F3897" s="196">
        <v>0</v>
      </c>
      <c r="G3897" s="196">
        <v>-20000</v>
      </c>
    </row>
    <row r="3898" spans="1:7" x14ac:dyDescent="0.3">
      <c r="A3898" s="198">
        <v>1015080368</v>
      </c>
      <c r="B3898" s="192" t="s">
        <v>2533</v>
      </c>
      <c r="C3898" s="196">
        <v>-47400</v>
      </c>
      <c r="D3898" s="196">
        <v>0</v>
      </c>
      <c r="E3898" s="196">
        <v>0</v>
      </c>
      <c r="F3898" s="196">
        <v>0</v>
      </c>
      <c r="G3898" s="196">
        <v>-47400</v>
      </c>
    </row>
    <row r="3899" spans="1:7" x14ac:dyDescent="0.3">
      <c r="A3899" s="198">
        <v>1038267137</v>
      </c>
      <c r="B3899" s="192" t="s">
        <v>2534</v>
      </c>
      <c r="C3899" s="196">
        <v>-50900</v>
      </c>
      <c r="D3899" s="196">
        <v>0</v>
      </c>
      <c r="E3899" s="196">
        <v>0</v>
      </c>
      <c r="F3899" s="196">
        <v>0</v>
      </c>
      <c r="G3899" s="196">
        <v>-50900</v>
      </c>
    </row>
    <row r="3900" spans="1:7" x14ac:dyDescent="0.3">
      <c r="A3900" s="198">
        <v>1042093581</v>
      </c>
      <c r="B3900" s="192" t="s">
        <v>2535</v>
      </c>
      <c r="C3900" s="196">
        <v>-177100</v>
      </c>
      <c r="D3900" s="196">
        <v>0</v>
      </c>
      <c r="E3900" s="196">
        <v>0</v>
      </c>
      <c r="F3900" s="196">
        <v>0</v>
      </c>
      <c r="G3900" s="196">
        <v>-177100</v>
      </c>
    </row>
    <row r="3901" spans="1:7" x14ac:dyDescent="0.3">
      <c r="A3901" s="198">
        <v>1238940553</v>
      </c>
      <c r="B3901" s="192" t="s">
        <v>2536</v>
      </c>
      <c r="C3901" s="196">
        <v>-50900</v>
      </c>
      <c r="D3901" s="196">
        <v>0</v>
      </c>
      <c r="E3901" s="196">
        <v>0</v>
      </c>
      <c r="F3901" s="196">
        <v>0</v>
      </c>
      <c r="G3901" s="196">
        <v>-50900</v>
      </c>
    </row>
    <row r="3902" spans="1:7" x14ac:dyDescent="0.3">
      <c r="A3902" s="198">
        <v>1075325842</v>
      </c>
      <c r="B3902" s="192" t="s">
        <v>2537</v>
      </c>
      <c r="C3902" s="196">
        <v>-340000</v>
      </c>
      <c r="D3902" s="196">
        <v>0</v>
      </c>
      <c r="E3902" s="196">
        <v>0</v>
      </c>
      <c r="F3902" s="196">
        <v>0</v>
      </c>
      <c r="G3902" s="196">
        <v>-340000</v>
      </c>
    </row>
    <row r="3903" spans="1:7" x14ac:dyDescent="0.3">
      <c r="A3903" s="198">
        <v>42731208</v>
      </c>
      <c r="B3903" s="192" t="s">
        <v>2538</v>
      </c>
      <c r="C3903" s="196">
        <v>-162000</v>
      </c>
      <c r="D3903" s="196">
        <v>0</v>
      </c>
      <c r="E3903" s="196">
        <v>0</v>
      </c>
      <c r="F3903" s="196">
        <v>0</v>
      </c>
      <c r="G3903" s="196">
        <v>-162000</v>
      </c>
    </row>
    <row r="3904" spans="1:7" x14ac:dyDescent="0.3">
      <c r="A3904" s="198">
        <v>42769423</v>
      </c>
      <c r="B3904" s="192" t="s">
        <v>192</v>
      </c>
      <c r="C3904" s="196">
        <v>-101800</v>
      </c>
      <c r="D3904" s="196">
        <v>50899</v>
      </c>
      <c r="E3904" s="196">
        <v>0</v>
      </c>
      <c r="F3904" s="196">
        <v>50899</v>
      </c>
      <c r="G3904" s="196">
        <v>-50901</v>
      </c>
    </row>
    <row r="3905" spans="1:7" x14ac:dyDescent="0.3">
      <c r="A3905" s="198">
        <v>43630597</v>
      </c>
      <c r="B3905" s="192" t="s">
        <v>2539</v>
      </c>
      <c r="C3905" s="196">
        <v>-162600</v>
      </c>
      <c r="D3905" s="196">
        <v>0</v>
      </c>
      <c r="E3905" s="196">
        <v>0</v>
      </c>
      <c r="F3905" s="196">
        <v>0</v>
      </c>
      <c r="G3905" s="196">
        <v>-162600</v>
      </c>
    </row>
    <row r="3906" spans="1:7" x14ac:dyDescent="0.3">
      <c r="A3906" s="198">
        <v>43002772</v>
      </c>
      <c r="B3906" s="192" t="s">
        <v>193</v>
      </c>
      <c r="C3906" s="196">
        <v>-50900</v>
      </c>
      <c r="D3906" s="196">
        <v>0</v>
      </c>
      <c r="E3906" s="196">
        <v>50900</v>
      </c>
      <c r="F3906" s="196">
        <v>-50900</v>
      </c>
      <c r="G3906" s="196">
        <v>-101800</v>
      </c>
    </row>
    <row r="3907" spans="1:7" x14ac:dyDescent="0.3">
      <c r="A3907" s="198">
        <v>21492634</v>
      </c>
      <c r="B3907" s="192" t="s">
        <v>194</v>
      </c>
      <c r="C3907" s="196">
        <v>0</v>
      </c>
      <c r="D3907" s="196">
        <v>0</v>
      </c>
      <c r="E3907" s="196">
        <v>50900</v>
      </c>
      <c r="F3907" s="196">
        <v>-50900</v>
      </c>
      <c r="G3907" s="196">
        <v>-50900</v>
      </c>
    </row>
    <row r="3908" spans="1:7" x14ac:dyDescent="0.3">
      <c r="A3908" s="198">
        <v>43676509</v>
      </c>
      <c r="B3908" s="192" t="s">
        <v>2540</v>
      </c>
      <c r="C3908" s="196">
        <v>-270000</v>
      </c>
      <c r="D3908" s="196">
        <v>0</v>
      </c>
      <c r="E3908" s="196">
        <v>0</v>
      </c>
      <c r="F3908" s="196">
        <v>0</v>
      </c>
      <c r="G3908" s="196">
        <v>-270000</v>
      </c>
    </row>
    <row r="3909" spans="1:7" x14ac:dyDescent="0.3">
      <c r="A3909" s="198">
        <v>43078505</v>
      </c>
      <c r="B3909" s="192" t="s">
        <v>2541</v>
      </c>
      <c r="C3909" s="196">
        <v>-297000</v>
      </c>
      <c r="D3909" s="196">
        <v>0</v>
      </c>
      <c r="E3909" s="196">
        <v>0</v>
      </c>
      <c r="F3909" s="196">
        <v>0</v>
      </c>
      <c r="G3909" s="196">
        <v>-297000</v>
      </c>
    </row>
    <row r="3910" spans="1:7" x14ac:dyDescent="0.3">
      <c r="A3910" s="198">
        <v>52404941</v>
      </c>
      <c r="B3910" s="192" t="s">
        <v>2542</v>
      </c>
      <c r="C3910" s="196">
        <v>-108000</v>
      </c>
      <c r="D3910" s="196">
        <v>0</v>
      </c>
      <c r="E3910" s="196">
        <v>0</v>
      </c>
      <c r="F3910" s="196">
        <v>0</v>
      </c>
      <c r="G3910" s="196">
        <v>-108000</v>
      </c>
    </row>
    <row r="3911" spans="1:7" x14ac:dyDescent="0.3">
      <c r="A3911" s="198">
        <v>98654155</v>
      </c>
      <c r="B3911" s="192" t="s">
        <v>195</v>
      </c>
      <c r="C3911" s="196">
        <v>0</v>
      </c>
      <c r="D3911" s="196">
        <v>0</v>
      </c>
      <c r="E3911" s="196">
        <v>162000</v>
      </c>
      <c r="F3911" s="196">
        <v>-162000</v>
      </c>
      <c r="G3911" s="196">
        <v>-162000</v>
      </c>
    </row>
    <row r="3912" spans="1:7" x14ac:dyDescent="0.3">
      <c r="A3912" s="198">
        <v>98655045</v>
      </c>
      <c r="B3912" s="192" t="s">
        <v>2543</v>
      </c>
      <c r="C3912" s="196">
        <v>-270000</v>
      </c>
      <c r="D3912" s="196">
        <v>0</v>
      </c>
      <c r="E3912" s="196">
        <v>0</v>
      </c>
      <c r="F3912" s="196">
        <v>0</v>
      </c>
      <c r="G3912" s="196">
        <v>-270000</v>
      </c>
    </row>
    <row r="3913" spans="1:7" x14ac:dyDescent="0.3">
      <c r="A3913" s="198">
        <v>79594798</v>
      </c>
      <c r="B3913" s="192" t="s">
        <v>2544</v>
      </c>
      <c r="C3913" s="196">
        <v>-50900</v>
      </c>
      <c r="D3913" s="196">
        <v>0</v>
      </c>
      <c r="E3913" s="196">
        <v>0</v>
      </c>
      <c r="F3913" s="196">
        <v>0</v>
      </c>
      <c r="G3913" s="196">
        <v>-50900</v>
      </c>
    </row>
    <row r="3914" spans="1:7" x14ac:dyDescent="0.3">
      <c r="A3914" s="198">
        <v>313747</v>
      </c>
      <c r="B3914" s="192" t="s">
        <v>2545</v>
      </c>
      <c r="C3914" s="196">
        <v>-297000</v>
      </c>
      <c r="D3914" s="196">
        <v>0</v>
      </c>
      <c r="E3914" s="196">
        <v>0</v>
      </c>
      <c r="F3914" s="196">
        <v>0</v>
      </c>
      <c r="G3914" s="196">
        <v>-297000</v>
      </c>
    </row>
    <row r="3915" spans="1:7" x14ac:dyDescent="0.3">
      <c r="A3915" s="198">
        <v>8252036</v>
      </c>
      <c r="B3915" s="192" t="s">
        <v>2546</v>
      </c>
      <c r="C3915" s="196">
        <v>-297000</v>
      </c>
      <c r="D3915" s="196">
        <v>0</v>
      </c>
      <c r="E3915" s="196">
        <v>0</v>
      </c>
      <c r="F3915" s="196">
        <v>0</v>
      </c>
      <c r="G3915" s="196">
        <v>-297000</v>
      </c>
    </row>
    <row r="3916" spans="1:7" x14ac:dyDescent="0.3">
      <c r="A3916" s="198">
        <v>1136885231</v>
      </c>
      <c r="B3916" s="192" t="s">
        <v>2547</v>
      </c>
      <c r="C3916" s="196">
        <v>-41800</v>
      </c>
      <c r="D3916" s="196">
        <v>0</v>
      </c>
      <c r="E3916" s="196">
        <v>0</v>
      </c>
      <c r="F3916" s="196">
        <v>0</v>
      </c>
      <c r="G3916" s="196">
        <v>-41800</v>
      </c>
    </row>
    <row r="3917" spans="1:7" x14ac:dyDescent="0.3">
      <c r="A3917" s="198">
        <v>15250723</v>
      </c>
      <c r="B3917" s="192" t="s">
        <v>2548</v>
      </c>
      <c r="C3917" s="196">
        <v>-484000</v>
      </c>
      <c r="D3917" s="196">
        <v>0</v>
      </c>
      <c r="E3917" s="196">
        <v>0</v>
      </c>
      <c r="F3917" s="196">
        <v>0</v>
      </c>
      <c r="G3917" s="196">
        <v>-484000</v>
      </c>
    </row>
    <row r="3918" spans="1:7" x14ac:dyDescent="0.3">
      <c r="A3918" s="198">
        <v>19222950</v>
      </c>
      <c r="B3918" s="192" t="s">
        <v>2549</v>
      </c>
      <c r="C3918" s="196">
        <v>-50900</v>
      </c>
      <c r="D3918" s="196">
        <v>0</v>
      </c>
      <c r="E3918" s="196">
        <v>0</v>
      </c>
      <c r="F3918" s="196">
        <v>0</v>
      </c>
      <c r="G3918" s="196">
        <v>-50900</v>
      </c>
    </row>
    <row r="3919" spans="1:7" x14ac:dyDescent="0.3">
      <c r="A3919" s="198">
        <v>240155</v>
      </c>
      <c r="B3919" s="192" t="s">
        <v>2550</v>
      </c>
      <c r="C3919" s="196">
        <v>-50900</v>
      </c>
      <c r="D3919" s="196">
        <v>0</v>
      </c>
      <c r="E3919" s="196">
        <v>0</v>
      </c>
      <c r="F3919" s="196">
        <v>0</v>
      </c>
      <c r="G3919" s="196">
        <v>-50900</v>
      </c>
    </row>
    <row r="3920" spans="1:7" x14ac:dyDescent="0.3">
      <c r="A3920" s="198">
        <v>70504935</v>
      </c>
      <c r="B3920" s="192" t="s">
        <v>196</v>
      </c>
      <c r="C3920" s="196">
        <v>-50500</v>
      </c>
      <c r="D3920" s="196">
        <v>0</v>
      </c>
      <c r="E3920" s="196">
        <v>54200</v>
      </c>
      <c r="F3920" s="196">
        <v>-54200</v>
      </c>
      <c r="G3920" s="196">
        <v>-104700</v>
      </c>
    </row>
    <row r="3921" spans="1:7" x14ac:dyDescent="0.3">
      <c r="A3921" s="198">
        <v>82360700</v>
      </c>
      <c r="B3921" s="192" t="s">
        <v>197</v>
      </c>
      <c r="C3921" s="196">
        <v>0</v>
      </c>
      <c r="D3921" s="196">
        <v>0</v>
      </c>
      <c r="E3921" s="196">
        <v>319000</v>
      </c>
      <c r="F3921" s="196">
        <v>-319000</v>
      </c>
      <c r="G3921" s="196">
        <v>-319000</v>
      </c>
    </row>
    <row r="3922" spans="1:7" x14ac:dyDescent="0.3">
      <c r="A3922" s="198">
        <v>1035015727</v>
      </c>
      <c r="B3922" s="192" t="s">
        <v>2551</v>
      </c>
      <c r="C3922" s="196">
        <v>-50900</v>
      </c>
      <c r="D3922" s="196">
        <v>0</v>
      </c>
      <c r="E3922" s="196">
        <v>0</v>
      </c>
      <c r="F3922" s="196">
        <v>0</v>
      </c>
      <c r="G3922" s="196">
        <v>-50900</v>
      </c>
    </row>
    <row r="3923" spans="1:7" x14ac:dyDescent="0.3">
      <c r="A3923" s="198">
        <v>20266978</v>
      </c>
      <c r="B3923" s="192" t="s">
        <v>2552</v>
      </c>
      <c r="C3923" s="196">
        <v>-57200</v>
      </c>
      <c r="D3923" s="196">
        <v>0</v>
      </c>
      <c r="E3923" s="196">
        <v>0</v>
      </c>
      <c r="F3923" s="196">
        <v>0</v>
      </c>
      <c r="G3923" s="196">
        <v>-57200</v>
      </c>
    </row>
    <row r="3924" spans="1:7" x14ac:dyDescent="0.3">
      <c r="A3924" s="198">
        <v>42774777</v>
      </c>
      <c r="B3924" s="192" t="s">
        <v>2553</v>
      </c>
      <c r="C3924" s="196">
        <v>-57200</v>
      </c>
      <c r="D3924" s="196">
        <v>0</v>
      </c>
      <c r="E3924" s="196">
        <v>0</v>
      </c>
      <c r="F3924" s="196">
        <v>0</v>
      </c>
      <c r="G3924" s="196">
        <v>-57200</v>
      </c>
    </row>
    <row r="3925" spans="1:7" x14ac:dyDescent="0.3">
      <c r="A3925" s="198">
        <v>1037585013</v>
      </c>
      <c r="B3925" s="192" t="s">
        <v>2554</v>
      </c>
      <c r="C3925" s="196">
        <v>-50900</v>
      </c>
      <c r="D3925" s="196">
        <v>0</v>
      </c>
      <c r="E3925" s="196">
        <v>0</v>
      </c>
      <c r="F3925" s="196">
        <v>0</v>
      </c>
      <c r="G3925" s="196">
        <v>-50900</v>
      </c>
    </row>
    <row r="3926" spans="1:7" x14ac:dyDescent="0.3">
      <c r="A3926" s="198">
        <v>32297108</v>
      </c>
      <c r="B3926" s="192" t="s">
        <v>2555</v>
      </c>
      <c r="C3926" s="196">
        <v>-50900</v>
      </c>
      <c r="D3926" s="196">
        <v>0</v>
      </c>
      <c r="E3926" s="196">
        <v>0</v>
      </c>
      <c r="F3926" s="196">
        <v>0</v>
      </c>
      <c r="G3926" s="196">
        <v>-50900</v>
      </c>
    </row>
    <row r="3927" spans="1:7" x14ac:dyDescent="0.3">
      <c r="A3927" s="198">
        <v>1019916923</v>
      </c>
      <c r="B3927" s="192" t="s">
        <v>2556</v>
      </c>
      <c r="C3927" s="196">
        <v>-47400</v>
      </c>
      <c r="D3927" s="196">
        <v>0</v>
      </c>
      <c r="E3927" s="196">
        <v>0</v>
      </c>
      <c r="F3927" s="196">
        <v>0</v>
      </c>
      <c r="G3927" s="196">
        <v>-47400</v>
      </c>
    </row>
    <row r="3928" spans="1:7" x14ac:dyDescent="0.3">
      <c r="A3928" s="198">
        <v>1055835346</v>
      </c>
      <c r="B3928" s="192" t="s">
        <v>2557</v>
      </c>
      <c r="C3928" s="196">
        <v>-297000</v>
      </c>
      <c r="D3928" s="196">
        <v>0</v>
      </c>
      <c r="E3928" s="196">
        <v>0</v>
      </c>
      <c r="F3928" s="196">
        <v>0</v>
      </c>
      <c r="G3928" s="196">
        <v>-297000</v>
      </c>
    </row>
    <row r="3929" spans="1:7" x14ac:dyDescent="0.3">
      <c r="A3929" s="198">
        <v>1001235170</v>
      </c>
      <c r="B3929" s="192" t="s">
        <v>2558</v>
      </c>
      <c r="C3929" s="196">
        <v>-266800</v>
      </c>
      <c r="D3929" s="196">
        <v>0</v>
      </c>
      <c r="E3929" s="196">
        <v>0</v>
      </c>
      <c r="F3929" s="196">
        <v>0</v>
      </c>
      <c r="G3929" s="196">
        <v>-266800</v>
      </c>
    </row>
    <row r="3930" spans="1:7" x14ac:dyDescent="0.3">
      <c r="A3930" s="198">
        <v>1128414078</v>
      </c>
      <c r="B3930" s="192" t="s">
        <v>2559</v>
      </c>
      <c r="C3930" s="196">
        <v>-47400</v>
      </c>
      <c r="D3930" s="196">
        <v>0</v>
      </c>
      <c r="E3930" s="196">
        <v>0</v>
      </c>
      <c r="F3930" s="196">
        <v>0</v>
      </c>
      <c r="G3930" s="196">
        <v>-47400</v>
      </c>
    </row>
    <row r="3931" spans="1:7" x14ac:dyDescent="0.3">
      <c r="A3931" s="198">
        <v>43206272</v>
      </c>
      <c r="B3931" s="192" t="s">
        <v>2560</v>
      </c>
      <c r="C3931" s="196">
        <v>-62000</v>
      </c>
      <c r="D3931" s="196">
        <v>0</v>
      </c>
      <c r="E3931" s="196">
        <v>0</v>
      </c>
      <c r="F3931" s="196">
        <v>0</v>
      </c>
      <c r="G3931" s="196">
        <v>-62000</v>
      </c>
    </row>
    <row r="3932" spans="1:7" x14ac:dyDescent="0.3">
      <c r="A3932" s="198">
        <v>42825193</v>
      </c>
      <c r="B3932" s="192" t="s">
        <v>198</v>
      </c>
      <c r="C3932" s="196">
        <v>0</v>
      </c>
      <c r="D3932" s="196">
        <v>0</v>
      </c>
      <c r="E3932" s="196">
        <v>50900</v>
      </c>
      <c r="F3932" s="196">
        <v>-50900</v>
      </c>
      <c r="G3932" s="196">
        <v>-50900</v>
      </c>
    </row>
    <row r="3933" spans="1:7" x14ac:dyDescent="0.3">
      <c r="A3933" s="198">
        <v>43759008</v>
      </c>
      <c r="B3933" s="192" t="s">
        <v>2561</v>
      </c>
      <c r="C3933" s="196">
        <v>-162000</v>
      </c>
      <c r="D3933" s="196">
        <v>0</v>
      </c>
      <c r="E3933" s="196">
        <v>0</v>
      </c>
      <c r="F3933" s="196">
        <v>0</v>
      </c>
      <c r="G3933" s="196">
        <v>-162000</v>
      </c>
    </row>
    <row r="3934" spans="1:7" x14ac:dyDescent="0.3">
      <c r="A3934" s="198">
        <v>43864772</v>
      </c>
      <c r="B3934" s="192" t="s">
        <v>2562</v>
      </c>
      <c r="C3934" s="196">
        <v>-50900</v>
      </c>
      <c r="D3934" s="196">
        <v>0</v>
      </c>
      <c r="E3934" s="196">
        <v>0</v>
      </c>
      <c r="F3934" s="196">
        <v>0</v>
      </c>
      <c r="G3934" s="196">
        <v>-50900</v>
      </c>
    </row>
    <row r="3935" spans="1:7" x14ac:dyDescent="0.3">
      <c r="A3935" s="198">
        <v>43740206</v>
      </c>
      <c r="B3935" s="192" t="s">
        <v>2563</v>
      </c>
      <c r="C3935" s="196">
        <v>-50900</v>
      </c>
      <c r="D3935" s="196">
        <v>0</v>
      </c>
      <c r="E3935" s="196">
        <v>0</v>
      </c>
      <c r="F3935" s="196">
        <v>0</v>
      </c>
      <c r="G3935" s="196">
        <v>-50900</v>
      </c>
    </row>
    <row r="3936" spans="1:7" x14ac:dyDescent="0.3">
      <c r="A3936" s="198">
        <v>1020460071</v>
      </c>
      <c r="B3936" s="192" t="s">
        <v>199</v>
      </c>
      <c r="C3936" s="196">
        <v>0</v>
      </c>
      <c r="D3936" s="196">
        <v>0</v>
      </c>
      <c r="E3936" s="196">
        <v>50900</v>
      </c>
      <c r="F3936" s="196">
        <v>-50900</v>
      </c>
      <c r="G3936" s="196">
        <v>-50900</v>
      </c>
    </row>
    <row r="3937" spans="1:7" x14ac:dyDescent="0.3">
      <c r="A3937" s="198">
        <v>1015072946</v>
      </c>
      <c r="B3937" s="192" t="s">
        <v>2564</v>
      </c>
      <c r="C3937" s="196">
        <v>-34600</v>
      </c>
      <c r="D3937" s="196">
        <v>0</v>
      </c>
      <c r="E3937" s="196">
        <v>0</v>
      </c>
      <c r="F3937" s="196">
        <v>0</v>
      </c>
      <c r="G3937" s="196">
        <v>-34600</v>
      </c>
    </row>
    <row r="3938" spans="1:7" x14ac:dyDescent="0.3">
      <c r="A3938" s="198">
        <v>1128264708</v>
      </c>
      <c r="B3938" s="192" t="s">
        <v>2565</v>
      </c>
      <c r="C3938" s="196">
        <v>-50900</v>
      </c>
      <c r="D3938" s="196">
        <v>0</v>
      </c>
      <c r="E3938" s="196">
        <v>0</v>
      </c>
      <c r="F3938" s="196">
        <v>0</v>
      </c>
      <c r="G3938" s="196">
        <v>-50900</v>
      </c>
    </row>
    <row r="3939" spans="1:7" x14ac:dyDescent="0.3">
      <c r="A3939" s="192" t="s">
        <v>2566</v>
      </c>
      <c r="B3939" s="192" t="s">
        <v>2567</v>
      </c>
      <c r="C3939" s="196">
        <v>-207000</v>
      </c>
      <c r="D3939" s="196">
        <v>0</v>
      </c>
      <c r="E3939" s="196">
        <v>0</v>
      </c>
      <c r="F3939" s="196">
        <v>0</v>
      </c>
      <c r="G3939" s="196">
        <v>-207000</v>
      </c>
    </row>
    <row r="3940" spans="1:7" x14ac:dyDescent="0.3">
      <c r="A3940" s="198">
        <v>1039912555</v>
      </c>
      <c r="B3940" s="192" t="s">
        <v>2568</v>
      </c>
      <c r="C3940" s="196">
        <v>-50900</v>
      </c>
      <c r="D3940" s="196">
        <v>0</v>
      </c>
      <c r="E3940" s="196">
        <v>0</v>
      </c>
      <c r="F3940" s="196">
        <v>0</v>
      </c>
      <c r="G3940" s="196">
        <v>-50900</v>
      </c>
    </row>
    <row r="3941" spans="1:7" x14ac:dyDescent="0.3">
      <c r="A3941" s="198">
        <v>1035025558</v>
      </c>
      <c r="B3941" s="192" t="s">
        <v>2569</v>
      </c>
      <c r="C3941" s="196">
        <v>-47000</v>
      </c>
      <c r="D3941" s="196">
        <v>0</v>
      </c>
      <c r="E3941" s="196">
        <v>0</v>
      </c>
      <c r="F3941" s="196">
        <v>0</v>
      </c>
      <c r="G3941" s="196">
        <v>-47000</v>
      </c>
    </row>
    <row r="3942" spans="1:7" x14ac:dyDescent="0.3">
      <c r="A3942" s="198">
        <v>8433956</v>
      </c>
      <c r="B3942" s="192" t="s">
        <v>2570</v>
      </c>
      <c r="C3942" s="196">
        <v>-94800</v>
      </c>
      <c r="D3942" s="196">
        <v>0</v>
      </c>
      <c r="E3942" s="196">
        <v>0</v>
      </c>
      <c r="F3942" s="196">
        <v>0</v>
      </c>
      <c r="G3942" s="196">
        <v>-94800</v>
      </c>
    </row>
    <row r="3943" spans="1:7" x14ac:dyDescent="0.3">
      <c r="A3943" s="198">
        <v>1127234442</v>
      </c>
      <c r="B3943" s="192" t="s">
        <v>2571</v>
      </c>
      <c r="C3943" s="196">
        <v>-297000</v>
      </c>
      <c r="D3943" s="196">
        <v>0</v>
      </c>
      <c r="E3943" s="196">
        <v>0</v>
      </c>
      <c r="F3943" s="196">
        <v>0</v>
      </c>
      <c r="G3943" s="196">
        <v>-297000</v>
      </c>
    </row>
    <row r="3944" spans="1:7" x14ac:dyDescent="0.3">
      <c r="A3944" s="198">
        <v>1034987265</v>
      </c>
      <c r="B3944" s="192" t="s">
        <v>2572</v>
      </c>
      <c r="C3944" s="196">
        <v>-50900</v>
      </c>
      <c r="D3944" s="196">
        <v>0</v>
      </c>
      <c r="E3944" s="196">
        <v>0</v>
      </c>
      <c r="F3944" s="196">
        <v>0</v>
      </c>
      <c r="G3944" s="196">
        <v>-50900</v>
      </c>
    </row>
    <row r="3945" spans="1:7" x14ac:dyDescent="0.3">
      <c r="A3945" s="198">
        <v>91236049</v>
      </c>
      <c r="B3945" s="192" t="s">
        <v>200</v>
      </c>
      <c r="C3945" s="196">
        <v>-50900</v>
      </c>
      <c r="D3945" s="196">
        <v>0</v>
      </c>
      <c r="E3945" s="196">
        <v>50900</v>
      </c>
      <c r="F3945" s="196">
        <v>-50900</v>
      </c>
      <c r="G3945" s="196">
        <v>-101800</v>
      </c>
    </row>
    <row r="3946" spans="1:7" x14ac:dyDescent="0.3">
      <c r="A3946" s="198">
        <v>1023547667</v>
      </c>
      <c r="B3946" s="192" t="s">
        <v>2573</v>
      </c>
      <c r="C3946" s="196">
        <v>-54200</v>
      </c>
      <c r="D3946" s="196">
        <v>0</v>
      </c>
      <c r="E3946" s="196">
        <v>0</v>
      </c>
      <c r="F3946" s="196">
        <v>0</v>
      </c>
      <c r="G3946" s="196">
        <v>-54200</v>
      </c>
    </row>
    <row r="3947" spans="1:7" x14ac:dyDescent="0.3">
      <c r="A3947" s="198">
        <v>1128389783</v>
      </c>
      <c r="B3947" s="192" t="s">
        <v>2574</v>
      </c>
      <c r="C3947" s="196">
        <v>-110000</v>
      </c>
      <c r="D3947" s="196">
        <v>0</v>
      </c>
      <c r="E3947" s="196">
        <v>0</v>
      </c>
      <c r="F3947" s="196">
        <v>0</v>
      </c>
      <c r="G3947" s="196">
        <v>-110000</v>
      </c>
    </row>
    <row r="3948" spans="1:7" x14ac:dyDescent="0.3">
      <c r="A3948" s="198">
        <v>1001764275</v>
      </c>
      <c r="B3948" s="192" t="s">
        <v>2575</v>
      </c>
      <c r="C3948" s="196">
        <v>-100000</v>
      </c>
      <c r="D3948" s="196">
        <v>0</v>
      </c>
      <c r="E3948" s="196">
        <v>0</v>
      </c>
      <c r="F3948" s="196">
        <v>0</v>
      </c>
      <c r="G3948" s="196">
        <v>-100000</v>
      </c>
    </row>
    <row r="3949" spans="1:7" x14ac:dyDescent="0.3">
      <c r="A3949" s="198">
        <v>1036952061</v>
      </c>
      <c r="B3949" s="192" t="s">
        <v>2576</v>
      </c>
      <c r="C3949" s="196">
        <v>-47400</v>
      </c>
      <c r="D3949" s="196">
        <v>0</v>
      </c>
      <c r="E3949" s="196">
        <v>0</v>
      </c>
      <c r="F3949" s="196">
        <v>0</v>
      </c>
      <c r="G3949" s="196">
        <v>-47400</v>
      </c>
    </row>
    <row r="3950" spans="1:7" x14ac:dyDescent="0.3">
      <c r="A3950" s="198">
        <v>1035003091</v>
      </c>
      <c r="B3950" s="192" t="s">
        <v>202</v>
      </c>
      <c r="C3950" s="196">
        <v>-43900</v>
      </c>
      <c r="D3950" s="196">
        <v>0</v>
      </c>
      <c r="E3950" s="196">
        <v>43900</v>
      </c>
      <c r="F3950" s="196">
        <v>-43900</v>
      </c>
      <c r="G3950" s="196">
        <v>-87800</v>
      </c>
    </row>
    <row r="3951" spans="1:7" x14ac:dyDescent="0.3">
      <c r="A3951" s="198">
        <v>1036927643</v>
      </c>
      <c r="B3951" s="192" t="s">
        <v>203</v>
      </c>
      <c r="C3951" s="196">
        <v>0</v>
      </c>
      <c r="D3951" s="196">
        <v>0</v>
      </c>
      <c r="E3951" s="196">
        <v>50900</v>
      </c>
      <c r="F3951" s="196">
        <v>-50900</v>
      </c>
      <c r="G3951" s="196">
        <v>-50900</v>
      </c>
    </row>
    <row r="3952" spans="1:7" x14ac:dyDescent="0.3">
      <c r="A3952" s="198">
        <v>1020303319</v>
      </c>
      <c r="B3952" s="192" t="s">
        <v>2577</v>
      </c>
      <c r="C3952" s="196">
        <v>-57200</v>
      </c>
      <c r="D3952" s="196">
        <v>0</v>
      </c>
      <c r="E3952" s="196">
        <v>0</v>
      </c>
      <c r="F3952" s="196">
        <v>0</v>
      </c>
      <c r="G3952" s="196">
        <v>-57200</v>
      </c>
    </row>
    <row r="3953" spans="1:7" x14ac:dyDescent="0.3">
      <c r="A3953" s="198">
        <v>8162486</v>
      </c>
      <c r="B3953" s="192" t="s">
        <v>2578</v>
      </c>
      <c r="C3953" s="196">
        <v>-50900</v>
      </c>
      <c r="D3953" s="196">
        <v>0</v>
      </c>
      <c r="E3953" s="196">
        <v>0</v>
      </c>
      <c r="F3953" s="196">
        <v>0</v>
      </c>
      <c r="G3953" s="196">
        <v>-50900</v>
      </c>
    </row>
    <row r="3954" spans="1:7" x14ac:dyDescent="0.3">
      <c r="A3954" s="198">
        <v>1037617106</v>
      </c>
      <c r="B3954" s="192" t="s">
        <v>204</v>
      </c>
      <c r="C3954" s="196">
        <v>0</v>
      </c>
      <c r="D3954" s="196">
        <v>0</v>
      </c>
      <c r="E3954" s="196">
        <v>50900</v>
      </c>
      <c r="F3954" s="196">
        <v>-50900</v>
      </c>
      <c r="G3954" s="196">
        <v>-50900</v>
      </c>
    </row>
    <row r="3955" spans="1:7" x14ac:dyDescent="0.3">
      <c r="A3955" s="198">
        <v>1152692330</v>
      </c>
      <c r="B3955" s="192" t="s">
        <v>2579</v>
      </c>
      <c r="C3955" s="196">
        <v>-50900</v>
      </c>
      <c r="D3955" s="196">
        <v>0</v>
      </c>
      <c r="E3955" s="196">
        <v>0</v>
      </c>
      <c r="F3955" s="196">
        <v>0</v>
      </c>
      <c r="G3955" s="196">
        <v>-50900</v>
      </c>
    </row>
    <row r="3956" spans="1:7" x14ac:dyDescent="0.3">
      <c r="A3956" s="198">
        <v>585241528</v>
      </c>
      <c r="B3956" s="192" t="s">
        <v>2580</v>
      </c>
      <c r="C3956" s="196">
        <v>-75000</v>
      </c>
      <c r="D3956" s="196">
        <v>0</v>
      </c>
      <c r="E3956" s="196">
        <v>0</v>
      </c>
      <c r="F3956" s="196">
        <v>0</v>
      </c>
      <c r="G3956" s="196">
        <v>-75000</v>
      </c>
    </row>
    <row r="3957" spans="1:7" x14ac:dyDescent="0.3">
      <c r="A3957" s="198">
        <v>1214723163</v>
      </c>
      <c r="B3957" s="192" t="s">
        <v>2581</v>
      </c>
      <c r="C3957" s="196">
        <v>-101800</v>
      </c>
      <c r="D3957" s="196">
        <v>0</v>
      </c>
      <c r="E3957" s="196">
        <v>0</v>
      </c>
      <c r="F3957" s="196">
        <v>0</v>
      </c>
      <c r="G3957" s="196">
        <v>-101800</v>
      </c>
    </row>
    <row r="3958" spans="1:7" x14ac:dyDescent="0.3">
      <c r="A3958" s="198">
        <v>1035021029</v>
      </c>
      <c r="B3958" s="192" t="s">
        <v>205</v>
      </c>
      <c r="C3958" s="196">
        <v>0</v>
      </c>
      <c r="D3958" s="196">
        <v>0</v>
      </c>
      <c r="E3958" s="196">
        <v>50900</v>
      </c>
      <c r="F3958" s="196">
        <v>-50900</v>
      </c>
      <c r="G3958" s="196">
        <v>-50900</v>
      </c>
    </row>
    <row r="3959" spans="1:7" x14ac:dyDescent="0.3">
      <c r="A3959" s="198">
        <v>1038263452</v>
      </c>
      <c r="B3959" s="192" t="s">
        <v>206</v>
      </c>
      <c r="C3959" s="196">
        <v>-50900</v>
      </c>
      <c r="D3959" s="196">
        <v>0</v>
      </c>
      <c r="E3959" s="196">
        <v>50900</v>
      </c>
      <c r="F3959" s="196">
        <v>-50900</v>
      </c>
      <c r="G3959" s="196">
        <v>-101800</v>
      </c>
    </row>
    <row r="3960" spans="1:7" x14ac:dyDescent="0.3">
      <c r="A3960" s="198">
        <v>16857164</v>
      </c>
      <c r="B3960" s="192" t="s">
        <v>207</v>
      </c>
      <c r="C3960" s="196">
        <v>-50900</v>
      </c>
      <c r="D3960" s="196">
        <v>0</v>
      </c>
      <c r="E3960" s="196">
        <v>101800</v>
      </c>
      <c r="F3960" s="196">
        <v>-101800</v>
      </c>
      <c r="G3960" s="196">
        <v>-152700</v>
      </c>
    </row>
    <row r="3961" spans="1:7" x14ac:dyDescent="0.3">
      <c r="A3961" s="192" t="s">
        <v>2582</v>
      </c>
      <c r="B3961" s="192" t="s">
        <v>2583</v>
      </c>
      <c r="C3961" s="196">
        <v>-297000</v>
      </c>
      <c r="D3961" s="196">
        <v>0</v>
      </c>
      <c r="E3961" s="196">
        <v>0</v>
      </c>
      <c r="F3961" s="196">
        <v>0</v>
      </c>
      <c r="G3961" s="196">
        <v>-297000</v>
      </c>
    </row>
    <row r="3962" spans="1:7" x14ac:dyDescent="0.3">
      <c r="A3962" s="198">
        <v>1017214277</v>
      </c>
      <c r="B3962" s="192" t="s">
        <v>2584</v>
      </c>
      <c r="C3962" s="196">
        <v>-129600</v>
      </c>
      <c r="D3962" s="196">
        <v>0</v>
      </c>
      <c r="E3962" s="196">
        <v>0</v>
      </c>
      <c r="F3962" s="196">
        <v>0</v>
      </c>
      <c r="G3962" s="196">
        <v>-129600</v>
      </c>
    </row>
    <row r="3963" spans="1:7" x14ac:dyDescent="0.3">
      <c r="A3963" s="198">
        <v>1025881186</v>
      </c>
      <c r="B3963" s="192" t="s">
        <v>209</v>
      </c>
      <c r="C3963" s="196">
        <v>-327600</v>
      </c>
      <c r="D3963" s="196">
        <v>0</v>
      </c>
      <c r="E3963" s="196">
        <v>165000</v>
      </c>
      <c r="F3963" s="196">
        <v>-165000</v>
      </c>
      <c r="G3963" s="196">
        <v>-492600</v>
      </c>
    </row>
    <row r="3964" spans="1:7" x14ac:dyDescent="0.3">
      <c r="A3964" s="198">
        <v>1037666700</v>
      </c>
      <c r="B3964" s="192" t="s">
        <v>210</v>
      </c>
      <c r="C3964" s="196">
        <v>0</v>
      </c>
      <c r="D3964" s="196">
        <v>0</v>
      </c>
      <c r="E3964" s="196">
        <v>38400</v>
      </c>
      <c r="F3964" s="196">
        <v>-38400</v>
      </c>
      <c r="G3964" s="196">
        <v>-38400</v>
      </c>
    </row>
    <row r="3965" spans="1:7" x14ac:dyDescent="0.3">
      <c r="A3965" s="198">
        <v>1035020541</v>
      </c>
      <c r="B3965" s="192" t="s">
        <v>2585</v>
      </c>
      <c r="C3965" s="196">
        <v>-50900</v>
      </c>
      <c r="D3965" s="196">
        <v>0</v>
      </c>
      <c r="E3965" s="196">
        <v>0</v>
      </c>
      <c r="F3965" s="196">
        <v>0</v>
      </c>
      <c r="G3965" s="196">
        <v>-50900</v>
      </c>
    </row>
    <row r="3966" spans="1:7" x14ac:dyDescent="0.3">
      <c r="A3966" s="198">
        <v>52440183</v>
      </c>
      <c r="B3966" s="192" t="s">
        <v>2586</v>
      </c>
      <c r="C3966" s="196">
        <v>-50900</v>
      </c>
      <c r="D3966" s="196">
        <v>0</v>
      </c>
      <c r="E3966" s="196">
        <v>0</v>
      </c>
      <c r="F3966" s="196">
        <v>0</v>
      </c>
      <c r="G3966" s="196">
        <v>-50900</v>
      </c>
    </row>
    <row r="3967" spans="1:7" x14ac:dyDescent="0.3">
      <c r="A3967" s="198">
        <v>1094663895</v>
      </c>
      <c r="B3967" s="192" t="s">
        <v>2587</v>
      </c>
      <c r="C3967" s="196">
        <v>-50900</v>
      </c>
      <c r="D3967" s="196">
        <v>0</v>
      </c>
      <c r="E3967" s="196">
        <v>0</v>
      </c>
      <c r="F3967" s="196">
        <v>0</v>
      </c>
      <c r="G3967" s="196">
        <v>-50900</v>
      </c>
    </row>
    <row r="3968" spans="1:7" x14ac:dyDescent="0.3">
      <c r="A3968" s="198">
        <v>80040204</v>
      </c>
      <c r="B3968" s="192" t="s">
        <v>2588</v>
      </c>
      <c r="C3968" s="196">
        <v>-50900</v>
      </c>
      <c r="D3968" s="196">
        <v>0</v>
      </c>
      <c r="E3968" s="196">
        <v>0</v>
      </c>
      <c r="F3968" s="196">
        <v>0</v>
      </c>
      <c r="G3968" s="196">
        <v>-50900</v>
      </c>
    </row>
    <row r="3969" spans="1:7" x14ac:dyDescent="0.3">
      <c r="A3969" s="198">
        <v>71290081</v>
      </c>
      <c r="B3969" s="192" t="s">
        <v>2589</v>
      </c>
      <c r="C3969" s="196">
        <v>-270000</v>
      </c>
      <c r="D3969" s="196">
        <v>0</v>
      </c>
      <c r="E3969" s="196">
        <v>0</v>
      </c>
      <c r="F3969" s="196">
        <v>0</v>
      </c>
      <c r="G3969" s="196">
        <v>-270000</v>
      </c>
    </row>
    <row r="3970" spans="1:7" x14ac:dyDescent="0.3">
      <c r="A3970" s="198">
        <v>71782236</v>
      </c>
      <c r="B3970" s="192" t="s">
        <v>2590</v>
      </c>
      <c r="C3970" s="196">
        <v>-297000</v>
      </c>
      <c r="D3970" s="196">
        <v>0</v>
      </c>
      <c r="E3970" s="196">
        <v>0</v>
      </c>
      <c r="F3970" s="196">
        <v>0</v>
      </c>
      <c r="G3970" s="196">
        <v>-297000</v>
      </c>
    </row>
    <row r="3971" spans="1:7" x14ac:dyDescent="0.3">
      <c r="A3971" s="198">
        <v>15438110</v>
      </c>
      <c r="B3971" s="192" t="s">
        <v>2591</v>
      </c>
      <c r="C3971" s="196">
        <v>-50900</v>
      </c>
      <c r="D3971" s="196">
        <v>0</v>
      </c>
      <c r="E3971" s="196">
        <v>0</v>
      </c>
      <c r="F3971" s="196">
        <v>0</v>
      </c>
      <c r="G3971" s="196">
        <v>-50900</v>
      </c>
    </row>
    <row r="3972" spans="1:7" x14ac:dyDescent="0.3">
      <c r="A3972" s="198">
        <v>98663439</v>
      </c>
      <c r="B3972" s="192" t="s">
        <v>2592</v>
      </c>
      <c r="C3972" s="196">
        <v>-297000</v>
      </c>
      <c r="D3972" s="196">
        <v>0</v>
      </c>
      <c r="E3972" s="196">
        <v>0</v>
      </c>
      <c r="F3972" s="196">
        <v>0</v>
      </c>
      <c r="G3972" s="196">
        <v>-297000</v>
      </c>
    </row>
    <row r="3973" spans="1:7" x14ac:dyDescent="0.3">
      <c r="A3973" s="198">
        <v>15370153</v>
      </c>
      <c r="B3973" s="192" t="s">
        <v>2593</v>
      </c>
      <c r="C3973" s="196">
        <v>-47000</v>
      </c>
      <c r="D3973" s="196">
        <v>0</v>
      </c>
      <c r="E3973" s="196">
        <v>0</v>
      </c>
      <c r="F3973" s="196">
        <v>0</v>
      </c>
      <c r="G3973" s="196">
        <v>-47000</v>
      </c>
    </row>
    <row r="3974" spans="1:7" x14ac:dyDescent="0.3">
      <c r="A3974" s="198">
        <v>1012340169</v>
      </c>
      <c r="B3974" s="192" t="s">
        <v>2594</v>
      </c>
      <c r="C3974" s="196">
        <v>-297000</v>
      </c>
      <c r="D3974" s="196">
        <v>0</v>
      </c>
      <c r="E3974" s="196">
        <v>0</v>
      </c>
      <c r="F3974" s="196">
        <v>0</v>
      </c>
      <c r="G3974" s="196">
        <v>-297000</v>
      </c>
    </row>
    <row r="3975" spans="1:7" x14ac:dyDescent="0.3">
      <c r="A3975" s="198">
        <v>71352045</v>
      </c>
      <c r="B3975" s="192" t="s">
        <v>2595</v>
      </c>
      <c r="C3975" s="196">
        <v>-50900</v>
      </c>
      <c r="D3975" s="196">
        <v>0</v>
      </c>
      <c r="E3975" s="196">
        <v>0</v>
      </c>
      <c r="F3975" s="196">
        <v>0</v>
      </c>
      <c r="G3975" s="196">
        <v>-50900</v>
      </c>
    </row>
    <row r="3976" spans="1:7" x14ac:dyDescent="0.3">
      <c r="A3976" s="198">
        <v>18517738</v>
      </c>
      <c r="B3976" s="192" t="s">
        <v>212</v>
      </c>
      <c r="C3976" s="196">
        <v>-49000</v>
      </c>
      <c r="D3976" s="196">
        <v>0</v>
      </c>
      <c r="E3976" s="196">
        <v>0</v>
      </c>
      <c r="F3976" s="196">
        <v>0</v>
      </c>
      <c r="G3976" s="196">
        <v>-49000</v>
      </c>
    </row>
    <row r="3977" spans="1:7" x14ac:dyDescent="0.3">
      <c r="A3977" s="198">
        <v>71332072</v>
      </c>
      <c r="B3977" s="192" t="s">
        <v>2596</v>
      </c>
      <c r="C3977" s="196">
        <v>-50900</v>
      </c>
      <c r="D3977" s="196">
        <v>0</v>
      </c>
      <c r="E3977" s="196">
        <v>0</v>
      </c>
      <c r="F3977" s="196">
        <v>0</v>
      </c>
      <c r="G3977" s="196">
        <v>-50900</v>
      </c>
    </row>
    <row r="3978" spans="1:7" x14ac:dyDescent="0.3">
      <c r="A3978" s="198">
        <v>1128450286</v>
      </c>
      <c r="B3978" s="192" t="s">
        <v>2597</v>
      </c>
      <c r="C3978" s="196">
        <v>-50900</v>
      </c>
      <c r="D3978" s="196">
        <v>0</v>
      </c>
      <c r="E3978" s="196">
        <v>0</v>
      </c>
      <c r="F3978" s="196">
        <v>0</v>
      </c>
      <c r="G3978" s="196">
        <v>-50900</v>
      </c>
    </row>
    <row r="3979" spans="1:7" x14ac:dyDescent="0.3">
      <c r="A3979" s="198">
        <v>98763898</v>
      </c>
      <c r="B3979" s="192" t="s">
        <v>2598</v>
      </c>
      <c r="C3979" s="196">
        <v>-297000</v>
      </c>
      <c r="D3979" s="196">
        <v>0</v>
      </c>
      <c r="E3979" s="196">
        <v>0</v>
      </c>
      <c r="F3979" s="196">
        <v>0</v>
      </c>
      <c r="G3979" s="196">
        <v>-297000</v>
      </c>
    </row>
    <row r="3980" spans="1:7" x14ac:dyDescent="0.3">
      <c r="A3980" s="198">
        <v>43873215</v>
      </c>
      <c r="B3980" s="192" t="s">
        <v>213</v>
      </c>
      <c r="C3980" s="196">
        <v>-250000</v>
      </c>
      <c r="D3980" s="196">
        <v>0</v>
      </c>
      <c r="E3980" s="196">
        <v>85000</v>
      </c>
      <c r="F3980" s="196">
        <v>-85000</v>
      </c>
      <c r="G3980" s="196">
        <v>-335000</v>
      </c>
    </row>
    <row r="3981" spans="1:7" x14ac:dyDescent="0.3">
      <c r="A3981" s="198">
        <v>42938863</v>
      </c>
      <c r="B3981" s="192" t="s">
        <v>2599</v>
      </c>
      <c r="C3981" s="196">
        <v>-438000</v>
      </c>
      <c r="D3981" s="196">
        <v>0</v>
      </c>
      <c r="E3981" s="196">
        <v>0</v>
      </c>
      <c r="F3981" s="196">
        <v>0</v>
      </c>
      <c r="G3981" s="196">
        <v>-438000</v>
      </c>
    </row>
    <row r="3982" spans="1:7" x14ac:dyDescent="0.3">
      <c r="A3982" s="198">
        <v>43686730</v>
      </c>
      <c r="B3982" s="192" t="s">
        <v>2600</v>
      </c>
      <c r="C3982" s="196">
        <v>-152700</v>
      </c>
      <c r="D3982" s="196">
        <v>0</v>
      </c>
      <c r="E3982" s="196">
        <v>0</v>
      </c>
      <c r="F3982" s="196">
        <v>0</v>
      </c>
      <c r="G3982" s="196">
        <v>-152700</v>
      </c>
    </row>
    <row r="3983" spans="1:7" x14ac:dyDescent="0.3">
      <c r="A3983" s="198">
        <v>43872306</v>
      </c>
      <c r="B3983" s="192" t="s">
        <v>214</v>
      </c>
      <c r="C3983" s="196">
        <v>0</v>
      </c>
      <c r="D3983" s="196">
        <v>0</v>
      </c>
      <c r="E3983" s="196">
        <v>50900</v>
      </c>
      <c r="F3983" s="196">
        <v>-50900</v>
      </c>
      <c r="G3983" s="196">
        <v>-50900</v>
      </c>
    </row>
    <row r="3984" spans="1:7" x14ac:dyDescent="0.3">
      <c r="A3984" s="198">
        <v>1037640727</v>
      </c>
      <c r="B3984" s="192" t="s">
        <v>2601</v>
      </c>
      <c r="C3984" s="196">
        <v>-47400</v>
      </c>
      <c r="D3984" s="196">
        <v>0</v>
      </c>
      <c r="E3984" s="196">
        <v>0</v>
      </c>
      <c r="F3984" s="196">
        <v>0</v>
      </c>
      <c r="G3984" s="196">
        <v>-47400</v>
      </c>
    </row>
    <row r="3985" spans="1:7" x14ac:dyDescent="0.3">
      <c r="A3985" s="198">
        <v>39282142</v>
      </c>
      <c r="B3985" s="192" t="s">
        <v>216</v>
      </c>
      <c r="C3985" s="196">
        <v>-351200</v>
      </c>
      <c r="D3985" s="196">
        <v>0</v>
      </c>
      <c r="E3985" s="196">
        <v>0</v>
      </c>
      <c r="F3985" s="196">
        <v>0</v>
      </c>
      <c r="G3985" s="196">
        <v>-351200</v>
      </c>
    </row>
    <row r="3986" spans="1:7" x14ac:dyDescent="0.3">
      <c r="A3986" s="198">
        <v>71742637</v>
      </c>
      <c r="B3986" s="192" t="s">
        <v>2602</v>
      </c>
      <c r="C3986" s="196">
        <v>-45000</v>
      </c>
      <c r="D3986" s="196">
        <v>0</v>
      </c>
      <c r="E3986" s="196">
        <v>0</v>
      </c>
      <c r="F3986" s="196">
        <v>0</v>
      </c>
      <c r="G3986" s="196">
        <v>-45000</v>
      </c>
    </row>
    <row r="3987" spans="1:7" x14ac:dyDescent="0.3">
      <c r="A3987" s="198">
        <v>1037646749</v>
      </c>
      <c r="B3987" s="192" t="s">
        <v>217</v>
      </c>
      <c r="C3987" s="196">
        <v>-222201</v>
      </c>
      <c r="D3987" s="196">
        <v>0</v>
      </c>
      <c r="E3987" s="196">
        <v>0</v>
      </c>
      <c r="F3987" s="196">
        <v>0</v>
      </c>
      <c r="G3987" s="196">
        <v>-222201</v>
      </c>
    </row>
    <row r="3988" spans="1:7" x14ac:dyDescent="0.3">
      <c r="A3988" s="192" t="s">
        <v>2603</v>
      </c>
      <c r="B3988" s="192" t="s">
        <v>2604</v>
      </c>
      <c r="C3988" s="196">
        <v>-270000</v>
      </c>
      <c r="D3988" s="196">
        <v>0</v>
      </c>
      <c r="E3988" s="196">
        <v>0</v>
      </c>
      <c r="F3988" s="196">
        <v>0</v>
      </c>
      <c r="G3988" s="196">
        <v>-270000</v>
      </c>
    </row>
    <row r="3989" spans="1:7" x14ac:dyDescent="0.3">
      <c r="A3989" s="198">
        <v>1035009818</v>
      </c>
      <c r="B3989" s="192" t="s">
        <v>219</v>
      </c>
      <c r="C3989" s="196">
        <v>0</v>
      </c>
      <c r="D3989" s="196">
        <v>0</v>
      </c>
      <c r="E3989" s="196">
        <v>57200</v>
      </c>
      <c r="F3989" s="196">
        <v>-57200</v>
      </c>
      <c r="G3989" s="196">
        <v>-57200</v>
      </c>
    </row>
    <row r="3990" spans="1:7" x14ac:dyDescent="0.3">
      <c r="A3990" s="198">
        <v>22085624</v>
      </c>
      <c r="B3990" s="192" t="s">
        <v>2605</v>
      </c>
      <c r="C3990" s="196">
        <v>-80000</v>
      </c>
      <c r="D3990" s="196">
        <v>0</v>
      </c>
      <c r="E3990" s="196">
        <v>0</v>
      </c>
      <c r="F3990" s="196">
        <v>0</v>
      </c>
      <c r="G3990" s="196">
        <v>-80000</v>
      </c>
    </row>
    <row r="3991" spans="1:7" x14ac:dyDescent="0.3">
      <c r="A3991" s="198">
        <v>1034994112</v>
      </c>
      <c r="B3991" s="192" t="s">
        <v>2606</v>
      </c>
      <c r="C3991" s="196">
        <v>-50900</v>
      </c>
      <c r="D3991" s="196">
        <v>0</v>
      </c>
      <c r="E3991" s="196">
        <v>0</v>
      </c>
      <c r="F3991" s="196">
        <v>0</v>
      </c>
      <c r="G3991" s="196">
        <v>-50900</v>
      </c>
    </row>
    <row r="3992" spans="1:7" x14ac:dyDescent="0.3">
      <c r="A3992" s="198">
        <v>1035022814</v>
      </c>
      <c r="B3992" s="192" t="s">
        <v>220</v>
      </c>
      <c r="C3992" s="196">
        <v>0</v>
      </c>
      <c r="D3992" s="196">
        <v>0</v>
      </c>
      <c r="E3992" s="196">
        <v>49000</v>
      </c>
      <c r="F3992" s="196">
        <v>-49000</v>
      </c>
      <c r="G3992" s="196">
        <v>-49000</v>
      </c>
    </row>
    <row r="3993" spans="1:7" x14ac:dyDescent="0.3">
      <c r="A3993" s="198">
        <v>1035007272</v>
      </c>
      <c r="B3993" s="192" t="s">
        <v>2607</v>
      </c>
      <c r="C3993" s="196">
        <v>-54200</v>
      </c>
      <c r="D3993" s="196">
        <v>0</v>
      </c>
      <c r="E3993" s="196">
        <v>0</v>
      </c>
      <c r="F3993" s="196">
        <v>0</v>
      </c>
      <c r="G3993" s="196">
        <v>-54200</v>
      </c>
    </row>
    <row r="3994" spans="1:7" x14ac:dyDescent="0.3">
      <c r="A3994" s="198">
        <v>1035020684</v>
      </c>
      <c r="B3994" s="192" t="s">
        <v>2608</v>
      </c>
      <c r="C3994" s="196">
        <v>-47400</v>
      </c>
      <c r="D3994" s="196">
        <v>0</v>
      </c>
      <c r="E3994" s="196">
        <v>0</v>
      </c>
      <c r="F3994" s="196">
        <v>0</v>
      </c>
      <c r="G3994" s="196">
        <v>-47400</v>
      </c>
    </row>
    <row r="3995" spans="1:7" x14ac:dyDescent="0.3">
      <c r="A3995" s="198">
        <v>1035026889</v>
      </c>
      <c r="B3995" s="192" t="s">
        <v>2609</v>
      </c>
      <c r="C3995" s="196">
        <v>-50900</v>
      </c>
      <c r="D3995" s="196">
        <v>0</v>
      </c>
      <c r="E3995" s="196">
        <v>0</v>
      </c>
      <c r="F3995" s="196">
        <v>0</v>
      </c>
      <c r="G3995" s="196">
        <v>-50900</v>
      </c>
    </row>
    <row r="3996" spans="1:7" x14ac:dyDescent="0.3">
      <c r="A3996" s="198">
        <v>1022007864</v>
      </c>
      <c r="B3996" s="192" t="s">
        <v>221</v>
      </c>
      <c r="C3996" s="196">
        <v>0</v>
      </c>
      <c r="D3996" s="196">
        <v>0</v>
      </c>
      <c r="E3996" s="196">
        <v>82800</v>
      </c>
      <c r="F3996" s="196">
        <v>-82800</v>
      </c>
      <c r="G3996" s="196">
        <v>-82800</v>
      </c>
    </row>
    <row r="3997" spans="1:7" x14ac:dyDescent="0.3">
      <c r="A3997" s="198">
        <v>1035021266</v>
      </c>
      <c r="B3997" s="192" t="s">
        <v>2610</v>
      </c>
      <c r="C3997" s="196">
        <v>-50900</v>
      </c>
      <c r="D3997" s="196">
        <v>0</v>
      </c>
      <c r="E3997" s="196">
        <v>0</v>
      </c>
      <c r="F3997" s="196">
        <v>0</v>
      </c>
      <c r="G3997" s="196">
        <v>-50900</v>
      </c>
    </row>
    <row r="3998" spans="1:7" x14ac:dyDescent="0.3">
      <c r="A3998" s="198">
        <v>1035011761</v>
      </c>
      <c r="B3998" s="192" t="s">
        <v>2611</v>
      </c>
      <c r="C3998" s="196">
        <v>-297000</v>
      </c>
      <c r="D3998" s="196">
        <v>0</v>
      </c>
      <c r="E3998" s="196">
        <v>0</v>
      </c>
      <c r="F3998" s="196">
        <v>0</v>
      </c>
      <c r="G3998" s="196">
        <v>-297000</v>
      </c>
    </row>
    <row r="3999" spans="1:7" x14ac:dyDescent="0.3">
      <c r="A3999" s="198">
        <v>1035025983</v>
      </c>
      <c r="B3999" s="192" t="s">
        <v>2612</v>
      </c>
      <c r="C3999" s="196">
        <v>-50900</v>
      </c>
      <c r="D3999" s="196">
        <v>0</v>
      </c>
      <c r="E3999" s="196">
        <v>0</v>
      </c>
      <c r="F3999" s="196">
        <v>0</v>
      </c>
      <c r="G3999" s="196">
        <v>-50900</v>
      </c>
    </row>
    <row r="4000" spans="1:7" x14ac:dyDescent="0.3">
      <c r="A4000" s="198">
        <v>1035019984</v>
      </c>
      <c r="B4000" s="192" t="s">
        <v>222</v>
      </c>
      <c r="C4000" s="196">
        <v>0</v>
      </c>
      <c r="D4000" s="196">
        <v>0</v>
      </c>
      <c r="E4000" s="196">
        <v>50900</v>
      </c>
      <c r="F4000" s="196">
        <v>-50900</v>
      </c>
      <c r="G4000" s="196">
        <v>-50900</v>
      </c>
    </row>
    <row r="4001" spans="1:7" x14ac:dyDescent="0.3">
      <c r="A4001" s="198">
        <v>1035016160</v>
      </c>
      <c r="B4001" s="192" t="s">
        <v>2613</v>
      </c>
      <c r="C4001" s="196">
        <v>-50900</v>
      </c>
      <c r="D4001" s="196">
        <v>0</v>
      </c>
      <c r="E4001" s="196">
        <v>0</v>
      </c>
      <c r="F4001" s="196">
        <v>0</v>
      </c>
      <c r="G4001" s="196">
        <v>-50900</v>
      </c>
    </row>
    <row r="4002" spans="1:7" x14ac:dyDescent="0.3">
      <c r="A4002" s="198">
        <v>1035026839</v>
      </c>
      <c r="B4002" s="192" t="s">
        <v>2614</v>
      </c>
      <c r="C4002" s="196">
        <v>-50900</v>
      </c>
      <c r="D4002" s="196">
        <v>0</v>
      </c>
      <c r="E4002" s="196">
        <v>0</v>
      </c>
      <c r="F4002" s="196">
        <v>0</v>
      </c>
      <c r="G4002" s="196">
        <v>-50900</v>
      </c>
    </row>
    <row r="4003" spans="1:7" x14ac:dyDescent="0.3">
      <c r="A4003" s="198">
        <v>1247049546</v>
      </c>
      <c r="B4003" s="192" t="s">
        <v>2615</v>
      </c>
      <c r="C4003" s="196">
        <v>-38400</v>
      </c>
      <c r="D4003" s="196">
        <v>0</v>
      </c>
      <c r="E4003" s="196">
        <v>0</v>
      </c>
      <c r="F4003" s="196">
        <v>0</v>
      </c>
      <c r="G4003" s="196">
        <v>-38400</v>
      </c>
    </row>
    <row r="4004" spans="1:7" x14ac:dyDescent="0.3">
      <c r="A4004" s="198">
        <v>1035025996</v>
      </c>
      <c r="B4004" s="192" t="s">
        <v>2616</v>
      </c>
      <c r="C4004" s="196">
        <v>-46100</v>
      </c>
      <c r="D4004" s="196">
        <v>0</v>
      </c>
      <c r="E4004" s="196">
        <v>0</v>
      </c>
      <c r="F4004" s="196">
        <v>0</v>
      </c>
      <c r="G4004" s="196">
        <v>-46100</v>
      </c>
    </row>
    <row r="4005" spans="1:7" x14ac:dyDescent="0.3">
      <c r="A4005" s="198">
        <v>1036364319</v>
      </c>
      <c r="B4005" s="192" t="s">
        <v>2617</v>
      </c>
      <c r="C4005" s="196">
        <v>-46400</v>
      </c>
      <c r="D4005" s="196">
        <v>0</v>
      </c>
      <c r="E4005" s="196">
        <v>0</v>
      </c>
      <c r="F4005" s="196">
        <v>0</v>
      </c>
      <c r="G4005" s="196">
        <v>-46400</v>
      </c>
    </row>
    <row r="4006" spans="1:7" x14ac:dyDescent="0.3">
      <c r="A4006" s="198">
        <v>43838868</v>
      </c>
      <c r="B4006" s="192" t="s">
        <v>2618</v>
      </c>
      <c r="C4006" s="196">
        <v>-50900</v>
      </c>
      <c r="D4006" s="196">
        <v>0</v>
      </c>
      <c r="E4006" s="196">
        <v>0</v>
      </c>
      <c r="F4006" s="196">
        <v>0</v>
      </c>
      <c r="G4006" s="196">
        <v>-50900</v>
      </c>
    </row>
    <row r="4007" spans="1:7" x14ac:dyDescent="0.3">
      <c r="A4007" s="198">
        <v>1015197355</v>
      </c>
      <c r="B4007" s="192" t="s">
        <v>223</v>
      </c>
      <c r="C4007" s="196">
        <v>0</v>
      </c>
      <c r="D4007" s="196">
        <v>0</v>
      </c>
      <c r="E4007" s="196">
        <v>50900</v>
      </c>
      <c r="F4007" s="196">
        <v>-50900</v>
      </c>
      <c r="G4007" s="196">
        <v>-50900</v>
      </c>
    </row>
    <row r="4008" spans="1:7" x14ac:dyDescent="0.3">
      <c r="A4008" s="198">
        <v>70417995</v>
      </c>
      <c r="B4008" s="192" t="s">
        <v>224</v>
      </c>
      <c r="C4008" s="196">
        <v>0</v>
      </c>
      <c r="D4008" s="196">
        <v>0</v>
      </c>
      <c r="E4008" s="196">
        <v>319000</v>
      </c>
      <c r="F4008" s="196">
        <v>-319000</v>
      </c>
      <c r="G4008" s="196">
        <v>-319000</v>
      </c>
    </row>
    <row r="4009" spans="1:7" x14ac:dyDescent="0.3">
      <c r="A4009" s="198">
        <v>38287798</v>
      </c>
      <c r="B4009" s="192" t="s">
        <v>2619</v>
      </c>
      <c r="C4009" s="196">
        <v>-50900</v>
      </c>
      <c r="D4009" s="196">
        <v>0</v>
      </c>
      <c r="E4009" s="196">
        <v>0</v>
      </c>
      <c r="F4009" s="196">
        <v>0</v>
      </c>
      <c r="G4009" s="196">
        <v>-50900</v>
      </c>
    </row>
    <row r="4010" spans="1:7" x14ac:dyDescent="0.3">
      <c r="A4010" s="198">
        <v>860027404</v>
      </c>
      <c r="B4010" s="192" t="s">
        <v>228</v>
      </c>
      <c r="C4010" s="196">
        <v>-10153201</v>
      </c>
      <c r="D4010" s="196">
        <v>0</v>
      </c>
      <c r="E4010" s="196">
        <v>1565900</v>
      </c>
      <c r="F4010" s="196">
        <v>-1565900</v>
      </c>
      <c r="G4010" s="196">
        <v>-11719101</v>
      </c>
    </row>
    <row r="4011" spans="1:7" x14ac:dyDescent="0.3">
      <c r="A4011" s="198">
        <v>1243088844</v>
      </c>
      <c r="B4011" s="192" t="s">
        <v>2620</v>
      </c>
      <c r="C4011" s="196">
        <v>-38400</v>
      </c>
      <c r="D4011" s="196">
        <v>0</v>
      </c>
      <c r="E4011" s="196">
        <v>0</v>
      </c>
      <c r="F4011" s="196">
        <v>0</v>
      </c>
      <c r="G4011" s="196">
        <v>-38400</v>
      </c>
    </row>
    <row r="4012" spans="1:7" x14ac:dyDescent="0.3">
      <c r="A4012" s="198">
        <v>1011521045</v>
      </c>
      <c r="B4012" s="192" t="s">
        <v>2621</v>
      </c>
      <c r="C4012" s="196">
        <v>-50900</v>
      </c>
      <c r="D4012" s="196">
        <v>0</v>
      </c>
      <c r="E4012" s="196">
        <v>0</v>
      </c>
      <c r="F4012" s="196">
        <v>0</v>
      </c>
      <c r="G4012" s="196">
        <v>-50900</v>
      </c>
    </row>
    <row r="4013" spans="1:7" x14ac:dyDescent="0.3">
      <c r="A4013" s="198">
        <v>71776148</v>
      </c>
      <c r="B4013" s="192" t="s">
        <v>2622</v>
      </c>
      <c r="C4013" s="196">
        <v>-57200</v>
      </c>
      <c r="D4013" s="196">
        <v>0</v>
      </c>
      <c r="E4013" s="196">
        <v>0</v>
      </c>
      <c r="F4013" s="196">
        <v>0</v>
      </c>
      <c r="G4013" s="196">
        <v>-57200</v>
      </c>
    </row>
    <row r="4014" spans="1:7" x14ac:dyDescent="0.3">
      <c r="A4014" s="198">
        <v>71757184</v>
      </c>
      <c r="B4014" s="192" t="s">
        <v>231</v>
      </c>
      <c r="C4014" s="196">
        <v>-50900</v>
      </c>
      <c r="D4014" s="196">
        <v>0</v>
      </c>
      <c r="E4014" s="196">
        <v>0</v>
      </c>
      <c r="F4014" s="196">
        <v>0</v>
      </c>
      <c r="G4014" s="196">
        <v>-50900</v>
      </c>
    </row>
    <row r="4015" spans="1:7" x14ac:dyDescent="0.3">
      <c r="A4015" s="198">
        <v>19374400</v>
      </c>
      <c r="B4015" s="192" t="s">
        <v>2623</v>
      </c>
      <c r="C4015" s="196">
        <v>-66000</v>
      </c>
      <c r="D4015" s="196">
        <v>0</v>
      </c>
      <c r="E4015" s="196">
        <v>0</v>
      </c>
      <c r="F4015" s="196">
        <v>0</v>
      </c>
      <c r="G4015" s="196">
        <v>-66000</v>
      </c>
    </row>
    <row r="4016" spans="1:7" x14ac:dyDescent="0.3">
      <c r="A4016" s="198">
        <v>71626370</v>
      </c>
      <c r="B4016" s="192" t="s">
        <v>232</v>
      </c>
      <c r="C4016" s="196">
        <v>-80000</v>
      </c>
      <c r="D4016" s="196">
        <v>0</v>
      </c>
      <c r="E4016" s="196">
        <v>0</v>
      </c>
      <c r="F4016" s="196">
        <v>0</v>
      </c>
      <c r="G4016" s="196">
        <v>-80000</v>
      </c>
    </row>
    <row r="4017" spans="1:7" x14ac:dyDescent="0.3">
      <c r="A4017" s="198">
        <v>15041142</v>
      </c>
      <c r="B4017" s="192" t="s">
        <v>2624</v>
      </c>
      <c r="C4017" s="196">
        <v>-290000</v>
      </c>
      <c r="D4017" s="196">
        <v>0</v>
      </c>
      <c r="E4017" s="196">
        <v>0</v>
      </c>
      <c r="F4017" s="196">
        <v>0</v>
      </c>
      <c r="G4017" s="196">
        <v>-290000</v>
      </c>
    </row>
    <row r="4018" spans="1:7" x14ac:dyDescent="0.3">
      <c r="A4018" s="198">
        <v>98630588</v>
      </c>
      <c r="B4018" s="192" t="s">
        <v>2625</v>
      </c>
      <c r="C4018" s="196">
        <v>-50500</v>
      </c>
      <c r="D4018" s="196">
        <v>0</v>
      </c>
      <c r="E4018" s="196">
        <v>0</v>
      </c>
      <c r="F4018" s="196">
        <v>0</v>
      </c>
      <c r="G4018" s="196">
        <v>-50500</v>
      </c>
    </row>
    <row r="4019" spans="1:7" x14ac:dyDescent="0.3">
      <c r="A4019" s="198">
        <v>70120090</v>
      </c>
      <c r="B4019" s="192" t="s">
        <v>2626</v>
      </c>
      <c r="C4019" s="196">
        <v>-39300</v>
      </c>
      <c r="D4019" s="196">
        <v>0</v>
      </c>
      <c r="E4019" s="196">
        <v>0</v>
      </c>
      <c r="F4019" s="196">
        <v>0</v>
      </c>
      <c r="G4019" s="196">
        <v>-39300</v>
      </c>
    </row>
    <row r="4020" spans="1:7" x14ac:dyDescent="0.3">
      <c r="A4020" s="198">
        <v>10258761</v>
      </c>
      <c r="B4020" s="192" t="s">
        <v>2627</v>
      </c>
      <c r="C4020" s="196">
        <v>-101800</v>
      </c>
      <c r="D4020" s="196">
        <v>0</v>
      </c>
      <c r="E4020" s="196">
        <v>0</v>
      </c>
      <c r="F4020" s="196">
        <v>0</v>
      </c>
      <c r="G4020" s="196">
        <v>-101800</v>
      </c>
    </row>
    <row r="4021" spans="1:7" x14ac:dyDescent="0.3">
      <c r="A4021" s="198">
        <v>8211784</v>
      </c>
      <c r="B4021" s="192" t="s">
        <v>2628</v>
      </c>
      <c r="C4021" s="196">
        <v>-57200</v>
      </c>
      <c r="D4021" s="196">
        <v>0</v>
      </c>
      <c r="E4021" s="196">
        <v>0</v>
      </c>
      <c r="F4021" s="196">
        <v>0</v>
      </c>
      <c r="G4021" s="196">
        <v>-57200</v>
      </c>
    </row>
    <row r="4022" spans="1:7" x14ac:dyDescent="0.3">
      <c r="A4022" s="198">
        <v>8284880</v>
      </c>
      <c r="B4022" s="192" t="s">
        <v>234</v>
      </c>
      <c r="C4022" s="196">
        <v>0</v>
      </c>
      <c r="D4022" s="196">
        <v>0</v>
      </c>
      <c r="E4022" s="196">
        <v>57200</v>
      </c>
      <c r="F4022" s="196">
        <v>-57200</v>
      </c>
      <c r="G4022" s="196">
        <v>-57200</v>
      </c>
    </row>
    <row r="4023" spans="1:7" x14ac:dyDescent="0.3">
      <c r="A4023" s="198">
        <v>19442020</v>
      </c>
      <c r="B4023" s="192" t="s">
        <v>2629</v>
      </c>
      <c r="C4023" s="196">
        <v>-372900</v>
      </c>
      <c r="D4023" s="196">
        <v>0</v>
      </c>
      <c r="E4023" s="196">
        <v>0</v>
      </c>
      <c r="F4023" s="196">
        <v>0</v>
      </c>
      <c r="G4023" s="196">
        <v>-372900</v>
      </c>
    </row>
    <row r="4024" spans="1:7" x14ac:dyDescent="0.3">
      <c r="A4024" s="198">
        <v>3599402</v>
      </c>
      <c r="B4024" s="192" t="s">
        <v>235</v>
      </c>
      <c r="C4024" s="196">
        <v>0</v>
      </c>
      <c r="D4024" s="196">
        <v>0</v>
      </c>
      <c r="E4024" s="196">
        <v>57200</v>
      </c>
      <c r="F4024" s="196">
        <v>-57200</v>
      </c>
      <c r="G4024" s="196">
        <v>-57200</v>
      </c>
    </row>
    <row r="4025" spans="1:7" x14ac:dyDescent="0.3">
      <c r="A4025" s="198">
        <v>7513581</v>
      </c>
      <c r="B4025" s="192" t="s">
        <v>2630</v>
      </c>
      <c r="C4025" s="196">
        <v>-319000</v>
      </c>
      <c r="D4025" s="196">
        <v>0</v>
      </c>
      <c r="E4025" s="196">
        <v>0</v>
      </c>
      <c r="F4025" s="196">
        <v>0</v>
      </c>
      <c r="G4025" s="196">
        <v>-319000</v>
      </c>
    </row>
    <row r="4026" spans="1:7" x14ac:dyDescent="0.3">
      <c r="A4026" s="198">
        <v>79236999</v>
      </c>
      <c r="B4026" s="192" t="s">
        <v>236</v>
      </c>
      <c r="C4026" s="196">
        <v>0</v>
      </c>
      <c r="D4026" s="196">
        <v>0</v>
      </c>
      <c r="E4026" s="196">
        <v>30200</v>
      </c>
      <c r="F4026" s="196">
        <v>-30200</v>
      </c>
      <c r="G4026" s="196">
        <v>-30200</v>
      </c>
    </row>
    <row r="4027" spans="1:7" x14ac:dyDescent="0.3">
      <c r="A4027" s="198">
        <v>1126667015</v>
      </c>
      <c r="B4027" s="192" t="s">
        <v>237</v>
      </c>
      <c r="C4027" s="196">
        <v>0</v>
      </c>
      <c r="D4027" s="196">
        <v>0</v>
      </c>
      <c r="E4027" s="196">
        <v>50900</v>
      </c>
      <c r="F4027" s="196">
        <v>-50900</v>
      </c>
      <c r="G4027" s="196">
        <v>-50900</v>
      </c>
    </row>
    <row r="4028" spans="1:7" x14ac:dyDescent="0.3">
      <c r="A4028" s="192" t="s">
        <v>2631</v>
      </c>
      <c r="B4028" s="192" t="s">
        <v>2632</v>
      </c>
      <c r="C4028" s="196">
        <v>-50900</v>
      </c>
      <c r="D4028" s="196">
        <v>0</v>
      </c>
      <c r="E4028" s="196">
        <v>0</v>
      </c>
      <c r="F4028" s="196">
        <v>0</v>
      </c>
      <c r="G4028" s="196">
        <v>-50900</v>
      </c>
    </row>
    <row r="4029" spans="1:7" x14ac:dyDescent="0.3">
      <c r="A4029" s="198">
        <v>1035027132</v>
      </c>
      <c r="B4029" s="192" t="s">
        <v>238</v>
      </c>
      <c r="C4029" s="196">
        <v>0</v>
      </c>
      <c r="D4029" s="196">
        <v>0</v>
      </c>
      <c r="E4029" s="196">
        <v>41400</v>
      </c>
      <c r="F4029" s="196">
        <v>-41400</v>
      </c>
      <c r="G4029" s="196">
        <v>-41400</v>
      </c>
    </row>
    <row r="4030" spans="1:7" x14ac:dyDescent="0.3">
      <c r="A4030" s="198">
        <v>1035016408</v>
      </c>
      <c r="B4030" s="192" t="s">
        <v>2633</v>
      </c>
      <c r="C4030" s="196">
        <v>-50900</v>
      </c>
      <c r="D4030" s="196">
        <v>0</v>
      </c>
      <c r="E4030" s="196">
        <v>0</v>
      </c>
      <c r="F4030" s="196">
        <v>0</v>
      </c>
      <c r="G4030" s="196">
        <v>-50900</v>
      </c>
    </row>
    <row r="4031" spans="1:7" x14ac:dyDescent="0.3">
      <c r="A4031" s="198">
        <v>1022007300</v>
      </c>
      <c r="B4031" s="192" t="s">
        <v>2634</v>
      </c>
      <c r="C4031" s="196">
        <v>-50900</v>
      </c>
      <c r="D4031" s="196">
        <v>0</v>
      </c>
      <c r="E4031" s="196">
        <v>0</v>
      </c>
      <c r="F4031" s="196">
        <v>0</v>
      </c>
      <c r="G4031" s="196">
        <v>-50900</v>
      </c>
    </row>
    <row r="4032" spans="1:7" x14ac:dyDescent="0.3">
      <c r="A4032" s="198">
        <v>1035017821</v>
      </c>
      <c r="B4032" s="192" t="s">
        <v>239</v>
      </c>
      <c r="C4032" s="196">
        <v>0</v>
      </c>
      <c r="D4032" s="196">
        <v>0</v>
      </c>
      <c r="E4032" s="196">
        <v>50900</v>
      </c>
      <c r="F4032" s="196">
        <v>-50900</v>
      </c>
      <c r="G4032" s="196">
        <v>-50900</v>
      </c>
    </row>
    <row r="4033" spans="1:7" x14ac:dyDescent="0.3">
      <c r="A4033" s="198">
        <v>1035022567</v>
      </c>
      <c r="B4033" s="192" t="s">
        <v>2635</v>
      </c>
      <c r="C4033" s="196">
        <v>-47400</v>
      </c>
      <c r="D4033" s="196">
        <v>0</v>
      </c>
      <c r="E4033" s="196">
        <v>0</v>
      </c>
      <c r="F4033" s="196">
        <v>0</v>
      </c>
      <c r="G4033" s="196">
        <v>-47400</v>
      </c>
    </row>
    <row r="4034" spans="1:7" x14ac:dyDescent="0.3">
      <c r="A4034" s="198">
        <v>43983660</v>
      </c>
      <c r="B4034" s="192" t="s">
        <v>240</v>
      </c>
      <c r="C4034" s="196">
        <v>0</v>
      </c>
      <c r="D4034" s="196">
        <v>0</v>
      </c>
      <c r="E4034" s="196">
        <v>50900</v>
      </c>
      <c r="F4034" s="196">
        <v>-50900</v>
      </c>
      <c r="G4034" s="196">
        <v>-50900</v>
      </c>
    </row>
    <row r="4035" spans="1:7" x14ac:dyDescent="0.3">
      <c r="A4035" s="198">
        <v>1035018665</v>
      </c>
      <c r="B4035" s="192" t="s">
        <v>241</v>
      </c>
      <c r="C4035" s="196">
        <v>0</v>
      </c>
      <c r="D4035" s="196">
        <v>0</v>
      </c>
      <c r="E4035" s="196">
        <v>50900</v>
      </c>
      <c r="F4035" s="196">
        <v>-50900</v>
      </c>
      <c r="G4035" s="196">
        <v>-50900</v>
      </c>
    </row>
    <row r="4036" spans="1:7" x14ac:dyDescent="0.3">
      <c r="A4036" s="198">
        <v>1109564519</v>
      </c>
      <c r="B4036" s="192" t="s">
        <v>2636</v>
      </c>
      <c r="C4036" s="196">
        <v>-47400</v>
      </c>
      <c r="D4036" s="196">
        <v>0</v>
      </c>
      <c r="E4036" s="196">
        <v>0</v>
      </c>
      <c r="F4036" s="196">
        <v>0</v>
      </c>
      <c r="G4036" s="196">
        <v>-47400</v>
      </c>
    </row>
    <row r="4037" spans="1:7" x14ac:dyDescent="0.3">
      <c r="A4037" s="198">
        <v>1035010090</v>
      </c>
      <c r="B4037" s="192" t="s">
        <v>2637</v>
      </c>
      <c r="C4037" s="196">
        <v>-50900</v>
      </c>
      <c r="D4037" s="196">
        <v>0</v>
      </c>
      <c r="E4037" s="196">
        <v>0</v>
      </c>
      <c r="F4037" s="196">
        <v>0</v>
      </c>
      <c r="G4037" s="196">
        <v>-50900</v>
      </c>
    </row>
    <row r="4038" spans="1:7" x14ac:dyDescent="0.3">
      <c r="A4038" s="198">
        <v>1035004058</v>
      </c>
      <c r="B4038" s="192" t="s">
        <v>2638</v>
      </c>
      <c r="C4038" s="196">
        <v>-50900</v>
      </c>
      <c r="D4038" s="196">
        <v>0</v>
      </c>
      <c r="E4038" s="196">
        <v>0</v>
      </c>
      <c r="F4038" s="196">
        <v>0</v>
      </c>
      <c r="G4038" s="196">
        <v>-50900</v>
      </c>
    </row>
    <row r="4039" spans="1:7" x14ac:dyDescent="0.3">
      <c r="A4039" s="198">
        <v>1035024172</v>
      </c>
      <c r="B4039" s="192" t="s">
        <v>2639</v>
      </c>
      <c r="C4039" s="196">
        <v>-50900</v>
      </c>
      <c r="D4039" s="196">
        <v>0</v>
      </c>
      <c r="E4039" s="196">
        <v>0</v>
      </c>
      <c r="F4039" s="196">
        <v>0</v>
      </c>
      <c r="G4039" s="196">
        <v>-50900</v>
      </c>
    </row>
    <row r="4040" spans="1:7" x14ac:dyDescent="0.3">
      <c r="A4040" s="198">
        <v>1035013713</v>
      </c>
      <c r="B4040" s="192" t="s">
        <v>242</v>
      </c>
      <c r="C4040" s="196">
        <v>0</v>
      </c>
      <c r="D4040" s="196">
        <v>0</v>
      </c>
      <c r="E4040" s="196">
        <v>50900</v>
      </c>
      <c r="F4040" s="196">
        <v>-50900</v>
      </c>
      <c r="G4040" s="196">
        <v>-50900</v>
      </c>
    </row>
    <row r="4041" spans="1:7" x14ac:dyDescent="0.3">
      <c r="A4041" s="198">
        <v>42769517</v>
      </c>
      <c r="B4041" s="192" t="s">
        <v>2640</v>
      </c>
      <c r="C4041" s="196">
        <v>-57200</v>
      </c>
      <c r="D4041" s="196">
        <v>0</v>
      </c>
      <c r="E4041" s="196">
        <v>0</v>
      </c>
      <c r="F4041" s="196">
        <v>0</v>
      </c>
      <c r="G4041" s="196">
        <v>-57200</v>
      </c>
    </row>
    <row r="4042" spans="1:7" x14ac:dyDescent="0.3">
      <c r="A4042" s="198">
        <v>24602434</v>
      </c>
      <c r="B4042" s="192" t="s">
        <v>2641</v>
      </c>
      <c r="C4042" s="196">
        <v>-270000</v>
      </c>
      <c r="D4042" s="196">
        <v>0</v>
      </c>
      <c r="E4042" s="196">
        <v>0</v>
      </c>
      <c r="F4042" s="196">
        <v>0</v>
      </c>
      <c r="G4042" s="196">
        <v>-270000</v>
      </c>
    </row>
    <row r="4043" spans="1:7" x14ac:dyDescent="0.3">
      <c r="A4043" s="192" t="s">
        <v>2642</v>
      </c>
      <c r="B4043" s="192" t="s">
        <v>2643</v>
      </c>
      <c r="C4043" s="196">
        <v>-297000</v>
      </c>
      <c r="D4043" s="196">
        <v>0</v>
      </c>
      <c r="E4043" s="196">
        <v>0</v>
      </c>
      <c r="F4043" s="196">
        <v>0</v>
      </c>
      <c r="G4043" s="196">
        <v>-297000</v>
      </c>
    </row>
    <row r="4044" spans="1:7" x14ac:dyDescent="0.3">
      <c r="A4044" s="192" t="s">
        <v>2372</v>
      </c>
      <c r="B4044" s="192" t="s">
        <v>2373</v>
      </c>
      <c r="C4044" s="196">
        <v>-110000</v>
      </c>
      <c r="D4044" s="196">
        <v>0</v>
      </c>
      <c r="E4044" s="196">
        <v>0</v>
      </c>
      <c r="F4044" s="196">
        <v>0</v>
      </c>
      <c r="G4044" s="196">
        <v>-110000</v>
      </c>
    </row>
    <row r="4045" spans="1:7" x14ac:dyDescent="0.3">
      <c r="A4045" s="198">
        <v>1035023400</v>
      </c>
      <c r="B4045" s="192" t="s">
        <v>2644</v>
      </c>
      <c r="C4045" s="196">
        <v>-50900</v>
      </c>
      <c r="D4045" s="196">
        <v>0</v>
      </c>
      <c r="E4045" s="196">
        <v>0</v>
      </c>
      <c r="F4045" s="196">
        <v>0</v>
      </c>
      <c r="G4045" s="196">
        <v>-50900</v>
      </c>
    </row>
    <row r="4046" spans="1:7" x14ac:dyDescent="0.3">
      <c r="A4046" s="198">
        <v>1025157639</v>
      </c>
      <c r="B4046" s="192" t="s">
        <v>2645</v>
      </c>
      <c r="C4046" s="196">
        <v>-50900</v>
      </c>
      <c r="D4046" s="196">
        <v>0</v>
      </c>
      <c r="E4046" s="196">
        <v>0</v>
      </c>
      <c r="F4046" s="196">
        <v>0</v>
      </c>
      <c r="G4046" s="196">
        <v>-50900</v>
      </c>
    </row>
    <row r="4047" spans="1:7" x14ac:dyDescent="0.3">
      <c r="A4047" s="198">
        <v>32416803</v>
      </c>
      <c r="B4047" s="192" t="s">
        <v>2646</v>
      </c>
      <c r="C4047" s="196">
        <v>-254500</v>
      </c>
      <c r="D4047" s="196">
        <v>0</v>
      </c>
      <c r="E4047" s="196">
        <v>0</v>
      </c>
      <c r="F4047" s="196">
        <v>0</v>
      </c>
      <c r="G4047" s="196">
        <v>-254500</v>
      </c>
    </row>
    <row r="4048" spans="1:7" x14ac:dyDescent="0.3">
      <c r="A4048" s="198">
        <v>1034998380</v>
      </c>
      <c r="B4048" s="192" t="s">
        <v>2647</v>
      </c>
      <c r="C4048" s="196">
        <v>-50900</v>
      </c>
      <c r="D4048" s="196">
        <v>0</v>
      </c>
      <c r="E4048" s="196">
        <v>0</v>
      </c>
      <c r="F4048" s="196">
        <v>0</v>
      </c>
      <c r="G4048" s="196">
        <v>-50900</v>
      </c>
    </row>
    <row r="4049" spans="1:7" x14ac:dyDescent="0.3">
      <c r="A4049" s="198">
        <v>1031946622</v>
      </c>
      <c r="B4049" s="192" t="s">
        <v>2648</v>
      </c>
      <c r="C4049" s="196">
        <v>-47400</v>
      </c>
      <c r="D4049" s="196">
        <v>0</v>
      </c>
      <c r="E4049" s="196">
        <v>0</v>
      </c>
      <c r="F4049" s="196">
        <v>0</v>
      </c>
      <c r="G4049" s="196">
        <v>-47400</v>
      </c>
    </row>
    <row r="4050" spans="1:7" x14ac:dyDescent="0.3">
      <c r="A4050" s="198">
        <v>1020323390</v>
      </c>
      <c r="B4050" s="192" t="s">
        <v>244</v>
      </c>
      <c r="C4050" s="196">
        <v>0</v>
      </c>
      <c r="D4050" s="196">
        <v>0</v>
      </c>
      <c r="E4050" s="196">
        <v>57200</v>
      </c>
      <c r="F4050" s="196">
        <v>-57200</v>
      </c>
      <c r="G4050" s="196">
        <v>-57200</v>
      </c>
    </row>
    <row r="4051" spans="1:7" x14ac:dyDescent="0.3">
      <c r="A4051" s="198">
        <v>944673</v>
      </c>
      <c r="B4051" s="192" t="s">
        <v>2649</v>
      </c>
      <c r="C4051" s="196">
        <v>-50900</v>
      </c>
      <c r="D4051" s="196">
        <v>0</v>
      </c>
      <c r="E4051" s="196">
        <v>0</v>
      </c>
      <c r="F4051" s="196">
        <v>0</v>
      </c>
      <c r="G4051" s="196">
        <v>-50900</v>
      </c>
    </row>
    <row r="4052" spans="1:7" x14ac:dyDescent="0.3">
      <c r="A4052" s="198">
        <v>1033273447</v>
      </c>
      <c r="B4052" s="192" t="s">
        <v>2650</v>
      </c>
      <c r="C4052" s="196">
        <v>-50900</v>
      </c>
      <c r="D4052" s="196">
        <v>0</v>
      </c>
      <c r="E4052" s="196">
        <v>0</v>
      </c>
      <c r="F4052" s="196">
        <v>0</v>
      </c>
      <c r="G4052" s="196">
        <v>-50900</v>
      </c>
    </row>
    <row r="4053" spans="1:7" x14ac:dyDescent="0.3">
      <c r="A4053" s="198">
        <v>1031950243</v>
      </c>
      <c r="B4053" s="192" t="s">
        <v>245</v>
      </c>
      <c r="C4053" s="196">
        <v>0</v>
      </c>
      <c r="D4053" s="196">
        <v>0</v>
      </c>
      <c r="E4053" s="196">
        <v>57200</v>
      </c>
      <c r="F4053" s="196">
        <v>-57200</v>
      </c>
      <c r="G4053" s="196">
        <v>-57200</v>
      </c>
    </row>
    <row r="4054" spans="1:7" x14ac:dyDescent="0.3">
      <c r="A4054" s="198">
        <v>1035023794</v>
      </c>
      <c r="B4054" s="192" t="s">
        <v>2651</v>
      </c>
      <c r="C4054" s="196">
        <v>-50900</v>
      </c>
      <c r="D4054" s="196">
        <v>0</v>
      </c>
      <c r="E4054" s="196">
        <v>0</v>
      </c>
      <c r="F4054" s="196">
        <v>0</v>
      </c>
      <c r="G4054" s="196">
        <v>-50900</v>
      </c>
    </row>
    <row r="4055" spans="1:7" x14ac:dyDescent="0.3">
      <c r="A4055" s="198">
        <v>1035027504</v>
      </c>
      <c r="B4055" s="192" t="s">
        <v>246</v>
      </c>
      <c r="C4055" s="196">
        <v>0</v>
      </c>
      <c r="D4055" s="196">
        <v>0</v>
      </c>
      <c r="E4055" s="196">
        <v>50900</v>
      </c>
      <c r="F4055" s="196">
        <v>-50900</v>
      </c>
      <c r="G4055" s="196">
        <v>-50900</v>
      </c>
    </row>
    <row r="4056" spans="1:7" x14ac:dyDescent="0.3">
      <c r="A4056" s="198">
        <v>1011520627</v>
      </c>
      <c r="B4056" s="192" t="s">
        <v>247</v>
      </c>
      <c r="C4056" s="196">
        <v>0</v>
      </c>
      <c r="D4056" s="196">
        <v>0</v>
      </c>
      <c r="E4056" s="196">
        <v>50900</v>
      </c>
      <c r="F4056" s="196">
        <v>-50900</v>
      </c>
      <c r="G4056" s="196">
        <v>-50900</v>
      </c>
    </row>
    <row r="4057" spans="1:7" x14ac:dyDescent="0.3">
      <c r="A4057" s="198">
        <v>1035026834</v>
      </c>
      <c r="B4057" s="192" t="s">
        <v>2652</v>
      </c>
      <c r="C4057" s="196">
        <v>-50900</v>
      </c>
      <c r="D4057" s="196">
        <v>0</v>
      </c>
      <c r="E4057" s="196">
        <v>0</v>
      </c>
      <c r="F4057" s="196">
        <v>0</v>
      </c>
      <c r="G4057" s="196">
        <v>-50900</v>
      </c>
    </row>
    <row r="4058" spans="1:7" x14ac:dyDescent="0.3">
      <c r="A4058" s="198">
        <v>63352345</v>
      </c>
      <c r="B4058" s="192" t="s">
        <v>2653</v>
      </c>
      <c r="C4058" s="196">
        <v>-50900</v>
      </c>
      <c r="D4058" s="196">
        <v>0</v>
      </c>
      <c r="E4058" s="196">
        <v>0</v>
      </c>
      <c r="F4058" s="196">
        <v>0</v>
      </c>
      <c r="G4058" s="196">
        <v>-50900</v>
      </c>
    </row>
    <row r="4059" spans="1:7" x14ac:dyDescent="0.3">
      <c r="A4059" s="198">
        <v>32422842</v>
      </c>
      <c r="B4059" s="192" t="s">
        <v>2654</v>
      </c>
      <c r="C4059" s="196">
        <v>-54200</v>
      </c>
      <c r="D4059" s="196">
        <v>0</v>
      </c>
      <c r="E4059" s="196">
        <v>0</v>
      </c>
      <c r="F4059" s="196">
        <v>0</v>
      </c>
      <c r="G4059" s="196">
        <v>-54200</v>
      </c>
    </row>
    <row r="4060" spans="1:7" x14ac:dyDescent="0.3">
      <c r="A4060" s="198">
        <v>24306731</v>
      </c>
      <c r="B4060" s="192" t="s">
        <v>2655</v>
      </c>
      <c r="C4060" s="196">
        <v>-29700</v>
      </c>
      <c r="D4060" s="196">
        <v>0</v>
      </c>
      <c r="E4060" s="196">
        <v>0</v>
      </c>
      <c r="F4060" s="196">
        <v>0</v>
      </c>
      <c r="G4060" s="196">
        <v>-29700</v>
      </c>
    </row>
    <row r="4061" spans="1:7" x14ac:dyDescent="0.3">
      <c r="A4061" s="198">
        <v>43449847</v>
      </c>
      <c r="B4061" s="192" t="s">
        <v>248</v>
      </c>
      <c r="C4061" s="196">
        <v>-50900</v>
      </c>
      <c r="D4061" s="196">
        <v>0</v>
      </c>
      <c r="E4061" s="196">
        <v>0</v>
      </c>
      <c r="F4061" s="196">
        <v>0</v>
      </c>
      <c r="G4061" s="196">
        <v>-50900</v>
      </c>
    </row>
    <row r="4062" spans="1:7" x14ac:dyDescent="0.3">
      <c r="A4062" s="198">
        <v>22087136</v>
      </c>
      <c r="B4062" s="192" t="s">
        <v>2656</v>
      </c>
      <c r="C4062" s="196">
        <v>-297000</v>
      </c>
      <c r="D4062" s="196">
        <v>0</v>
      </c>
      <c r="E4062" s="196">
        <v>0</v>
      </c>
      <c r="F4062" s="196">
        <v>0</v>
      </c>
      <c r="G4062" s="196">
        <v>-297000</v>
      </c>
    </row>
    <row r="4063" spans="1:7" x14ac:dyDescent="0.3">
      <c r="A4063" s="198">
        <v>34042566</v>
      </c>
      <c r="B4063" s="192" t="s">
        <v>250</v>
      </c>
      <c r="C4063" s="196">
        <v>-171600</v>
      </c>
      <c r="D4063" s="196">
        <v>0</v>
      </c>
      <c r="E4063" s="196">
        <v>0</v>
      </c>
      <c r="F4063" s="196">
        <v>0</v>
      </c>
      <c r="G4063" s="196">
        <v>-171600</v>
      </c>
    </row>
    <row r="4064" spans="1:7" x14ac:dyDescent="0.3">
      <c r="A4064" s="198">
        <v>42993373</v>
      </c>
      <c r="B4064" s="192" t="s">
        <v>251</v>
      </c>
      <c r="C4064" s="196">
        <v>-297000</v>
      </c>
      <c r="D4064" s="196">
        <v>0</v>
      </c>
      <c r="E4064" s="196">
        <v>223300</v>
      </c>
      <c r="F4064" s="196">
        <v>-223300</v>
      </c>
      <c r="G4064" s="196">
        <v>-520300</v>
      </c>
    </row>
    <row r="4065" spans="1:7" x14ac:dyDescent="0.3">
      <c r="A4065" s="198">
        <v>148780465</v>
      </c>
      <c r="B4065" s="192" t="s">
        <v>2657</v>
      </c>
      <c r="C4065" s="196">
        <v>-297000</v>
      </c>
      <c r="D4065" s="196">
        <v>0</v>
      </c>
      <c r="E4065" s="196">
        <v>0</v>
      </c>
      <c r="F4065" s="196">
        <v>0</v>
      </c>
      <c r="G4065" s="196">
        <v>-297000</v>
      </c>
    </row>
    <row r="4066" spans="1:7" x14ac:dyDescent="0.3">
      <c r="A4066" s="198">
        <v>43343845</v>
      </c>
      <c r="B4066" s="192" t="s">
        <v>252</v>
      </c>
      <c r="C4066" s="196">
        <v>0</v>
      </c>
      <c r="D4066" s="196">
        <v>0</v>
      </c>
      <c r="E4066" s="196">
        <v>50900</v>
      </c>
      <c r="F4066" s="196">
        <v>-50900</v>
      </c>
      <c r="G4066" s="196">
        <v>-50900</v>
      </c>
    </row>
    <row r="4067" spans="1:7" x14ac:dyDescent="0.3">
      <c r="A4067" s="198">
        <v>1035026182</v>
      </c>
      <c r="B4067" s="192" t="s">
        <v>2658</v>
      </c>
      <c r="C4067" s="196">
        <v>-50900</v>
      </c>
      <c r="D4067" s="196">
        <v>0</v>
      </c>
      <c r="E4067" s="196">
        <v>0</v>
      </c>
      <c r="F4067" s="196">
        <v>0</v>
      </c>
      <c r="G4067" s="196">
        <v>-50900</v>
      </c>
    </row>
    <row r="4068" spans="1:7" x14ac:dyDescent="0.3">
      <c r="A4068" s="198">
        <v>1069475261</v>
      </c>
      <c r="B4068" s="192" t="s">
        <v>2659</v>
      </c>
      <c r="C4068" s="196">
        <v>-50900</v>
      </c>
      <c r="D4068" s="196">
        <v>0</v>
      </c>
      <c r="E4068" s="196">
        <v>0</v>
      </c>
      <c r="F4068" s="196">
        <v>0</v>
      </c>
      <c r="G4068" s="196">
        <v>-50900</v>
      </c>
    </row>
    <row r="4069" spans="1:7" x14ac:dyDescent="0.3">
      <c r="A4069" s="198">
        <v>1037618059</v>
      </c>
      <c r="B4069" s="192" t="s">
        <v>2660</v>
      </c>
      <c r="C4069" s="196">
        <v>-25000</v>
      </c>
      <c r="D4069" s="196">
        <v>0</v>
      </c>
      <c r="E4069" s="196">
        <v>0</v>
      </c>
      <c r="F4069" s="196">
        <v>0</v>
      </c>
      <c r="G4069" s="196">
        <v>-25000</v>
      </c>
    </row>
    <row r="4070" spans="1:7" x14ac:dyDescent="0.3">
      <c r="A4070" s="198">
        <v>1017216945</v>
      </c>
      <c r="B4070" s="192" t="s">
        <v>2661</v>
      </c>
      <c r="C4070" s="196">
        <v>-43900</v>
      </c>
      <c r="D4070" s="196">
        <v>0</v>
      </c>
      <c r="E4070" s="196">
        <v>0</v>
      </c>
      <c r="F4070" s="196">
        <v>0</v>
      </c>
      <c r="G4070" s="196">
        <v>-43900</v>
      </c>
    </row>
    <row r="4071" spans="1:7" x14ac:dyDescent="0.3">
      <c r="A4071" s="198">
        <v>43251713</v>
      </c>
      <c r="B4071" s="192" t="s">
        <v>2662</v>
      </c>
      <c r="C4071" s="196">
        <v>-35000</v>
      </c>
      <c r="D4071" s="196">
        <v>0</v>
      </c>
      <c r="E4071" s="196">
        <v>0</v>
      </c>
      <c r="F4071" s="196">
        <v>0</v>
      </c>
      <c r="G4071" s="196">
        <v>-35000</v>
      </c>
    </row>
    <row r="4072" spans="1:7" x14ac:dyDescent="0.3">
      <c r="A4072" s="198">
        <v>43750904</v>
      </c>
      <c r="B4072" s="192" t="s">
        <v>2663</v>
      </c>
      <c r="C4072" s="196">
        <v>-50900</v>
      </c>
      <c r="D4072" s="196">
        <v>0</v>
      </c>
      <c r="E4072" s="196">
        <v>0</v>
      </c>
      <c r="F4072" s="196">
        <v>0</v>
      </c>
      <c r="G4072" s="196">
        <v>-50900</v>
      </c>
    </row>
    <row r="4073" spans="1:7" x14ac:dyDescent="0.3">
      <c r="A4073" s="198">
        <v>21369513</v>
      </c>
      <c r="B4073" s="192" t="s">
        <v>2664</v>
      </c>
      <c r="C4073" s="196">
        <v>-57200</v>
      </c>
      <c r="D4073" s="196">
        <v>0</v>
      </c>
      <c r="E4073" s="196">
        <v>0</v>
      </c>
      <c r="F4073" s="196">
        <v>0</v>
      </c>
      <c r="G4073" s="196">
        <v>-57200</v>
      </c>
    </row>
    <row r="4074" spans="1:7" x14ac:dyDescent="0.3">
      <c r="A4074" s="198">
        <v>21374478</v>
      </c>
      <c r="B4074" s="192" t="s">
        <v>253</v>
      </c>
      <c r="C4074" s="196">
        <v>-138300</v>
      </c>
      <c r="D4074" s="196">
        <v>0</v>
      </c>
      <c r="E4074" s="196">
        <v>46100</v>
      </c>
      <c r="F4074" s="196">
        <v>-46100</v>
      </c>
      <c r="G4074" s="196">
        <v>-184400</v>
      </c>
    </row>
    <row r="4075" spans="1:7" x14ac:dyDescent="0.3">
      <c r="A4075" s="198">
        <v>43626023</v>
      </c>
      <c r="B4075" s="192" t="s">
        <v>2665</v>
      </c>
      <c r="C4075" s="196">
        <v>-50900</v>
      </c>
      <c r="D4075" s="196">
        <v>0</v>
      </c>
      <c r="E4075" s="196">
        <v>0</v>
      </c>
      <c r="F4075" s="196">
        <v>0</v>
      </c>
      <c r="G4075" s="196">
        <v>-50900</v>
      </c>
    </row>
    <row r="4076" spans="1:7" x14ac:dyDescent="0.3">
      <c r="A4076" s="198">
        <v>43112300</v>
      </c>
      <c r="B4076" s="192" t="s">
        <v>254</v>
      </c>
      <c r="C4076" s="196">
        <v>0</v>
      </c>
      <c r="D4076" s="196">
        <v>0</v>
      </c>
      <c r="E4076" s="196">
        <v>165000</v>
      </c>
      <c r="F4076" s="196">
        <v>-165000</v>
      </c>
      <c r="G4076" s="196">
        <v>-165000</v>
      </c>
    </row>
    <row r="4077" spans="1:7" x14ac:dyDescent="0.3">
      <c r="A4077" s="198">
        <v>43724371</v>
      </c>
      <c r="B4077" s="192" t="s">
        <v>2666</v>
      </c>
      <c r="C4077" s="196">
        <v>-50900</v>
      </c>
      <c r="D4077" s="196">
        <v>0</v>
      </c>
      <c r="E4077" s="196">
        <v>0</v>
      </c>
      <c r="F4077" s="196">
        <v>0</v>
      </c>
      <c r="G4077" s="196">
        <v>-50900</v>
      </c>
    </row>
    <row r="4078" spans="1:7" x14ac:dyDescent="0.3">
      <c r="A4078" s="198">
        <v>1037603990</v>
      </c>
      <c r="B4078" s="192" t="s">
        <v>2667</v>
      </c>
      <c r="C4078" s="196">
        <v>-297000</v>
      </c>
      <c r="D4078" s="196">
        <v>0</v>
      </c>
      <c r="E4078" s="196">
        <v>0</v>
      </c>
      <c r="F4078" s="196">
        <v>0</v>
      </c>
      <c r="G4078" s="196">
        <v>-297000</v>
      </c>
    </row>
    <row r="4079" spans="1:7" x14ac:dyDescent="0.3">
      <c r="A4079" s="198">
        <v>30278445</v>
      </c>
      <c r="B4079" s="192" t="s">
        <v>2668</v>
      </c>
      <c r="C4079" s="196">
        <v>-57200</v>
      </c>
      <c r="D4079" s="196">
        <v>0</v>
      </c>
      <c r="E4079" s="196">
        <v>0</v>
      </c>
      <c r="F4079" s="196">
        <v>0</v>
      </c>
      <c r="G4079" s="196">
        <v>-57200</v>
      </c>
    </row>
    <row r="4080" spans="1:7" x14ac:dyDescent="0.3">
      <c r="A4080" s="198">
        <v>6353740</v>
      </c>
      <c r="B4080" s="192" t="s">
        <v>2669</v>
      </c>
      <c r="C4080" s="196">
        <v>-101800</v>
      </c>
      <c r="D4080" s="196">
        <v>0</v>
      </c>
      <c r="E4080" s="196">
        <v>0</v>
      </c>
      <c r="F4080" s="196">
        <v>0</v>
      </c>
      <c r="G4080" s="196">
        <v>-101800</v>
      </c>
    </row>
    <row r="4081" spans="1:7" x14ac:dyDescent="0.3">
      <c r="A4081" s="198">
        <v>23048955</v>
      </c>
      <c r="B4081" s="192" t="s">
        <v>2670</v>
      </c>
      <c r="C4081" s="196">
        <v>-319000</v>
      </c>
      <c r="D4081" s="196">
        <v>0</v>
      </c>
      <c r="E4081" s="196">
        <v>0</v>
      </c>
      <c r="F4081" s="196">
        <v>0</v>
      </c>
      <c r="G4081" s="196">
        <v>-319000</v>
      </c>
    </row>
    <row r="4082" spans="1:7" x14ac:dyDescent="0.3">
      <c r="A4082" s="198">
        <v>22153968</v>
      </c>
      <c r="B4082" s="192" t="s">
        <v>2671</v>
      </c>
      <c r="C4082" s="196">
        <v>-50900</v>
      </c>
      <c r="D4082" s="196">
        <v>0</v>
      </c>
      <c r="E4082" s="196">
        <v>0</v>
      </c>
      <c r="F4082" s="196">
        <v>0</v>
      </c>
      <c r="G4082" s="196">
        <v>-50900</v>
      </c>
    </row>
    <row r="4083" spans="1:7" x14ac:dyDescent="0.3">
      <c r="A4083" s="198">
        <v>1143362062</v>
      </c>
      <c r="B4083" s="192" t="s">
        <v>2672</v>
      </c>
      <c r="C4083" s="196">
        <v>-275000</v>
      </c>
      <c r="D4083" s="196">
        <v>0</v>
      </c>
      <c r="E4083" s="196">
        <v>0</v>
      </c>
      <c r="F4083" s="196">
        <v>0</v>
      </c>
      <c r="G4083" s="196">
        <v>-275000</v>
      </c>
    </row>
    <row r="4084" spans="1:7" x14ac:dyDescent="0.3">
      <c r="A4084" s="198">
        <v>32103222</v>
      </c>
      <c r="B4084" s="192" t="s">
        <v>2673</v>
      </c>
      <c r="C4084" s="196">
        <v>-50900</v>
      </c>
      <c r="D4084" s="196">
        <v>0</v>
      </c>
      <c r="E4084" s="196">
        <v>0</v>
      </c>
      <c r="F4084" s="196">
        <v>0</v>
      </c>
      <c r="G4084" s="196">
        <v>-50900</v>
      </c>
    </row>
    <row r="4085" spans="1:7" x14ac:dyDescent="0.3">
      <c r="A4085" s="198">
        <v>41546854</v>
      </c>
      <c r="B4085" s="192" t="s">
        <v>2674</v>
      </c>
      <c r="C4085" s="196">
        <v>-88400</v>
      </c>
      <c r="D4085" s="196">
        <v>0</v>
      </c>
      <c r="E4085" s="196">
        <v>0</v>
      </c>
      <c r="F4085" s="196">
        <v>0</v>
      </c>
      <c r="G4085" s="196">
        <v>-88400</v>
      </c>
    </row>
    <row r="4086" spans="1:7" x14ac:dyDescent="0.3">
      <c r="A4086" s="198">
        <v>43190350</v>
      </c>
      <c r="B4086" s="192" t="s">
        <v>2675</v>
      </c>
      <c r="C4086" s="196">
        <v>-29700</v>
      </c>
      <c r="D4086" s="196">
        <v>0</v>
      </c>
      <c r="E4086" s="196">
        <v>0</v>
      </c>
      <c r="F4086" s="196">
        <v>0</v>
      </c>
      <c r="G4086" s="196">
        <v>-29700</v>
      </c>
    </row>
    <row r="4087" spans="1:7" x14ac:dyDescent="0.3">
      <c r="A4087" s="198">
        <v>1034995524</v>
      </c>
      <c r="B4087" s="192" t="s">
        <v>2676</v>
      </c>
      <c r="C4087" s="196">
        <v>-380000</v>
      </c>
      <c r="D4087" s="196">
        <v>0</v>
      </c>
      <c r="E4087" s="196">
        <v>0</v>
      </c>
      <c r="F4087" s="196">
        <v>0</v>
      </c>
      <c r="G4087" s="196">
        <v>-380000</v>
      </c>
    </row>
    <row r="4088" spans="1:7" x14ac:dyDescent="0.3">
      <c r="A4088" s="198">
        <v>43593305</v>
      </c>
      <c r="B4088" s="192" t="s">
        <v>2677</v>
      </c>
      <c r="C4088" s="196">
        <v>-47400</v>
      </c>
      <c r="D4088" s="196">
        <v>0</v>
      </c>
      <c r="E4088" s="196">
        <v>0</v>
      </c>
      <c r="F4088" s="196">
        <v>0</v>
      </c>
      <c r="G4088" s="196">
        <v>-47400</v>
      </c>
    </row>
    <row r="4089" spans="1:7" x14ac:dyDescent="0.3">
      <c r="A4089" s="198">
        <v>32435215</v>
      </c>
      <c r="B4089" s="192" t="s">
        <v>2678</v>
      </c>
      <c r="C4089" s="196">
        <v>-1053000</v>
      </c>
      <c r="D4089" s="196">
        <v>0</v>
      </c>
      <c r="E4089" s="196">
        <v>0</v>
      </c>
      <c r="F4089" s="196">
        <v>0</v>
      </c>
      <c r="G4089" s="196">
        <v>-1053000</v>
      </c>
    </row>
    <row r="4090" spans="1:7" x14ac:dyDescent="0.3">
      <c r="A4090" s="198">
        <v>1082875113</v>
      </c>
      <c r="B4090" s="192" t="s">
        <v>2679</v>
      </c>
      <c r="C4090" s="196">
        <v>-87800</v>
      </c>
      <c r="D4090" s="196">
        <v>0</v>
      </c>
      <c r="E4090" s="196">
        <v>0</v>
      </c>
      <c r="F4090" s="196">
        <v>0</v>
      </c>
      <c r="G4090" s="196">
        <v>-87800</v>
      </c>
    </row>
    <row r="4091" spans="1:7" x14ac:dyDescent="0.3">
      <c r="A4091" s="198">
        <v>21526164</v>
      </c>
      <c r="B4091" s="192" t="s">
        <v>2680</v>
      </c>
      <c r="C4091" s="196">
        <v>-49000</v>
      </c>
      <c r="D4091" s="196">
        <v>0</v>
      </c>
      <c r="E4091" s="196">
        <v>0</v>
      </c>
      <c r="F4091" s="196">
        <v>0</v>
      </c>
      <c r="G4091" s="196">
        <v>-49000</v>
      </c>
    </row>
    <row r="4092" spans="1:7" x14ac:dyDescent="0.3">
      <c r="A4092" s="198">
        <v>1035023820</v>
      </c>
      <c r="B4092" s="192" t="s">
        <v>2681</v>
      </c>
      <c r="C4092" s="196">
        <v>-50900</v>
      </c>
      <c r="D4092" s="196">
        <v>0</v>
      </c>
      <c r="E4092" s="196">
        <v>0</v>
      </c>
      <c r="F4092" s="196">
        <v>0</v>
      </c>
      <c r="G4092" s="196">
        <v>-50900</v>
      </c>
    </row>
    <row r="4093" spans="1:7" x14ac:dyDescent="0.3">
      <c r="A4093" s="198">
        <v>32243773</v>
      </c>
      <c r="B4093" s="192" t="s">
        <v>2682</v>
      </c>
      <c r="C4093" s="196">
        <v>-50900</v>
      </c>
      <c r="D4093" s="196">
        <v>0</v>
      </c>
      <c r="E4093" s="196">
        <v>0</v>
      </c>
      <c r="F4093" s="196">
        <v>0</v>
      </c>
      <c r="G4093" s="196">
        <v>-50900</v>
      </c>
    </row>
    <row r="4094" spans="1:7" x14ac:dyDescent="0.3">
      <c r="A4094" s="198">
        <v>33174309</v>
      </c>
      <c r="B4094" s="192" t="s">
        <v>2683</v>
      </c>
      <c r="C4094" s="196">
        <v>-297000</v>
      </c>
      <c r="D4094" s="196">
        <v>0</v>
      </c>
      <c r="E4094" s="196">
        <v>0</v>
      </c>
      <c r="F4094" s="196">
        <v>0</v>
      </c>
      <c r="G4094" s="196">
        <v>-297000</v>
      </c>
    </row>
    <row r="4095" spans="1:7" x14ac:dyDescent="0.3">
      <c r="A4095" s="198">
        <v>1017940784</v>
      </c>
      <c r="B4095" s="192" t="s">
        <v>2684</v>
      </c>
      <c r="C4095" s="196">
        <v>-46100</v>
      </c>
      <c r="D4095" s="196">
        <v>0</v>
      </c>
      <c r="E4095" s="196">
        <v>0</v>
      </c>
      <c r="F4095" s="196">
        <v>0</v>
      </c>
      <c r="G4095" s="196">
        <v>-46100</v>
      </c>
    </row>
    <row r="4096" spans="1:7" x14ac:dyDescent="0.3">
      <c r="A4096" s="198">
        <v>1035018221</v>
      </c>
      <c r="B4096" s="192" t="s">
        <v>2685</v>
      </c>
      <c r="C4096" s="196">
        <v>-207900</v>
      </c>
      <c r="D4096" s="196">
        <v>0</v>
      </c>
      <c r="E4096" s="196">
        <v>0</v>
      </c>
      <c r="F4096" s="196">
        <v>0</v>
      </c>
      <c r="G4096" s="196">
        <v>-207900</v>
      </c>
    </row>
    <row r="4097" spans="1:7" x14ac:dyDescent="0.3">
      <c r="A4097" s="198">
        <v>32258004</v>
      </c>
      <c r="B4097" s="192" t="s">
        <v>257</v>
      </c>
      <c r="C4097" s="196">
        <v>0</v>
      </c>
      <c r="D4097" s="196">
        <v>0</v>
      </c>
      <c r="E4097" s="196">
        <v>50900</v>
      </c>
      <c r="F4097" s="196">
        <v>-50900</v>
      </c>
      <c r="G4097" s="196">
        <v>-50900</v>
      </c>
    </row>
    <row r="4098" spans="1:7" x14ac:dyDescent="0.3">
      <c r="A4098" s="198">
        <v>51842414</v>
      </c>
      <c r="B4098" s="192" t="s">
        <v>258</v>
      </c>
      <c r="C4098" s="196">
        <v>-73200</v>
      </c>
      <c r="D4098" s="196">
        <v>0</v>
      </c>
      <c r="E4098" s="196">
        <v>36600</v>
      </c>
      <c r="F4098" s="196">
        <v>-36600</v>
      </c>
      <c r="G4098" s="196">
        <v>-109800</v>
      </c>
    </row>
    <row r="4099" spans="1:7" x14ac:dyDescent="0.3">
      <c r="A4099" s="198">
        <v>43976006</v>
      </c>
      <c r="B4099" s="192" t="s">
        <v>2686</v>
      </c>
      <c r="C4099" s="196">
        <v>-50900</v>
      </c>
      <c r="D4099" s="196">
        <v>0</v>
      </c>
      <c r="E4099" s="196">
        <v>0</v>
      </c>
      <c r="F4099" s="196">
        <v>0</v>
      </c>
      <c r="G4099" s="196">
        <v>-50900</v>
      </c>
    </row>
    <row r="4100" spans="1:7" x14ac:dyDescent="0.3">
      <c r="A4100" s="198">
        <v>1018458821</v>
      </c>
      <c r="B4100" s="192" t="s">
        <v>2687</v>
      </c>
      <c r="C4100" s="196">
        <v>-38400</v>
      </c>
      <c r="D4100" s="196">
        <v>0</v>
      </c>
      <c r="E4100" s="196">
        <v>0</v>
      </c>
      <c r="F4100" s="196">
        <v>0</v>
      </c>
      <c r="G4100" s="196">
        <v>-38400</v>
      </c>
    </row>
    <row r="4101" spans="1:7" x14ac:dyDescent="0.3">
      <c r="A4101" s="198">
        <v>43252205</v>
      </c>
      <c r="B4101" s="192" t="s">
        <v>259</v>
      </c>
      <c r="C4101" s="196">
        <v>0</v>
      </c>
      <c r="D4101" s="196">
        <v>0</v>
      </c>
      <c r="E4101" s="196">
        <v>50900</v>
      </c>
      <c r="F4101" s="196">
        <v>-50900</v>
      </c>
      <c r="G4101" s="196">
        <v>-50900</v>
      </c>
    </row>
    <row r="4102" spans="1:7" x14ac:dyDescent="0.3">
      <c r="A4102" s="198">
        <v>43220550</v>
      </c>
      <c r="B4102" s="192" t="s">
        <v>2688</v>
      </c>
      <c r="C4102" s="196">
        <v>-50900</v>
      </c>
      <c r="D4102" s="196">
        <v>0</v>
      </c>
      <c r="E4102" s="196">
        <v>0</v>
      </c>
      <c r="F4102" s="196">
        <v>0</v>
      </c>
      <c r="G4102" s="196">
        <v>-50900</v>
      </c>
    </row>
    <row r="4103" spans="1:7" x14ac:dyDescent="0.3">
      <c r="A4103" s="198">
        <v>39172673</v>
      </c>
      <c r="B4103" s="192" t="s">
        <v>2689</v>
      </c>
      <c r="C4103" s="196">
        <v>-385300</v>
      </c>
      <c r="D4103" s="196">
        <v>0</v>
      </c>
      <c r="E4103" s="196">
        <v>0</v>
      </c>
      <c r="F4103" s="196">
        <v>0</v>
      </c>
      <c r="G4103" s="196">
        <v>-385300</v>
      </c>
    </row>
    <row r="4104" spans="1:7" x14ac:dyDescent="0.3">
      <c r="A4104" s="198">
        <v>1214731253</v>
      </c>
      <c r="B4104" s="192" t="s">
        <v>261</v>
      </c>
      <c r="C4104" s="196">
        <v>0</v>
      </c>
      <c r="D4104" s="196">
        <v>0</v>
      </c>
      <c r="E4104" s="196">
        <v>113600</v>
      </c>
      <c r="F4104" s="196">
        <v>-113600</v>
      </c>
      <c r="G4104" s="196">
        <v>-113600</v>
      </c>
    </row>
    <row r="4105" spans="1:7" x14ac:dyDescent="0.3">
      <c r="A4105" s="198">
        <v>1019040663</v>
      </c>
      <c r="B4105" s="192" t="s">
        <v>2690</v>
      </c>
      <c r="C4105" s="196">
        <v>-50900</v>
      </c>
      <c r="D4105" s="196">
        <v>0</v>
      </c>
      <c r="E4105" s="196">
        <v>0</v>
      </c>
      <c r="F4105" s="196">
        <v>0</v>
      </c>
      <c r="G4105" s="196">
        <v>-50900</v>
      </c>
    </row>
    <row r="4106" spans="1:7" x14ac:dyDescent="0.3">
      <c r="A4106" s="198">
        <v>43626359</v>
      </c>
      <c r="B4106" s="192" t="s">
        <v>2691</v>
      </c>
      <c r="C4106" s="196">
        <v>-50900</v>
      </c>
      <c r="D4106" s="196">
        <v>0</v>
      </c>
      <c r="E4106" s="196">
        <v>0</v>
      </c>
      <c r="F4106" s="196">
        <v>0</v>
      </c>
      <c r="G4106" s="196">
        <v>-50900</v>
      </c>
    </row>
    <row r="4107" spans="1:7" x14ac:dyDescent="0.3">
      <c r="A4107" s="198">
        <v>1036622511</v>
      </c>
      <c r="B4107" s="192" t="s">
        <v>2692</v>
      </c>
      <c r="C4107" s="196">
        <v>-108400</v>
      </c>
      <c r="D4107" s="196">
        <v>0</v>
      </c>
      <c r="E4107" s="196">
        <v>0</v>
      </c>
      <c r="F4107" s="196">
        <v>0</v>
      </c>
      <c r="G4107" s="196">
        <v>-108400</v>
      </c>
    </row>
    <row r="4108" spans="1:7" x14ac:dyDescent="0.3">
      <c r="A4108" s="198">
        <v>1036660754</v>
      </c>
      <c r="B4108" s="192" t="s">
        <v>2693</v>
      </c>
      <c r="C4108" s="196">
        <v>-50900</v>
      </c>
      <c r="D4108" s="196">
        <v>0</v>
      </c>
      <c r="E4108" s="196">
        <v>0</v>
      </c>
      <c r="F4108" s="196">
        <v>0</v>
      </c>
      <c r="G4108" s="196">
        <v>-50900</v>
      </c>
    </row>
    <row r="4109" spans="1:7" x14ac:dyDescent="0.3">
      <c r="A4109" s="198">
        <v>32240922</v>
      </c>
      <c r="B4109" s="192" t="s">
        <v>2694</v>
      </c>
      <c r="C4109" s="196">
        <v>-50900</v>
      </c>
      <c r="D4109" s="196">
        <v>0</v>
      </c>
      <c r="E4109" s="196">
        <v>0</v>
      </c>
      <c r="F4109" s="196">
        <v>0</v>
      </c>
      <c r="G4109" s="196">
        <v>-50900</v>
      </c>
    </row>
    <row r="4110" spans="1:7" x14ac:dyDescent="0.3">
      <c r="A4110" s="198">
        <v>43723590</v>
      </c>
      <c r="B4110" s="192" t="s">
        <v>263</v>
      </c>
      <c r="C4110" s="196">
        <v>-57200</v>
      </c>
      <c r="D4110" s="196">
        <v>0</v>
      </c>
      <c r="E4110" s="196">
        <v>57200</v>
      </c>
      <c r="F4110" s="196">
        <v>-57200</v>
      </c>
      <c r="G4110" s="196">
        <v>-114400</v>
      </c>
    </row>
    <row r="4111" spans="1:7" x14ac:dyDescent="0.3">
      <c r="A4111" s="198">
        <v>33102889</v>
      </c>
      <c r="B4111" s="192" t="s">
        <v>264</v>
      </c>
      <c r="C4111" s="196">
        <v>0</v>
      </c>
      <c r="D4111" s="196">
        <v>57199</v>
      </c>
      <c r="E4111" s="196">
        <v>162600</v>
      </c>
      <c r="F4111" s="196">
        <v>-105401</v>
      </c>
      <c r="G4111" s="196">
        <v>-105401</v>
      </c>
    </row>
    <row r="4112" spans="1:7" x14ac:dyDescent="0.3">
      <c r="A4112" s="198">
        <v>32242432</v>
      </c>
      <c r="B4112" s="192" t="s">
        <v>2695</v>
      </c>
      <c r="C4112" s="196">
        <v>-50900</v>
      </c>
      <c r="D4112" s="196">
        <v>0</v>
      </c>
      <c r="E4112" s="196">
        <v>0</v>
      </c>
      <c r="F4112" s="196">
        <v>0</v>
      </c>
      <c r="G4112" s="196">
        <v>-50900</v>
      </c>
    </row>
    <row r="4113" spans="1:7" x14ac:dyDescent="0.3">
      <c r="A4113" s="198">
        <v>38643589</v>
      </c>
      <c r="B4113" s="192" t="s">
        <v>2696</v>
      </c>
      <c r="C4113" s="196">
        <v>-54200</v>
      </c>
      <c r="D4113" s="196">
        <v>0</v>
      </c>
      <c r="E4113" s="196">
        <v>0</v>
      </c>
      <c r="F4113" s="196">
        <v>0</v>
      </c>
      <c r="G4113" s="196">
        <v>-54200</v>
      </c>
    </row>
    <row r="4114" spans="1:7" x14ac:dyDescent="0.3">
      <c r="A4114" s="198">
        <v>41638013</v>
      </c>
      <c r="B4114" s="192" t="s">
        <v>265</v>
      </c>
      <c r="C4114" s="196">
        <v>-50900</v>
      </c>
      <c r="D4114" s="196">
        <v>0</v>
      </c>
      <c r="E4114" s="196">
        <v>50900</v>
      </c>
      <c r="F4114" s="196">
        <v>-50900</v>
      </c>
      <c r="G4114" s="196">
        <v>-101800</v>
      </c>
    </row>
    <row r="4115" spans="1:7" x14ac:dyDescent="0.3">
      <c r="A4115" s="198">
        <v>548851449</v>
      </c>
      <c r="B4115" s="192" t="s">
        <v>2697</v>
      </c>
      <c r="C4115" s="196">
        <v>-247000</v>
      </c>
      <c r="D4115" s="196">
        <v>0</v>
      </c>
      <c r="E4115" s="196">
        <v>0</v>
      </c>
      <c r="F4115" s="196">
        <v>0</v>
      </c>
      <c r="G4115" s="196">
        <v>-247000</v>
      </c>
    </row>
    <row r="4116" spans="1:7" x14ac:dyDescent="0.3">
      <c r="A4116" s="198">
        <v>42888899</v>
      </c>
      <c r="B4116" s="192" t="s">
        <v>2698</v>
      </c>
      <c r="C4116" s="196">
        <v>-47400</v>
      </c>
      <c r="D4116" s="196">
        <v>0</v>
      </c>
      <c r="E4116" s="196">
        <v>0</v>
      </c>
      <c r="F4116" s="196">
        <v>0</v>
      </c>
      <c r="G4116" s="196">
        <v>-47400</v>
      </c>
    </row>
    <row r="4117" spans="1:7" x14ac:dyDescent="0.3">
      <c r="A4117" s="198">
        <v>1127802304</v>
      </c>
      <c r="B4117" s="192" t="s">
        <v>2699</v>
      </c>
      <c r="C4117" s="196">
        <v>-50900</v>
      </c>
      <c r="D4117" s="196">
        <v>0</v>
      </c>
      <c r="E4117" s="196">
        <v>0</v>
      </c>
      <c r="F4117" s="196">
        <v>0</v>
      </c>
      <c r="G4117" s="196">
        <v>-50900</v>
      </c>
    </row>
    <row r="4118" spans="1:7" x14ac:dyDescent="0.3">
      <c r="A4118" s="198">
        <v>32244428</v>
      </c>
      <c r="B4118" s="192" t="s">
        <v>2700</v>
      </c>
      <c r="C4118" s="196">
        <v>-50900</v>
      </c>
      <c r="D4118" s="196">
        <v>0</v>
      </c>
      <c r="E4118" s="196">
        <v>0</v>
      </c>
      <c r="F4118" s="196">
        <v>0</v>
      </c>
      <c r="G4118" s="196">
        <v>-50900</v>
      </c>
    </row>
    <row r="4119" spans="1:7" x14ac:dyDescent="0.3">
      <c r="A4119" s="198">
        <v>1001419835</v>
      </c>
      <c r="B4119" s="192" t="s">
        <v>2701</v>
      </c>
      <c r="C4119" s="196">
        <v>-380000</v>
      </c>
      <c r="D4119" s="196">
        <v>0</v>
      </c>
      <c r="E4119" s="196">
        <v>0</v>
      </c>
      <c r="F4119" s="196">
        <v>0</v>
      </c>
      <c r="G4119" s="196">
        <v>-380000</v>
      </c>
    </row>
    <row r="4120" spans="1:7" x14ac:dyDescent="0.3">
      <c r="A4120" s="198">
        <v>32297102</v>
      </c>
      <c r="B4120" s="192" t="s">
        <v>2702</v>
      </c>
      <c r="C4120" s="196">
        <v>-47000</v>
      </c>
      <c r="D4120" s="196">
        <v>0</v>
      </c>
      <c r="E4120" s="196">
        <v>0</v>
      </c>
      <c r="F4120" s="196">
        <v>0</v>
      </c>
      <c r="G4120" s="196">
        <v>-47000</v>
      </c>
    </row>
    <row r="4121" spans="1:7" x14ac:dyDescent="0.3">
      <c r="A4121" s="198">
        <v>1070961929</v>
      </c>
      <c r="B4121" s="192" t="s">
        <v>2703</v>
      </c>
      <c r="C4121" s="196">
        <v>-297000</v>
      </c>
      <c r="D4121" s="196">
        <v>0</v>
      </c>
      <c r="E4121" s="196">
        <v>0</v>
      </c>
      <c r="F4121" s="196">
        <v>0</v>
      </c>
      <c r="G4121" s="196">
        <v>-297000</v>
      </c>
    </row>
    <row r="4122" spans="1:7" x14ac:dyDescent="0.3">
      <c r="A4122" s="198">
        <v>31976070</v>
      </c>
      <c r="B4122" s="192" t="s">
        <v>2704</v>
      </c>
      <c r="C4122" s="196">
        <v>-50900</v>
      </c>
      <c r="D4122" s="196">
        <v>0</v>
      </c>
      <c r="E4122" s="196">
        <v>0</v>
      </c>
      <c r="F4122" s="196">
        <v>0</v>
      </c>
      <c r="G4122" s="196">
        <v>-50900</v>
      </c>
    </row>
    <row r="4123" spans="1:7" x14ac:dyDescent="0.3">
      <c r="A4123" s="198">
        <v>39178545</v>
      </c>
      <c r="B4123" s="192" t="s">
        <v>2705</v>
      </c>
      <c r="C4123" s="196">
        <v>-50900</v>
      </c>
      <c r="D4123" s="196">
        <v>0</v>
      </c>
      <c r="E4123" s="196">
        <v>0</v>
      </c>
      <c r="F4123" s="196">
        <v>0</v>
      </c>
      <c r="G4123" s="196">
        <v>-50900</v>
      </c>
    </row>
    <row r="4124" spans="1:7" x14ac:dyDescent="0.3">
      <c r="A4124" s="198">
        <v>1152712164</v>
      </c>
      <c r="B4124" s="192" t="s">
        <v>268</v>
      </c>
      <c r="C4124" s="196">
        <v>-110000</v>
      </c>
      <c r="D4124" s="196">
        <v>0</v>
      </c>
      <c r="E4124" s="196">
        <v>0</v>
      </c>
      <c r="F4124" s="196">
        <v>0</v>
      </c>
      <c r="G4124" s="196">
        <v>-110000</v>
      </c>
    </row>
    <row r="4125" spans="1:7" x14ac:dyDescent="0.3">
      <c r="A4125" s="198">
        <v>43971912</v>
      </c>
      <c r="B4125" s="192" t="s">
        <v>2374</v>
      </c>
      <c r="C4125" s="196">
        <v>-216800</v>
      </c>
      <c r="D4125" s="196">
        <v>0</v>
      </c>
      <c r="E4125" s="196">
        <v>0</v>
      </c>
      <c r="F4125" s="196">
        <v>0</v>
      </c>
      <c r="G4125" s="196">
        <v>-216800</v>
      </c>
    </row>
    <row r="4126" spans="1:7" x14ac:dyDescent="0.3">
      <c r="A4126" s="198">
        <v>1000549044</v>
      </c>
      <c r="B4126" s="192" t="s">
        <v>2706</v>
      </c>
      <c r="C4126" s="196">
        <v>-47400</v>
      </c>
      <c r="D4126" s="196">
        <v>0</v>
      </c>
      <c r="E4126" s="196">
        <v>0</v>
      </c>
      <c r="F4126" s="196">
        <v>0</v>
      </c>
      <c r="G4126" s="196">
        <v>-47400</v>
      </c>
    </row>
    <row r="4127" spans="1:7" x14ac:dyDescent="0.3">
      <c r="A4127" s="198">
        <v>43564662</v>
      </c>
      <c r="B4127" s="192" t="s">
        <v>2707</v>
      </c>
      <c r="C4127" s="196">
        <v>-85000</v>
      </c>
      <c r="D4127" s="196">
        <v>0</v>
      </c>
      <c r="E4127" s="196">
        <v>0</v>
      </c>
      <c r="F4127" s="196">
        <v>0</v>
      </c>
      <c r="G4127" s="196">
        <v>-85000</v>
      </c>
    </row>
    <row r="4128" spans="1:7" x14ac:dyDescent="0.3">
      <c r="A4128" s="198">
        <v>42884962</v>
      </c>
      <c r="B4128" s="192" t="s">
        <v>269</v>
      </c>
      <c r="C4128" s="196">
        <v>0</v>
      </c>
      <c r="D4128" s="196">
        <v>0</v>
      </c>
      <c r="E4128" s="196">
        <v>57200</v>
      </c>
      <c r="F4128" s="196">
        <v>-57200</v>
      </c>
      <c r="G4128" s="196">
        <v>-57200</v>
      </c>
    </row>
    <row r="4129" spans="1:7" x14ac:dyDescent="0.3">
      <c r="A4129" s="198">
        <v>39782657</v>
      </c>
      <c r="B4129" s="192" t="s">
        <v>270</v>
      </c>
      <c r="C4129" s="196">
        <v>0</v>
      </c>
      <c r="D4129" s="196">
        <v>0</v>
      </c>
      <c r="E4129" s="196">
        <v>50900</v>
      </c>
      <c r="F4129" s="196">
        <v>-50900</v>
      </c>
      <c r="G4129" s="196">
        <v>-50900</v>
      </c>
    </row>
    <row r="4130" spans="1:7" x14ac:dyDescent="0.3">
      <c r="A4130" s="198">
        <v>39273484</v>
      </c>
      <c r="B4130" s="192" t="s">
        <v>271</v>
      </c>
      <c r="C4130" s="196">
        <v>-50900</v>
      </c>
      <c r="D4130" s="196">
        <v>0</v>
      </c>
      <c r="E4130" s="196">
        <v>0</v>
      </c>
      <c r="F4130" s="196">
        <v>0</v>
      </c>
      <c r="G4130" s="196">
        <v>-50900</v>
      </c>
    </row>
    <row r="4131" spans="1:7" x14ac:dyDescent="0.3">
      <c r="A4131" s="198">
        <v>1128269369</v>
      </c>
      <c r="B4131" s="192" t="s">
        <v>2708</v>
      </c>
      <c r="C4131" s="196">
        <v>-50900</v>
      </c>
      <c r="D4131" s="196">
        <v>0</v>
      </c>
      <c r="E4131" s="196">
        <v>0</v>
      </c>
      <c r="F4131" s="196">
        <v>0</v>
      </c>
      <c r="G4131" s="196">
        <v>-50900</v>
      </c>
    </row>
    <row r="4132" spans="1:7" x14ac:dyDescent="0.3">
      <c r="A4132" s="198">
        <v>43400178</v>
      </c>
      <c r="B4132" s="192" t="s">
        <v>2709</v>
      </c>
      <c r="C4132" s="196">
        <v>-380000</v>
      </c>
      <c r="D4132" s="196">
        <v>0</v>
      </c>
      <c r="E4132" s="196">
        <v>0</v>
      </c>
      <c r="F4132" s="196">
        <v>0</v>
      </c>
      <c r="G4132" s="196">
        <v>-380000</v>
      </c>
    </row>
    <row r="4133" spans="1:7" x14ac:dyDescent="0.3">
      <c r="A4133" s="198">
        <v>43220105</v>
      </c>
      <c r="B4133" s="192" t="s">
        <v>273</v>
      </c>
      <c r="C4133" s="196">
        <v>-50900</v>
      </c>
      <c r="D4133" s="196">
        <v>0</v>
      </c>
      <c r="E4133" s="196">
        <v>50900</v>
      </c>
      <c r="F4133" s="196">
        <v>-50900</v>
      </c>
      <c r="G4133" s="196">
        <v>-101800</v>
      </c>
    </row>
    <row r="4134" spans="1:7" x14ac:dyDescent="0.3">
      <c r="A4134" s="198">
        <v>41356931</v>
      </c>
      <c r="B4134" s="192" t="s">
        <v>2710</v>
      </c>
      <c r="C4134" s="196">
        <v>-114400</v>
      </c>
      <c r="D4134" s="196">
        <v>0</v>
      </c>
      <c r="E4134" s="196">
        <v>0</v>
      </c>
      <c r="F4134" s="196">
        <v>0</v>
      </c>
      <c r="G4134" s="196">
        <v>-114400</v>
      </c>
    </row>
    <row r="4135" spans="1:7" x14ac:dyDescent="0.3">
      <c r="A4135" s="198">
        <v>43052600</v>
      </c>
      <c r="B4135" s="192" t="s">
        <v>2711</v>
      </c>
      <c r="C4135" s="196">
        <v>-297000</v>
      </c>
      <c r="D4135" s="196">
        <v>0</v>
      </c>
      <c r="E4135" s="196">
        <v>0</v>
      </c>
      <c r="F4135" s="196">
        <v>0</v>
      </c>
      <c r="G4135" s="196">
        <v>-297000</v>
      </c>
    </row>
    <row r="4136" spans="1:7" x14ac:dyDescent="0.3">
      <c r="A4136" s="198">
        <v>21279334</v>
      </c>
      <c r="B4136" s="192" t="s">
        <v>274</v>
      </c>
      <c r="C4136" s="196">
        <v>-50900</v>
      </c>
      <c r="D4136" s="196">
        <v>0</v>
      </c>
      <c r="E4136" s="196">
        <v>50900</v>
      </c>
      <c r="F4136" s="196">
        <v>-50900</v>
      </c>
      <c r="G4136" s="196">
        <v>-101800</v>
      </c>
    </row>
    <row r="4137" spans="1:7" x14ac:dyDescent="0.3">
      <c r="A4137" s="198">
        <v>1038647572</v>
      </c>
      <c r="B4137" s="192" t="s">
        <v>275</v>
      </c>
      <c r="C4137" s="196">
        <v>-150900</v>
      </c>
      <c r="D4137" s="196">
        <v>0</v>
      </c>
      <c r="E4137" s="196">
        <v>0</v>
      </c>
      <c r="F4137" s="196">
        <v>0</v>
      </c>
      <c r="G4137" s="196">
        <v>-150900</v>
      </c>
    </row>
    <row r="4138" spans="1:7" x14ac:dyDescent="0.3">
      <c r="A4138" s="198">
        <v>1016606717</v>
      </c>
      <c r="B4138" s="192" t="s">
        <v>2712</v>
      </c>
      <c r="C4138" s="196">
        <v>-50900</v>
      </c>
      <c r="D4138" s="196">
        <v>0</v>
      </c>
      <c r="E4138" s="196">
        <v>0</v>
      </c>
      <c r="F4138" s="196">
        <v>0</v>
      </c>
      <c r="G4138" s="196">
        <v>-50900</v>
      </c>
    </row>
    <row r="4139" spans="1:7" x14ac:dyDescent="0.3">
      <c r="A4139" s="198">
        <v>1035003356</v>
      </c>
      <c r="B4139" s="192" t="s">
        <v>2713</v>
      </c>
      <c r="C4139" s="196">
        <v>-57200</v>
      </c>
      <c r="D4139" s="196">
        <v>0</v>
      </c>
      <c r="E4139" s="196">
        <v>0</v>
      </c>
      <c r="F4139" s="196">
        <v>0</v>
      </c>
      <c r="G4139" s="196">
        <v>-57200</v>
      </c>
    </row>
    <row r="4140" spans="1:7" x14ac:dyDescent="0.3">
      <c r="A4140" s="198">
        <v>1020305632</v>
      </c>
      <c r="B4140" s="192" t="s">
        <v>276</v>
      </c>
      <c r="C4140" s="196">
        <v>0</v>
      </c>
      <c r="D4140" s="196">
        <v>0</v>
      </c>
      <c r="E4140" s="196">
        <v>57200</v>
      </c>
      <c r="F4140" s="196">
        <v>-57200</v>
      </c>
      <c r="G4140" s="196">
        <v>-57200</v>
      </c>
    </row>
    <row r="4141" spans="1:7" x14ac:dyDescent="0.3">
      <c r="A4141" s="198">
        <v>1089931076</v>
      </c>
      <c r="B4141" s="192" t="s">
        <v>2714</v>
      </c>
      <c r="C4141" s="196">
        <v>-47400</v>
      </c>
      <c r="D4141" s="196">
        <v>0</v>
      </c>
      <c r="E4141" s="196">
        <v>0</v>
      </c>
      <c r="F4141" s="196">
        <v>0</v>
      </c>
      <c r="G4141" s="196">
        <v>-47400</v>
      </c>
    </row>
    <row r="4142" spans="1:7" x14ac:dyDescent="0.3">
      <c r="A4142" s="198">
        <v>1014896838</v>
      </c>
      <c r="B4142" s="192" t="s">
        <v>2715</v>
      </c>
      <c r="C4142" s="196">
        <v>-54200</v>
      </c>
      <c r="D4142" s="196">
        <v>0</v>
      </c>
      <c r="E4142" s="196">
        <v>0</v>
      </c>
      <c r="F4142" s="196">
        <v>0</v>
      </c>
      <c r="G4142" s="196">
        <v>-54200</v>
      </c>
    </row>
    <row r="4143" spans="1:7" x14ac:dyDescent="0.3">
      <c r="A4143" s="198">
        <v>1034987818</v>
      </c>
      <c r="B4143" s="192" t="s">
        <v>2716</v>
      </c>
      <c r="C4143" s="196">
        <v>-30000</v>
      </c>
      <c r="D4143" s="196">
        <v>0</v>
      </c>
      <c r="E4143" s="196">
        <v>0</v>
      </c>
      <c r="F4143" s="196">
        <v>0</v>
      </c>
      <c r="G4143" s="196">
        <v>-30000</v>
      </c>
    </row>
    <row r="4144" spans="1:7" x14ac:dyDescent="0.3">
      <c r="A4144" s="198">
        <v>1027665849</v>
      </c>
      <c r="B4144" s="192" t="s">
        <v>2717</v>
      </c>
      <c r="C4144" s="196">
        <v>-50900</v>
      </c>
      <c r="D4144" s="196">
        <v>0</v>
      </c>
      <c r="E4144" s="196">
        <v>0</v>
      </c>
      <c r="F4144" s="196">
        <v>0</v>
      </c>
      <c r="G4144" s="196">
        <v>-50900</v>
      </c>
    </row>
    <row r="4145" spans="1:7" x14ac:dyDescent="0.3">
      <c r="A4145" s="198">
        <v>1039740499</v>
      </c>
      <c r="B4145" s="192" t="s">
        <v>277</v>
      </c>
      <c r="C4145" s="196">
        <v>0</v>
      </c>
      <c r="D4145" s="196">
        <v>0</v>
      </c>
      <c r="E4145" s="196">
        <v>50900</v>
      </c>
      <c r="F4145" s="196">
        <v>-50900</v>
      </c>
      <c r="G4145" s="196">
        <v>-50900</v>
      </c>
    </row>
    <row r="4146" spans="1:7" x14ac:dyDescent="0.3">
      <c r="A4146" s="198">
        <v>1033272240</v>
      </c>
      <c r="B4146" s="192" t="s">
        <v>2718</v>
      </c>
      <c r="C4146" s="196">
        <v>-255000</v>
      </c>
      <c r="D4146" s="196">
        <v>0</v>
      </c>
      <c r="E4146" s="196">
        <v>0</v>
      </c>
      <c r="F4146" s="196">
        <v>0</v>
      </c>
      <c r="G4146" s="196">
        <v>-255000</v>
      </c>
    </row>
    <row r="4147" spans="1:7" x14ac:dyDescent="0.3">
      <c r="A4147" s="198">
        <v>626836</v>
      </c>
      <c r="B4147" s="192" t="s">
        <v>278</v>
      </c>
      <c r="C4147" s="196">
        <v>0</v>
      </c>
      <c r="D4147" s="196">
        <v>0</v>
      </c>
      <c r="E4147" s="196">
        <v>50900</v>
      </c>
      <c r="F4147" s="196">
        <v>-50900</v>
      </c>
      <c r="G4147" s="196">
        <v>-50900</v>
      </c>
    </row>
    <row r="4148" spans="1:7" x14ac:dyDescent="0.3">
      <c r="A4148" s="198">
        <v>2000027975</v>
      </c>
      <c r="B4148" s="192" t="s">
        <v>279</v>
      </c>
      <c r="C4148" s="196">
        <v>-47400</v>
      </c>
      <c r="D4148" s="196">
        <v>0</v>
      </c>
      <c r="E4148" s="196">
        <v>50900</v>
      </c>
      <c r="F4148" s="196">
        <v>-50900</v>
      </c>
      <c r="G4148" s="196">
        <v>-98300</v>
      </c>
    </row>
    <row r="4149" spans="1:7" x14ac:dyDescent="0.3">
      <c r="A4149" s="198">
        <v>22059239</v>
      </c>
      <c r="B4149" s="192" t="s">
        <v>2719</v>
      </c>
      <c r="C4149" s="196">
        <v>-50900</v>
      </c>
      <c r="D4149" s="196">
        <v>0</v>
      </c>
      <c r="E4149" s="196">
        <v>0</v>
      </c>
      <c r="F4149" s="196">
        <v>0</v>
      </c>
      <c r="G4149" s="196">
        <v>-50900</v>
      </c>
    </row>
    <row r="4150" spans="1:7" x14ac:dyDescent="0.3">
      <c r="A4150" s="198">
        <v>1067878905</v>
      </c>
      <c r="B4150" s="192" t="s">
        <v>2720</v>
      </c>
      <c r="C4150" s="196">
        <v>-110000</v>
      </c>
      <c r="D4150" s="196">
        <v>0</v>
      </c>
      <c r="E4150" s="196">
        <v>0</v>
      </c>
      <c r="F4150" s="196">
        <v>0</v>
      </c>
      <c r="G4150" s="196">
        <v>-110000</v>
      </c>
    </row>
    <row r="4151" spans="1:7" x14ac:dyDescent="0.3">
      <c r="A4151" s="198">
        <v>98703008</v>
      </c>
      <c r="B4151" s="192" t="s">
        <v>2721</v>
      </c>
      <c r="C4151" s="196">
        <v>-57200</v>
      </c>
      <c r="D4151" s="196">
        <v>0</v>
      </c>
      <c r="E4151" s="196">
        <v>0</v>
      </c>
      <c r="F4151" s="196">
        <v>0</v>
      </c>
      <c r="G4151" s="196">
        <v>-57200</v>
      </c>
    </row>
    <row r="4152" spans="1:7" x14ac:dyDescent="0.3">
      <c r="A4152" s="198">
        <v>1014271963</v>
      </c>
      <c r="B4152" s="192" t="s">
        <v>280</v>
      </c>
      <c r="C4152" s="196">
        <v>-90900</v>
      </c>
      <c r="D4152" s="196">
        <v>0</v>
      </c>
      <c r="E4152" s="196">
        <v>50900</v>
      </c>
      <c r="F4152" s="196">
        <v>-50900</v>
      </c>
      <c r="G4152" s="196">
        <v>-141800</v>
      </c>
    </row>
    <row r="4153" spans="1:7" x14ac:dyDescent="0.3">
      <c r="A4153" s="198">
        <v>1128445246</v>
      </c>
      <c r="B4153" s="192" t="s">
        <v>2722</v>
      </c>
      <c r="C4153" s="196">
        <v>-20000</v>
      </c>
      <c r="D4153" s="196">
        <v>0</v>
      </c>
      <c r="E4153" s="196">
        <v>0</v>
      </c>
      <c r="F4153" s="196">
        <v>0</v>
      </c>
      <c r="G4153" s="196">
        <v>-20000</v>
      </c>
    </row>
    <row r="4154" spans="1:7" x14ac:dyDescent="0.3">
      <c r="A4154" s="198">
        <v>7332528</v>
      </c>
      <c r="B4154" s="192" t="s">
        <v>2723</v>
      </c>
      <c r="C4154" s="196">
        <v>-46400</v>
      </c>
      <c r="D4154" s="196">
        <v>0</v>
      </c>
      <c r="E4154" s="196">
        <v>0</v>
      </c>
      <c r="F4154" s="196">
        <v>0</v>
      </c>
      <c r="G4154" s="196">
        <v>-46400</v>
      </c>
    </row>
    <row r="4155" spans="1:7" x14ac:dyDescent="0.3">
      <c r="A4155" s="198">
        <v>1023163772</v>
      </c>
      <c r="B4155" s="192" t="s">
        <v>2724</v>
      </c>
      <c r="C4155" s="196">
        <v>-47400</v>
      </c>
      <c r="D4155" s="196">
        <v>0</v>
      </c>
      <c r="E4155" s="196">
        <v>0</v>
      </c>
      <c r="F4155" s="196">
        <v>0</v>
      </c>
      <c r="G4155" s="196">
        <v>-47400</v>
      </c>
    </row>
    <row r="4156" spans="1:7" x14ac:dyDescent="0.3">
      <c r="A4156" s="198">
        <v>28538766</v>
      </c>
      <c r="B4156" s="192" t="s">
        <v>2725</v>
      </c>
      <c r="C4156" s="196">
        <v>-14050</v>
      </c>
      <c r="D4156" s="196">
        <v>0</v>
      </c>
      <c r="E4156" s="196">
        <v>0</v>
      </c>
      <c r="F4156" s="196">
        <v>0</v>
      </c>
      <c r="G4156" s="196">
        <v>-14050</v>
      </c>
    </row>
    <row r="4157" spans="1:7" x14ac:dyDescent="0.3">
      <c r="A4157" s="198">
        <v>1037656284</v>
      </c>
      <c r="B4157" s="192" t="s">
        <v>281</v>
      </c>
      <c r="C4157" s="196">
        <v>0</v>
      </c>
      <c r="D4157" s="196">
        <v>0</v>
      </c>
      <c r="E4157" s="196">
        <v>50900</v>
      </c>
      <c r="F4157" s="196">
        <v>-50900</v>
      </c>
      <c r="G4157" s="196">
        <v>-50900</v>
      </c>
    </row>
    <row r="4158" spans="1:7" x14ac:dyDescent="0.3">
      <c r="A4158" s="198">
        <v>1037611212</v>
      </c>
      <c r="B4158" s="192" t="s">
        <v>2726</v>
      </c>
      <c r="C4158" s="196">
        <v>-54200</v>
      </c>
      <c r="D4158" s="196">
        <v>0</v>
      </c>
      <c r="E4158" s="196">
        <v>0</v>
      </c>
      <c r="F4158" s="196">
        <v>0</v>
      </c>
      <c r="G4158" s="196">
        <v>-54200</v>
      </c>
    </row>
    <row r="4159" spans="1:7" x14ac:dyDescent="0.3">
      <c r="A4159" s="198">
        <v>1094066577</v>
      </c>
      <c r="B4159" s="192" t="s">
        <v>282</v>
      </c>
      <c r="C4159" s="196">
        <v>-50900</v>
      </c>
      <c r="D4159" s="196">
        <v>0</v>
      </c>
      <c r="E4159" s="196">
        <v>50900</v>
      </c>
      <c r="F4159" s="196">
        <v>-50900</v>
      </c>
      <c r="G4159" s="196">
        <v>-101800</v>
      </c>
    </row>
    <row r="4160" spans="1:7" x14ac:dyDescent="0.3">
      <c r="A4160" s="198">
        <v>1036638531</v>
      </c>
      <c r="B4160" s="192" t="s">
        <v>2727</v>
      </c>
      <c r="C4160" s="196">
        <v>-50900</v>
      </c>
      <c r="D4160" s="196">
        <v>0</v>
      </c>
      <c r="E4160" s="196">
        <v>0</v>
      </c>
      <c r="F4160" s="196">
        <v>0</v>
      </c>
      <c r="G4160" s="196">
        <v>-50900</v>
      </c>
    </row>
    <row r="4161" spans="1:7" x14ac:dyDescent="0.3">
      <c r="A4161" s="198">
        <v>52896185</v>
      </c>
      <c r="B4161" s="192" t="s">
        <v>283</v>
      </c>
      <c r="C4161" s="196">
        <v>0</v>
      </c>
      <c r="D4161" s="196">
        <v>0</v>
      </c>
      <c r="E4161" s="196">
        <v>50900</v>
      </c>
      <c r="F4161" s="196">
        <v>-50900</v>
      </c>
      <c r="G4161" s="196">
        <v>-50900</v>
      </c>
    </row>
    <row r="4162" spans="1:7" x14ac:dyDescent="0.3">
      <c r="A4162" s="198">
        <v>32297664</v>
      </c>
      <c r="B4162" s="192" t="s">
        <v>2728</v>
      </c>
      <c r="C4162" s="196">
        <v>-50900</v>
      </c>
      <c r="D4162" s="196">
        <v>0</v>
      </c>
      <c r="E4162" s="196">
        <v>0</v>
      </c>
      <c r="F4162" s="196">
        <v>0</v>
      </c>
      <c r="G4162" s="196">
        <v>-50900</v>
      </c>
    </row>
    <row r="4163" spans="1:7" x14ac:dyDescent="0.3">
      <c r="A4163" s="198">
        <v>43865422</v>
      </c>
      <c r="B4163" s="192" t="s">
        <v>2729</v>
      </c>
      <c r="C4163" s="196">
        <v>-41400</v>
      </c>
      <c r="D4163" s="196">
        <v>0</v>
      </c>
      <c r="E4163" s="196">
        <v>0</v>
      </c>
      <c r="F4163" s="196">
        <v>0</v>
      </c>
      <c r="G4163" s="196">
        <v>-41400</v>
      </c>
    </row>
    <row r="4164" spans="1:7" x14ac:dyDescent="0.3">
      <c r="A4164" s="198">
        <v>1102843942</v>
      </c>
      <c r="B4164" s="192" t="s">
        <v>2730</v>
      </c>
      <c r="C4164" s="196">
        <v>-104700</v>
      </c>
      <c r="D4164" s="196">
        <v>0</v>
      </c>
      <c r="E4164" s="196">
        <v>0</v>
      </c>
      <c r="F4164" s="196">
        <v>0</v>
      </c>
      <c r="G4164" s="196">
        <v>-104700</v>
      </c>
    </row>
    <row r="4165" spans="1:7" x14ac:dyDescent="0.3">
      <c r="A4165" s="198">
        <v>43614394</v>
      </c>
      <c r="B4165" s="192" t="s">
        <v>285</v>
      </c>
      <c r="C4165" s="196">
        <v>0</v>
      </c>
      <c r="D4165" s="196">
        <v>0</v>
      </c>
      <c r="E4165" s="196">
        <v>50900</v>
      </c>
      <c r="F4165" s="196">
        <v>-50900</v>
      </c>
      <c r="G4165" s="196">
        <v>-50900</v>
      </c>
    </row>
    <row r="4166" spans="1:7" x14ac:dyDescent="0.3">
      <c r="A4166" s="198">
        <v>1152436230</v>
      </c>
      <c r="B4166" s="192" t="s">
        <v>2731</v>
      </c>
      <c r="C4166" s="196">
        <v>-50900</v>
      </c>
      <c r="D4166" s="196">
        <v>0</v>
      </c>
      <c r="E4166" s="196">
        <v>0</v>
      </c>
      <c r="F4166" s="196">
        <v>0</v>
      </c>
      <c r="G4166" s="196">
        <v>-50900</v>
      </c>
    </row>
    <row r="4167" spans="1:7" x14ac:dyDescent="0.3">
      <c r="A4167" s="198">
        <v>24332799</v>
      </c>
      <c r="B4167" s="192" t="s">
        <v>286</v>
      </c>
      <c r="C4167" s="196">
        <v>0</v>
      </c>
      <c r="D4167" s="196">
        <v>0</v>
      </c>
      <c r="E4167" s="196">
        <v>50900</v>
      </c>
      <c r="F4167" s="196">
        <v>-50900</v>
      </c>
      <c r="G4167" s="196">
        <v>-50900</v>
      </c>
    </row>
    <row r="4168" spans="1:7" x14ac:dyDescent="0.3">
      <c r="A4168" s="198">
        <v>1037625277</v>
      </c>
      <c r="B4168" s="192" t="s">
        <v>2732</v>
      </c>
      <c r="C4168" s="196">
        <v>-50900</v>
      </c>
      <c r="D4168" s="196">
        <v>0</v>
      </c>
      <c r="E4168" s="196">
        <v>0</v>
      </c>
      <c r="F4168" s="196">
        <v>0</v>
      </c>
      <c r="G4168" s="196">
        <v>-50900</v>
      </c>
    </row>
    <row r="4169" spans="1:7" x14ac:dyDescent="0.3">
      <c r="A4169" s="198">
        <v>1090447033</v>
      </c>
      <c r="B4169" s="192" t="s">
        <v>2733</v>
      </c>
      <c r="C4169" s="196">
        <v>-50900</v>
      </c>
      <c r="D4169" s="196">
        <v>0</v>
      </c>
      <c r="E4169" s="196">
        <v>0</v>
      </c>
      <c r="F4169" s="196">
        <v>0</v>
      </c>
      <c r="G4169" s="196">
        <v>-50900</v>
      </c>
    </row>
    <row r="4170" spans="1:7" x14ac:dyDescent="0.3">
      <c r="A4170" s="198">
        <v>1017160377</v>
      </c>
      <c r="B4170" s="192" t="s">
        <v>2734</v>
      </c>
      <c r="C4170" s="196">
        <v>-57200</v>
      </c>
      <c r="D4170" s="196">
        <v>0</v>
      </c>
      <c r="E4170" s="196">
        <v>0</v>
      </c>
      <c r="F4170" s="196">
        <v>0</v>
      </c>
      <c r="G4170" s="196">
        <v>-57200</v>
      </c>
    </row>
    <row r="4171" spans="1:7" x14ac:dyDescent="0.3">
      <c r="A4171" s="198">
        <v>1000549488</v>
      </c>
      <c r="B4171" s="192" t="s">
        <v>287</v>
      </c>
      <c r="C4171" s="196">
        <v>-1</v>
      </c>
      <c r="D4171" s="196">
        <v>0</v>
      </c>
      <c r="E4171" s="196">
        <v>0</v>
      </c>
      <c r="F4171" s="196">
        <v>0</v>
      </c>
      <c r="G4171" s="196">
        <v>-1</v>
      </c>
    </row>
    <row r="4172" spans="1:7" x14ac:dyDescent="0.3">
      <c r="A4172" s="198">
        <v>1128418775</v>
      </c>
      <c r="B4172" s="192" t="s">
        <v>2735</v>
      </c>
      <c r="C4172" s="196">
        <v>-50900</v>
      </c>
      <c r="D4172" s="196">
        <v>0</v>
      </c>
      <c r="E4172" s="196">
        <v>0</v>
      </c>
      <c r="F4172" s="196">
        <v>0</v>
      </c>
      <c r="G4172" s="196">
        <v>-50900</v>
      </c>
    </row>
    <row r="4173" spans="1:7" x14ac:dyDescent="0.3">
      <c r="A4173" s="198">
        <v>1021809062</v>
      </c>
      <c r="B4173" s="192" t="s">
        <v>2736</v>
      </c>
      <c r="C4173" s="196">
        <v>-50900</v>
      </c>
      <c r="D4173" s="196">
        <v>0</v>
      </c>
      <c r="E4173" s="196">
        <v>0</v>
      </c>
      <c r="F4173" s="196">
        <v>0</v>
      </c>
      <c r="G4173" s="196">
        <v>-50900</v>
      </c>
    </row>
    <row r="4174" spans="1:7" x14ac:dyDescent="0.3">
      <c r="A4174" s="198">
        <v>15380928</v>
      </c>
      <c r="B4174" s="192" t="s">
        <v>2737</v>
      </c>
      <c r="C4174" s="196">
        <v>-50900</v>
      </c>
      <c r="D4174" s="196">
        <v>0</v>
      </c>
      <c r="E4174" s="196">
        <v>0</v>
      </c>
      <c r="F4174" s="196">
        <v>0</v>
      </c>
      <c r="G4174" s="196">
        <v>-50900</v>
      </c>
    </row>
    <row r="4175" spans="1:7" x14ac:dyDescent="0.3">
      <c r="A4175" s="198">
        <v>79596268</v>
      </c>
      <c r="B4175" s="192" t="s">
        <v>288</v>
      </c>
      <c r="C4175" s="196">
        <v>-50901</v>
      </c>
      <c r="D4175" s="196">
        <v>0</v>
      </c>
      <c r="E4175" s="196">
        <v>0</v>
      </c>
      <c r="F4175" s="196">
        <v>0</v>
      </c>
      <c r="G4175" s="196">
        <v>-50901</v>
      </c>
    </row>
    <row r="4176" spans="1:7" x14ac:dyDescent="0.3">
      <c r="A4176" s="198">
        <v>3563795</v>
      </c>
      <c r="B4176" s="192" t="s">
        <v>2738</v>
      </c>
      <c r="C4176" s="196">
        <v>-57200</v>
      </c>
      <c r="D4176" s="196">
        <v>0</v>
      </c>
      <c r="E4176" s="196">
        <v>0</v>
      </c>
      <c r="F4176" s="196">
        <v>0</v>
      </c>
      <c r="G4176" s="196">
        <v>-57200</v>
      </c>
    </row>
    <row r="4177" spans="1:7" x14ac:dyDescent="0.3">
      <c r="A4177" s="198">
        <v>1128399476</v>
      </c>
      <c r="B4177" s="192" t="s">
        <v>2739</v>
      </c>
      <c r="C4177" s="196">
        <v>-170000</v>
      </c>
      <c r="D4177" s="196">
        <v>0</v>
      </c>
      <c r="E4177" s="196">
        <v>0</v>
      </c>
      <c r="F4177" s="196">
        <v>0</v>
      </c>
      <c r="G4177" s="196">
        <v>-170000</v>
      </c>
    </row>
    <row r="4178" spans="1:7" x14ac:dyDescent="0.3">
      <c r="A4178" s="198">
        <v>1220477435</v>
      </c>
      <c r="B4178" s="192" t="s">
        <v>2740</v>
      </c>
      <c r="C4178" s="196">
        <v>-50900</v>
      </c>
      <c r="D4178" s="196">
        <v>0</v>
      </c>
      <c r="E4178" s="196">
        <v>0</v>
      </c>
      <c r="F4178" s="196">
        <v>0</v>
      </c>
      <c r="G4178" s="196">
        <v>-50900</v>
      </c>
    </row>
    <row r="4179" spans="1:7" x14ac:dyDescent="0.3">
      <c r="A4179" s="198">
        <v>10264522</v>
      </c>
      <c r="B4179" s="192" t="s">
        <v>289</v>
      </c>
      <c r="C4179" s="196">
        <v>-50900</v>
      </c>
      <c r="D4179" s="196">
        <v>0</v>
      </c>
      <c r="E4179" s="196">
        <v>50900</v>
      </c>
      <c r="F4179" s="196">
        <v>-50900</v>
      </c>
      <c r="G4179" s="196">
        <v>-101800</v>
      </c>
    </row>
    <row r="4180" spans="1:7" x14ac:dyDescent="0.3">
      <c r="A4180" s="198">
        <v>1035305442</v>
      </c>
      <c r="B4180" s="192" t="s">
        <v>2741</v>
      </c>
      <c r="C4180" s="196">
        <v>-415000</v>
      </c>
      <c r="D4180" s="196">
        <v>0</v>
      </c>
      <c r="E4180" s="196">
        <v>0</v>
      </c>
      <c r="F4180" s="196">
        <v>0</v>
      </c>
      <c r="G4180" s="196">
        <v>-415000</v>
      </c>
    </row>
    <row r="4181" spans="1:7" x14ac:dyDescent="0.3">
      <c r="A4181" s="198">
        <v>1128270583</v>
      </c>
      <c r="B4181" s="192" t="s">
        <v>2742</v>
      </c>
      <c r="C4181" s="196">
        <v>-50900</v>
      </c>
      <c r="D4181" s="196">
        <v>0</v>
      </c>
      <c r="E4181" s="196">
        <v>0</v>
      </c>
      <c r="F4181" s="196">
        <v>0</v>
      </c>
      <c r="G4181" s="196">
        <v>-50900</v>
      </c>
    </row>
    <row r="4182" spans="1:7" x14ac:dyDescent="0.3">
      <c r="A4182" s="198">
        <v>1020742053</v>
      </c>
      <c r="B4182" s="192" t="s">
        <v>290</v>
      </c>
      <c r="C4182" s="196">
        <v>-50900</v>
      </c>
      <c r="D4182" s="196">
        <v>0</v>
      </c>
      <c r="E4182" s="196">
        <v>0</v>
      </c>
      <c r="F4182" s="196">
        <v>0</v>
      </c>
      <c r="G4182" s="196">
        <v>-50900</v>
      </c>
    </row>
    <row r="4183" spans="1:7" x14ac:dyDescent="0.3">
      <c r="A4183" s="198">
        <v>71647999</v>
      </c>
      <c r="B4183" s="192" t="s">
        <v>291</v>
      </c>
      <c r="C4183" s="196">
        <v>-152700</v>
      </c>
      <c r="D4183" s="196">
        <v>0</v>
      </c>
      <c r="E4183" s="196">
        <v>50900</v>
      </c>
      <c r="F4183" s="196">
        <v>-50900</v>
      </c>
      <c r="G4183" s="196">
        <v>-203600</v>
      </c>
    </row>
    <row r="4184" spans="1:7" x14ac:dyDescent="0.3">
      <c r="A4184" s="198">
        <v>80019065</v>
      </c>
      <c r="B4184" s="192" t="s">
        <v>2743</v>
      </c>
      <c r="C4184" s="196">
        <v>-207900</v>
      </c>
      <c r="D4184" s="196">
        <v>0</v>
      </c>
      <c r="E4184" s="196">
        <v>0</v>
      </c>
      <c r="F4184" s="196">
        <v>0</v>
      </c>
      <c r="G4184" s="196">
        <v>-207900</v>
      </c>
    </row>
    <row r="4185" spans="1:7" x14ac:dyDescent="0.3">
      <c r="A4185" s="198">
        <v>1128482014</v>
      </c>
      <c r="B4185" s="192" t="s">
        <v>292</v>
      </c>
      <c r="C4185" s="196">
        <v>0</v>
      </c>
      <c r="D4185" s="196">
        <v>0</v>
      </c>
      <c r="E4185" s="196">
        <v>49000</v>
      </c>
      <c r="F4185" s="196">
        <v>-49000</v>
      </c>
      <c r="G4185" s="196">
        <v>-49000</v>
      </c>
    </row>
    <row r="4186" spans="1:7" x14ac:dyDescent="0.3">
      <c r="A4186" s="198">
        <v>1036667081</v>
      </c>
      <c r="B4186" s="192" t="s">
        <v>2744</v>
      </c>
      <c r="C4186" s="196">
        <v>-110000</v>
      </c>
      <c r="D4186" s="196">
        <v>0</v>
      </c>
      <c r="E4186" s="196">
        <v>0</v>
      </c>
      <c r="F4186" s="196">
        <v>0</v>
      </c>
      <c r="G4186" s="196">
        <v>-110000</v>
      </c>
    </row>
    <row r="4187" spans="1:7" x14ac:dyDescent="0.3">
      <c r="A4187" s="198">
        <v>1037668258</v>
      </c>
      <c r="B4187" s="192" t="s">
        <v>2745</v>
      </c>
      <c r="C4187" s="196">
        <v>-158900</v>
      </c>
      <c r="D4187" s="196">
        <v>0</v>
      </c>
      <c r="E4187" s="196">
        <v>0</v>
      </c>
      <c r="F4187" s="196">
        <v>0</v>
      </c>
      <c r="G4187" s="196">
        <v>-158900</v>
      </c>
    </row>
    <row r="4188" spans="1:7" x14ac:dyDescent="0.3">
      <c r="A4188" s="198">
        <v>1128403221</v>
      </c>
      <c r="B4188" s="192" t="s">
        <v>2746</v>
      </c>
      <c r="C4188" s="196">
        <v>-41400</v>
      </c>
      <c r="D4188" s="196">
        <v>0</v>
      </c>
      <c r="E4188" s="196">
        <v>0</v>
      </c>
      <c r="F4188" s="196">
        <v>0</v>
      </c>
      <c r="G4188" s="196">
        <v>-41400</v>
      </c>
    </row>
    <row r="4189" spans="1:7" x14ac:dyDescent="0.3">
      <c r="A4189" s="198">
        <v>80756054</v>
      </c>
      <c r="B4189" s="192" t="s">
        <v>2747</v>
      </c>
      <c r="C4189" s="196">
        <v>-50900</v>
      </c>
      <c r="D4189" s="196">
        <v>0</v>
      </c>
      <c r="E4189" s="196">
        <v>0</v>
      </c>
      <c r="F4189" s="196">
        <v>0</v>
      </c>
      <c r="G4189" s="196">
        <v>-50900</v>
      </c>
    </row>
    <row r="4190" spans="1:7" x14ac:dyDescent="0.3">
      <c r="A4190" s="198">
        <v>1036598715</v>
      </c>
      <c r="B4190" s="192" t="s">
        <v>2748</v>
      </c>
      <c r="C4190" s="196">
        <v>-41400</v>
      </c>
      <c r="D4190" s="196">
        <v>0</v>
      </c>
      <c r="E4190" s="196">
        <v>0</v>
      </c>
      <c r="F4190" s="196">
        <v>0</v>
      </c>
      <c r="G4190" s="196">
        <v>-41400</v>
      </c>
    </row>
    <row r="4191" spans="1:7" x14ac:dyDescent="0.3">
      <c r="A4191" s="198">
        <v>1036668463</v>
      </c>
      <c r="B4191" s="192" t="s">
        <v>2749</v>
      </c>
      <c r="C4191" s="196">
        <v>-429000</v>
      </c>
      <c r="D4191" s="196">
        <v>0</v>
      </c>
      <c r="E4191" s="196">
        <v>0</v>
      </c>
      <c r="F4191" s="196">
        <v>0</v>
      </c>
      <c r="G4191" s="196">
        <v>-429000</v>
      </c>
    </row>
    <row r="4192" spans="1:7" x14ac:dyDescent="0.3">
      <c r="A4192" s="198">
        <v>16536997</v>
      </c>
      <c r="B4192" s="192" t="s">
        <v>2750</v>
      </c>
      <c r="C4192" s="196">
        <v>-297000</v>
      </c>
      <c r="D4192" s="196">
        <v>0</v>
      </c>
      <c r="E4192" s="196">
        <v>0</v>
      </c>
      <c r="F4192" s="196">
        <v>0</v>
      </c>
      <c r="G4192" s="196">
        <v>-297000</v>
      </c>
    </row>
    <row r="4193" spans="1:7" x14ac:dyDescent="0.3">
      <c r="A4193" s="198">
        <v>1037583101</v>
      </c>
      <c r="B4193" s="192" t="s">
        <v>2751</v>
      </c>
      <c r="C4193" s="196">
        <v>-47400</v>
      </c>
      <c r="D4193" s="196">
        <v>0</v>
      </c>
      <c r="E4193" s="196">
        <v>0</v>
      </c>
      <c r="F4193" s="196">
        <v>0</v>
      </c>
      <c r="G4193" s="196">
        <v>-47400</v>
      </c>
    </row>
    <row r="4194" spans="1:7" x14ac:dyDescent="0.3">
      <c r="A4194" s="198">
        <v>9728091</v>
      </c>
      <c r="B4194" s="192" t="s">
        <v>295</v>
      </c>
      <c r="C4194" s="196">
        <v>0</v>
      </c>
      <c r="D4194" s="196">
        <v>0</v>
      </c>
      <c r="E4194" s="196">
        <v>50900</v>
      </c>
      <c r="F4194" s="196">
        <v>-50900</v>
      </c>
      <c r="G4194" s="196">
        <v>-50900</v>
      </c>
    </row>
    <row r="4195" spans="1:7" x14ac:dyDescent="0.3">
      <c r="A4195" s="198">
        <v>94524479</v>
      </c>
      <c r="B4195" s="192" t="s">
        <v>296</v>
      </c>
      <c r="C4195" s="196">
        <v>-50900</v>
      </c>
      <c r="D4195" s="196">
        <v>0</v>
      </c>
      <c r="E4195" s="196">
        <v>0</v>
      </c>
      <c r="F4195" s="196">
        <v>0</v>
      </c>
      <c r="G4195" s="196">
        <v>-50900</v>
      </c>
    </row>
    <row r="4196" spans="1:7" x14ac:dyDescent="0.3">
      <c r="A4196" s="198">
        <v>71778674</v>
      </c>
      <c r="B4196" s="192" t="s">
        <v>2752</v>
      </c>
      <c r="C4196" s="196">
        <v>-50900</v>
      </c>
      <c r="D4196" s="196">
        <v>0</v>
      </c>
      <c r="E4196" s="196">
        <v>0</v>
      </c>
      <c r="F4196" s="196">
        <v>0</v>
      </c>
      <c r="G4196" s="196">
        <v>-50900</v>
      </c>
    </row>
    <row r="4197" spans="1:7" x14ac:dyDescent="0.3">
      <c r="A4197" s="198">
        <v>71279506</v>
      </c>
      <c r="B4197" s="192" t="s">
        <v>2753</v>
      </c>
      <c r="C4197" s="196">
        <v>-50900</v>
      </c>
      <c r="D4197" s="196">
        <v>0</v>
      </c>
      <c r="E4197" s="196">
        <v>0</v>
      </c>
      <c r="F4197" s="196">
        <v>0</v>
      </c>
      <c r="G4197" s="196">
        <v>-50900</v>
      </c>
    </row>
    <row r="4198" spans="1:7" x14ac:dyDescent="0.3">
      <c r="A4198" s="198">
        <v>1130671654</v>
      </c>
      <c r="B4198" s="192" t="s">
        <v>2754</v>
      </c>
      <c r="C4198" s="196">
        <v>-150000</v>
      </c>
      <c r="D4198" s="196">
        <v>0</v>
      </c>
      <c r="E4198" s="196">
        <v>0</v>
      </c>
      <c r="F4198" s="196">
        <v>0</v>
      </c>
      <c r="G4198" s="196">
        <v>-150000</v>
      </c>
    </row>
    <row r="4199" spans="1:7" x14ac:dyDescent="0.3">
      <c r="A4199" s="198">
        <v>1037644678</v>
      </c>
      <c r="B4199" s="192" t="s">
        <v>2755</v>
      </c>
      <c r="C4199" s="196">
        <v>-50900</v>
      </c>
      <c r="D4199" s="196">
        <v>0</v>
      </c>
      <c r="E4199" s="196">
        <v>0</v>
      </c>
      <c r="F4199" s="196">
        <v>0</v>
      </c>
      <c r="G4199" s="196">
        <v>-50900</v>
      </c>
    </row>
    <row r="4200" spans="1:7" x14ac:dyDescent="0.3">
      <c r="A4200" s="198">
        <v>1039456369</v>
      </c>
      <c r="B4200" s="192" t="s">
        <v>2756</v>
      </c>
      <c r="C4200" s="196">
        <v>-47400</v>
      </c>
      <c r="D4200" s="196">
        <v>0</v>
      </c>
      <c r="E4200" s="196">
        <v>0</v>
      </c>
      <c r="F4200" s="196">
        <v>0</v>
      </c>
      <c r="G4200" s="196">
        <v>-47400</v>
      </c>
    </row>
    <row r="4201" spans="1:7" x14ac:dyDescent="0.3">
      <c r="A4201" s="198">
        <v>15515388</v>
      </c>
      <c r="B4201" s="192" t="s">
        <v>2757</v>
      </c>
      <c r="C4201" s="196">
        <v>-36600</v>
      </c>
      <c r="D4201" s="196">
        <v>0</v>
      </c>
      <c r="E4201" s="196">
        <v>0</v>
      </c>
      <c r="F4201" s="196">
        <v>0</v>
      </c>
      <c r="G4201" s="196">
        <v>-36600</v>
      </c>
    </row>
    <row r="4202" spans="1:7" x14ac:dyDescent="0.3">
      <c r="A4202" s="198">
        <v>1033650578</v>
      </c>
      <c r="B4202" s="192" t="s">
        <v>2758</v>
      </c>
      <c r="C4202" s="196">
        <v>-223300</v>
      </c>
      <c r="D4202" s="196">
        <v>0</v>
      </c>
      <c r="E4202" s="196">
        <v>0</v>
      </c>
      <c r="F4202" s="196">
        <v>0</v>
      </c>
      <c r="G4202" s="196">
        <v>-223300</v>
      </c>
    </row>
    <row r="4203" spans="1:7" x14ac:dyDescent="0.3">
      <c r="A4203" s="198">
        <v>1038098957</v>
      </c>
      <c r="B4203" s="192" t="s">
        <v>297</v>
      </c>
      <c r="C4203" s="196">
        <v>-297000</v>
      </c>
      <c r="D4203" s="196">
        <v>0</v>
      </c>
      <c r="E4203" s="196">
        <v>119000</v>
      </c>
      <c r="F4203" s="196">
        <v>-119000</v>
      </c>
      <c r="G4203" s="196">
        <v>-416000</v>
      </c>
    </row>
    <row r="4204" spans="1:7" x14ac:dyDescent="0.3">
      <c r="A4204" s="198">
        <v>1025898622</v>
      </c>
      <c r="B4204" s="192" t="s">
        <v>2759</v>
      </c>
      <c r="C4204" s="196">
        <v>-38400</v>
      </c>
      <c r="D4204" s="196">
        <v>0</v>
      </c>
      <c r="E4204" s="196">
        <v>0</v>
      </c>
      <c r="F4204" s="196">
        <v>0</v>
      </c>
      <c r="G4204" s="196">
        <v>-38400</v>
      </c>
    </row>
    <row r="4205" spans="1:7" x14ac:dyDescent="0.3">
      <c r="A4205" s="198">
        <v>79789493</v>
      </c>
      <c r="B4205" s="192" t="s">
        <v>298</v>
      </c>
      <c r="C4205" s="196">
        <v>0</v>
      </c>
      <c r="D4205" s="196">
        <v>0</v>
      </c>
      <c r="E4205" s="196">
        <v>50900</v>
      </c>
      <c r="F4205" s="196">
        <v>-50900</v>
      </c>
      <c r="G4205" s="196">
        <v>-50900</v>
      </c>
    </row>
    <row r="4206" spans="1:7" x14ac:dyDescent="0.3">
      <c r="A4206" s="198">
        <v>1130619919</v>
      </c>
      <c r="B4206" s="192" t="s">
        <v>2760</v>
      </c>
      <c r="C4206" s="196">
        <v>-87800</v>
      </c>
      <c r="D4206" s="196">
        <v>0</v>
      </c>
      <c r="E4206" s="196">
        <v>0</v>
      </c>
      <c r="F4206" s="196">
        <v>0</v>
      </c>
      <c r="G4206" s="196">
        <v>-87800</v>
      </c>
    </row>
    <row r="4207" spans="1:7" x14ac:dyDescent="0.3">
      <c r="A4207" s="198">
        <v>1037584845</v>
      </c>
      <c r="B4207" s="192" t="s">
        <v>299</v>
      </c>
      <c r="C4207" s="196">
        <v>0</v>
      </c>
      <c r="D4207" s="196">
        <v>0</v>
      </c>
      <c r="E4207" s="196">
        <v>50900</v>
      </c>
      <c r="F4207" s="196">
        <v>-50900</v>
      </c>
      <c r="G4207" s="196">
        <v>-50900</v>
      </c>
    </row>
    <row r="4208" spans="1:7" x14ac:dyDescent="0.3">
      <c r="A4208" s="198">
        <v>98660395</v>
      </c>
      <c r="B4208" s="192" t="s">
        <v>300</v>
      </c>
      <c r="C4208" s="196">
        <v>0</v>
      </c>
      <c r="D4208" s="196">
        <v>0</v>
      </c>
      <c r="E4208" s="196">
        <v>50900</v>
      </c>
      <c r="F4208" s="196">
        <v>-50900</v>
      </c>
      <c r="G4208" s="196">
        <v>-50900</v>
      </c>
    </row>
    <row r="4209" spans="1:7" x14ac:dyDescent="0.3">
      <c r="A4209" s="198">
        <v>8160292</v>
      </c>
      <c r="B4209" s="192" t="s">
        <v>2761</v>
      </c>
      <c r="C4209" s="196">
        <v>-43900</v>
      </c>
      <c r="D4209" s="196">
        <v>0</v>
      </c>
      <c r="E4209" s="196">
        <v>0</v>
      </c>
      <c r="F4209" s="196">
        <v>0</v>
      </c>
      <c r="G4209" s="196">
        <v>-43900</v>
      </c>
    </row>
    <row r="4210" spans="1:7" x14ac:dyDescent="0.3">
      <c r="A4210" s="198">
        <v>1017154438</v>
      </c>
      <c r="B4210" s="192" t="s">
        <v>2762</v>
      </c>
      <c r="C4210" s="196">
        <v>-90000</v>
      </c>
      <c r="D4210" s="196">
        <v>0</v>
      </c>
      <c r="E4210" s="196">
        <v>0</v>
      </c>
      <c r="F4210" s="196">
        <v>0</v>
      </c>
      <c r="G4210" s="196">
        <v>-90000</v>
      </c>
    </row>
    <row r="4211" spans="1:7" x14ac:dyDescent="0.3">
      <c r="A4211" s="198">
        <v>1037587062</v>
      </c>
      <c r="B4211" s="192" t="s">
        <v>2763</v>
      </c>
      <c r="C4211" s="196">
        <v>-50900</v>
      </c>
      <c r="D4211" s="196">
        <v>0</v>
      </c>
      <c r="E4211" s="196">
        <v>0</v>
      </c>
      <c r="F4211" s="196">
        <v>0</v>
      </c>
      <c r="G4211" s="196">
        <v>-50900</v>
      </c>
    </row>
    <row r="4212" spans="1:7" x14ac:dyDescent="0.3">
      <c r="A4212" s="198">
        <v>1034999480</v>
      </c>
      <c r="B4212" s="192" t="s">
        <v>2764</v>
      </c>
      <c r="C4212" s="196">
        <v>-50900</v>
      </c>
      <c r="D4212" s="196">
        <v>0</v>
      </c>
      <c r="E4212" s="196">
        <v>0</v>
      </c>
      <c r="F4212" s="196">
        <v>0</v>
      </c>
      <c r="G4212" s="196">
        <v>-50900</v>
      </c>
    </row>
    <row r="4213" spans="1:7" x14ac:dyDescent="0.3">
      <c r="A4213" s="198">
        <v>79156096</v>
      </c>
      <c r="B4213" s="192" t="s">
        <v>2765</v>
      </c>
      <c r="C4213" s="196">
        <v>-152700</v>
      </c>
      <c r="D4213" s="196">
        <v>0</v>
      </c>
      <c r="E4213" s="196">
        <v>0</v>
      </c>
      <c r="F4213" s="196">
        <v>0</v>
      </c>
      <c r="G4213" s="196">
        <v>-152700</v>
      </c>
    </row>
    <row r="4214" spans="1:7" x14ac:dyDescent="0.3">
      <c r="A4214" s="198">
        <v>1037658217</v>
      </c>
      <c r="B4214" s="192" t="s">
        <v>2766</v>
      </c>
      <c r="C4214" s="196">
        <v>-108000</v>
      </c>
      <c r="D4214" s="196">
        <v>0</v>
      </c>
      <c r="E4214" s="196">
        <v>0</v>
      </c>
      <c r="F4214" s="196">
        <v>0</v>
      </c>
      <c r="G4214" s="196">
        <v>-108000</v>
      </c>
    </row>
    <row r="4215" spans="1:7" x14ac:dyDescent="0.3">
      <c r="A4215" s="198">
        <v>1140829690</v>
      </c>
      <c r="B4215" s="192" t="s">
        <v>301</v>
      </c>
      <c r="C4215" s="196">
        <v>0</v>
      </c>
      <c r="D4215" s="196">
        <v>0</v>
      </c>
      <c r="E4215" s="196">
        <v>50900</v>
      </c>
      <c r="F4215" s="196">
        <v>-50900</v>
      </c>
      <c r="G4215" s="196">
        <v>-50900</v>
      </c>
    </row>
    <row r="4216" spans="1:7" x14ac:dyDescent="0.3">
      <c r="A4216" s="198">
        <v>98713775</v>
      </c>
      <c r="B4216" s="192" t="s">
        <v>2767</v>
      </c>
      <c r="C4216" s="196">
        <v>-46400</v>
      </c>
      <c r="D4216" s="196">
        <v>0</v>
      </c>
      <c r="E4216" s="196">
        <v>0</v>
      </c>
      <c r="F4216" s="196">
        <v>0</v>
      </c>
      <c r="G4216" s="196">
        <v>-46400</v>
      </c>
    </row>
    <row r="4217" spans="1:7" x14ac:dyDescent="0.3">
      <c r="A4217" s="198">
        <v>1056771241</v>
      </c>
      <c r="B4217" s="192" t="s">
        <v>2768</v>
      </c>
      <c r="C4217" s="196">
        <v>-22000</v>
      </c>
      <c r="D4217" s="196">
        <v>0</v>
      </c>
      <c r="E4217" s="196">
        <v>0</v>
      </c>
      <c r="F4217" s="196">
        <v>0</v>
      </c>
      <c r="G4217" s="196">
        <v>-22000</v>
      </c>
    </row>
    <row r="4218" spans="1:7" x14ac:dyDescent="0.3">
      <c r="A4218" s="198">
        <v>1128279933</v>
      </c>
      <c r="B4218" s="192" t="s">
        <v>2769</v>
      </c>
      <c r="C4218" s="196">
        <v>-50900</v>
      </c>
      <c r="D4218" s="196">
        <v>0</v>
      </c>
      <c r="E4218" s="196">
        <v>0</v>
      </c>
      <c r="F4218" s="196">
        <v>0</v>
      </c>
      <c r="G4218" s="196">
        <v>-50900</v>
      </c>
    </row>
    <row r="4219" spans="1:7" x14ac:dyDescent="0.3">
      <c r="A4219" s="198">
        <v>11799077</v>
      </c>
      <c r="B4219" s="192" t="s">
        <v>2770</v>
      </c>
      <c r="C4219" s="196">
        <v>-174000</v>
      </c>
      <c r="D4219" s="196">
        <v>0</v>
      </c>
      <c r="E4219" s="196">
        <v>0</v>
      </c>
      <c r="F4219" s="196">
        <v>0</v>
      </c>
      <c r="G4219" s="196">
        <v>-174000</v>
      </c>
    </row>
    <row r="4220" spans="1:7" x14ac:dyDescent="0.3">
      <c r="A4220" s="198">
        <v>1026150300</v>
      </c>
      <c r="B4220" s="192" t="s">
        <v>302</v>
      </c>
      <c r="C4220" s="196">
        <v>0</v>
      </c>
      <c r="D4220" s="196">
        <v>0</v>
      </c>
      <c r="E4220" s="196">
        <v>165000</v>
      </c>
      <c r="F4220" s="196">
        <v>-165000</v>
      </c>
      <c r="G4220" s="196">
        <v>-165000</v>
      </c>
    </row>
    <row r="4221" spans="1:7" x14ac:dyDescent="0.3">
      <c r="A4221" s="198">
        <v>71263384</v>
      </c>
      <c r="B4221" s="192" t="s">
        <v>2771</v>
      </c>
      <c r="C4221" s="196">
        <v>-36000</v>
      </c>
      <c r="D4221" s="196">
        <v>0</v>
      </c>
      <c r="E4221" s="196">
        <v>0</v>
      </c>
      <c r="F4221" s="196">
        <v>0</v>
      </c>
      <c r="G4221" s="196">
        <v>-36000</v>
      </c>
    </row>
    <row r="4222" spans="1:7" x14ac:dyDescent="0.3">
      <c r="A4222" s="198">
        <v>1000416142</v>
      </c>
      <c r="B4222" s="192" t="s">
        <v>304</v>
      </c>
      <c r="C4222" s="196">
        <v>0</v>
      </c>
      <c r="D4222" s="196">
        <v>0</v>
      </c>
      <c r="E4222" s="196">
        <v>50900</v>
      </c>
      <c r="F4222" s="196">
        <v>-50900</v>
      </c>
      <c r="G4222" s="196">
        <v>-50900</v>
      </c>
    </row>
    <row r="4223" spans="1:7" x14ac:dyDescent="0.3">
      <c r="A4223" s="198">
        <v>98706288</v>
      </c>
      <c r="B4223" s="192" t="s">
        <v>2772</v>
      </c>
      <c r="C4223" s="196">
        <v>-165300</v>
      </c>
      <c r="D4223" s="196">
        <v>0</v>
      </c>
      <c r="E4223" s="196">
        <v>0</v>
      </c>
      <c r="F4223" s="196">
        <v>0</v>
      </c>
      <c r="G4223" s="196">
        <v>-165300</v>
      </c>
    </row>
    <row r="4224" spans="1:7" x14ac:dyDescent="0.3">
      <c r="A4224" s="198">
        <v>1033430</v>
      </c>
      <c r="B4224" s="192" t="s">
        <v>2110</v>
      </c>
      <c r="C4224" s="196">
        <v>-50900</v>
      </c>
      <c r="D4224" s="196">
        <v>0</v>
      </c>
      <c r="E4224" s="196">
        <v>0</v>
      </c>
      <c r="F4224" s="196">
        <v>0</v>
      </c>
      <c r="G4224" s="196">
        <v>-50900</v>
      </c>
    </row>
    <row r="4225" spans="1:7" x14ac:dyDescent="0.3">
      <c r="A4225" s="198">
        <v>6926044</v>
      </c>
      <c r="B4225" s="192" t="s">
        <v>2773</v>
      </c>
      <c r="C4225" s="196">
        <v>-535000</v>
      </c>
      <c r="D4225" s="196">
        <v>0</v>
      </c>
      <c r="E4225" s="196">
        <v>0</v>
      </c>
      <c r="F4225" s="196">
        <v>0</v>
      </c>
      <c r="G4225" s="196">
        <v>-535000</v>
      </c>
    </row>
    <row r="4226" spans="1:7" x14ac:dyDescent="0.3">
      <c r="A4226" s="198">
        <v>1118881421</v>
      </c>
      <c r="B4226" s="192" t="s">
        <v>2774</v>
      </c>
      <c r="C4226" s="196">
        <v>-152700</v>
      </c>
      <c r="D4226" s="196">
        <v>0</v>
      </c>
      <c r="E4226" s="196">
        <v>0</v>
      </c>
      <c r="F4226" s="196">
        <v>0</v>
      </c>
      <c r="G4226" s="196">
        <v>-152700</v>
      </c>
    </row>
    <row r="4227" spans="1:7" x14ac:dyDescent="0.3">
      <c r="A4227" s="198">
        <v>916292</v>
      </c>
      <c r="B4227" s="192" t="s">
        <v>2775</v>
      </c>
      <c r="C4227" s="196">
        <v>-50900</v>
      </c>
      <c r="D4227" s="196">
        <v>0</v>
      </c>
      <c r="E4227" s="196">
        <v>0</v>
      </c>
      <c r="F4227" s="196">
        <v>0</v>
      </c>
      <c r="G4227" s="196">
        <v>-50900</v>
      </c>
    </row>
    <row r="4228" spans="1:7" x14ac:dyDescent="0.3">
      <c r="A4228" s="198">
        <v>1035020213</v>
      </c>
      <c r="B4228" s="192" t="s">
        <v>2776</v>
      </c>
      <c r="C4228" s="196">
        <v>-101800</v>
      </c>
      <c r="D4228" s="196">
        <v>0</v>
      </c>
      <c r="E4228" s="196">
        <v>0</v>
      </c>
      <c r="F4228" s="196">
        <v>0</v>
      </c>
      <c r="G4228" s="196">
        <v>-101800</v>
      </c>
    </row>
    <row r="4229" spans="1:7" x14ac:dyDescent="0.3">
      <c r="A4229" s="198">
        <v>32733668</v>
      </c>
      <c r="B4229" s="192" t="s">
        <v>2777</v>
      </c>
      <c r="C4229" s="196">
        <v>-50900</v>
      </c>
      <c r="D4229" s="196">
        <v>0</v>
      </c>
      <c r="E4229" s="196">
        <v>0</v>
      </c>
      <c r="F4229" s="196">
        <v>0</v>
      </c>
      <c r="G4229" s="196">
        <v>-50900</v>
      </c>
    </row>
    <row r="4230" spans="1:7" x14ac:dyDescent="0.3">
      <c r="A4230" s="198">
        <v>79105874</v>
      </c>
      <c r="B4230" s="192" t="s">
        <v>2778</v>
      </c>
      <c r="C4230" s="196">
        <v>-57200</v>
      </c>
      <c r="D4230" s="196">
        <v>0</v>
      </c>
      <c r="E4230" s="196">
        <v>0</v>
      </c>
      <c r="F4230" s="196">
        <v>0</v>
      </c>
      <c r="G4230" s="196">
        <v>-57200</v>
      </c>
    </row>
    <row r="4231" spans="1:7" x14ac:dyDescent="0.3">
      <c r="A4231" s="198">
        <v>42756547</v>
      </c>
      <c r="B4231" s="192" t="s">
        <v>2779</v>
      </c>
      <c r="C4231" s="196">
        <v>-80000</v>
      </c>
      <c r="D4231" s="196">
        <v>0</v>
      </c>
      <c r="E4231" s="196">
        <v>0</v>
      </c>
      <c r="F4231" s="196">
        <v>0</v>
      </c>
      <c r="G4231" s="196">
        <v>-80000</v>
      </c>
    </row>
    <row r="4232" spans="1:7" x14ac:dyDescent="0.3">
      <c r="A4232" s="198">
        <v>43006525</v>
      </c>
      <c r="B4232" s="192" t="s">
        <v>2780</v>
      </c>
      <c r="C4232" s="196">
        <v>-114400</v>
      </c>
      <c r="D4232" s="196">
        <v>0</v>
      </c>
      <c r="E4232" s="196">
        <v>0</v>
      </c>
      <c r="F4232" s="196">
        <v>0</v>
      </c>
      <c r="G4232" s="196">
        <v>-114400</v>
      </c>
    </row>
    <row r="4233" spans="1:7" x14ac:dyDescent="0.3">
      <c r="A4233" s="198">
        <v>43275180</v>
      </c>
      <c r="B4233" s="192" t="s">
        <v>2781</v>
      </c>
      <c r="C4233" s="196">
        <v>-38400</v>
      </c>
      <c r="D4233" s="196">
        <v>0</v>
      </c>
      <c r="E4233" s="196">
        <v>0</v>
      </c>
      <c r="F4233" s="196">
        <v>0</v>
      </c>
      <c r="G4233" s="196">
        <v>-38400</v>
      </c>
    </row>
    <row r="4234" spans="1:7" x14ac:dyDescent="0.3">
      <c r="A4234" s="198">
        <v>33817811</v>
      </c>
      <c r="B4234" s="192" t="s">
        <v>2782</v>
      </c>
      <c r="C4234" s="196">
        <v>-22000</v>
      </c>
      <c r="D4234" s="196">
        <v>0</v>
      </c>
      <c r="E4234" s="196">
        <v>0</v>
      </c>
      <c r="F4234" s="196">
        <v>0</v>
      </c>
      <c r="G4234" s="196">
        <v>-22000</v>
      </c>
    </row>
    <row r="4235" spans="1:7" x14ac:dyDescent="0.3">
      <c r="A4235" s="198">
        <v>43494112</v>
      </c>
      <c r="B4235" s="192" t="s">
        <v>2783</v>
      </c>
      <c r="C4235" s="196">
        <v>-319000</v>
      </c>
      <c r="D4235" s="196">
        <v>0</v>
      </c>
      <c r="E4235" s="196">
        <v>0</v>
      </c>
      <c r="F4235" s="196">
        <v>0</v>
      </c>
      <c r="G4235" s="196">
        <v>-319000</v>
      </c>
    </row>
    <row r="4236" spans="1:7" x14ac:dyDescent="0.3">
      <c r="A4236" s="198">
        <v>42872817</v>
      </c>
      <c r="B4236" s="192" t="s">
        <v>305</v>
      </c>
      <c r="C4236" s="196">
        <v>0</v>
      </c>
      <c r="D4236" s="196">
        <v>0</v>
      </c>
      <c r="E4236" s="196">
        <v>297000</v>
      </c>
      <c r="F4236" s="196">
        <v>-297000</v>
      </c>
      <c r="G4236" s="196">
        <v>-297000</v>
      </c>
    </row>
    <row r="4237" spans="1:7" x14ac:dyDescent="0.3">
      <c r="A4237" s="198">
        <v>43781844</v>
      </c>
      <c r="B4237" s="192" t="s">
        <v>2784</v>
      </c>
      <c r="C4237" s="196">
        <v>-85000</v>
      </c>
      <c r="D4237" s="196">
        <v>0</v>
      </c>
      <c r="E4237" s="196">
        <v>0</v>
      </c>
      <c r="F4237" s="196">
        <v>0</v>
      </c>
      <c r="G4237" s="196">
        <v>-85000</v>
      </c>
    </row>
    <row r="4238" spans="1:7" x14ac:dyDescent="0.3">
      <c r="A4238" s="198">
        <v>42867176</v>
      </c>
      <c r="B4238" s="192" t="s">
        <v>2785</v>
      </c>
      <c r="C4238" s="196">
        <v>-57200</v>
      </c>
      <c r="D4238" s="196">
        <v>0</v>
      </c>
      <c r="E4238" s="196">
        <v>0</v>
      </c>
      <c r="F4238" s="196">
        <v>0</v>
      </c>
      <c r="G4238" s="196">
        <v>-57200</v>
      </c>
    </row>
    <row r="4239" spans="1:7" x14ac:dyDescent="0.3">
      <c r="A4239" s="198">
        <v>42968482</v>
      </c>
      <c r="B4239" s="192" t="s">
        <v>2786</v>
      </c>
      <c r="C4239" s="196">
        <v>-94800</v>
      </c>
      <c r="D4239" s="196">
        <v>0</v>
      </c>
      <c r="E4239" s="196">
        <v>0</v>
      </c>
      <c r="F4239" s="196">
        <v>0</v>
      </c>
      <c r="G4239" s="196">
        <v>-94800</v>
      </c>
    </row>
    <row r="4240" spans="1:7" x14ac:dyDescent="0.3">
      <c r="A4240" s="198">
        <v>43411887</v>
      </c>
      <c r="B4240" s="192" t="s">
        <v>2787</v>
      </c>
      <c r="C4240" s="196">
        <v>-165000</v>
      </c>
      <c r="D4240" s="196">
        <v>0</v>
      </c>
      <c r="E4240" s="196">
        <v>0</v>
      </c>
      <c r="F4240" s="196">
        <v>0</v>
      </c>
      <c r="G4240" s="196">
        <v>-165000</v>
      </c>
    </row>
    <row r="4241" spans="1:7" x14ac:dyDescent="0.3">
      <c r="A4241" s="198">
        <v>1017126454</v>
      </c>
      <c r="B4241" s="192" t="s">
        <v>2788</v>
      </c>
      <c r="C4241" s="196">
        <v>-47400</v>
      </c>
      <c r="D4241" s="196">
        <v>0</v>
      </c>
      <c r="E4241" s="196">
        <v>0</v>
      </c>
      <c r="F4241" s="196">
        <v>0</v>
      </c>
      <c r="G4241" s="196">
        <v>-47400</v>
      </c>
    </row>
    <row r="4242" spans="1:7" x14ac:dyDescent="0.3">
      <c r="A4242" s="198">
        <v>43572475</v>
      </c>
      <c r="B4242" s="192" t="s">
        <v>2789</v>
      </c>
      <c r="C4242" s="196">
        <v>-47400</v>
      </c>
      <c r="D4242" s="196">
        <v>0</v>
      </c>
      <c r="E4242" s="196">
        <v>0</v>
      </c>
      <c r="F4242" s="196">
        <v>0</v>
      </c>
      <c r="G4242" s="196">
        <v>-47400</v>
      </c>
    </row>
    <row r="4243" spans="1:7" x14ac:dyDescent="0.3">
      <c r="A4243" s="198">
        <v>21393954</v>
      </c>
      <c r="B4243" s="192" t="s">
        <v>2790</v>
      </c>
      <c r="C4243" s="196">
        <v>-50900</v>
      </c>
      <c r="D4243" s="196">
        <v>0</v>
      </c>
      <c r="E4243" s="196">
        <v>0</v>
      </c>
      <c r="F4243" s="196">
        <v>0</v>
      </c>
      <c r="G4243" s="196">
        <v>-50900</v>
      </c>
    </row>
    <row r="4244" spans="1:7" x14ac:dyDescent="0.3">
      <c r="A4244" s="198">
        <v>32522458</v>
      </c>
      <c r="B4244" s="192" t="s">
        <v>2791</v>
      </c>
      <c r="C4244" s="196">
        <v>-50900</v>
      </c>
      <c r="D4244" s="196">
        <v>0</v>
      </c>
      <c r="E4244" s="196">
        <v>0</v>
      </c>
      <c r="F4244" s="196">
        <v>0</v>
      </c>
      <c r="G4244" s="196">
        <v>-50900</v>
      </c>
    </row>
    <row r="4245" spans="1:7" x14ac:dyDescent="0.3">
      <c r="A4245" s="198">
        <v>1036660395</v>
      </c>
      <c r="B4245" s="192" t="s">
        <v>2792</v>
      </c>
      <c r="C4245" s="196">
        <v>-119000</v>
      </c>
      <c r="D4245" s="196">
        <v>0</v>
      </c>
      <c r="E4245" s="196">
        <v>0</v>
      </c>
      <c r="F4245" s="196">
        <v>0</v>
      </c>
      <c r="G4245" s="196">
        <v>-119000</v>
      </c>
    </row>
    <row r="4246" spans="1:7" x14ac:dyDescent="0.3">
      <c r="A4246" s="198">
        <v>21788564</v>
      </c>
      <c r="B4246" s="192" t="s">
        <v>2793</v>
      </c>
      <c r="C4246" s="196">
        <v>-57200</v>
      </c>
      <c r="D4246" s="196">
        <v>0</v>
      </c>
      <c r="E4246" s="196">
        <v>0</v>
      </c>
      <c r="F4246" s="196">
        <v>0</v>
      </c>
      <c r="G4246" s="196">
        <v>-57200</v>
      </c>
    </row>
    <row r="4247" spans="1:7" x14ac:dyDescent="0.3">
      <c r="A4247" s="198">
        <v>39267284</v>
      </c>
      <c r="B4247" s="192" t="s">
        <v>2794</v>
      </c>
      <c r="C4247" s="196">
        <v>-319000</v>
      </c>
      <c r="D4247" s="196">
        <v>0</v>
      </c>
      <c r="E4247" s="196">
        <v>0</v>
      </c>
      <c r="F4247" s="196">
        <v>0</v>
      </c>
      <c r="G4247" s="196">
        <v>-319000</v>
      </c>
    </row>
    <row r="4248" spans="1:7" x14ac:dyDescent="0.3">
      <c r="A4248" s="198">
        <v>43760448</v>
      </c>
      <c r="B4248" s="192" t="s">
        <v>2795</v>
      </c>
      <c r="C4248" s="196">
        <v>-50900</v>
      </c>
      <c r="D4248" s="196">
        <v>0</v>
      </c>
      <c r="E4248" s="196">
        <v>0</v>
      </c>
      <c r="F4248" s="196">
        <v>0</v>
      </c>
      <c r="G4248" s="196">
        <v>-50900</v>
      </c>
    </row>
    <row r="4249" spans="1:7" x14ac:dyDescent="0.3">
      <c r="A4249" s="198">
        <v>43743320</v>
      </c>
      <c r="B4249" s="192" t="s">
        <v>2796</v>
      </c>
      <c r="C4249" s="196">
        <v>-50900</v>
      </c>
      <c r="D4249" s="196">
        <v>0</v>
      </c>
      <c r="E4249" s="196">
        <v>0</v>
      </c>
      <c r="F4249" s="196">
        <v>0</v>
      </c>
      <c r="G4249" s="196">
        <v>-50900</v>
      </c>
    </row>
    <row r="4250" spans="1:7" x14ac:dyDescent="0.3">
      <c r="A4250" s="198">
        <v>43206395</v>
      </c>
      <c r="B4250" s="192" t="s">
        <v>2797</v>
      </c>
      <c r="C4250" s="196">
        <v>-250000</v>
      </c>
      <c r="D4250" s="196">
        <v>0</v>
      </c>
      <c r="E4250" s="196">
        <v>0</v>
      </c>
      <c r="F4250" s="196">
        <v>0</v>
      </c>
      <c r="G4250" s="196">
        <v>-250000</v>
      </c>
    </row>
    <row r="4251" spans="1:7" x14ac:dyDescent="0.3">
      <c r="A4251" s="198">
        <v>24348571</v>
      </c>
      <c r="B4251" s="192" t="s">
        <v>2798</v>
      </c>
      <c r="C4251" s="196">
        <v>-47000</v>
      </c>
      <c r="D4251" s="196">
        <v>0</v>
      </c>
      <c r="E4251" s="196">
        <v>0</v>
      </c>
      <c r="F4251" s="196">
        <v>0</v>
      </c>
      <c r="G4251" s="196">
        <v>-47000</v>
      </c>
    </row>
    <row r="4252" spans="1:7" x14ac:dyDescent="0.3">
      <c r="A4252" s="198">
        <v>32495656</v>
      </c>
      <c r="B4252" s="192" t="s">
        <v>2799</v>
      </c>
      <c r="C4252" s="196">
        <v>-57200</v>
      </c>
      <c r="D4252" s="196">
        <v>0</v>
      </c>
      <c r="E4252" s="196">
        <v>0</v>
      </c>
      <c r="F4252" s="196">
        <v>0</v>
      </c>
      <c r="G4252" s="196">
        <v>-57200</v>
      </c>
    </row>
    <row r="4253" spans="1:7" x14ac:dyDescent="0.3">
      <c r="A4253" s="198">
        <v>21400896</v>
      </c>
      <c r="B4253" s="192" t="s">
        <v>2800</v>
      </c>
      <c r="C4253" s="196">
        <v>-297000</v>
      </c>
      <c r="D4253" s="196">
        <v>0</v>
      </c>
      <c r="E4253" s="196">
        <v>0</v>
      </c>
      <c r="F4253" s="196">
        <v>0</v>
      </c>
      <c r="G4253" s="196">
        <v>-297000</v>
      </c>
    </row>
    <row r="4254" spans="1:7" x14ac:dyDescent="0.3">
      <c r="A4254" s="198">
        <v>32519273</v>
      </c>
      <c r="B4254" s="192" t="s">
        <v>2801</v>
      </c>
      <c r="C4254" s="196">
        <v>-114400</v>
      </c>
      <c r="D4254" s="196">
        <v>0</v>
      </c>
      <c r="E4254" s="196">
        <v>0</v>
      </c>
      <c r="F4254" s="196">
        <v>0</v>
      </c>
      <c r="G4254" s="196">
        <v>-114400</v>
      </c>
    </row>
    <row r="4255" spans="1:7" x14ac:dyDescent="0.3">
      <c r="A4255" s="198">
        <v>1619395</v>
      </c>
      <c r="B4255" s="192" t="s">
        <v>2802</v>
      </c>
      <c r="C4255" s="196">
        <v>-47400</v>
      </c>
      <c r="D4255" s="196">
        <v>0</v>
      </c>
      <c r="E4255" s="196">
        <v>0</v>
      </c>
      <c r="F4255" s="196">
        <v>0</v>
      </c>
      <c r="G4255" s="196">
        <v>-47400</v>
      </c>
    </row>
    <row r="4256" spans="1:7" x14ac:dyDescent="0.3">
      <c r="A4256" s="198">
        <v>1144026677</v>
      </c>
      <c r="B4256" s="192" t="s">
        <v>2803</v>
      </c>
      <c r="C4256" s="196">
        <v>-114400</v>
      </c>
      <c r="D4256" s="196">
        <v>0</v>
      </c>
      <c r="E4256" s="196">
        <v>0</v>
      </c>
      <c r="F4256" s="196">
        <v>0</v>
      </c>
      <c r="G4256" s="196">
        <v>-114400</v>
      </c>
    </row>
    <row r="4257" spans="1:7" x14ac:dyDescent="0.3">
      <c r="A4257" s="198">
        <v>1152468741</v>
      </c>
      <c r="B4257" s="192" t="s">
        <v>2804</v>
      </c>
      <c r="C4257" s="196">
        <v>-29700</v>
      </c>
      <c r="D4257" s="196">
        <v>0</v>
      </c>
      <c r="E4257" s="196">
        <v>0</v>
      </c>
      <c r="F4257" s="196">
        <v>0</v>
      </c>
      <c r="G4257" s="196">
        <v>-29700</v>
      </c>
    </row>
    <row r="4258" spans="1:7" x14ac:dyDescent="0.3">
      <c r="A4258" s="198">
        <v>31655136</v>
      </c>
      <c r="B4258" s="192" t="s">
        <v>2805</v>
      </c>
      <c r="C4258" s="196">
        <v>-50900</v>
      </c>
      <c r="D4258" s="196">
        <v>0</v>
      </c>
      <c r="E4258" s="196">
        <v>0</v>
      </c>
      <c r="F4258" s="196">
        <v>0</v>
      </c>
      <c r="G4258" s="196">
        <v>-50900</v>
      </c>
    </row>
    <row r="4259" spans="1:7" x14ac:dyDescent="0.3">
      <c r="A4259" s="198">
        <v>1017199651</v>
      </c>
      <c r="B4259" s="192" t="s">
        <v>2806</v>
      </c>
      <c r="C4259" s="196">
        <v>-148500</v>
      </c>
      <c r="D4259" s="196">
        <v>0</v>
      </c>
      <c r="E4259" s="196">
        <v>0</v>
      </c>
      <c r="F4259" s="196">
        <v>0</v>
      </c>
      <c r="G4259" s="196">
        <v>-148500</v>
      </c>
    </row>
    <row r="4260" spans="1:7" x14ac:dyDescent="0.3">
      <c r="A4260" s="198">
        <v>42790044</v>
      </c>
      <c r="B4260" s="192" t="s">
        <v>2807</v>
      </c>
      <c r="C4260" s="196">
        <v>-50900</v>
      </c>
      <c r="D4260" s="196">
        <v>0</v>
      </c>
      <c r="E4260" s="196">
        <v>0</v>
      </c>
      <c r="F4260" s="196">
        <v>0</v>
      </c>
      <c r="G4260" s="196">
        <v>-50900</v>
      </c>
    </row>
    <row r="4261" spans="1:7" x14ac:dyDescent="0.3">
      <c r="A4261" s="198">
        <v>43757644</v>
      </c>
      <c r="B4261" s="192" t="s">
        <v>2808</v>
      </c>
      <c r="C4261" s="196">
        <v>-215900</v>
      </c>
      <c r="D4261" s="196">
        <v>0</v>
      </c>
      <c r="E4261" s="196">
        <v>0</v>
      </c>
      <c r="F4261" s="196">
        <v>0</v>
      </c>
      <c r="G4261" s="196">
        <v>-215900</v>
      </c>
    </row>
    <row r="4262" spans="1:7" x14ac:dyDescent="0.3">
      <c r="A4262" s="198">
        <v>1046538330</v>
      </c>
      <c r="B4262" s="192" t="s">
        <v>2809</v>
      </c>
      <c r="C4262" s="196">
        <v>-340000</v>
      </c>
      <c r="D4262" s="196">
        <v>0</v>
      </c>
      <c r="E4262" s="196">
        <v>0</v>
      </c>
      <c r="F4262" s="196">
        <v>0</v>
      </c>
      <c r="G4262" s="196">
        <v>-340000</v>
      </c>
    </row>
    <row r="4263" spans="1:7" x14ac:dyDescent="0.3">
      <c r="A4263" s="192" t="s">
        <v>2810</v>
      </c>
      <c r="B4263" s="192" t="s">
        <v>2811</v>
      </c>
      <c r="C4263" s="196">
        <v>-270000</v>
      </c>
      <c r="D4263" s="196">
        <v>0</v>
      </c>
      <c r="E4263" s="196">
        <v>0</v>
      </c>
      <c r="F4263" s="196">
        <v>0</v>
      </c>
      <c r="G4263" s="196">
        <v>-270000</v>
      </c>
    </row>
    <row r="4264" spans="1:7" x14ac:dyDescent="0.3">
      <c r="A4264" s="198">
        <v>80874175</v>
      </c>
      <c r="B4264" s="192" t="s">
        <v>2812</v>
      </c>
      <c r="C4264" s="196">
        <v>-54200</v>
      </c>
      <c r="D4264" s="196">
        <v>0</v>
      </c>
      <c r="E4264" s="196">
        <v>0</v>
      </c>
      <c r="F4264" s="196">
        <v>0</v>
      </c>
      <c r="G4264" s="196">
        <v>-54200</v>
      </c>
    </row>
    <row r="4265" spans="1:7" x14ac:dyDescent="0.3">
      <c r="A4265" s="198">
        <v>1017246861</v>
      </c>
      <c r="B4265" s="192" t="s">
        <v>2813</v>
      </c>
      <c r="C4265" s="196">
        <v>-119000</v>
      </c>
      <c r="D4265" s="196">
        <v>0</v>
      </c>
      <c r="E4265" s="196">
        <v>0</v>
      </c>
      <c r="F4265" s="196">
        <v>0</v>
      </c>
      <c r="G4265" s="196">
        <v>-119000</v>
      </c>
    </row>
    <row r="4266" spans="1:7" x14ac:dyDescent="0.3">
      <c r="A4266" s="198">
        <v>1000445422</v>
      </c>
      <c r="B4266" s="192" t="s">
        <v>307</v>
      </c>
      <c r="C4266" s="196">
        <v>-219000</v>
      </c>
      <c r="D4266" s="196">
        <v>0</v>
      </c>
      <c r="E4266" s="196">
        <v>0</v>
      </c>
      <c r="F4266" s="196">
        <v>0</v>
      </c>
      <c r="G4266" s="196">
        <v>-219000</v>
      </c>
    </row>
    <row r="4267" spans="1:7" x14ac:dyDescent="0.3">
      <c r="A4267" s="198">
        <v>1127579095</v>
      </c>
      <c r="B4267" s="192" t="s">
        <v>2814</v>
      </c>
      <c r="C4267" s="196">
        <v>-47000</v>
      </c>
      <c r="D4267" s="196">
        <v>0</v>
      </c>
      <c r="E4267" s="196">
        <v>0</v>
      </c>
      <c r="F4267" s="196">
        <v>0</v>
      </c>
      <c r="G4267" s="196">
        <v>-47000</v>
      </c>
    </row>
    <row r="4268" spans="1:7" x14ac:dyDescent="0.3">
      <c r="A4268" s="198">
        <v>1020490974</v>
      </c>
      <c r="B4268" s="192" t="s">
        <v>2815</v>
      </c>
      <c r="C4268" s="196">
        <v>-20000</v>
      </c>
      <c r="D4268" s="196">
        <v>0</v>
      </c>
      <c r="E4268" s="196">
        <v>0</v>
      </c>
      <c r="F4268" s="196">
        <v>0</v>
      </c>
      <c r="G4268" s="196">
        <v>-20000</v>
      </c>
    </row>
    <row r="4269" spans="1:7" x14ac:dyDescent="0.3">
      <c r="A4269" s="198">
        <v>1035026744</v>
      </c>
      <c r="B4269" s="192" t="s">
        <v>2816</v>
      </c>
      <c r="C4269" s="196">
        <v>-35000</v>
      </c>
      <c r="D4269" s="196">
        <v>0</v>
      </c>
      <c r="E4269" s="196">
        <v>0</v>
      </c>
      <c r="F4269" s="196">
        <v>0</v>
      </c>
      <c r="G4269" s="196">
        <v>-35000</v>
      </c>
    </row>
    <row r="4270" spans="1:7" x14ac:dyDescent="0.3">
      <c r="A4270" s="198">
        <v>16211499</v>
      </c>
      <c r="B4270" s="192" t="s">
        <v>2817</v>
      </c>
      <c r="C4270" s="196">
        <v>-50900</v>
      </c>
      <c r="D4270" s="196">
        <v>0</v>
      </c>
      <c r="E4270" s="196">
        <v>0</v>
      </c>
      <c r="F4270" s="196">
        <v>0</v>
      </c>
      <c r="G4270" s="196">
        <v>-50900</v>
      </c>
    </row>
    <row r="4271" spans="1:7" x14ac:dyDescent="0.3">
      <c r="A4271" s="192" t="s">
        <v>2818</v>
      </c>
      <c r="B4271" s="192" t="s">
        <v>2819</v>
      </c>
      <c r="C4271" s="196">
        <v>-297000</v>
      </c>
      <c r="D4271" s="196">
        <v>0</v>
      </c>
      <c r="E4271" s="196">
        <v>0</v>
      </c>
      <c r="F4271" s="196">
        <v>0</v>
      </c>
      <c r="G4271" s="196">
        <v>-297000</v>
      </c>
    </row>
    <row r="4272" spans="1:7" x14ac:dyDescent="0.3">
      <c r="A4272" s="198">
        <v>1048475246</v>
      </c>
      <c r="B4272" s="192" t="s">
        <v>2820</v>
      </c>
      <c r="C4272" s="196">
        <v>-340000</v>
      </c>
      <c r="D4272" s="196">
        <v>0</v>
      </c>
      <c r="E4272" s="196">
        <v>0</v>
      </c>
      <c r="F4272" s="196">
        <v>0</v>
      </c>
      <c r="G4272" s="196">
        <v>-340000</v>
      </c>
    </row>
    <row r="4273" spans="1:7" x14ac:dyDescent="0.3">
      <c r="A4273" s="192" t="s">
        <v>309</v>
      </c>
      <c r="B4273" s="192" t="s">
        <v>310</v>
      </c>
      <c r="C4273" s="196">
        <v>-1</v>
      </c>
      <c r="D4273" s="196">
        <v>0</v>
      </c>
      <c r="E4273" s="196">
        <v>0</v>
      </c>
      <c r="F4273" s="196">
        <v>0</v>
      </c>
      <c r="G4273" s="196">
        <v>-1</v>
      </c>
    </row>
    <row r="4274" spans="1:7" x14ac:dyDescent="0.3">
      <c r="A4274" s="198">
        <v>1037587514</v>
      </c>
      <c r="B4274" s="192" t="s">
        <v>311</v>
      </c>
      <c r="C4274" s="196">
        <v>0</v>
      </c>
      <c r="D4274" s="196">
        <v>0</v>
      </c>
      <c r="E4274" s="196">
        <v>50900</v>
      </c>
      <c r="F4274" s="196">
        <v>-50900</v>
      </c>
      <c r="G4274" s="196">
        <v>-50900</v>
      </c>
    </row>
    <row r="4275" spans="1:7" x14ac:dyDescent="0.3">
      <c r="A4275" s="198">
        <v>168292556</v>
      </c>
      <c r="B4275" s="192" t="s">
        <v>2821</v>
      </c>
      <c r="C4275" s="196">
        <v>-297000</v>
      </c>
      <c r="D4275" s="196">
        <v>0</v>
      </c>
      <c r="E4275" s="196">
        <v>0</v>
      </c>
      <c r="F4275" s="196">
        <v>0</v>
      </c>
      <c r="G4275" s="196">
        <v>-297000</v>
      </c>
    </row>
    <row r="4276" spans="1:7" x14ac:dyDescent="0.3">
      <c r="A4276" s="198">
        <v>1018261307</v>
      </c>
      <c r="B4276" s="192" t="s">
        <v>2822</v>
      </c>
      <c r="C4276" s="196">
        <v>-178200</v>
      </c>
      <c r="D4276" s="196">
        <v>0</v>
      </c>
      <c r="E4276" s="196">
        <v>0</v>
      </c>
      <c r="F4276" s="196">
        <v>0</v>
      </c>
      <c r="G4276" s="196">
        <v>-178200</v>
      </c>
    </row>
    <row r="4277" spans="1:7" x14ac:dyDescent="0.3">
      <c r="A4277" s="198">
        <v>1035284226</v>
      </c>
      <c r="B4277" s="192" t="s">
        <v>2823</v>
      </c>
      <c r="C4277" s="196">
        <v>-50900</v>
      </c>
      <c r="D4277" s="196">
        <v>0</v>
      </c>
      <c r="E4277" s="196">
        <v>0</v>
      </c>
      <c r="F4277" s="196">
        <v>0</v>
      </c>
      <c r="G4277" s="196">
        <v>-50900</v>
      </c>
    </row>
    <row r="4278" spans="1:7" x14ac:dyDescent="0.3">
      <c r="A4278" s="198">
        <v>1035016793</v>
      </c>
      <c r="B4278" s="192" t="s">
        <v>312</v>
      </c>
      <c r="C4278" s="196">
        <v>0</v>
      </c>
      <c r="D4278" s="196">
        <v>0</v>
      </c>
      <c r="E4278" s="196">
        <v>50900</v>
      </c>
      <c r="F4278" s="196">
        <v>-50900</v>
      </c>
      <c r="G4278" s="196">
        <v>-50900</v>
      </c>
    </row>
    <row r="4279" spans="1:7" x14ac:dyDescent="0.3">
      <c r="A4279" s="198">
        <v>1031943331</v>
      </c>
      <c r="B4279" s="192" t="s">
        <v>313</v>
      </c>
      <c r="C4279" s="196">
        <v>0</v>
      </c>
      <c r="D4279" s="196">
        <v>0</v>
      </c>
      <c r="E4279" s="196">
        <v>38400</v>
      </c>
      <c r="F4279" s="196">
        <v>-38400</v>
      </c>
      <c r="G4279" s="196">
        <v>-38400</v>
      </c>
    </row>
    <row r="4280" spans="1:7" x14ac:dyDescent="0.3">
      <c r="A4280" s="198">
        <v>1125680312</v>
      </c>
      <c r="B4280" s="192" t="s">
        <v>2824</v>
      </c>
      <c r="C4280" s="196">
        <v>-50900</v>
      </c>
      <c r="D4280" s="196">
        <v>0</v>
      </c>
      <c r="E4280" s="196">
        <v>0</v>
      </c>
      <c r="F4280" s="196">
        <v>0</v>
      </c>
      <c r="G4280" s="196">
        <v>-50900</v>
      </c>
    </row>
    <row r="4281" spans="1:7" x14ac:dyDescent="0.3">
      <c r="A4281" s="198">
        <v>1021936951</v>
      </c>
      <c r="B4281" s="192" t="s">
        <v>2825</v>
      </c>
      <c r="C4281" s="196">
        <v>-57200</v>
      </c>
      <c r="D4281" s="196">
        <v>0</v>
      </c>
      <c r="E4281" s="196">
        <v>0</v>
      </c>
      <c r="F4281" s="196">
        <v>0</v>
      </c>
      <c r="G4281" s="196">
        <v>-57200</v>
      </c>
    </row>
    <row r="4282" spans="1:7" x14ac:dyDescent="0.3">
      <c r="A4282" s="198">
        <v>1234439775</v>
      </c>
      <c r="B4282" s="192" t="s">
        <v>2826</v>
      </c>
      <c r="C4282" s="196">
        <v>-94000</v>
      </c>
      <c r="D4282" s="196">
        <v>0</v>
      </c>
      <c r="E4282" s="196">
        <v>0</v>
      </c>
      <c r="F4282" s="196">
        <v>0</v>
      </c>
      <c r="G4282" s="196">
        <v>-94000</v>
      </c>
    </row>
    <row r="4283" spans="1:7" x14ac:dyDescent="0.3">
      <c r="A4283" s="198">
        <v>1035021213</v>
      </c>
      <c r="B4283" s="192" t="s">
        <v>2827</v>
      </c>
      <c r="C4283" s="196">
        <v>-41400</v>
      </c>
      <c r="D4283" s="196">
        <v>0</v>
      </c>
      <c r="E4283" s="196">
        <v>0</v>
      </c>
      <c r="F4283" s="196">
        <v>0</v>
      </c>
      <c r="G4283" s="196">
        <v>-41400</v>
      </c>
    </row>
    <row r="4284" spans="1:7" x14ac:dyDescent="0.3">
      <c r="A4284" s="198">
        <v>1023565091</v>
      </c>
      <c r="B4284" s="192" t="s">
        <v>2828</v>
      </c>
      <c r="C4284" s="196">
        <v>-297000</v>
      </c>
      <c r="D4284" s="196">
        <v>0</v>
      </c>
      <c r="E4284" s="196">
        <v>0</v>
      </c>
      <c r="F4284" s="196">
        <v>0</v>
      </c>
      <c r="G4284" s="196">
        <v>-297000</v>
      </c>
    </row>
    <row r="4285" spans="1:7" x14ac:dyDescent="0.3">
      <c r="A4285" s="198">
        <v>1036452758</v>
      </c>
      <c r="B4285" s="192" t="s">
        <v>2829</v>
      </c>
      <c r="C4285" s="196">
        <v>-50900</v>
      </c>
      <c r="D4285" s="196">
        <v>0</v>
      </c>
      <c r="E4285" s="196">
        <v>0</v>
      </c>
      <c r="F4285" s="196">
        <v>0</v>
      </c>
      <c r="G4285" s="196">
        <v>-50900</v>
      </c>
    </row>
    <row r="4286" spans="1:7" x14ac:dyDescent="0.3">
      <c r="A4286" s="198">
        <v>1023562330</v>
      </c>
      <c r="B4286" s="192" t="s">
        <v>2830</v>
      </c>
      <c r="C4286" s="196">
        <v>-270000</v>
      </c>
      <c r="D4286" s="196">
        <v>0</v>
      </c>
      <c r="E4286" s="196">
        <v>0</v>
      </c>
      <c r="F4286" s="196">
        <v>0</v>
      </c>
      <c r="G4286" s="196">
        <v>-270000</v>
      </c>
    </row>
    <row r="4287" spans="1:7" x14ac:dyDescent="0.3">
      <c r="A4287" s="198">
        <v>1013385127</v>
      </c>
      <c r="B4287" s="192" t="s">
        <v>2831</v>
      </c>
      <c r="C4287" s="196">
        <v>-50500</v>
      </c>
      <c r="D4287" s="196">
        <v>0</v>
      </c>
      <c r="E4287" s="196">
        <v>0</v>
      </c>
      <c r="F4287" s="196">
        <v>0</v>
      </c>
      <c r="G4287" s="196">
        <v>-50500</v>
      </c>
    </row>
    <row r="4288" spans="1:7" x14ac:dyDescent="0.3">
      <c r="A4288" s="198">
        <v>1073328873</v>
      </c>
      <c r="B4288" s="192" t="s">
        <v>2832</v>
      </c>
      <c r="C4288" s="196">
        <v>-680000</v>
      </c>
      <c r="D4288" s="196">
        <v>0</v>
      </c>
      <c r="E4288" s="196">
        <v>0</v>
      </c>
      <c r="F4288" s="196">
        <v>0</v>
      </c>
      <c r="G4288" s="196">
        <v>-680000</v>
      </c>
    </row>
    <row r="4289" spans="1:7" x14ac:dyDescent="0.3">
      <c r="A4289" s="198">
        <v>1034992360</v>
      </c>
      <c r="B4289" s="192" t="s">
        <v>314</v>
      </c>
      <c r="C4289" s="196">
        <v>0</v>
      </c>
      <c r="D4289" s="196">
        <v>0</v>
      </c>
      <c r="E4289" s="196">
        <v>297000</v>
      </c>
      <c r="F4289" s="196">
        <v>-297000</v>
      </c>
      <c r="G4289" s="196">
        <v>-297000</v>
      </c>
    </row>
    <row r="4290" spans="1:7" x14ac:dyDescent="0.3">
      <c r="A4290" s="198">
        <v>1020236598</v>
      </c>
      <c r="B4290" s="192" t="s">
        <v>315</v>
      </c>
      <c r="C4290" s="196">
        <v>0</v>
      </c>
      <c r="D4290" s="196">
        <v>0</v>
      </c>
      <c r="E4290" s="196">
        <v>50900</v>
      </c>
      <c r="F4290" s="196">
        <v>-50900</v>
      </c>
      <c r="G4290" s="196">
        <v>-50900</v>
      </c>
    </row>
    <row r="4291" spans="1:7" x14ac:dyDescent="0.3">
      <c r="A4291" s="198">
        <v>1035000513</v>
      </c>
      <c r="B4291" s="192" t="s">
        <v>316</v>
      </c>
      <c r="C4291" s="196">
        <v>0</v>
      </c>
      <c r="D4291" s="196">
        <v>0</v>
      </c>
      <c r="E4291" s="196">
        <v>50900</v>
      </c>
      <c r="F4291" s="196">
        <v>-50900</v>
      </c>
      <c r="G4291" s="196">
        <v>-50900</v>
      </c>
    </row>
    <row r="4292" spans="1:7" x14ac:dyDescent="0.3">
      <c r="A4292" s="198">
        <v>1034990037</v>
      </c>
      <c r="B4292" s="192" t="s">
        <v>2833</v>
      </c>
      <c r="C4292" s="196">
        <v>-50900</v>
      </c>
      <c r="D4292" s="196">
        <v>0</v>
      </c>
      <c r="E4292" s="196">
        <v>0</v>
      </c>
      <c r="F4292" s="196">
        <v>0</v>
      </c>
      <c r="G4292" s="196">
        <v>-50900</v>
      </c>
    </row>
    <row r="4293" spans="1:7" x14ac:dyDescent="0.3">
      <c r="A4293" s="198">
        <v>1034991973</v>
      </c>
      <c r="B4293" s="192" t="s">
        <v>317</v>
      </c>
      <c r="C4293" s="196">
        <v>0</v>
      </c>
      <c r="D4293" s="196">
        <v>0</v>
      </c>
      <c r="E4293" s="196">
        <v>36600</v>
      </c>
      <c r="F4293" s="196">
        <v>-36600</v>
      </c>
      <c r="G4293" s="196">
        <v>-36600</v>
      </c>
    </row>
    <row r="4294" spans="1:7" x14ac:dyDescent="0.3">
      <c r="A4294" s="198">
        <v>1022008441</v>
      </c>
      <c r="B4294" s="192" t="s">
        <v>318</v>
      </c>
      <c r="C4294" s="196">
        <v>0</v>
      </c>
      <c r="D4294" s="196">
        <v>0</v>
      </c>
      <c r="E4294" s="196">
        <v>50900</v>
      </c>
      <c r="F4294" s="196">
        <v>-50900</v>
      </c>
      <c r="G4294" s="196">
        <v>-50900</v>
      </c>
    </row>
    <row r="4295" spans="1:7" x14ac:dyDescent="0.3">
      <c r="A4295" s="198">
        <v>1031949540</v>
      </c>
      <c r="B4295" s="192" t="s">
        <v>2834</v>
      </c>
      <c r="C4295" s="196">
        <v>-50900</v>
      </c>
      <c r="D4295" s="196">
        <v>0</v>
      </c>
      <c r="E4295" s="196">
        <v>0</v>
      </c>
      <c r="F4295" s="196">
        <v>0</v>
      </c>
      <c r="G4295" s="196">
        <v>-50900</v>
      </c>
    </row>
    <row r="4296" spans="1:7" x14ac:dyDescent="0.3">
      <c r="A4296" s="198">
        <v>1031940925</v>
      </c>
      <c r="B4296" s="192" t="s">
        <v>2835</v>
      </c>
      <c r="C4296" s="196">
        <v>-50900</v>
      </c>
      <c r="D4296" s="196">
        <v>0</v>
      </c>
      <c r="E4296" s="196">
        <v>0</v>
      </c>
      <c r="F4296" s="196">
        <v>0</v>
      </c>
      <c r="G4296" s="196">
        <v>-50900</v>
      </c>
    </row>
    <row r="4297" spans="1:7" x14ac:dyDescent="0.3">
      <c r="A4297" s="198">
        <v>1031950724</v>
      </c>
      <c r="B4297" s="192" t="s">
        <v>2836</v>
      </c>
      <c r="C4297" s="196">
        <v>-50900</v>
      </c>
      <c r="D4297" s="196">
        <v>0</v>
      </c>
      <c r="E4297" s="196">
        <v>0</v>
      </c>
      <c r="F4297" s="196">
        <v>0</v>
      </c>
      <c r="G4297" s="196">
        <v>-50900</v>
      </c>
    </row>
    <row r="4298" spans="1:7" x14ac:dyDescent="0.3">
      <c r="A4298" s="198">
        <v>1035005913</v>
      </c>
      <c r="B4298" s="192" t="s">
        <v>2837</v>
      </c>
      <c r="C4298" s="196">
        <v>-47400</v>
      </c>
      <c r="D4298" s="196">
        <v>0</v>
      </c>
      <c r="E4298" s="196">
        <v>0</v>
      </c>
      <c r="F4298" s="196">
        <v>0</v>
      </c>
      <c r="G4298" s="196">
        <v>-47400</v>
      </c>
    </row>
    <row r="4299" spans="1:7" x14ac:dyDescent="0.3">
      <c r="A4299" s="198">
        <v>1035005013</v>
      </c>
      <c r="B4299" s="192" t="s">
        <v>319</v>
      </c>
      <c r="C4299" s="196">
        <v>0</v>
      </c>
      <c r="D4299" s="196">
        <v>0</v>
      </c>
      <c r="E4299" s="196">
        <v>36600</v>
      </c>
      <c r="F4299" s="196">
        <v>-36600</v>
      </c>
      <c r="G4299" s="196">
        <v>-36600</v>
      </c>
    </row>
    <row r="4300" spans="1:7" x14ac:dyDescent="0.3">
      <c r="A4300" s="198">
        <v>1036458192</v>
      </c>
      <c r="B4300" s="192" t="s">
        <v>2838</v>
      </c>
      <c r="C4300" s="196">
        <v>-50900</v>
      </c>
      <c r="D4300" s="196">
        <v>0</v>
      </c>
      <c r="E4300" s="196">
        <v>0</v>
      </c>
      <c r="F4300" s="196">
        <v>0</v>
      </c>
      <c r="G4300" s="196">
        <v>-50900</v>
      </c>
    </row>
    <row r="4301" spans="1:7" x14ac:dyDescent="0.3">
      <c r="A4301" s="192" t="s">
        <v>2839</v>
      </c>
      <c r="B4301" s="192" t="s">
        <v>2376</v>
      </c>
      <c r="C4301" s="196">
        <v>-270000</v>
      </c>
      <c r="D4301" s="196">
        <v>0</v>
      </c>
      <c r="E4301" s="196">
        <v>0</v>
      </c>
      <c r="F4301" s="196">
        <v>0</v>
      </c>
      <c r="G4301" s="196">
        <v>-270000</v>
      </c>
    </row>
    <row r="4302" spans="1:7" x14ac:dyDescent="0.3">
      <c r="A4302" s="198">
        <v>1035023706</v>
      </c>
      <c r="B4302" s="192" t="s">
        <v>2840</v>
      </c>
      <c r="C4302" s="196">
        <v>-41400</v>
      </c>
      <c r="D4302" s="196">
        <v>0</v>
      </c>
      <c r="E4302" s="196">
        <v>0</v>
      </c>
      <c r="F4302" s="196">
        <v>0</v>
      </c>
      <c r="G4302" s="196">
        <v>-41400</v>
      </c>
    </row>
    <row r="4303" spans="1:7" x14ac:dyDescent="0.3">
      <c r="A4303" s="198">
        <v>1035014708</v>
      </c>
      <c r="B4303" s="192" t="s">
        <v>2841</v>
      </c>
      <c r="C4303" s="196">
        <v>-47400</v>
      </c>
      <c r="D4303" s="196">
        <v>0</v>
      </c>
      <c r="E4303" s="196">
        <v>0</v>
      </c>
      <c r="F4303" s="196">
        <v>0</v>
      </c>
      <c r="G4303" s="196">
        <v>-47400</v>
      </c>
    </row>
    <row r="4304" spans="1:7" x14ac:dyDescent="0.3">
      <c r="A4304" s="192" t="s">
        <v>2842</v>
      </c>
      <c r="B4304" s="192" t="s">
        <v>2843</v>
      </c>
      <c r="C4304" s="196">
        <v>-100000</v>
      </c>
      <c r="D4304" s="196">
        <v>0</v>
      </c>
      <c r="E4304" s="196">
        <v>0</v>
      </c>
      <c r="F4304" s="196">
        <v>0</v>
      </c>
      <c r="G4304" s="196">
        <v>-100000</v>
      </c>
    </row>
    <row r="4305" spans="1:7" x14ac:dyDescent="0.3">
      <c r="A4305" s="198">
        <v>649596994</v>
      </c>
      <c r="B4305" s="192" t="s">
        <v>2844</v>
      </c>
      <c r="C4305" s="196">
        <v>-290000</v>
      </c>
      <c r="D4305" s="196">
        <v>0</v>
      </c>
      <c r="E4305" s="196">
        <v>0</v>
      </c>
      <c r="F4305" s="196">
        <v>0</v>
      </c>
      <c r="G4305" s="196">
        <v>-290000</v>
      </c>
    </row>
    <row r="4306" spans="1:7" x14ac:dyDescent="0.3">
      <c r="A4306" s="198">
        <v>37844057</v>
      </c>
      <c r="B4306" s="192" t="s">
        <v>2845</v>
      </c>
      <c r="C4306" s="196">
        <v>-32200</v>
      </c>
      <c r="D4306" s="196">
        <v>0</v>
      </c>
      <c r="E4306" s="196">
        <v>0</v>
      </c>
      <c r="F4306" s="196">
        <v>0</v>
      </c>
      <c r="G4306" s="196">
        <v>-32200</v>
      </c>
    </row>
    <row r="4307" spans="1:7" x14ac:dyDescent="0.3">
      <c r="A4307" s="198">
        <v>1022007701</v>
      </c>
      <c r="B4307" s="192" t="s">
        <v>2846</v>
      </c>
      <c r="C4307" s="196">
        <v>-47400</v>
      </c>
      <c r="D4307" s="196">
        <v>0</v>
      </c>
      <c r="E4307" s="196">
        <v>0</v>
      </c>
      <c r="F4307" s="196">
        <v>0</v>
      </c>
      <c r="G4307" s="196">
        <v>-47400</v>
      </c>
    </row>
    <row r="4308" spans="1:7" x14ac:dyDescent="0.3">
      <c r="A4308" s="198">
        <v>42875022</v>
      </c>
      <c r="B4308" s="192" t="s">
        <v>2847</v>
      </c>
      <c r="C4308" s="196">
        <v>-462000</v>
      </c>
      <c r="D4308" s="196">
        <v>0</v>
      </c>
      <c r="E4308" s="196">
        <v>0</v>
      </c>
      <c r="F4308" s="196">
        <v>0</v>
      </c>
      <c r="G4308" s="196">
        <v>-462000</v>
      </c>
    </row>
    <row r="4309" spans="1:7" x14ac:dyDescent="0.3">
      <c r="A4309" s="198">
        <v>43441600</v>
      </c>
      <c r="B4309" s="192" t="s">
        <v>2848</v>
      </c>
      <c r="C4309" s="196">
        <v>-50900</v>
      </c>
      <c r="D4309" s="196">
        <v>0</v>
      </c>
      <c r="E4309" s="196">
        <v>0</v>
      </c>
      <c r="F4309" s="196">
        <v>0</v>
      </c>
      <c r="G4309" s="196">
        <v>-50900</v>
      </c>
    </row>
    <row r="4310" spans="1:7" x14ac:dyDescent="0.3">
      <c r="A4310" s="198">
        <v>21449741</v>
      </c>
      <c r="B4310" s="192" t="s">
        <v>320</v>
      </c>
      <c r="C4310" s="196">
        <v>-119000</v>
      </c>
      <c r="D4310" s="196">
        <v>0</v>
      </c>
      <c r="E4310" s="196">
        <v>119000</v>
      </c>
      <c r="F4310" s="196">
        <v>-119000</v>
      </c>
      <c r="G4310" s="196">
        <v>-238000</v>
      </c>
    </row>
    <row r="4311" spans="1:7" x14ac:dyDescent="0.3">
      <c r="A4311" s="198">
        <v>71612644</v>
      </c>
      <c r="B4311" s="192" t="s">
        <v>2849</v>
      </c>
      <c r="C4311" s="196">
        <v>-50900</v>
      </c>
      <c r="D4311" s="196">
        <v>0</v>
      </c>
      <c r="E4311" s="196">
        <v>0</v>
      </c>
      <c r="F4311" s="196">
        <v>0</v>
      </c>
      <c r="G4311" s="196">
        <v>-50900</v>
      </c>
    </row>
    <row r="4312" spans="1:7" x14ac:dyDescent="0.3">
      <c r="A4312" s="198">
        <v>43265192</v>
      </c>
      <c r="B4312" s="192" t="s">
        <v>322</v>
      </c>
      <c r="C4312" s="196">
        <v>-50900</v>
      </c>
      <c r="D4312" s="196">
        <v>0</v>
      </c>
      <c r="E4312" s="196">
        <v>50900</v>
      </c>
      <c r="F4312" s="196">
        <v>-50900</v>
      </c>
      <c r="G4312" s="196">
        <v>-101800</v>
      </c>
    </row>
    <row r="4313" spans="1:7" x14ac:dyDescent="0.3">
      <c r="A4313" s="198">
        <v>1035019672</v>
      </c>
      <c r="B4313" s="192" t="s">
        <v>323</v>
      </c>
      <c r="C4313" s="196">
        <v>0</v>
      </c>
      <c r="D4313" s="196">
        <v>0</v>
      </c>
      <c r="E4313" s="196">
        <v>57200</v>
      </c>
      <c r="F4313" s="196">
        <v>-57200</v>
      </c>
      <c r="G4313" s="196">
        <v>-57200</v>
      </c>
    </row>
    <row r="4314" spans="1:7" x14ac:dyDescent="0.3">
      <c r="A4314" s="198">
        <v>1020328226</v>
      </c>
      <c r="B4314" s="192" t="s">
        <v>2850</v>
      </c>
      <c r="C4314" s="196">
        <v>-50900</v>
      </c>
      <c r="D4314" s="196">
        <v>0</v>
      </c>
      <c r="E4314" s="196">
        <v>0</v>
      </c>
      <c r="F4314" s="196">
        <v>0</v>
      </c>
      <c r="G4314" s="196">
        <v>-50900</v>
      </c>
    </row>
    <row r="4315" spans="1:7" x14ac:dyDescent="0.3">
      <c r="A4315" s="198">
        <v>1021932472</v>
      </c>
      <c r="B4315" s="192" t="s">
        <v>324</v>
      </c>
      <c r="C4315" s="196">
        <v>0</v>
      </c>
      <c r="D4315" s="196">
        <v>0</v>
      </c>
      <c r="E4315" s="196">
        <v>25100</v>
      </c>
      <c r="F4315" s="196">
        <v>-25100</v>
      </c>
      <c r="G4315" s="196">
        <v>-25100</v>
      </c>
    </row>
    <row r="4316" spans="1:7" x14ac:dyDescent="0.3">
      <c r="A4316" s="198">
        <v>1220465759</v>
      </c>
      <c r="B4316" s="192" t="s">
        <v>325</v>
      </c>
      <c r="C4316" s="196">
        <v>-50900</v>
      </c>
      <c r="D4316" s="196">
        <v>0</v>
      </c>
      <c r="E4316" s="196">
        <v>0</v>
      </c>
      <c r="F4316" s="196">
        <v>0</v>
      </c>
      <c r="G4316" s="196">
        <v>-50900</v>
      </c>
    </row>
    <row r="4317" spans="1:7" x14ac:dyDescent="0.3">
      <c r="A4317" s="198">
        <v>1089630045</v>
      </c>
      <c r="B4317" s="192" t="s">
        <v>2851</v>
      </c>
      <c r="C4317" s="196">
        <v>-50900</v>
      </c>
      <c r="D4317" s="196">
        <v>0</v>
      </c>
      <c r="E4317" s="196">
        <v>0</v>
      </c>
      <c r="F4317" s="196">
        <v>0</v>
      </c>
      <c r="G4317" s="196">
        <v>-50900</v>
      </c>
    </row>
    <row r="4318" spans="1:7" x14ac:dyDescent="0.3">
      <c r="A4318" s="198">
        <v>3553180</v>
      </c>
      <c r="B4318" s="192" t="s">
        <v>2852</v>
      </c>
      <c r="C4318" s="196">
        <v>-100000</v>
      </c>
      <c r="D4318" s="196">
        <v>0</v>
      </c>
      <c r="E4318" s="196">
        <v>0</v>
      </c>
      <c r="F4318" s="196">
        <v>0</v>
      </c>
      <c r="G4318" s="196">
        <v>-100000</v>
      </c>
    </row>
    <row r="4319" spans="1:7" x14ac:dyDescent="0.3">
      <c r="A4319" s="198">
        <v>1046541064</v>
      </c>
      <c r="B4319" s="192" t="s">
        <v>2853</v>
      </c>
      <c r="C4319" s="196">
        <v>-297000</v>
      </c>
      <c r="D4319" s="196">
        <v>0</v>
      </c>
      <c r="E4319" s="196">
        <v>0</v>
      </c>
      <c r="F4319" s="196">
        <v>0</v>
      </c>
      <c r="G4319" s="196">
        <v>-297000</v>
      </c>
    </row>
    <row r="4320" spans="1:7" x14ac:dyDescent="0.3">
      <c r="A4320" s="198">
        <v>1045046935</v>
      </c>
      <c r="B4320" s="192" t="s">
        <v>326</v>
      </c>
      <c r="C4320" s="196">
        <v>0</v>
      </c>
      <c r="D4320" s="196">
        <v>0</v>
      </c>
      <c r="E4320" s="196">
        <v>50900</v>
      </c>
      <c r="F4320" s="196">
        <v>-50900</v>
      </c>
      <c r="G4320" s="196">
        <v>-50900</v>
      </c>
    </row>
    <row r="4321" spans="1:7" x14ac:dyDescent="0.3">
      <c r="A4321" s="198">
        <v>21829121</v>
      </c>
      <c r="B4321" s="192" t="s">
        <v>2854</v>
      </c>
      <c r="C4321" s="196">
        <v>-192500</v>
      </c>
      <c r="D4321" s="196">
        <v>0</v>
      </c>
      <c r="E4321" s="196">
        <v>0</v>
      </c>
      <c r="F4321" s="196">
        <v>0</v>
      </c>
      <c r="G4321" s="196">
        <v>-192500</v>
      </c>
    </row>
    <row r="4322" spans="1:7" x14ac:dyDescent="0.3">
      <c r="A4322" s="198">
        <v>169389</v>
      </c>
      <c r="B4322" s="192" t="s">
        <v>2855</v>
      </c>
      <c r="C4322" s="196">
        <v>-36600</v>
      </c>
      <c r="D4322" s="196">
        <v>0</v>
      </c>
      <c r="E4322" s="196">
        <v>0</v>
      </c>
      <c r="F4322" s="196">
        <v>0</v>
      </c>
      <c r="G4322" s="196">
        <v>-36600</v>
      </c>
    </row>
    <row r="4323" spans="1:7" x14ac:dyDescent="0.3">
      <c r="A4323" s="198">
        <v>682672441</v>
      </c>
      <c r="B4323" s="192" t="s">
        <v>2856</v>
      </c>
      <c r="C4323" s="196">
        <v>-297000</v>
      </c>
      <c r="D4323" s="196">
        <v>0</v>
      </c>
      <c r="E4323" s="196">
        <v>0</v>
      </c>
      <c r="F4323" s="196">
        <v>0</v>
      </c>
      <c r="G4323" s="196">
        <v>-297000</v>
      </c>
    </row>
    <row r="4324" spans="1:7" x14ac:dyDescent="0.3">
      <c r="A4324" s="198">
        <v>79531662</v>
      </c>
      <c r="B4324" s="192" t="s">
        <v>2857</v>
      </c>
      <c r="C4324" s="196">
        <v>-50900</v>
      </c>
      <c r="D4324" s="196">
        <v>0</v>
      </c>
      <c r="E4324" s="196">
        <v>0</v>
      </c>
      <c r="F4324" s="196">
        <v>0</v>
      </c>
      <c r="G4324" s="196">
        <v>-50900</v>
      </c>
    </row>
    <row r="4325" spans="1:7" x14ac:dyDescent="0.3">
      <c r="A4325" s="198">
        <v>1035024946</v>
      </c>
      <c r="B4325" s="192" t="s">
        <v>2858</v>
      </c>
      <c r="C4325" s="196">
        <v>-50900</v>
      </c>
      <c r="D4325" s="196">
        <v>0</v>
      </c>
      <c r="E4325" s="196">
        <v>0</v>
      </c>
      <c r="F4325" s="196">
        <v>0</v>
      </c>
      <c r="G4325" s="196">
        <v>-50900</v>
      </c>
    </row>
    <row r="4326" spans="1:7" x14ac:dyDescent="0.3">
      <c r="A4326" s="192" t="s">
        <v>2859</v>
      </c>
      <c r="B4326" s="192" t="s">
        <v>2860</v>
      </c>
      <c r="C4326" s="196">
        <v>-420000</v>
      </c>
      <c r="D4326" s="196">
        <v>0</v>
      </c>
      <c r="E4326" s="196">
        <v>0</v>
      </c>
      <c r="F4326" s="196">
        <v>0</v>
      </c>
      <c r="G4326" s="196">
        <v>-420000</v>
      </c>
    </row>
    <row r="4327" spans="1:7" x14ac:dyDescent="0.3">
      <c r="A4327" s="198">
        <v>25213518</v>
      </c>
      <c r="B4327" s="192" t="s">
        <v>2861</v>
      </c>
      <c r="C4327" s="196">
        <v>-95000</v>
      </c>
      <c r="D4327" s="196">
        <v>0</v>
      </c>
      <c r="E4327" s="196">
        <v>0</v>
      </c>
      <c r="F4327" s="196">
        <v>0</v>
      </c>
      <c r="G4327" s="196">
        <v>-95000</v>
      </c>
    </row>
    <row r="4328" spans="1:7" x14ac:dyDescent="0.3">
      <c r="A4328" s="198">
        <v>43269151</v>
      </c>
      <c r="B4328" s="192" t="s">
        <v>2862</v>
      </c>
      <c r="C4328" s="196">
        <v>-50900</v>
      </c>
      <c r="D4328" s="196">
        <v>0</v>
      </c>
      <c r="E4328" s="196">
        <v>0</v>
      </c>
      <c r="F4328" s="196">
        <v>0</v>
      </c>
      <c r="G4328" s="196">
        <v>-50900</v>
      </c>
    </row>
    <row r="4329" spans="1:7" x14ac:dyDescent="0.3">
      <c r="A4329" s="198">
        <v>42873989</v>
      </c>
      <c r="B4329" s="192" t="s">
        <v>2863</v>
      </c>
      <c r="C4329" s="196">
        <v>-50900</v>
      </c>
      <c r="D4329" s="196">
        <v>0</v>
      </c>
      <c r="E4329" s="196">
        <v>0</v>
      </c>
      <c r="F4329" s="196">
        <v>0</v>
      </c>
      <c r="G4329" s="196">
        <v>-50900</v>
      </c>
    </row>
    <row r="4330" spans="1:7" x14ac:dyDescent="0.3">
      <c r="A4330" s="198">
        <v>43477015</v>
      </c>
      <c r="B4330" s="192" t="s">
        <v>2864</v>
      </c>
      <c r="C4330" s="196">
        <v>-35000</v>
      </c>
      <c r="D4330" s="196">
        <v>0</v>
      </c>
      <c r="E4330" s="196">
        <v>0</v>
      </c>
      <c r="F4330" s="196">
        <v>0</v>
      </c>
      <c r="G4330" s="196">
        <v>-35000</v>
      </c>
    </row>
    <row r="4331" spans="1:7" x14ac:dyDescent="0.3">
      <c r="A4331" s="198">
        <v>43813659</v>
      </c>
      <c r="B4331" s="192" t="s">
        <v>2865</v>
      </c>
      <c r="C4331" s="196">
        <v>-46400</v>
      </c>
      <c r="D4331" s="196">
        <v>0</v>
      </c>
      <c r="E4331" s="196">
        <v>0</v>
      </c>
      <c r="F4331" s="196">
        <v>0</v>
      </c>
      <c r="G4331" s="196">
        <v>-46400</v>
      </c>
    </row>
    <row r="4332" spans="1:7" x14ac:dyDescent="0.3">
      <c r="A4332" s="198">
        <v>1128406517</v>
      </c>
      <c r="B4332" s="192" t="s">
        <v>2866</v>
      </c>
      <c r="C4332" s="196">
        <v>-50900</v>
      </c>
      <c r="D4332" s="196">
        <v>0</v>
      </c>
      <c r="E4332" s="196">
        <v>0</v>
      </c>
      <c r="F4332" s="196">
        <v>0</v>
      </c>
      <c r="G4332" s="196">
        <v>-50900</v>
      </c>
    </row>
    <row r="4333" spans="1:7" x14ac:dyDescent="0.3">
      <c r="A4333" s="198">
        <v>43606116</v>
      </c>
      <c r="B4333" s="192" t="s">
        <v>2867</v>
      </c>
      <c r="C4333" s="196">
        <v>-270000</v>
      </c>
      <c r="D4333" s="196">
        <v>0</v>
      </c>
      <c r="E4333" s="196">
        <v>0</v>
      </c>
      <c r="F4333" s="196">
        <v>0</v>
      </c>
      <c r="G4333" s="196">
        <v>-270000</v>
      </c>
    </row>
    <row r="4334" spans="1:7" x14ac:dyDescent="0.3">
      <c r="A4334" s="198">
        <v>43568543</v>
      </c>
      <c r="B4334" s="192" t="s">
        <v>2868</v>
      </c>
      <c r="C4334" s="196">
        <v>-297000</v>
      </c>
      <c r="D4334" s="196">
        <v>0</v>
      </c>
      <c r="E4334" s="196">
        <v>0</v>
      </c>
      <c r="F4334" s="196">
        <v>0</v>
      </c>
      <c r="G4334" s="196">
        <v>-297000</v>
      </c>
    </row>
    <row r="4335" spans="1:7" x14ac:dyDescent="0.3">
      <c r="A4335" s="198">
        <v>39359641</v>
      </c>
      <c r="B4335" s="192" t="s">
        <v>2869</v>
      </c>
      <c r="C4335" s="196">
        <v>-43900</v>
      </c>
      <c r="D4335" s="196">
        <v>0</v>
      </c>
      <c r="E4335" s="196">
        <v>0</v>
      </c>
      <c r="F4335" s="196">
        <v>0</v>
      </c>
      <c r="G4335" s="196">
        <v>-43900</v>
      </c>
    </row>
    <row r="4336" spans="1:7" x14ac:dyDescent="0.3">
      <c r="A4336" s="198">
        <v>42761423</v>
      </c>
      <c r="B4336" s="192" t="s">
        <v>2870</v>
      </c>
      <c r="C4336" s="196">
        <v>-50900</v>
      </c>
      <c r="D4336" s="196">
        <v>0</v>
      </c>
      <c r="E4336" s="196">
        <v>0</v>
      </c>
      <c r="F4336" s="196">
        <v>0</v>
      </c>
      <c r="G4336" s="196">
        <v>-50900</v>
      </c>
    </row>
    <row r="4337" spans="1:7" x14ac:dyDescent="0.3">
      <c r="A4337" s="198">
        <v>43868250</v>
      </c>
      <c r="B4337" s="192" t="s">
        <v>2871</v>
      </c>
      <c r="C4337" s="196">
        <v>-50900</v>
      </c>
      <c r="D4337" s="196">
        <v>0</v>
      </c>
      <c r="E4337" s="196">
        <v>0</v>
      </c>
      <c r="F4337" s="196">
        <v>0</v>
      </c>
      <c r="G4337" s="196">
        <v>-50900</v>
      </c>
    </row>
    <row r="4338" spans="1:7" x14ac:dyDescent="0.3">
      <c r="A4338" s="198">
        <v>34329018</v>
      </c>
      <c r="B4338" s="192" t="s">
        <v>2872</v>
      </c>
      <c r="C4338" s="196">
        <v>-108000</v>
      </c>
      <c r="D4338" s="196">
        <v>0</v>
      </c>
      <c r="E4338" s="196">
        <v>0</v>
      </c>
      <c r="F4338" s="196">
        <v>0</v>
      </c>
      <c r="G4338" s="196">
        <v>-108000</v>
      </c>
    </row>
    <row r="4339" spans="1:7" x14ac:dyDescent="0.3">
      <c r="A4339" s="198">
        <v>17869605</v>
      </c>
      <c r="B4339" s="192" t="s">
        <v>2873</v>
      </c>
      <c r="C4339" s="196">
        <v>-47400</v>
      </c>
      <c r="D4339" s="196">
        <v>0</v>
      </c>
      <c r="E4339" s="196">
        <v>0</v>
      </c>
      <c r="F4339" s="196">
        <v>0</v>
      </c>
      <c r="G4339" s="196">
        <v>-47400</v>
      </c>
    </row>
    <row r="4340" spans="1:7" x14ac:dyDescent="0.3">
      <c r="A4340" s="198">
        <v>7770651</v>
      </c>
      <c r="B4340" s="192" t="s">
        <v>2874</v>
      </c>
      <c r="C4340" s="196">
        <v>-119000</v>
      </c>
      <c r="D4340" s="196">
        <v>0</v>
      </c>
      <c r="E4340" s="196">
        <v>0</v>
      </c>
      <c r="F4340" s="196">
        <v>0</v>
      </c>
      <c r="G4340" s="196">
        <v>-119000</v>
      </c>
    </row>
    <row r="4341" spans="1:7" x14ac:dyDescent="0.3">
      <c r="A4341" s="198">
        <v>1036462841</v>
      </c>
      <c r="B4341" s="192" t="s">
        <v>327</v>
      </c>
      <c r="C4341" s="196">
        <v>0</v>
      </c>
      <c r="D4341" s="196">
        <v>0</v>
      </c>
      <c r="E4341" s="196">
        <v>47000</v>
      </c>
      <c r="F4341" s="196">
        <v>-47000</v>
      </c>
      <c r="G4341" s="196">
        <v>-47000</v>
      </c>
    </row>
    <row r="4342" spans="1:7" x14ac:dyDescent="0.3">
      <c r="A4342" s="198">
        <v>1214713388</v>
      </c>
      <c r="B4342" s="192" t="s">
        <v>2875</v>
      </c>
      <c r="C4342" s="196">
        <v>-416000</v>
      </c>
      <c r="D4342" s="196">
        <v>0</v>
      </c>
      <c r="E4342" s="196">
        <v>0</v>
      </c>
      <c r="F4342" s="196">
        <v>0</v>
      </c>
      <c r="G4342" s="196">
        <v>-416000</v>
      </c>
    </row>
    <row r="4343" spans="1:7" x14ac:dyDescent="0.3">
      <c r="A4343" s="198">
        <v>21802084</v>
      </c>
      <c r="B4343" s="192" t="s">
        <v>328</v>
      </c>
      <c r="C4343" s="196">
        <v>0</v>
      </c>
      <c r="D4343" s="196">
        <v>0</v>
      </c>
      <c r="E4343" s="196">
        <v>57200</v>
      </c>
      <c r="F4343" s="196">
        <v>-57200</v>
      </c>
      <c r="G4343" s="196">
        <v>-57200</v>
      </c>
    </row>
    <row r="4344" spans="1:7" x14ac:dyDescent="0.3">
      <c r="A4344" s="198">
        <v>21810071</v>
      </c>
      <c r="B4344" s="192" t="s">
        <v>329</v>
      </c>
      <c r="C4344" s="196">
        <v>-162001</v>
      </c>
      <c r="D4344" s="196">
        <v>0</v>
      </c>
      <c r="E4344" s="196">
        <v>0</v>
      </c>
      <c r="F4344" s="196">
        <v>0</v>
      </c>
      <c r="G4344" s="196">
        <v>-162001</v>
      </c>
    </row>
    <row r="4345" spans="1:7" x14ac:dyDescent="0.3">
      <c r="A4345" s="198">
        <v>32349870</v>
      </c>
      <c r="B4345" s="192" t="s">
        <v>2876</v>
      </c>
      <c r="C4345" s="196">
        <v>-57200</v>
      </c>
      <c r="D4345" s="196">
        <v>0</v>
      </c>
      <c r="E4345" s="196">
        <v>0</v>
      </c>
      <c r="F4345" s="196">
        <v>0</v>
      </c>
      <c r="G4345" s="196">
        <v>-57200</v>
      </c>
    </row>
    <row r="4346" spans="1:7" x14ac:dyDescent="0.3">
      <c r="A4346" s="198">
        <v>42982480</v>
      </c>
      <c r="B4346" s="192" t="s">
        <v>2877</v>
      </c>
      <c r="C4346" s="196">
        <v>-666900</v>
      </c>
      <c r="D4346" s="196">
        <v>0</v>
      </c>
      <c r="E4346" s="196">
        <v>0</v>
      </c>
      <c r="F4346" s="196">
        <v>0</v>
      </c>
      <c r="G4346" s="196">
        <v>-666900</v>
      </c>
    </row>
    <row r="4347" spans="1:7" x14ac:dyDescent="0.3">
      <c r="A4347" s="198">
        <v>1128268164</v>
      </c>
      <c r="B4347" s="192" t="s">
        <v>330</v>
      </c>
      <c r="C4347" s="196">
        <v>0</v>
      </c>
      <c r="D4347" s="196">
        <v>0</v>
      </c>
      <c r="E4347" s="196">
        <v>50900</v>
      </c>
      <c r="F4347" s="196">
        <v>-50900</v>
      </c>
      <c r="G4347" s="196">
        <v>-50900</v>
      </c>
    </row>
    <row r="4348" spans="1:7" x14ac:dyDescent="0.3">
      <c r="A4348" s="198">
        <v>35262205</v>
      </c>
      <c r="B4348" s="192" t="s">
        <v>331</v>
      </c>
      <c r="C4348" s="196">
        <v>0</v>
      </c>
      <c r="D4348" s="196">
        <v>0</v>
      </c>
      <c r="E4348" s="196">
        <v>41400</v>
      </c>
      <c r="F4348" s="196">
        <v>-41400</v>
      </c>
      <c r="G4348" s="196">
        <v>-41400</v>
      </c>
    </row>
    <row r="4349" spans="1:7" x14ac:dyDescent="0.3">
      <c r="A4349" s="198">
        <v>30385874</v>
      </c>
      <c r="B4349" s="192" t="s">
        <v>2878</v>
      </c>
      <c r="C4349" s="196">
        <v>-50900</v>
      </c>
      <c r="D4349" s="196">
        <v>0</v>
      </c>
      <c r="E4349" s="196">
        <v>0</v>
      </c>
      <c r="F4349" s="196">
        <v>0</v>
      </c>
      <c r="G4349" s="196">
        <v>-50900</v>
      </c>
    </row>
    <row r="4350" spans="1:7" x14ac:dyDescent="0.3">
      <c r="A4350" s="198">
        <v>43347263</v>
      </c>
      <c r="B4350" s="192" t="s">
        <v>2879</v>
      </c>
      <c r="C4350" s="196">
        <v>-50900</v>
      </c>
      <c r="D4350" s="196">
        <v>0</v>
      </c>
      <c r="E4350" s="196">
        <v>0</v>
      </c>
      <c r="F4350" s="196">
        <v>0</v>
      </c>
      <c r="G4350" s="196">
        <v>-50900</v>
      </c>
    </row>
    <row r="4351" spans="1:7" x14ac:dyDescent="0.3">
      <c r="A4351" s="198">
        <v>32534947</v>
      </c>
      <c r="B4351" s="192" t="s">
        <v>2880</v>
      </c>
      <c r="C4351" s="196">
        <v>-57200</v>
      </c>
      <c r="D4351" s="196">
        <v>0</v>
      </c>
      <c r="E4351" s="196">
        <v>0</v>
      </c>
      <c r="F4351" s="196">
        <v>0</v>
      </c>
      <c r="G4351" s="196">
        <v>-57200</v>
      </c>
    </row>
    <row r="4352" spans="1:7" x14ac:dyDescent="0.3">
      <c r="A4352" s="198">
        <v>70691514</v>
      </c>
      <c r="B4352" s="192" t="s">
        <v>2881</v>
      </c>
      <c r="C4352" s="196">
        <v>-223300</v>
      </c>
      <c r="D4352" s="196">
        <v>0</v>
      </c>
      <c r="E4352" s="196">
        <v>0</v>
      </c>
      <c r="F4352" s="196">
        <v>0</v>
      </c>
      <c r="G4352" s="196">
        <v>-223300</v>
      </c>
    </row>
    <row r="4353" spans="1:7" x14ac:dyDescent="0.3">
      <c r="A4353" s="198">
        <v>1035011228</v>
      </c>
      <c r="B4353" s="192" t="s">
        <v>2882</v>
      </c>
      <c r="C4353" s="196">
        <v>-50900</v>
      </c>
      <c r="D4353" s="196">
        <v>0</v>
      </c>
      <c r="E4353" s="196">
        <v>0</v>
      </c>
      <c r="F4353" s="196">
        <v>0</v>
      </c>
      <c r="G4353" s="196">
        <v>-50900</v>
      </c>
    </row>
    <row r="4354" spans="1:7" x14ac:dyDescent="0.3">
      <c r="A4354" s="192" t="s">
        <v>2883</v>
      </c>
      <c r="B4354" s="192" t="s">
        <v>2884</v>
      </c>
      <c r="C4354" s="196">
        <v>-207900</v>
      </c>
      <c r="D4354" s="196">
        <v>0</v>
      </c>
      <c r="E4354" s="196">
        <v>0</v>
      </c>
      <c r="F4354" s="196">
        <v>0</v>
      </c>
      <c r="G4354" s="196">
        <v>-207900</v>
      </c>
    </row>
    <row r="4355" spans="1:7" x14ac:dyDescent="0.3">
      <c r="A4355" s="198">
        <v>1035022741</v>
      </c>
      <c r="B4355" s="192" t="s">
        <v>334</v>
      </c>
      <c r="C4355" s="196">
        <v>0</v>
      </c>
      <c r="D4355" s="196">
        <v>0</v>
      </c>
      <c r="E4355" s="196">
        <v>46400</v>
      </c>
      <c r="F4355" s="196">
        <v>-46400</v>
      </c>
      <c r="G4355" s="196">
        <v>-46400</v>
      </c>
    </row>
    <row r="4356" spans="1:7" x14ac:dyDescent="0.3">
      <c r="A4356" s="198">
        <v>1035024506</v>
      </c>
      <c r="B4356" s="192" t="s">
        <v>2885</v>
      </c>
      <c r="C4356" s="196">
        <v>-35000</v>
      </c>
      <c r="D4356" s="196">
        <v>0</v>
      </c>
      <c r="E4356" s="196">
        <v>0</v>
      </c>
      <c r="F4356" s="196">
        <v>0</v>
      </c>
      <c r="G4356" s="196">
        <v>-35000</v>
      </c>
    </row>
    <row r="4357" spans="1:7" x14ac:dyDescent="0.3">
      <c r="A4357" s="198">
        <v>1035025568</v>
      </c>
      <c r="B4357" s="192" t="s">
        <v>2886</v>
      </c>
      <c r="C4357" s="196">
        <v>-50900</v>
      </c>
      <c r="D4357" s="196">
        <v>0</v>
      </c>
      <c r="E4357" s="196">
        <v>0</v>
      </c>
      <c r="F4357" s="196">
        <v>0</v>
      </c>
      <c r="G4357" s="196">
        <v>-50900</v>
      </c>
    </row>
    <row r="4358" spans="1:7" x14ac:dyDescent="0.3">
      <c r="A4358" s="198">
        <v>1035017900</v>
      </c>
      <c r="B4358" s="192" t="s">
        <v>2887</v>
      </c>
      <c r="C4358" s="196">
        <v>-50900</v>
      </c>
      <c r="D4358" s="196">
        <v>0</v>
      </c>
      <c r="E4358" s="196">
        <v>0</v>
      </c>
      <c r="F4358" s="196">
        <v>0</v>
      </c>
      <c r="G4358" s="196">
        <v>-50900</v>
      </c>
    </row>
    <row r="4359" spans="1:7" x14ac:dyDescent="0.3">
      <c r="A4359" s="198">
        <v>1035005899</v>
      </c>
      <c r="B4359" s="192" t="s">
        <v>335</v>
      </c>
      <c r="C4359" s="196">
        <v>0</v>
      </c>
      <c r="D4359" s="196">
        <v>0</v>
      </c>
      <c r="E4359" s="196">
        <v>50900</v>
      </c>
      <c r="F4359" s="196">
        <v>-50900</v>
      </c>
      <c r="G4359" s="196">
        <v>-50900</v>
      </c>
    </row>
    <row r="4360" spans="1:7" x14ac:dyDescent="0.3">
      <c r="A4360" s="198">
        <v>900640334</v>
      </c>
      <c r="B4360" s="192" t="s">
        <v>336</v>
      </c>
      <c r="C4360" s="196">
        <v>-1549700</v>
      </c>
      <c r="D4360" s="196">
        <v>0</v>
      </c>
      <c r="E4360" s="196">
        <v>420400</v>
      </c>
      <c r="F4360" s="196">
        <v>-420400</v>
      </c>
      <c r="G4360" s="196">
        <v>-1970100</v>
      </c>
    </row>
    <row r="4361" spans="1:7" x14ac:dyDescent="0.3">
      <c r="A4361" s="198">
        <v>860002183</v>
      </c>
      <c r="B4361" s="192" t="s">
        <v>337</v>
      </c>
      <c r="C4361" s="196">
        <v>-3408500</v>
      </c>
      <c r="D4361" s="196">
        <v>0</v>
      </c>
      <c r="E4361" s="196">
        <v>650200</v>
      </c>
      <c r="F4361" s="196">
        <v>-650200</v>
      </c>
      <c r="G4361" s="196">
        <v>-4058700</v>
      </c>
    </row>
    <row r="4362" spans="1:7" x14ac:dyDescent="0.3">
      <c r="A4362" s="198">
        <v>43627566</v>
      </c>
      <c r="B4362" s="192" t="s">
        <v>2888</v>
      </c>
      <c r="C4362" s="196">
        <v>-50900</v>
      </c>
      <c r="D4362" s="196">
        <v>0</v>
      </c>
      <c r="E4362" s="196">
        <v>0</v>
      </c>
      <c r="F4362" s="196">
        <v>0</v>
      </c>
      <c r="G4362" s="196">
        <v>-50900</v>
      </c>
    </row>
    <row r="4363" spans="1:7" x14ac:dyDescent="0.3">
      <c r="A4363" s="192" t="s">
        <v>338</v>
      </c>
      <c r="B4363" s="192" t="s">
        <v>339</v>
      </c>
      <c r="C4363" s="196">
        <v>0</v>
      </c>
      <c r="D4363" s="196">
        <v>0</v>
      </c>
      <c r="E4363" s="196">
        <v>580000</v>
      </c>
      <c r="F4363" s="196">
        <v>-580000</v>
      </c>
      <c r="G4363" s="196">
        <v>-580000</v>
      </c>
    </row>
    <row r="4364" spans="1:7" x14ac:dyDescent="0.3">
      <c r="A4364" s="198">
        <v>1219213434</v>
      </c>
      <c r="B4364" s="192" t="s">
        <v>340</v>
      </c>
      <c r="C4364" s="196">
        <v>-1</v>
      </c>
      <c r="D4364" s="196">
        <v>0</v>
      </c>
      <c r="E4364" s="196">
        <v>0</v>
      </c>
      <c r="F4364" s="196">
        <v>0</v>
      </c>
      <c r="G4364" s="196">
        <v>-1</v>
      </c>
    </row>
    <row r="4365" spans="1:7" x14ac:dyDescent="0.3">
      <c r="A4365" s="192" t="s">
        <v>106</v>
      </c>
      <c r="B4365" s="192" t="s">
        <v>105</v>
      </c>
      <c r="C4365" s="196">
        <v>-110000</v>
      </c>
      <c r="D4365" s="196">
        <v>0</v>
      </c>
      <c r="E4365" s="196">
        <v>0</v>
      </c>
      <c r="F4365" s="196">
        <v>0</v>
      </c>
      <c r="G4365" s="196">
        <v>-110000</v>
      </c>
    </row>
    <row r="4366" spans="1:7" x14ac:dyDescent="0.3">
      <c r="A4366" s="198">
        <v>1098747826</v>
      </c>
      <c r="B4366" s="192" t="s">
        <v>2889</v>
      </c>
      <c r="C4366" s="196">
        <v>-50900</v>
      </c>
      <c r="D4366" s="196">
        <v>0</v>
      </c>
      <c r="E4366" s="196">
        <v>0</v>
      </c>
      <c r="F4366" s="196">
        <v>0</v>
      </c>
      <c r="G4366" s="196">
        <v>-50900</v>
      </c>
    </row>
    <row r="4367" spans="1:7" x14ac:dyDescent="0.3">
      <c r="A4367" s="198">
        <v>8222040</v>
      </c>
      <c r="B4367" s="192" t="s">
        <v>2890</v>
      </c>
      <c r="C4367" s="196">
        <v>-191400</v>
      </c>
      <c r="D4367" s="196">
        <v>0</v>
      </c>
      <c r="E4367" s="196">
        <v>0</v>
      </c>
      <c r="F4367" s="196">
        <v>0</v>
      </c>
      <c r="G4367" s="196">
        <v>-191400</v>
      </c>
    </row>
    <row r="4368" spans="1:7" x14ac:dyDescent="0.3">
      <c r="A4368" s="198">
        <v>67015780</v>
      </c>
      <c r="B4368" s="192" t="s">
        <v>2891</v>
      </c>
      <c r="C4368" s="196">
        <v>-50900</v>
      </c>
      <c r="D4368" s="196">
        <v>0</v>
      </c>
      <c r="E4368" s="196">
        <v>0</v>
      </c>
      <c r="F4368" s="196">
        <v>0</v>
      </c>
      <c r="G4368" s="196">
        <v>-50900</v>
      </c>
    </row>
    <row r="4369" spans="1:7" x14ac:dyDescent="0.3">
      <c r="A4369" s="198">
        <v>24626368</v>
      </c>
      <c r="B4369" s="192" t="s">
        <v>2892</v>
      </c>
      <c r="C4369" s="196">
        <v>-280000</v>
      </c>
      <c r="D4369" s="196">
        <v>0</v>
      </c>
      <c r="E4369" s="196">
        <v>0</v>
      </c>
      <c r="F4369" s="196">
        <v>0</v>
      </c>
      <c r="G4369" s="196">
        <v>-280000</v>
      </c>
    </row>
    <row r="4370" spans="1:7" x14ac:dyDescent="0.3">
      <c r="A4370" s="198">
        <v>42901795</v>
      </c>
      <c r="B4370" s="192" t="s">
        <v>2893</v>
      </c>
      <c r="C4370" s="196">
        <v>-41400</v>
      </c>
      <c r="D4370" s="196">
        <v>0</v>
      </c>
      <c r="E4370" s="196">
        <v>0</v>
      </c>
      <c r="F4370" s="196">
        <v>0</v>
      </c>
      <c r="G4370" s="196">
        <v>-41400</v>
      </c>
    </row>
    <row r="4371" spans="1:7" x14ac:dyDescent="0.3">
      <c r="A4371" s="198">
        <v>43540374</v>
      </c>
      <c r="B4371" s="192" t="s">
        <v>2894</v>
      </c>
      <c r="C4371" s="196">
        <v>-41400</v>
      </c>
      <c r="D4371" s="196">
        <v>0</v>
      </c>
      <c r="E4371" s="196">
        <v>0</v>
      </c>
      <c r="F4371" s="196">
        <v>0</v>
      </c>
      <c r="G4371" s="196">
        <v>-41400</v>
      </c>
    </row>
    <row r="4372" spans="1:7" x14ac:dyDescent="0.3">
      <c r="A4372" s="198">
        <v>42996677</v>
      </c>
      <c r="B4372" s="192" t="s">
        <v>341</v>
      </c>
      <c r="C4372" s="196">
        <v>-101800</v>
      </c>
      <c r="D4372" s="196">
        <v>0</v>
      </c>
      <c r="E4372" s="196">
        <v>50900</v>
      </c>
      <c r="F4372" s="196">
        <v>-50900</v>
      </c>
      <c r="G4372" s="196">
        <v>-152700</v>
      </c>
    </row>
    <row r="4373" spans="1:7" x14ac:dyDescent="0.3">
      <c r="A4373" s="198">
        <v>43674750</v>
      </c>
      <c r="B4373" s="192" t="s">
        <v>2895</v>
      </c>
      <c r="C4373" s="196">
        <v>-297000</v>
      </c>
      <c r="D4373" s="196">
        <v>0</v>
      </c>
      <c r="E4373" s="196">
        <v>0</v>
      </c>
      <c r="F4373" s="196">
        <v>0</v>
      </c>
      <c r="G4373" s="196">
        <v>-297000</v>
      </c>
    </row>
    <row r="4374" spans="1:7" x14ac:dyDescent="0.3">
      <c r="A4374" s="198">
        <v>42870173</v>
      </c>
      <c r="B4374" s="192" t="s">
        <v>2896</v>
      </c>
      <c r="C4374" s="196">
        <v>-297000</v>
      </c>
      <c r="D4374" s="196">
        <v>0</v>
      </c>
      <c r="E4374" s="196">
        <v>0</v>
      </c>
      <c r="F4374" s="196">
        <v>0</v>
      </c>
      <c r="G4374" s="196">
        <v>-297000</v>
      </c>
    </row>
    <row r="4375" spans="1:7" x14ac:dyDescent="0.3">
      <c r="A4375" s="198">
        <v>43062123</v>
      </c>
      <c r="B4375" s="192" t="s">
        <v>342</v>
      </c>
      <c r="C4375" s="196">
        <v>-270000</v>
      </c>
      <c r="D4375" s="196">
        <v>0</v>
      </c>
      <c r="E4375" s="196">
        <v>0</v>
      </c>
      <c r="F4375" s="196">
        <v>0</v>
      </c>
      <c r="G4375" s="196">
        <v>-270000</v>
      </c>
    </row>
    <row r="4376" spans="1:7" x14ac:dyDescent="0.3">
      <c r="A4376" s="198">
        <v>43571677</v>
      </c>
      <c r="B4376" s="192" t="s">
        <v>2897</v>
      </c>
      <c r="C4376" s="196">
        <v>-101800</v>
      </c>
      <c r="D4376" s="196">
        <v>0</v>
      </c>
      <c r="E4376" s="196">
        <v>0</v>
      </c>
      <c r="F4376" s="196">
        <v>0</v>
      </c>
      <c r="G4376" s="196">
        <v>-101800</v>
      </c>
    </row>
    <row r="4377" spans="1:7" x14ac:dyDescent="0.3">
      <c r="A4377" s="198">
        <v>21714188</v>
      </c>
      <c r="B4377" s="192" t="s">
        <v>343</v>
      </c>
      <c r="C4377" s="196">
        <v>-50900</v>
      </c>
      <c r="D4377" s="196">
        <v>0</v>
      </c>
      <c r="E4377" s="196">
        <v>50900</v>
      </c>
      <c r="F4377" s="196">
        <v>-50900</v>
      </c>
      <c r="G4377" s="196">
        <v>-101800</v>
      </c>
    </row>
    <row r="4378" spans="1:7" x14ac:dyDescent="0.3">
      <c r="A4378" s="198">
        <v>43499860</v>
      </c>
      <c r="B4378" s="192" t="s">
        <v>2898</v>
      </c>
      <c r="C4378" s="196">
        <v>-319000</v>
      </c>
      <c r="D4378" s="196">
        <v>0</v>
      </c>
      <c r="E4378" s="196">
        <v>0</v>
      </c>
      <c r="F4378" s="196">
        <v>0</v>
      </c>
      <c r="G4378" s="196">
        <v>-319000</v>
      </c>
    </row>
    <row r="4379" spans="1:7" x14ac:dyDescent="0.3">
      <c r="A4379" s="198">
        <v>32333128</v>
      </c>
      <c r="B4379" s="192" t="s">
        <v>2899</v>
      </c>
      <c r="C4379" s="196">
        <v>-47000</v>
      </c>
      <c r="D4379" s="196">
        <v>0</v>
      </c>
      <c r="E4379" s="196">
        <v>0</v>
      </c>
      <c r="F4379" s="196">
        <v>0</v>
      </c>
      <c r="G4379" s="196">
        <v>-47000</v>
      </c>
    </row>
    <row r="4380" spans="1:7" x14ac:dyDescent="0.3">
      <c r="A4380" s="198">
        <v>42823737</v>
      </c>
      <c r="B4380" s="192" t="s">
        <v>344</v>
      </c>
      <c r="C4380" s="196">
        <v>0</v>
      </c>
      <c r="D4380" s="196">
        <v>0</v>
      </c>
      <c r="E4380" s="196">
        <v>319000</v>
      </c>
      <c r="F4380" s="196">
        <v>-319000</v>
      </c>
      <c r="G4380" s="196">
        <v>-319000</v>
      </c>
    </row>
    <row r="4381" spans="1:7" x14ac:dyDescent="0.3">
      <c r="A4381" s="198">
        <v>54250244</v>
      </c>
      <c r="B4381" s="192" t="s">
        <v>2900</v>
      </c>
      <c r="C4381" s="196">
        <v>-290000</v>
      </c>
      <c r="D4381" s="196">
        <v>0</v>
      </c>
      <c r="E4381" s="196">
        <v>0</v>
      </c>
      <c r="F4381" s="196">
        <v>0</v>
      </c>
      <c r="G4381" s="196">
        <v>-290000</v>
      </c>
    </row>
    <row r="4382" spans="1:7" x14ac:dyDescent="0.3">
      <c r="A4382" s="198">
        <v>43640288</v>
      </c>
      <c r="B4382" s="192" t="s">
        <v>2901</v>
      </c>
      <c r="C4382" s="196">
        <v>-270000</v>
      </c>
      <c r="D4382" s="196">
        <v>0</v>
      </c>
      <c r="E4382" s="196">
        <v>0</v>
      </c>
      <c r="F4382" s="196">
        <v>0</v>
      </c>
      <c r="G4382" s="196">
        <v>-270000</v>
      </c>
    </row>
    <row r="4383" spans="1:7" x14ac:dyDescent="0.3">
      <c r="A4383" s="198">
        <v>1039679460</v>
      </c>
      <c r="B4383" s="192" t="s">
        <v>345</v>
      </c>
      <c r="C4383" s="196">
        <v>0</v>
      </c>
      <c r="D4383" s="196">
        <v>0</v>
      </c>
      <c r="E4383" s="196">
        <v>54200</v>
      </c>
      <c r="F4383" s="196">
        <v>-54200</v>
      </c>
      <c r="G4383" s="196">
        <v>-54200</v>
      </c>
    </row>
    <row r="4384" spans="1:7" x14ac:dyDescent="0.3">
      <c r="A4384" s="198">
        <v>32531387</v>
      </c>
      <c r="B4384" s="192" t="s">
        <v>2902</v>
      </c>
      <c r="C4384" s="196">
        <v>-57200</v>
      </c>
      <c r="D4384" s="196">
        <v>0</v>
      </c>
      <c r="E4384" s="196">
        <v>0</v>
      </c>
      <c r="F4384" s="196">
        <v>0</v>
      </c>
      <c r="G4384" s="196">
        <v>-57200</v>
      </c>
    </row>
    <row r="4385" spans="1:7" x14ac:dyDescent="0.3">
      <c r="A4385" s="198">
        <v>42824195</v>
      </c>
      <c r="B4385" s="192" t="s">
        <v>2903</v>
      </c>
      <c r="C4385" s="196">
        <v>-50900</v>
      </c>
      <c r="D4385" s="196">
        <v>0</v>
      </c>
      <c r="E4385" s="196">
        <v>0</v>
      </c>
      <c r="F4385" s="196">
        <v>0</v>
      </c>
      <c r="G4385" s="196">
        <v>-50900</v>
      </c>
    </row>
    <row r="4386" spans="1:7" x14ac:dyDescent="0.3">
      <c r="A4386" s="198">
        <v>43533017</v>
      </c>
      <c r="B4386" s="192" t="s">
        <v>2904</v>
      </c>
      <c r="C4386" s="196">
        <v>-50500</v>
      </c>
      <c r="D4386" s="196">
        <v>0</v>
      </c>
      <c r="E4386" s="196">
        <v>0</v>
      </c>
      <c r="F4386" s="196">
        <v>0</v>
      </c>
      <c r="G4386" s="196">
        <v>-50500</v>
      </c>
    </row>
    <row r="4387" spans="1:7" x14ac:dyDescent="0.3">
      <c r="A4387" s="198">
        <v>43045430</v>
      </c>
      <c r="B4387" s="192" t="s">
        <v>2905</v>
      </c>
      <c r="C4387" s="196">
        <v>-64066</v>
      </c>
      <c r="D4387" s="196">
        <v>0</v>
      </c>
      <c r="E4387" s="196">
        <v>0</v>
      </c>
      <c r="F4387" s="196">
        <v>0</v>
      </c>
      <c r="G4387" s="196">
        <v>-64066</v>
      </c>
    </row>
    <row r="4388" spans="1:7" x14ac:dyDescent="0.3">
      <c r="A4388" s="198">
        <v>32346973</v>
      </c>
      <c r="B4388" s="192" t="s">
        <v>2906</v>
      </c>
      <c r="C4388" s="196">
        <v>-30000</v>
      </c>
      <c r="D4388" s="196">
        <v>0</v>
      </c>
      <c r="E4388" s="196">
        <v>0</v>
      </c>
      <c r="F4388" s="196">
        <v>0</v>
      </c>
      <c r="G4388" s="196">
        <v>-30000</v>
      </c>
    </row>
    <row r="4389" spans="1:7" x14ac:dyDescent="0.3">
      <c r="A4389" s="198">
        <v>43487409</v>
      </c>
      <c r="B4389" s="192" t="s">
        <v>2907</v>
      </c>
      <c r="C4389" s="196">
        <v>-380000</v>
      </c>
      <c r="D4389" s="196">
        <v>0</v>
      </c>
      <c r="E4389" s="196">
        <v>0</v>
      </c>
      <c r="F4389" s="196">
        <v>0</v>
      </c>
      <c r="G4389" s="196">
        <v>-380000</v>
      </c>
    </row>
    <row r="4390" spans="1:7" x14ac:dyDescent="0.3">
      <c r="A4390" s="198">
        <v>21353692</v>
      </c>
      <c r="B4390" s="192" t="s">
        <v>2908</v>
      </c>
      <c r="C4390" s="196">
        <v>-171600</v>
      </c>
      <c r="D4390" s="196">
        <v>0</v>
      </c>
      <c r="E4390" s="196">
        <v>0</v>
      </c>
      <c r="F4390" s="196">
        <v>0</v>
      </c>
      <c r="G4390" s="196">
        <v>-171600</v>
      </c>
    </row>
    <row r="4391" spans="1:7" x14ac:dyDescent="0.3">
      <c r="A4391" s="198">
        <v>42969847</v>
      </c>
      <c r="B4391" s="192" t="s">
        <v>2909</v>
      </c>
      <c r="C4391" s="196">
        <v>-108400</v>
      </c>
      <c r="D4391" s="196">
        <v>0</v>
      </c>
      <c r="E4391" s="196">
        <v>0</v>
      </c>
      <c r="F4391" s="196">
        <v>0</v>
      </c>
      <c r="G4391" s="196">
        <v>-108400</v>
      </c>
    </row>
    <row r="4392" spans="1:7" x14ac:dyDescent="0.3">
      <c r="A4392" s="198">
        <v>32289607</v>
      </c>
      <c r="B4392" s="192" t="s">
        <v>2910</v>
      </c>
      <c r="C4392" s="196">
        <v>-297000</v>
      </c>
      <c r="D4392" s="196">
        <v>0</v>
      </c>
      <c r="E4392" s="196">
        <v>0</v>
      </c>
      <c r="F4392" s="196">
        <v>0</v>
      </c>
      <c r="G4392" s="196">
        <v>-297000</v>
      </c>
    </row>
    <row r="4393" spans="1:7" x14ac:dyDescent="0.3">
      <c r="A4393" s="198">
        <v>52451625</v>
      </c>
      <c r="B4393" s="192" t="s">
        <v>347</v>
      </c>
      <c r="C4393" s="196">
        <v>0</v>
      </c>
      <c r="D4393" s="196">
        <v>0</v>
      </c>
      <c r="E4393" s="196">
        <v>50900</v>
      </c>
      <c r="F4393" s="196">
        <v>-50900</v>
      </c>
      <c r="G4393" s="196">
        <v>-50900</v>
      </c>
    </row>
    <row r="4394" spans="1:7" x14ac:dyDescent="0.3">
      <c r="A4394" s="198">
        <v>43682834</v>
      </c>
      <c r="B4394" s="192" t="s">
        <v>2911</v>
      </c>
      <c r="C4394" s="196">
        <v>-319000</v>
      </c>
      <c r="D4394" s="196">
        <v>0</v>
      </c>
      <c r="E4394" s="196">
        <v>0</v>
      </c>
      <c r="F4394" s="196">
        <v>0</v>
      </c>
      <c r="G4394" s="196">
        <v>-319000</v>
      </c>
    </row>
    <row r="4395" spans="1:7" x14ac:dyDescent="0.3">
      <c r="A4395" s="198">
        <v>43110688</v>
      </c>
      <c r="B4395" s="192" t="s">
        <v>348</v>
      </c>
      <c r="C4395" s="196">
        <v>-57200</v>
      </c>
      <c r="D4395" s="196">
        <v>0</v>
      </c>
      <c r="E4395" s="196">
        <v>57200</v>
      </c>
      <c r="F4395" s="196">
        <v>-57200</v>
      </c>
      <c r="G4395" s="196">
        <v>-114400</v>
      </c>
    </row>
    <row r="4396" spans="1:7" x14ac:dyDescent="0.3">
      <c r="A4396" s="198">
        <v>315321</v>
      </c>
      <c r="B4396" s="192" t="s">
        <v>2912</v>
      </c>
      <c r="C4396" s="196">
        <v>-54200</v>
      </c>
      <c r="D4396" s="196">
        <v>0</v>
      </c>
      <c r="E4396" s="196">
        <v>0</v>
      </c>
      <c r="F4396" s="196">
        <v>0</v>
      </c>
      <c r="G4396" s="196">
        <v>-54200</v>
      </c>
    </row>
    <row r="4397" spans="1:7" x14ac:dyDescent="0.3">
      <c r="A4397" s="198">
        <v>669689889</v>
      </c>
      <c r="B4397" s="192" t="s">
        <v>2913</v>
      </c>
      <c r="C4397" s="196">
        <v>-405000</v>
      </c>
      <c r="D4397" s="196">
        <v>0</v>
      </c>
      <c r="E4397" s="196">
        <v>0</v>
      </c>
      <c r="F4397" s="196">
        <v>0</v>
      </c>
      <c r="G4397" s="196">
        <v>-405000</v>
      </c>
    </row>
    <row r="4398" spans="1:7" x14ac:dyDescent="0.3">
      <c r="A4398" s="198">
        <v>1022008778</v>
      </c>
      <c r="B4398" s="192" t="s">
        <v>350</v>
      </c>
      <c r="C4398" s="196">
        <v>0</v>
      </c>
      <c r="D4398" s="196">
        <v>0</v>
      </c>
      <c r="E4398" s="196">
        <v>50900</v>
      </c>
      <c r="F4398" s="196">
        <v>-50900</v>
      </c>
      <c r="G4398" s="196">
        <v>-50900</v>
      </c>
    </row>
    <row r="4399" spans="1:7" x14ac:dyDescent="0.3">
      <c r="A4399" s="198">
        <v>32709490</v>
      </c>
      <c r="B4399" s="192" t="s">
        <v>2914</v>
      </c>
      <c r="C4399" s="196">
        <v>-47000</v>
      </c>
      <c r="D4399" s="196">
        <v>0</v>
      </c>
      <c r="E4399" s="196">
        <v>0</v>
      </c>
      <c r="F4399" s="196">
        <v>0</v>
      </c>
      <c r="G4399" s="196">
        <v>-47000</v>
      </c>
    </row>
    <row r="4400" spans="1:7" x14ac:dyDescent="0.3">
      <c r="A4400" s="198">
        <v>43499791</v>
      </c>
      <c r="B4400" s="192" t="s">
        <v>352</v>
      </c>
      <c r="C4400" s="196">
        <v>0</v>
      </c>
      <c r="D4400" s="196">
        <v>0</v>
      </c>
      <c r="E4400" s="196">
        <v>297000</v>
      </c>
      <c r="F4400" s="196">
        <v>-297000</v>
      </c>
      <c r="G4400" s="196">
        <v>-297000</v>
      </c>
    </row>
    <row r="4401" spans="1:7" x14ac:dyDescent="0.3">
      <c r="A4401" s="198">
        <v>98510081</v>
      </c>
      <c r="B4401" s="192" t="s">
        <v>2915</v>
      </c>
      <c r="C4401" s="196">
        <v>-50900</v>
      </c>
      <c r="D4401" s="196">
        <v>0</v>
      </c>
      <c r="E4401" s="196">
        <v>0</v>
      </c>
      <c r="F4401" s="196">
        <v>0</v>
      </c>
      <c r="G4401" s="196">
        <v>-50900</v>
      </c>
    </row>
    <row r="4402" spans="1:7" x14ac:dyDescent="0.3">
      <c r="A4402" s="198">
        <v>88157555</v>
      </c>
      <c r="B4402" s="192" t="s">
        <v>2916</v>
      </c>
      <c r="C4402" s="196">
        <v>-162000</v>
      </c>
      <c r="D4402" s="196">
        <v>0</v>
      </c>
      <c r="E4402" s="196">
        <v>0</v>
      </c>
      <c r="F4402" s="196">
        <v>0</v>
      </c>
      <c r="G4402" s="196">
        <v>-162000</v>
      </c>
    </row>
    <row r="4403" spans="1:7" x14ac:dyDescent="0.3">
      <c r="A4403" s="192" t="s">
        <v>2917</v>
      </c>
      <c r="B4403" s="192" t="s">
        <v>2918</v>
      </c>
      <c r="C4403" s="196">
        <v>-270000</v>
      </c>
      <c r="D4403" s="196">
        <v>0</v>
      </c>
      <c r="E4403" s="196">
        <v>0</v>
      </c>
      <c r="F4403" s="196">
        <v>0</v>
      </c>
      <c r="G4403" s="196">
        <v>-270000</v>
      </c>
    </row>
    <row r="4404" spans="1:7" x14ac:dyDescent="0.3">
      <c r="A4404" s="198">
        <v>1001236251</v>
      </c>
      <c r="B4404" s="192" t="s">
        <v>2919</v>
      </c>
      <c r="C4404" s="196">
        <v>-50900</v>
      </c>
      <c r="D4404" s="196">
        <v>0</v>
      </c>
      <c r="E4404" s="196">
        <v>0</v>
      </c>
      <c r="F4404" s="196">
        <v>0</v>
      </c>
      <c r="G4404" s="196">
        <v>-50900</v>
      </c>
    </row>
    <row r="4405" spans="1:7" x14ac:dyDescent="0.3">
      <c r="A4405" s="198">
        <v>1020325920</v>
      </c>
      <c r="B4405" s="192" t="s">
        <v>2920</v>
      </c>
      <c r="C4405" s="196">
        <v>-54200</v>
      </c>
      <c r="D4405" s="196">
        <v>0</v>
      </c>
      <c r="E4405" s="196">
        <v>0</v>
      </c>
      <c r="F4405" s="196">
        <v>0</v>
      </c>
      <c r="G4405" s="196">
        <v>-54200</v>
      </c>
    </row>
    <row r="4406" spans="1:7" x14ac:dyDescent="0.3">
      <c r="A4406" s="198">
        <v>1017942584</v>
      </c>
      <c r="B4406" s="192" t="s">
        <v>2921</v>
      </c>
      <c r="C4406" s="196">
        <v>-50900</v>
      </c>
      <c r="D4406" s="196">
        <v>0</v>
      </c>
      <c r="E4406" s="196">
        <v>0</v>
      </c>
      <c r="F4406" s="196">
        <v>0</v>
      </c>
      <c r="G4406" s="196">
        <v>-50900</v>
      </c>
    </row>
    <row r="4407" spans="1:7" x14ac:dyDescent="0.3">
      <c r="A4407" s="198">
        <v>1020234760</v>
      </c>
      <c r="B4407" s="192" t="s">
        <v>2922</v>
      </c>
      <c r="C4407" s="196">
        <v>-637000</v>
      </c>
      <c r="D4407" s="196">
        <v>0</v>
      </c>
      <c r="E4407" s="196">
        <v>0</v>
      </c>
      <c r="F4407" s="196">
        <v>0</v>
      </c>
      <c r="G4407" s="196">
        <v>-637000</v>
      </c>
    </row>
    <row r="4408" spans="1:7" x14ac:dyDescent="0.3">
      <c r="A4408" s="198">
        <v>1035005261</v>
      </c>
      <c r="B4408" s="192" t="s">
        <v>2923</v>
      </c>
      <c r="C4408" s="196">
        <v>-41800</v>
      </c>
      <c r="D4408" s="196">
        <v>0</v>
      </c>
      <c r="E4408" s="196">
        <v>0</v>
      </c>
      <c r="F4408" s="196">
        <v>0</v>
      </c>
      <c r="G4408" s="196">
        <v>-41800</v>
      </c>
    </row>
    <row r="4409" spans="1:7" x14ac:dyDescent="0.3">
      <c r="A4409" s="198">
        <v>1035017253</v>
      </c>
      <c r="B4409" s="192" t="s">
        <v>2924</v>
      </c>
      <c r="C4409" s="196">
        <v>-50900</v>
      </c>
      <c r="D4409" s="196">
        <v>0</v>
      </c>
      <c r="E4409" s="196">
        <v>0</v>
      </c>
      <c r="F4409" s="196">
        <v>0</v>
      </c>
      <c r="G4409" s="196">
        <v>-50900</v>
      </c>
    </row>
    <row r="4410" spans="1:7" x14ac:dyDescent="0.3">
      <c r="A4410" s="198">
        <v>1035026186</v>
      </c>
      <c r="B4410" s="192" t="s">
        <v>2925</v>
      </c>
      <c r="C4410" s="196">
        <v>-50900</v>
      </c>
      <c r="D4410" s="196">
        <v>0</v>
      </c>
      <c r="E4410" s="196">
        <v>0</v>
      </c>
      <c r="F4410" s="196">
        <v>0</v>
      </c>
      <c r="G4410" s="196">
        <v>-50900</v>
      </c>
    </row>
    <row r="4411" spans="1:7" x14ac:dyDescent="0.3">
      <c r="A4411" s="198">
        <v>1035025439</v>
      </c>
      <c r="B4411" s="192" t="s">
        <v>2926</v>
      </c>
      <c r="C4411" s="196">
        <v>-47400</v>
      </c>
      <c r="D4411" s="196">
        <v>0</v>
      </c>
      <c r="E4411" s="196">
        <v>0</v>
      </c>
      <c r="F4411" s="196">
        <v>0</v>
      </c>
      <c r="G4411" s="196">
        <v>-47400</v>
      </c>
    </row>
    <row r="4412" spans="1:7" x14ac:dyDescent="0.3">
      <c r="A4412" s="198">
        <v>8230185</v>
      </c>
      <c r="B4412" s="192" t="s">
        <v>2927</v>
      </c>
      <c r="C4412" s="196">
        <v>-32600</v>
      </c>
      <c r="D4412" s="196">
        <v>0</v>
      </c>
      <c r="E4412" s="196">
        <v>0</v>
      </c>
      <c r="F4412" s="196">
        <v>0</v>
      </c>
      <c r="G4412" s="196">
        <v>-32600</v>
      </c>
    </row>
    <row r="4413" spans="1:7" x14ac:dyDescent="0.3">
      <c r="A4413" s="198">
        <v>22211398</v>
      </c>
      <c r="B4413" s="192" t="s">
        <v>2928</v>
      </c>
      <c r="C4413" s="196">
        <v>-162000</v>
      </c>
      <c r="D4413" s="196">
        <v>0</v>
      </c>
      <c r="E4413" s="196">
        <v>0</v>
      </c>
      <c r="F4413" s="196">
        <v>0</v>
      </c>
      <c r="G4413" s="196">
        <v>-162000</v>
      </c>
    </row>
    <row r="4414" spans="1:7" x14ac:dyDescent="0.3">
      <c r="A4414" s="198">
        <v>32333991</v>
      </c>
      <c r="B4414" s="192" t="s">
        <v>2929</v>
      </c>
      <c r="C4414" s="196">
        <v>-150000</v>
      </c>
      <c r="D4414" s="196">
        <v>0</v>
      </c>
      <c r="E4414" s="196">
        <v>0</v>
      </c>
      <c r="F4414" s="196">
        <v>0</v>
      </c>
      <c r="G4414" s="196">
        <v>-150000</v>
      </c>
    </row>
    <row r="4415" spans="1:7" x14ac:dyDescent="0.3">
      <c r="A4415" s="198">
        <v>39436090</v>
      </c>
      <c r="B4415" s="192" t="s">
        <v>354</v>
      </c>
      <c r="C4415" s="196">
        <v>-29700</v>
      </c>
      <c r="D4415" s="196">
        <v>0</v>
      </c>
      <c r="E4415" s="196">
        <v>29700</v>
      </c>
      <c r="F4415" s="196">
        <v>-29700</v>
      </c>
      <c r="G4415" s="196">
        <v>-59400</v>
      </c>
    </row>
    <row r="4416" spans="1:7" x14ac:dyDescent="0.3">
      <c r="A4416" s="198">
        <v>21314445</v>
      </c>
      <c r="B4416" s="192" t="s">
        <v>2930</v>
      </c>
      <c r="C4416" s="196">
        <v>-207900</v>
      </c>
      <c r="D4416" s="196">
        <v>0</v>
      </c>
      <c r="E4416" s="196">
        <v>0</v>
      </c>
      <c r="F4416" s="196">
        <v>0</v>
      </c>
      <c r="G4416" s="196">
        <v>-207900</v>
      </c>
    </row>
    <row r="4417" spans="1:7" x14ac:dyDescent="0.3">
      <c r="A4417" s="198">
        <v>52646358</v>
      </c>
      <c r="B4417" s="192" t="s">
        <v>355</v>
      </c>
      <c r="C4417" s="196">
        <v>-50900</v>
      </c>
      <c r="D4417" s="196">
        <v>0</v>
      </c>
      <c r="E4417" s="196">
        <v>50900</v>
      </c>
      <c r="F4417" s="196">
        <v>-50900</v>
      </c>
      <c r="G4417" s="196">
        <v>-101800</v>
      </c>
    </row>
    <row r="4418" spans="1:7" x14ac:dyDescent="0.3">
      <c r="A4418" s="198">
        <v>1044421465</v>
      </c>
      <c r="B4418" s="192" t="s">
        <v>2931</v>
      </c>
      <c r="C4418" s="196">
        <v>-101800</v>
      </c>
      <c r="D4418" s="196">
        <v>0</v>
      </c>
      <c r="E4418" s="196">
        <v>0</v>
      </c>
      <c r="F4418" s="196">
        <v>0</v>
      </c>
      <c r="G4418" s="196">
        <v>-101800</v>
      </c>
    </row>
    <row r="4419" spans="1:7" x14ac:dyDescent="0.3">
      <c r="A4419" s="198">
        <v>42788767</v>
      </c>
      <c r="B4419" s="192" t="s">
        <v>2932</v>
      </c>
      <c r="C4419" s="196">
        <v>-50900</v>
      </c>
      <c r="D4419" s="196">
        <v>0</v>
      </c>
      <c r="E4419" s="196">
        <v>0</v>
      </c>
      <c r="F4419" s="196">
        <v>0</v>
      </c>
      <c r="G4419" s="196">
        <v>-50900</v>
      </c>
    </row>
    <row r="4420" spans="1:7" x14ac:dyDescent="0.3">
      <c r="A4420" s="198">
        <v>52319132</v>
      </c>
      <c r="B4420" s="192" t="s">
        <v>356</v>
      </c>
      <c r="C4420" s="196">
        <v>-50900</v>
      </c>
      <c r="D4420" s="196">
        <v>0</v>
      </c>
      <c r="E4420" s="196">
        <v>50900</v>
      </c>
      <c r="F4420" s="196">
        <v>-50900</v>
      </c>
      <c r="G4420" s="196">
        <v>-101800</v>
      </c>
    </row>
    <row r="4421" spans="1:7" x14ac:dyDescent="0.3">
      <c r="A4421" s="198">
        <v>43604930</v>
      </c>
      <c r="B4421" s="192" t="s">
        <v>357</v>
      </c>
      <c r="C4421" s="196">
        <v>-50900</v>
      </c>
      <c r="D4421" s="196">
        <v>0</v>
      </c>
      <c r="E4421" s="196">
        <v>50900</v>
      </c>
      <c r="F4421" s="196">
        <v>-50900</v>
      </c>
      <c r="G4421" s="196">
        <v>-101800</v>
      </c>
    </row>
    <row r="4422" spans="1:7" x14ac:dyDescent="0.3">
      <c r="A4422" s="198">
        <v>42884261</v>
      </c>
      <c r="B4422" s="192" t="s">
        <v>358</v>
      </c>
      <c r="C4422" s="196">
        <v>0</v>
      </c>
      <c r="D4422" s="196">
        <v>0</v>
      </c>
      <c r="E4422" s="196">
        <v>50900</v>
      </c>
      <c r="F4422" s="196">
        <v>-50900</v>
      </c>
      <c r="G4422" s="196">
        <v>-50900</v>
      </c>
    </row>
    <row r="4423" spans="1:7" x14ac:dyDescent="0.3">
      <c r="A4423" s="198">
        <v>1027805322</v>
      </c>
      <c r="B4423" s="192" t="s">
        <v>2933</v>
      </c>
      <c r="C4423" s="196">
        <v>-41400</v>
      </c>
      <c r="D4423" s="196">
        <v>0</v>
      </c>
      <c r="E4423" s="196">
        <v>0</v>
      </c>
      <c r="F4423" s="196">
        <v>0</v>
      </c>
      <c r="G4423" s="196">
        <v>-41400</v>
      </c>
    </row>
    <row r="4424" spans="1:7" x14ac:dyDescent="0.3">
      <c r="A4424" s="198">
        <v>4901175</v>
      </c>
      <c r="B4424" s="192" t="s">
        <v>359</v>
      </c>
      <c r="C4424" s="196">
        <v>0</v>
      </c>
      <c r="D4424" s="196">
        <v>0</v>
      </c>
      <c r="E4424" s="196">
        <v>297000</v>
      </c>
      <c r="F4424" s="196">
        <v>-297000</v>
      </c>
      <c r="G4424" s="196">
        <v>-297000</v>
      </c>
    </row>
    <row r="4425" spans="1:7" x14ac:dyDescent="0.3">
      <c r="A4425" s="198">
        <v>98694810</v>
      </c>
      <c r="B4425" s="192" t="s">
        <v>2934</v>
      </c>
      <c r="C4425" s="196">
        <v>-38400</v>
      </c>
      <c r="D4425" s="196">
        <v>0</v>
      </c>
      <c r="E4425" s="196">
        <v>0</v>
      </c>
      <c r="F4425" s="196">
        <v>0</v>
      </c>
      <c r="G4425" s="196">
        <v>-38400</v>
      </c>
    </row>
    <row r="4426" spans="1:7" x14ac:dyDescent="0.3">
      <c r="A4426" s="198">
        <v>43117877</v>
      </c>
      <c r="B4426" s="192" t="s">
        <v>2935</v>
      </c>
      <c r="C4426" s="196">
        <v>-57200</v>
      </c>
      <c r="D4426" s="196">
        <v>0</v>
      </c>
      <c r="E4426" s="196">
        <v>0</v>
      </c>
      <c r="F4426" s="196">
        <v>0</v>
      </c>
      <c r="G4426" s="196">
        <v>-57200</v>
      </c>
    </row>
    <row r="4427" spans="1:7" x14ac:dyDescent="0.3">
      <c r="A4427" s="198">
        <v>52421838</v>
      </c>
      <c r="B4427" s="192" t="s">
        <v>2936</v>
      </c>
      <c r="C4427" s="196">
        <v>-34600</v>
      </c>
      <c r="D4427" s="196">
        <v>0</v>
      </c>
      <c r="E4427" s="196">
        <v>0</v>
      </c>
      <c r="F4427" s="196">
        <v>0</v>
      </c>
      <c r="G4427" s="196">
        <v>-34600</v>
      </c>
    </row>
    <row r="4428" spans="1:7" x14ac:dyDescent="0.3">
      <c r="A4428" s="192" t="s">
        <v>360</v>
      </c>
      <c r="B4428" s="192" t="s">
        <v>361</v>
      </c>
      <c r="C4428" s="196">
        <v>0</v>
      </c>
      <c r="D4428" s="196">
        <v>0</v>
      </c>
      <c r="E4428" s="196">
        <v>297000</v>
      </c>
      <c r="F4428" s="196">
        <v>-297000</v>
      </c>
      <c r="G4428" s="196">
        <v>-297000</v>
      </c>
    </row>
    <row r="4429" spans="1:7" x14ac:dyDescent="0.3">
      <c r="A4429" s="198">
        <v>43046008</v>
      </c>
      <c r="B4429" s="192" t="s">
        <v>363</v>
      </c>
      <c r="C4429" s="196">
        <v>0</v>
      </c>
      <c r="D4429" s="196">
        <v>0</v>
      </c>
      <c r="E4429" s="196">
        <v>223300</v>
      </c>
      <c r="F4429" s="196">
        <v>-223300</v>
      </c>
      <c r="G4429" s="196">
        <v>-223300</v>
      </c>
    </row>
    <row r="4430" spans="1:7" x14ac:dyDescent="0.3">
      <c r="A4430" s="198">
        <v>25062889</v>
      </c>
      <c r="B4430" s="192" t="s">
        <v>364</v>
      </c>
      <c r="C4430" s="196">
        <v>-616000</v>
      </c>
      <c r="D4430" s="196">
        <v>0</v>
      </c>
      <c r="E4430" s="196">
        <v>0</v>
      </c>
      <c r="F4430" s="196">
        <v>0</v>
      </c>
      <c r="G4430" s="196">
        <v>-616000</v>
      </c>
    </row>
    <row r="4431" spans="1:7" x14ac:dyDescent="0.3">
      <c r="A4431" s="198">
        <v>39162380</v>
      </c>
      <c r="B4431" s="192" t="s">
        <v>2937</v>
      </c>
      <c r="C4431" s="196">
        <v>-57200</v>
      </c>
      <c r="D4431" s="196">
        <v>0</v>
      </c>
      <c r="E4431" s="196">
        <v>0</v>
      </c>
      <c r="F4431" s="196">
        <v>0</v>
      </c>
      <c r="G4431" s="196">
        <v>-57200</v>
      </c>
    </row>
    <row r="4432" spans="1:7" x14ac:dyDescent="0.3">
      <c r="A4432" s="198">
        <v>42751453</v>
      </c>
      <c r="B4432" s="192" t="s">
        <v>365</v>
      </c>
      <c r="C4432" s="196">
        <v>0</v>
      </c>
      <c r="D4432" s="196">
        <v>0</v>
      </c>
      <c r="E4432" s="196">
        <v>50900</v>
      </c>
      <c r="F4432" s="196">
        <v>-50900</v>
      </c>
      <c r="G4432" s="196">
        <v>-50900</v>
      </c>
    </row>
    <row r="4433" spans="1:7" x14ac:dyDescent="0.3">
      <c r="A4433" s="198">
        <v>39533048</v>
      </c>
      <c r="B4433" s="192" t="s">
        <v>2938</v>
      </c>
      <c r="C4433" s="196">
        <v>-150000</v>
      </c>
      <c r="D4433" s="196">
        <v>0</v>
      </c>
      <c r="E4433" s="196">
        <v>0</v>
      </c>
      <c r="F4433" s="196">
        <v>0</v>
      </c>
      <c r="G4433" s="196">
        <v>-150000</v>
      </c>
    </row>
    <row r="4434" spans="1:7" x14ac:dyDescent="0.3">
      <c r="A4434" s="198">
        <v>42901482</v>
      </c>
      <c r="B4434" s="192" t="s">
        <v>2939</v>
      </c>
      <c r="C4434" s="196">
        <v>-319000</v>
      </c>
      <c r="D4434" s="196">
        <v>0</v>
      </c>
      <c r="E4434" s="196">
        <v>0</v>
      </c>
      <c r="F4434" s="196">
        <v>0</v>
      </c>
      <c r="G4434" s="196">
        <v>-319000</v>
      </c>
    </row>
    <row r="4435" spans="1:7" x14ac:dyDescent="0.3">
      <c r="A4435" s="198">
        <v>43068485</v>
      </c>
      <c r="B4435" s="192" t="s">
        <v>2940</v>
      </c>
      <c r="C4435" s="196">
        <v>-430000</v>
      </c>
      <c r="D4435" s="196">
        <v>0</v>
      </c>
      <c r="E4435" s="196">
        <v>0</v>
      </c>
      <c r="F4435" s="196">
        <v>0</v>
      </c>
      <c r="G4435" s="196">
        <v>-430000</v>
      </c>
    </row>
    <row r="4436" spans="1:7" x14ac:dyDescent="0.3">
      <c r="A4436" s="198">
        <v>32329884</v>
      </c>
      <c r="B4436" s="192" t="s">
        <v>367</v>
      </c>
      <c r="C4436" s="196">
        <v>-50900</v>
      </c>
      <c r="D4436" s="196">
        <v>0</v>
      </c>
      <c r="E4436" s="196">
        <v>50900</v>
      </c>
      <c r="F4436" s="196">
        <v>-50900</v>
      </c>
      <c r="G4436" s="196">
        <v>-101800</v>
      </c>
    </row>
    <row r="4437" spans="1:7" x14ac:dyDescent="0.3">
      <c r="A4437" s="198">
        <v>21378098</v>
      </c>
      <c r="B4437" s="192" t="s">
        <v>2941</v>
      </c>
      <c r="C4437" s="196">
        <v>-50900</v>
      </c>
      <c r="D4437" s="196">
        <v>0</v>
      </c>
      <c r="E4437" s="196">
        <v>0</v>
      </c>
      <c r="F4437" s="196">
        <v>0</v>
      </c>
      <c r="G4437" s="196">
        <v>-50900</v>
      </c>
    </row>
    <row r="4438" spans="1:7" x14ac:dyDescent="0.3">
      <c r="A4438" s="198">
        <v>32497069</v>
      </c>
      <c r="B4438" s="192" t="s">
        <v>2942</v>
      </c>
      <c r="C4438" s="196">
        <v>-297000</v>
      </c>
      <c r="D4438" s="196">
        <v>0</v>
      </c>
      <c r="E4438" s="196">
        <v>0</v>
      </c>
      <c r="F4438" s="196">
        <v>0</v>
      </c>
      <c r="G4438" s="196">
        <v>-297000</v>
      </c>
    </row>
    <row r="4439" spans="1:7" x14ac:dyDescent="0.3">
      <c r="A4439" s="198">
        <v>43003030</v>
      </c>
      <c r="B4439" s="192" t="s">
        <v>2943</v>
      </c>
      <c r="C4439" s="196">
        <v>-29700</v>
      </c>
      <c r="D4439" s="196">
        <v>0</v>
      </c>
      <c r="E4439" s="196">
        <v>0</v>
      </c>
      <c r="F4439" s="196">
        <v>0</v>
      </c>
      <c r="G4439" s="196">
        <v>-29700</v>
      </c>
    </row>
    <row r="4440" spans="1:7" x14ac:dyDescent="0.3">
      <c r="A4440" s="198">
        <v>42984392</v>
      </c>
      <c r="B4440" s="192" t="s">
        <v>2944</v>
      </c>
      <c r="C4440" s="196">
        <v>-54200</v>
      </c>
      <c r="D4440" s="196">
        <v>0</v>
      </c>
      <c r="E4440" s="196">
        <v>0</v>
      </c>
      <c r="F4440" s="196">
        <v>0</v>
      </c>
      <c r="G4440" s="196">
        <v>-54200</v>
      </c>
    </row>
    <row r="4441" spans="1:7" x14ac:dyDescent="0.3">
      <c r="A4441" s="198">
        <v>32285969</v>
      </c>
      <c r="B4441" s="192" t="s">
        <v>2945</v>
      </c>
      <c r="C4441" s="196">
        <v>-319000</v>
      </c>
      <c r="D4441" s="196">
        <v>0</v>
      </c>
      <c r="E4441" s="196">
        <v>0</v>
      </c>
      <c r="F4441" s="196">
        <v>0</v>
      </c>
      <c r="G4441" s="196">
        <v>-319000</v>
      </c>
    </row>
    <row r="4442" spans="1:7" x14ac:dyDescent="0.3">
      <c r="A4442" s="198">
        <v>22464903</v>
      </c>
      <c r="B4442" s="192" t="s">
        <v>2946</v>
      </c>
      <c r="C4442" s="196">
        <v>-297000</v>
      </c>
      <c r="D4442" s="196">
        <v>0</v>
      </c>
      <c r="E4442" s="196">
        <v>0</v>
      </c>
      <c r="F4442" s="196">
        <v>0</v>
      </c>
      <c r="G4442" s="196">
        <v>-297000</v>
      </c>
    </row>
    <row r="4443" spans="1:7" x14ac:dyDescent="0.3">
      <c r="A4443" s="198">
        <v>65763982</v>
      </c>
      <c r="B4443" s="192" t="s">
        <v>2947</v>
      </c>
      <c r="C4443" s="196">
        <v>-50900</v>
      </c>
      <c r="D4443" s="196">
        <v>0</v>
      </c>
      <c r="E4443" s="196">
        <v>0</v>
      </c>
      <c r="F4443" s="196">
        <v>0</v>
      </c>
      <c r="G4443" s="196">
        <v>-50900</v>
      </c>
    </row>
    <row r="4444" spans="1:7" x14ac:dyDescent="0.3">
      <c r="A4444" s="198">
        <v>43792171</v>
      </c>
      <c r="B4444" s="192" t="s">
        <v>2948</v>
      </c>
      <c r="C4444" s="196">
        <v>-50900</v>
      </c>
      <c r="D4444" s="196">
        <v>0</v>
      </c>
      <c r="E4444" s="196">
        <v>0</v>
      </c>
      <c r="F4444" s="196">
        <v>0</v>
      </c>
      <c r="G4444" s="196">
        <v>-50900</v>
      </c>
    </row>
    <row r="4445" spans="1:7" x14ac:dyDescent="0.3">
      <c r="A4445" s="198">
        <v>566948817</v>
      </c>
      <c r="B4445" s="192" t="s">
        <v>2949</v>
      </c>
      <c r="C4445" s="196">
        <v>-50900</v>
      </c>
      <c r="D4445" s="196">
        <v>0</v>
      </c>
      <c r="E4445" s="196">
        <v>0</v>
      </c>
      <c r="F4445" s="196">
        <v>0</v>
      </c>
      <c r="G4445" s="196">
        <v>-50900</v>
      </c>
    </row>
    <row r="4446" spans="1:7" x14ac:dyDescent="0.3">
      <c r="A4446" s="198">
        <v>7433411</v>
      </c>
      <c r="B4446" s="192" t="s">
        <v>2949</v>
      </c>
      <c r="C4446" s="196">
        <v>-101800</v>
      </c>
      <c r="D4446" s="196">
        <v>0</v>
      </c>
      <c r="E4446" s="196">
        <v>0</v>
      </c>
      <c r="F4446" s="196">
        <v>0</v>
      </c>
      <c r="G4446" s="196">
        <v>-101800</v>
      </c>
    </row>
    <row r="4447" spans="1:7" x14ac:dyDescent="0.3">
      <c r="A4447" s="192" t="s">
        <v>370</v>
      </c>
      <c r="B4447" s="192" t="s">
        <v>371</v>
      </c>
      <c r="C4447" s="196">
        <v>0</v>
      </c>
      <c r="D4447" s="196">
        <v>0</v>
      </c>
      <c r="E4447" s="196">
        <v>275000</v>
      </c>
      <c r="F4447" s="196">
        <v>-275000</v>
      </c>
      <c r="G4447" s="196">
        <v>-275000</v>
      </c>
    </row>
    <row r="4448" spans="1:7" x14ac:dyDescent="0.3">
      <c r="A4448" s="198">
        <v>70905203</v>
      </c>
      <c r="B4448" s="192" t="s">
        <v>2950</v>
      </c>
      <c r="C4448" s="196">
        <v>-297000</v>
      </c>
      <c r="D4448" s="196">
        <v>0</v>
      </c>
      <c r="E4448" s="196">
        <v>0</v>
      </c>
      <c r="F4448" s="196">
        <v>0</v>
      </c>
      <c r="G4448" s="196">
        <v>-297000</v>
      </c>
    </row>
    <row r="4449" spans="1:7" x14ac:dyDescent="0.3">
      <c r="A4449" s="198">
        <v>1193529929</v>
      </c>
      <c r="B4449" s="192" t="s">
        <v>373</v>
      </c>
      <c r="C4449" s="196">
        <v>-297000</v>
      </c>
      <c r="D4449" s="196">
        <v>0</v>
      </c>
      <c r="E4449" s="196">
        <v>637000</v>
      </c>
      <c r="F4449" s="196">
        <v>-637000</v>
      </c>
      <c r="G4449" s="196">
        <v>-934000</v>
      </c>
    </row>
    <row r="4450" spans="1:7" x14ac:dyDescent="0.3">
      <c r="A4450" s="192" t="s">
        <v>2951</v>
      </c>
      <c r="B4450" s="192" t="s">
        <v>2952</v>
      </c>
      <c r="C4450" s="196">
        <v>-162000</v>
      </c>
      <c r="D4450" s="196">
        <v>0</v>
      </c>
      <c r="E4450" s="196">
        <v>0</v>
      </c>
      <c r="F4450" s="196">
        <v>0</v>
      </c>
      <c r="G4450" s="196">
        <v>-162000</v>
      </c>
    </row>
    <row r="4451" spans="1:7" x14ac:dyDescent="0.3">
      <c r="A4451" s="192" t="s">
        <v>2953</v>
      </c>
      <c r="B4451" s="192" t="s">
        <v>2954</v>
      </c>
      <c r="C4451" s="196">
        <v>-50900</v>
      </c>
      <c r="D4451" s="196">
        <v>0</v>
      </c>
      <c r="E4451" s="196">
        <v>0</v>
      </c>
      <c r="F4451" s="196">
        <v>0</v>
      </c>
      <c r="G4451" s="196">
        <v>-50900</v>
      </c>
    </row>
    <row r="4452" spans="1:7" x14ac:dyDescent="0.3">
      <c r="A4452" s="198">
        <v>1072265892</v>
      </c>
      <c r="B4452" s="192" t="s">
        <v>2955</v>
      </c>
      <c r="C4452" s="196">
        <v>-340000</v>
      </c>
      <c r="D4452" s="196">
        <v>0</v>
      </c>
      <c r="E4452" s="196">
        <v>0</v>
      </c>
      <c r="F4452" s="196">
        <v>0</v>
      </c>
      <c r="G4452" s="196">
        <v>-340000</v>
      </c>
    </row>
    <row r="4453" spans="1:7" x14ac:dyDescent="0.3">
      <c r="A4453" s="198">
        <v>1001004076</v>
      </c>
      <c r="B4453" s="192" t="s">
        <v>2956</v>
      </c>
      <c r="C4453" s="196">
        <v>-169900</v>
      </c>
      <c r="D4453" s="196">
        <v>0</v>
      </c>
      <c r="E4453" s="196">
        <v>0</v>
      </c>
      <c r="F4453" s="196">
        <v>0</v>
      </c>
      <c r="G4453" s="196">
        <v>-169900</v>
      </c>
    </row>
    <row r="4454" spans="1:7" x14ac:dyDescent="0.3">
      <c r="A4454" s="192" t="s">
        <v>374</v>
      </c>
      <c r="B4454" s="192" t="s">
        <v>375</v>
      </c>
      <c r="C4454" s="196">
        <v>0</v>
      </c>
      <c r="D4454" s="196">
        <v>0</v>
      </c>
      <c r="E4454" s="196">
        <v>200000</v>
      </c>
      <c r="F4454" s="196">
        <v>-200000</v>
      </c>
      <c r="G4454" s="196">
        <v>-200000</v>
      </c>
    </row>
    <row r="4455" spans="1:7" x14ac:dyDescent="0.3">
      <c r="A4455" s="198">
        <v>1032431486</v>
      </c>
      <c r="B4455" s="192" t="s">
        <v>376</v>
      </c>
      <c r="C4455" s="196">
        <v>-50900</v>
      </c>
      <c r="D4455" s="196">
        <v>0</v>
      </c>
      <c r="E4455" s="196">
        <v>0</v>
      </c>
      <c r="F4455" s="196">
        <v>0</v>
      </c>
      <c r="G4455" s="196">
        <v>-50900</v>
      </c>
    </row>
    <row r="4456" spans="1:7" x14ac:dyDescent="0.3">
      <c r="A4456" s="198">
        <v>2000004592</v>
      </c>
      <c r="B4456" s="192" t="s">
        <v>2957</v>
      </c>
      <c r="C4456" s="196">
        <v>-297000</v>
      </c>
      <c r="D4456" s="196">
        <v>0</v>
      </c>
      <c r="E4456" s="196">
        <v>0</v>
      </c>
      <c r="F4456" s="196">
        <v>0</v>
      </c>
      <c r="G4456" s="196">
        <v>-297000</v>
      </c>
    </row>
    <row r="4457" spans="1:7" x14ac:dyDescent="0.3">
      <c r="A4457" s="192" t="s">
        <v>377</v>
      </c>
      <c r="B4457" s="192" t="s">
        <v>378</v>
      </c>
      <c r="C4457" s="196">
        <v>0</v>
      </c>
      <c r="D4457" s="196">
        <v>0</v>
      </c>
      <c r="E4457" s="196">
        <v>110000</v>
      </c>
      <c r="F4457" s="196">
        <v>-110000</v>
      </c>
      <c r="G4457" s="196">
        <v>-110000</v>
      </c>
    </row>
    <row r="4458" spans="1:7" x14ac:dyDescent="0.3">
      <c r="A4458" s="198">
        <v>1035284171</v>
      </c>
      <c r="B4458" s="192" t="s">
        <v>2958</v>
      </c>
      <c r="C4458" s="196">
        <v>-297000</v>
      </c>
      <c r="D4458" s="196">
        <v>0</v>
      </c>
      <c r="E4458" s="196">
        <v>0</v>
      </c>
      <c r="F4458" s="196">
        <v>0</v>
      </c>
      <c r="G4458" s="196">
        <v>-297000</v>
      </c>
    </row>
    <row r="4459" spans="1:7" x14ac:dyDescent="0.3">
      <c r="A4459" s="198">
        <v>1065833783</v>
      </c>
      <c r="B4459" s="192" t="s">
        <v>379</v>
      </c>
      <c r="C4459" s="196">
        <v>0</v>
      </c>
      <c r="D4459" s="196">
        <v>0</v>
      </c>
      <c r="E4459" s="196">
        <v>110000</v>
      </c>
      <c r="F4459" s="196">
        <v>-110000</v>
      </c>
      <c r="G4459" s="196">
        <v>-110000</v>
      </c>
    </row>
    <row r="4460" spans="1:7" x14ac:dyDescent="0.3">
      <c r="A4460" s="198">
        <v>1152223186</v>
      </c>
      <c r="B4460" s="192" t="s">
        <v>2959</v>
      </c>
      <c r="C4460" s="196">
        <v>-100000</v>
      </c>
      <c r="D4460" s="196">
        <v>0</v>
      </c>
      <c r="E4460" s="196">
        <v>0</v>
      </c>
      <c r="F4460" s="196">
        <v>0</v>
      </c>
      <c r="G4460" s="196">
        <v>-100000</v>
      </c>
    </row>
    <row r="4461" spans="1:7" x14ac:dyDescent="0.3">
      <c r="A4461" s="198">
        <v>1031176979</v>
      </c>
      <c r="B4461" s="192" t="s">
        <v>2960</v>
      </c>
      <c r="C4461" s="196">
        <v>-310000</v>
      </c>
      <c r="D4461" s="196">
        <v>0</v>
      </c>
      <c r="E4461" s="196">
        <v>0</v>
      </c>
      <c r="F4461" s="196">
        <v>0</v>
      </c>
      <c r="G4461" s="196">
        <v>-310000</v>
      </c>
    </row>
    <row r="4462" spans="1:7" x14ac:dyDescent="0.3">
      <c r="A4462" s="198">
        <v>1001370208</v>
      </c>
      <c r="B4462" s="192" t="s">
        <v>2961</v>
      </c>
      <c r="C4462" s="196">
        <v>-50900</v>
      </c>
      <c r="D4462" s="196">
        <v>0</v>
      </c>
      <c r="E4462" s="196">
        <v>0</v>
      </c>
      <c r="F4462" s="196">
        <v>0</v>
      </c>
      <c r="G4462" s="196">
        <v>-50900</v>
      </c>
    </row>
    <row r="4463" spans="1:7" x14ac:dyDescent="0.3">
      <c r="A4463" s="198">
        <v>1035017449</v>
      </c>
      <c r="B4463" s="192" t="s">
        <v>2962</v>
      </c>
      <c r="C4463" s="196">
        <v>-57200</v>
      </c>
      <c r="D4463" s="196">
        <v>0</v>
      </c>
      <c r="E4463" s="196">
        <v>0</v>
      </c>
      <c r="F4463" s="196">
        <v>0</v>
      </c>
      <c r="G4463" s="196">
        <v>-57200</v>
      </c>
    </row>
    <row r="4464" spans="1:7" x14ac:dyDescent="0.3">
      <c r="A4464" s="198">
        <v>1000568483</v>
      </c>
      <c r="B4464" s="192" t="s">
        <v>2963</v>
      </c>
      <c r="C4464" s="196">
        <v>-82800</v>
      </c>
      <c r="D4464" s="196">
        <v>0</v>
      </c>
      <c r="E4464" s="196">
        <v>0</v>
      </c>
      <c r="F4464" s="196">
        <v>0</v>
      </c>
      <c r="G4464" s="196">
        <v>-82800</v>
      </c>
    </row>
    <row r="4465" spans="1:7" x14ac:dyDescent="0.3">
      <c r="A4465" s="198">
        <v>1036623788</v>
      </c>
      <c r="B4465" s="192" t="s">
        <v>2964</v>
      </c>
      <c r="C4465" s="196">
        <v>-38400</v>
      </c>
      <c r="D4465" s="196">
        <v>0</v>
      </c>
      <c r="E4465" s="196">
        <v>0</v>
      </c>
      <c r="F4465" s="196">
        <v>0</v>
      </c>
      <c r="G4465" s="196">
        <v>-38400</v>
      </c>
    </row>
    <row r="4466" spans="1:7" x14ac:dyDescent="0.3">
      <c r="A4466" s="198">
        <v>1035010856</v>
      </c>
      <c r="B4466" s="192" t="s">
        <v>2965</v>
      </c>
      <c r="C4466" s="196">
        <v>-50900</v>
      </c>
      <c r="D4466" s="196">
        <v>0</v>
      </c>
      <c r="E4466" s="196">
        <v>0</v>
      </c>
      <c r="F4466" s="196">
        <v>0</v>
      </c>
      <c r="G4466" s="196">
        <v>-50900</v>
      </c>
    </row>
    <row r="4467" spans="1:7" x14ac:dyDescent="0.3">
      <c r="A4467" s="198">
        <v>1022007445</v>
      </c>
      <c r="B4467" s="192" t="s">
        <v>2966</v>
      </c>
      <c r="C4467" s="196">
        <v>-42000</v>
      </c>
      <c r="D4467" s="196">
        <v>0</v>
      </c>
      <c r="E4467" s="196">
        <v>0</v>
      </c>
      <c r="F4467" s="196">
        <v>0</v>
      </c>
      <c r="G4467" s="196">
        <v>-42000</v>
      </c>
    </row>
    <row r="4468" spans="1:7" x14ac:dyDescent="0.3">
      <c r="A4468" s="198">
        <v>1037601188</v>
      </c>
      <c r="B4468" s="192" t="s">
        <v>382</v>
      </c>
      <c r="C4468" s="196">
        <v>0</v>
      </c>
      <c r="D4468" s="196">
        <v>0</v>
      </c>
      <c r="E4468" s="196">
        <v>85000</v>
      </c>
      <c r="F4468" s="196">
        <v>-85000</v>
      </c>
      <c r="G4468" s="196">
        <v>-85000</v>
      </c>
    </row>
    <row r="4469" spans="1:7" x14ac:dyDescent="0.3">
      <c r="A4469" s="198">
        <v>1152211449</v>
      </c>
      <c r="B4469" s="192" t="s">
        <v>2967</v>
      </c>
      <c r="C4469" s="196">
        <v>-50900</v>
      </c>
      <c r="D4469" s="196">
        <v>0</v>
      </c>
      <c r="E4469" s="196">
        <v>0</v>
      </c>
      <c r="F4469" s="196">
        <v>0</v>
      </c>
      <c r="G4469" s="196">
        <v>-50900</v>
      </c>
    </row>
    <row r="4470" spans="1:7" x14ac:dyDescent="0.3">
      <c r="A4470" s="198">
        <v>71380456</v>
      </c>
      <c r="B4470" s="192" t="s">
        <v>2968</v>
      </c>
      <c r="C4470" s="196">
        <v>-101800</v>
      </c>
      <c r="D4470" s="196">
        <v>0</v>
      </c>
      <c r="E4470" s="196">
        <v>0</v>
      </c>
      <c r="F4470" s="196">
        <v>0</v>
      </c>
      <c r="G4470" s="196">
        <v>-101800</v>
      </c>
    </row>
    <row r="4471" spans="1:7" x14ac:dyDescent="0.3">
      <c r="A4471" s="198">
        <v>1036606005</v>
      </c>
      <c r="B4471" s="192" t="s">
        <v>2969</v>
      </c>
      <c r="C4471" s="196">
        <v>-110000</v>
      </c>
      <c r="D4471" s="196">
        <v>0</v>
      </c>
      <c r="E4471" s="196">
        <v>0</v>
      </c>
      <c r="F4471" s="196">
        <v>0</v>
      </c>
      <c r="G4471" s="196">
        <v>-110000</v>
      </c>
    </row>
    <row r="4472" spans="1:7" x14ac:dyDescent="0.3">
      <c r="A4472" s="198">
        <v>1152190826</v>
      </c>
      <c r="B4472" s="192" t="s">
        <v>2970</v>
      </c>
      <c r="C4472" s="196">
        <v>-50900</v>
      </c>
      <c r="D4472" s="196">
        <v>0</v>
      </c>
      <c r="E4472" s="196">
        <v>0</v>
      </c>
      <c r="F4472" s="196">
        <v>0</v>
      </c>
      <c r="G4472" s="196">
        <v>-50900</v>
      </c>
    </row>
    <row r="4473" spans="1:7" x14ac:dyDescent="0.3">
      <c r="A4473" s="198">
        <v>1035019745</v>
      </c>
      <c r="B4473" s="192" t="s">
        <v>2971</v>
      </c>
      <c r="C4473" s="196">
        <v>-36600</v>
      </c>
      <c r="D4473" s="196">
        <v>0</v>
      </c>
      <c r="E4473" s="196">
        <v>0</v>
      </c>
      <c r="F4473" s="196">
        <v>0</v>
      </c>
      <c r="G4473" s="196">
        <v>-36600</v>
      </c>
    </row>
    <row r="4474" spans="1:7" x14ac:dyDescent="0.3">
      <c r="A4474" s="198">
        <v>71646747</v>
      </c>
      <c r="B4474" s="192" t="s">
        <v>2972</v>
      </c>
      <c r="C4474" s="196">
        <v>-50900</v>
      </c>
      <c r="D4474" s="196">
        <v>0</v>
      </c>
      <c r="E4474" s="196">
        <v>0</v>
      </c>
      <c r="F4474" s="196">
        <v>0</v>
      </c>
      <c r="G4474" s="196">
        <v>-50900</v>
      </c>
    </row>
    <row r="4475" spans="1:7" x14ac:dyDescent="0.3">
      <c r="A4475" s="198">
        <v>1037659819</v>
      </c>
      <c r="B4475" s="192" t="s">
        <v>2973</v>
      </c>
      <c r="C4475" s="196">
        <v>-57200</v>
      </c>
      <c r="D4475" s="196">
        <v>0</v>
      </c>
      <c r="E4475" s="196">
        <v>0</v>
      </c>
      <c r="F4475" s="196">
        <v>0</v>
      </c>
      <c r="G4475" s="196">
        <v>-57200</v>
      </c>
    </row>
    <row r="4476" spans="1:7" x14ac:dyDescent="0.3">
      <c r="A4476" s="198">
        <v>1152217750</v>
      </c>
      <c r="B4476" s="192" t="s">
        <v>2974</v>
      </c>
      <c r="C4476" s="196">
        <v>-297000</v>
      </c>
      <c r="D4476" s="196">
        <v>0</v>
      </c>
      <c r="E4476" s="196">
        <v>0</v>
      </c>
      <c r="F4476" s="196">
        <v>0</v>
      </c>
      <c r="G4476" s="196">
        <v>-297000</v>
      </c>
    </row>
    <row r="4477" spans="1:7" x14ac:dyDescent="0.3">
      <c r="A4477" s="198">
        <v>1036961922</v>
      </c>
      <c r="B4477" s="192" t="s">
        <v>2975</v>
      </c>
      <c r="C4477" s="196">
        <v>-50900</v>
      </c>
      <c r="D4477" s="196">
        <v>0</v>
      </c>
      <c r="E4477" s="196">
        <v>0</v>
      </c>
      <c r="F4477" s="196">
        <v>0</v>
      </c>
      <c r="G4477" s="196">
        <v>-50900</v>
      </c>
    </row>
    <row r="4478" spans="1:7" x14ac:dyDescent="0.3">
      <c r="A4478" s="198">
        <v>1034992184</v>
      </c>
      <c r="B4478" s="192" t="s">
        <v>2976</v>
      </c>
      <c r="C4478" s="196">
        <v>-50900</v>
      </c>
      <c r="D4478" s="196">
        <v>0</v>
      </c>
      <c r="E4478" s="196">
        <v>0</v>
      </c>
      <c r="F4478" s="196">
        <v>0</v>
      </c>
      <c r="G4478" s="196">
        <v>-50900</v>
      </c>
    </row>
    <row r="4479" spans="1:7" x14ac:dyDescent="0.3">
      <c r="A4479" s="198">
        <v>1038133596</v>
      </c>
      <c r="B4479" s="192" t="s">
        <v>2977</v>
      </c>
      <c r="C4479" s="196">
        <v>-57200</v>
      </c>
      <c r="D4479" s="196">
        <v>0</v>
      </c>
      <c r="E4479" s="196">
        <v>0</v>
      </c>
      <c r="F4479" s="196">
        <v>0</v>
      </c>
      <c r="G4479" s="196">
        <v>-57200</v>
      </c>
    </row>
    <row r="4480" spans="1:7" x14ac:dyDescent="0.3">
      <c r="A4480" s="198">
        <v>1089930826</v>
      </c>
      <c r="B4480" s="192" t="s">
        <v>2978</v>
      </c>
      <c r="C4480" s="196">
        <v>-49000</v>
      </c>
      <c r="D4480" s="196">
        <v>0</v>
      </c>
      <c r="E4480" s="196">
        <v>0</v>
      </c>
      <c r="F4480" s="196">
        <v>0</v>
      </c>
      <c r="G4480" s="196">
        <v>-49000</v>
      </c>
    </row>
    <row r="4481" spans="1:7" x14ac:dyDescent="0.3">
      <c r="A4481" s="198">
        <v>1037609700</v>
      </c>
      <c r="B4481" s="192" t="s">
        <v>2979</v>
      </c>
      <c r="C4481" s="196">
        <v>-47400</v>
      </c>
      <c r="D4481" s="196">
        <v>0</v>
      </c>
      <c r="E4481" s="196">
        <v>0</v>
      </c>
      <c r="F4481" s="196">
        <v>0</v>
      </c>
      <c r="G4481" s="196">
        <v>-47400</v>
      </c>
    </row>
    <row r="4482" spans="1:7" x14ac:dyDescent="0.3">
      <c r="A4482" s="198">
        <v>1020327457</v>
      </c>
      <c r="B4482" s="192" t="s">
        <v>2980</v>
      </c>
      <c r="C4482" s="196">
        <v>-50900</v>
      </c>
      <c r="D4482" s="196">
        <v>0</v>
      </c>
      <c r="E4482" s="196">
        <v>0</v>
      </c>
      <c r="F4482" s="196">
        <v>0</v>
      </c>
      <c r="G4482" s="196">
        <v>-50900</v>
      </c>
    </row>
    <row r="4483" spans="1:7" x14ac:dyDescent="0.3">
      <c r="A4483" s="198">
        <v>1035023707</v>
      </c>
      <c r="B4483" s="192" t="s">
        <v>2981</v>
      </c>
      <c r="C4483" s="196">
        <v>-41400</v>
      </c>
      <c r="D4483" s="196">
        <v>0</v>
      </c>
      <c r="E4483" s="196">
        <v>0</v>
      </c>
      <c r="F4483" s="196">
        <v>0</v>
      </c>
      <c r="G4483" s="196">
        <v>-41400</v>
      </c>
    </row>
    <row r="4484" spans="1:7" x14ac:dyDescent="0.3">
      <c r="A4484" s="198">
        <v>389174</v>
      </c>
      <c r="B4484" s="192" t="s">
        <v>2982</v>
      </c>
      <c r="C4484" s="196">
        <v>-47000</v>
      </c>
      <c r="D4484" s="196">
        <v>0</v>
      </c>
      <c r="E4484" s="196">
        <v>0</v>
      </c>
      <c r="F4484" s="196">
        <v>0</v>
      </c>
      <c r="G4484" s="196">
        <v>-47000</v>
      </c>
    </row>
    <row r="4485" spans="1:7" x14ac:dyDescent="0.3">
      <c r="A4485" s="198">
        <v>21342467</v>
      </c>
      <c r="B4485" s="192" t="s">
        <v>383</v>
      </c>
      <c r="C4485" s="196">
        <v>0</v>
      </c>
      <c r="D4485" s="196">
        <v>0</v>
      </c>
      <c r="E4485" s="196">
        <v>297000</v>
      </c>
      <c r="F4485" s="196">
        <v>-297000</v>
      </c>
      <c r="G4485" s="196">
        <v>-297000</v>
      </c>
    </row>
    <row r="4486" spans="1:7" x14ac:dyDescent="0.3">
      <c r="A4486" s="198">
        <v>8154353</v>
      </c>
      <c r="B4486" s="192" t="s">
        <v>2983</v>
      </c>
      <c r="C4486" s="196">
        <v>-50900</v>
      </c>
      <c r="D4486" s="196">
        <v>0</v>
      </c>
      <c r="E4486" s="196">
        <v>0</v>
      </c>
      <c r="F4486" s="196">
        <v>0</v>
      </c>
      <c r="G4486" s="196">
        <v>-50900</v>
      </c>
    </row>
    <row r="4487" spans="1:7" x14ac:dyDescent="0.3">
      <c r="A4487" s="198">
        <v>71609283</v>
      </c>
      <c r="B4487" s="192" t="s">
        <v>2984</v>
      </c>
      <c r="C4487" s="196">
        <v>-297000</v>
      </c>
      <c r="D4487" s="196">
        <v>0</v>
      </c>
      <c r="E4487" s="196">
        <v>0</v>
      </c>
      <c r="F4487" s="196">
        <v>0</v>
      </c>
      <c r="G4487" s="196">
        <v>-297000</v>
      </c>
    </row>
    <row r="4488" spans="1:7" x14ac:dyDescent="0.3">
      <c r="A4488" s="198">
        <v>93405068</v>
      </c>
      <c r="B4488" s="192" t="s">
        <v>2985</v>
      </c>
      <c r="C4488" s="196">
        <v>-50900</v>
      </c>
      <c r="D4488" s="196">
        <v>0</v>
      </c>
      <c r="E4488" s="196">
        <v>0</v>
      </c>
      <c r="F4488" s="196">
        <v>0</v>
      </c>
      <c r="G4488" s="196">
        <v>-50900</v>
      </c>
    </row>
    <row r="4489" spans="1:7" x14ac:dyDescent="0.3">
      <c r="A4489" s="198">
        <v>79943265</v>
      </c>
      <c r="B4489" s="192" t="s">
        <v>385</v>
      </c>
      <c r="C4489" s="196">
        <v>0</v>
      </c>
      <c r="D4489" s="196">
        <v>0</v>
      </c>
      <c r="E4489" s="196">
        <v>29700</v>
      </c>
      <c r="F4489" s="196">
        <v>-29700</v>
      </c>
      <c r="G4489" s="196">
        <v>-29700</v>
      </c>
    </row>
    <row r="4490" spans="1:7" x14ac:dyDescent="0.3">
      <c r="A4490" s="198">
        <v>71374787</v>
      </c>
      <c r="B4490" s="192" t="s">
        <v>386</v>
      </c>
      <c r="C4490" s="196">
        <v>0</v>
      </c>
      <c r="D4490" s="196">
        <v>0</v>
      </c>
      <c r="E4490" s="196">
        <v>50900</v>
      </c>
      <c r="F4490" s="196">
        <v>-50900</v>
      </c>
      <c r="G4490" s="196">
        <v>-50900</v>
      </c>
    </row>
    <row r="4491" spans="1:7" x14ac:dyDescent="0.3">
      <c r="A4491" s="192" t="s">
        <v>387</v>
      </c>
      <c r="B4491" s="192" t="s">
        <v>388</v>
      </c>
      <c r="C4491" s="196">
        <v>0</v>
      </c>
      <c r="D4491" s="196">
        <v>0</v>
      </c>
      <c r="E4491" s="196">
        <v>637000</v>
      </c>
      <c r="F4491" s="196">
        <v>-637000</v>
      </c>
      <c r="G4491" s="196">
        <v>-637000</v>
      </c>
    </row>
    <row r="4492" spans="1:7" x14ac:dyDescent="0.3">
      <c r="A4492" s="198">
        <v>4355477</v>
      </c>
      <c r="B4492" s="192" t="s">
        <v>2986</v>
      </c>
      <c r="C4492" s="196">
        <v>-297000</v>
      </c>
      <c r="D4492" s="196">
        <v>0</v>
      </c>
      <c r="E4492" s="196">
        <v>0</v>
      </c>
      <c r="F4492" s="196">
        <v>0</v>
      </c>
      <c r="G4492" s="196">
        <v>-297000</v>
      </c>
    </row>
    <row r="4493" spans="1:7" x14ac:dyDescent="0.3">
      <c r="A4493" s="198">
        <v>1020453897</v>
      </c>
      <c r="B4493" s="192" t="s">
        <v>389</v>
      </c>
      <c r="C4493" s="196">
        <v>0</v>
      </c>
      <c r="D4493" s="196">
        <v>0</v>
      </c>
      <c r="E4493" s="196">
        <v>50900</v>
      </c>
      <c r="F4493" s="196">
        <v>-50900</v>
      </c>
      <c r="G4493" s="196">
        <v>-50900</v>
      </c>
    </row>
    <row r="4494" spans="1:7" x14ac:dyDescent="0.3">
      <c r="A4494" s="198">
        <v>7537526</v>
      </c>
      <c r="B4494" s="192" t="s">
        <v>2987</v>
      </c>
      <c r="C4494" s="196">
        <v>-20000</v>
      </c>
      <c r="D4494" s="196">
        <v>0</v>
      </c>
      <c r="E4494" s="196">
        <v>0</v>
      </c>
      <c r="F4494" s="196">
        <v>0</v>
      </c>
      <c r="G4494" s="196">
        <v>-20000</v>
      </c>
    </row>
    <row r="4495" spans="1:7" x14ac:dyDescent="0.3">
      <c r="A4495" s="198">
        <v>1039455064</v>
      </c>
      <c r="B4495" s="192" t="s">
        <v>2988</v>
      </c>
      <c r="C4495" s="196">
        <v>-110000</v>
      </c>
      <c r="D4495" s="196">
        <v>0</v>
      </c>
      <c r="E4495" s="196">
        <v>0</v>
      </c>
      <c r="F4495" s="196">
        <v>0</v>
      </c>
      <c r="G4495" s="196">
        <v>-110000</v>
      </c>
    </row>
    <row r="4496" spans="1:7" x14ac:dyDescent="0.3">
      <c r="A4496" s="198">
        <v>1035855605</v>
      </c>
      <c r="B4496" s="192" t="s">
        <v>390</v>
      </c>
      <c r="C4496" s="196">
        <v>0</v>
      </c>
      <c r="D4496" s="196">
        <v>0</v>
      </c>
      <c r="E4496" s="196">
        <v>54200</v>
      </c>
      <c r="F4496" s="196">
        <v>-54200</v>
      </c>
      <c r="G4496" s="196">
        <v>-54200</v>
      </c>
    </row>
    <row r="4497" spans="1:7" x14ac:dyDescent="0.3">
      <c r="A4497" s="198">
        <v>70109864</v>
      </c>
      <c r="B4497" s="192" t="s">
        <v>2989</v>
      </c>
      <c r="C4497" s="196">
        <v>-41400</v>
      </c>
      <c r="D4497" s="196">
        <v>0</v>
      </c>
      <c r="E4497" s="196">
        <v>0</v>
      </c>
      <c r="F4497" s="196">
        <v>0</v>
      </c>
      <c r="G4497" s="196">
        <v>-41400</v>
      </c>
    </row>
    <row r="4498" spans="1:7" x14ac:dyDescent="0.3">
      <c r="A4498" s="198">
        <v>71793236</v>
      </c>
      <c r="B4498" s="192" t="s">
        <v>2990</v>
      </c>
      <c r="C4498" s="196">
        <v>-50900</v>
      </c>
      <c r="D4498" s="196">
        <v>0</v>
      </c>
      <c r="E4498" s="196">
        <v>0</v>
      </c>
      <c r="F4498" s="196">
        <v>0</v>
      </c>
      <c r="G4498" s="196">
        <v>-50900</v>
      </c>
    </row>
    <row r="4499" spans="1:7" x14ac:dyDescent="0.3">
      <c r="A4499" s="198">
        <v>16270788</v>
      </c>
      <c r="B4499" s="192" t="s">
        <v>391</v>
      </c>
      <c r="C4499" s="196">
        <v>-46400</v>
      </c>
      <c r="D4499" s="196">
        <v>0</v>
      </c>
      <c r="E4499" s="196">
        <v>0</v>
      </c>
      <c r="F4499" s="196">
        <v>0</v>
      </c>
      <c r="G4499" s="196">
        <v>-46400</v>
      </c>
    </row>
    <row r="4500" spans="1:7" x14ac:dyDescent="0.3">
      <c r="A4500" s="198">
        <v>92523543</v>
      </c>
      <c r="B4500" s="192" t="s">
        <v>2991</v>
      </c>
      <c r="C4500" s="196">
        <v>-297000</v>
      </c>
      <c r="D4500" s="196">
        <v>0</v>
      </c>
      <c r="E4500" s="196">
        <v>0</v>
      </c>
      <c r="F4500" s="196">
        <v>0</v>
      </c>
      <c r="G4500" s="196">
        <v>-297000</v>
      </c>
    </row>
    <row r="4501" spans="1:7" x14ac:dyDescent="0.3">
      <c r="A4501" s="198">
        <v>1020395629</v>
      </c>
      <c r="B4501" s="192" t="s">
        <v>2992</v>
      </c>
      <c r="C4501" s="196">
        <v>-594000</v>
      </c>
      <c r="D4501" s="196">
        <v>0</v>
      </c>
      <c r="E4501" s="196">
        <v>0</v>
      </c>
      <c r="F4501" s="196">
        <v>0</v>
      </c>
      <c r="G4501" s="196">
        <v>-594000</v>
      </c>
    </row>
    <row r="4502" spans="1:7" x14ac:dyDescent="0.3">
      <c r="A4502" s="198">
        <v>1017206618</v>
      </c>
      <c r="B4502" s="192" t="s">
        <v>392</v>
      </c>
      <c r="C4502" s="196">
        <v>-50900</v>
      </c>
      <c r="D4502" s="196">
        <v>0</v>
      </c>
      <c r="E4502" s="196">
        <v>50900</v>
      </c>
      <c r="F4502" s="196">
        <v>-50900</v>
      </c>
      <c r="G4502" s="196">
        <v>-101800</v>
      </c>
    </row>
    <row r="4503" spans="1:7" x14ac:dyDescent="0.3">
      <c r="A4503" s="198">
        <v>1045017932</v>
      </c>
      <c r="B4503" s="192" t="s">
        <v>2993</v>
      </c>
      <c r="C4503" s="196">
        <v>-28900</v>
      </c>
      <c r="D4503" s="196">
        <v>0</v>
      </c>
      <c r="E4503" s="196">
        <v>0</v>
      </c>
      <c r="F4503" s="196">
        <v>0</v>
      </c>
      <c r="G4503" s="196">
        <v>-28900</v>
      </c>
    </row>
    <row r="4504" spans="1:7" x14ac:dyDescent="0.3">
      <c r="A4504" s="198">
        <v>1152184214</v>
      </c>
      <c r="B4504" s="192" t="s">
        <v>393</v>
      </c>
      <c r="C4504" s="196">
        <v>-101801</v>
      </c>
      <c r="D4504" s="196">
        <v>0</v>
      </c>
      <c r="E4504" s="196">
        <v>50900</v>
      </c>
      <c r="F4504" s="196">
        <v>-50900</v>
      </c>
      <c r="G4504" s="196">
        <v>-152701</v>
      </c>
    </row>
    <row r="4505" spans="1:7" x14ac:dyDescent="0.3">
      <c r="A4505" s="198">
        <v>71385168</v>
      </c>
      <c r="B4505" s="192" t="s">
        <v>2994</v>
      </c>
      <c r="C4505" s="196">
        <v>-20000</v>
      </c>
      <c r="D4505" s="196">
        <v>0</v>
      </c>
      <c r="E4505" s="196">
        <v>0</v>
      </c>
      <c r="F4505" s="196">
        <v>0</v>
      </c>
      <c r="G4505" s="196">
        <v>-20000</v>
      </c>
    </row>
    <row r="4506" spans="1:7" x14ac:dyDescent="0.3">
      <c r="A4506" s="198">
        <v>79934902</v>
      </c>
      <c r="B4506" s="192" t="s">
        <v>394</v>
      </c>
      <c r="C4506" s="196">
        <v>0</v>
      </c>
      <c r="D4506" s="196">
        <v>0</v>
      </c>
      <c r="E4506" s="196">
        <v>50900</v>
      </c>
      <c r="F4506" s="196">
        <v>-50900</v>
      </c>
      <c r="G4506" s="196">
        <v>-50900</v>
      </c>
    </row>
    <row r="4507" spans="1:7" x14ac:dyDescent="0.3">
      <c r="A4507" s="198">
        <v>98649209</v>
      </c>
      <c r="B4507" s="192" t="s">
        <v>2995</v>
      </c>
      <c r="C4507" s="196">
        <v>-50900</v>
      </c>
      <c r="D4507" s="196">
        <v>0</v>
      </c>
      <c r="E4507" s="196">
        <v>0</v>
      </c>
      <c r="F4507" s="196">
        <v>0</v>
      </c>
      <c r="G4507" s="196">
        <v>-50900</v>
      </c>
    </row>
    <row r="4508" spans="1:7" x14ac:dyDescent="0.3">
      <c r="A4508" s="198">
        <v>9871825</v>
      </c>
      <c r="B4508" s="192" t="s">
        <v>2996</v>
      </c>
      <c r="C4508" s="196">
        <v>-57200</v>
      </c>
      <c r="D4508" s="196">
        <v>0</v>
      </c>
      <c r="E4508" s="196">
        <v>0</v>
      </c>
      <c r="F4508" s="196">
        <v>0</v>
      </c>
      <c r="G4508" s="196">
        <v>-57200</v>
      </c>
    </row>
    <row r="4509" spans="1:7" x14ac:dyDescent="0.3">
      <c r="A4509" s="198">
        <v>71788361</v>
      </c>
      <c r="B4509" s="192" t="s">
        <v>2997</v>
      </c>
      <c r="C4509" s="196">
        <v>-50900</v>
      </c>
      <c r="D4509" s="196">
        <v>0</v>
      </c>
      <c r="E4509" s="196">
        <v>0</v>
      </c>
      <c r="F4509" s="196">
        <v>0</v>
      </c>
      <c r="G4509" s="196">
        <v>-50900</v>
      </c>
    </row>
    <row r="4510" spans="1:7" x14ac:dyDescent="0.3">
      <c r="A4510" s="198">
        <v>71117884</v>
      </c>
      <c r="B4510" s="192" t="s">
        <v>2998</v>
      </c>
      <c r="C4510" s="196">
        <v>-46400</v>
      </c>
      <c r="D4510" s="196">
        <v>0</v>
      </c>
      <c r="E4510" s="196">
        <v>0</v>
      </c>
      <c r="F4510" s="196">
        <v>0</v>
      </c>
      <c r="G4510" s="196">
        <v>-46400</v>
      </c>
    </row>
    <row r="4511" spans="1:7" x14ac:dyDescent="0.3">
      <c r="A4511" s="198">
        <v>71794426</v>
      </c>
      <c r="B4511" s="192" t="s">
        <v>2999</v>
      </c>
      <c r="C4511" s="196">
        <v>-50900</v>
      </c>
      <c r="D4511" s="196">
        <v>0</v>
      </c>
      <c r="E4511" s="196">
        <v>0</v>
      </c>
      <c r="F4511" s="196">
        <v>0</v>
      </c>
      <c r="G4511" s="196">
        <v>-50900</v>
      </c>
    </row>
    <row r="4512" spans="1:7" x14ac:dyDescent="0.3">
      <c r="A4512" s="198">
        <v>1037658564</v>
      </c>
      <c r="B4512" s="192" t="s">
        <v>3000</v>
      </c>
      <c r="C4512" s="196">
        <v>-110000</v>
      </c>
      <c r="D4512" s="196">
        <v>0</v>
      </c>
      <c r="E4512" s="196">
        <v>0</v>
      </c>
      <c r="F4512" s="196">
        <v>0</v>
      </c>
      <c r="G4512" s="196">
        <v>-110000</v>
      </c>
    </row>
    <row r="4513" spans="1:7" x14ac:dyDescent="0.3">
      <c r="A4513" s="198">
        <v>8164665</v>
      </c>
      <c r="B4513" s="192" t="s">
        <v>3001</v>
      </c>
      <c r="C4513" s="196">
        <v>-43900</v>
      </c>
      <c r="D4513" s="196">
        <v>0</v>
      </c>
      <c r="E4513" s="196">
        <v>0</v>
      </c>
      <c r="F4513" s="196">
        <v>0</v>
      </c>
      <c r="G4513" s="196">
        <v>-43900</v>
      </c>
    </row>
    <row r="4514" spans="1:7" x14ac:dyDescent="0.3">
      <c r="A4514" s="198">
        <v>71787100</v>
      </c>
      <c r="B4514" s="192" t="s">
        <v>3002</v>
      </c>
      <c r="C4514" s="196">
        <v>-50900</v>
      </c>
      <c r="D4514" s="196">
        <v>0</v>
      </c>
      <c r="E4514" s="196">
        <v>0</v>
      </c>
      <c r="F4514" s="196">
        <v>0</v>
      </c>
      <c r="G4514" s="196">
        <v>-50900</v>
      </c>
    </row>
    <row r="4515" spans="1:7" x14ac:dyDescent="0.3">
      <c r="A4515" s="198">
        <v>86070810</v>
      </c>
      <c r="B4515" s="192" t="s">
        <v>3003</v>
      </c>
      <c r="C4515" s="196">
        <v>-43900</v>
      </c>
      <c r="D4515" s="196">
        <v>0</v>
      </c>
      <c r="E4515" s="196">
        <v>0</v>
      </c>
      <c r="F4515" s="196">
        <v>0</v>
      </c>
      <c r="G4515" s="196">
        <v>-43900</v>
      </c>
    </row>
    <row r="4516" spans="1:7" x14ac:dyDescent="0.3">
      <c r="A4516" s="198">
        <v>3483800</v>
      </c>
      <c r="B4516" s="192" t="s">
        <v>3004</v>
      </c>
      <c r="C4516" s="196">
        <v>-119000</v>
      </c>
      <c r="D4516" s="196">
        <v>0</v>
      </c>
      <c r="E4516" s="196">
        <v>0</v>
      </c>
      <c r="F4516" s="196">
        <v>0</v>
      </c>
      <c r="G4516" s="196">
        <v>-119000</v>
      </c>
    </row>
    <row r="4517" spans="1:7" x14ac:dyDescent="0.3">
      <c r="A4517" s="198">
        <v>15379473</v>
      </c>
      <c r="B4517" s="192" t="s">
        <v>3005</v>
      </c>
      <c r="C4517" s="196">
        <v>-50900</v>
      </c>
      <c r="D4517" s="196">
        <v>0</v>
      </c>
      <c r="E4517" s="196">
        <v>0</v>
      </c>
      <c r="F4517" s="196">
        <v>0</v>
      </c>
      <c r="G4517" s="196">
        <v>-50900</v>
      </c>
    </row>
    <row r="4518" spans="1:7" x14ac:dyDescent="0.3">
      <c r="A4518" s="198">
        <v>71799660</v>
      </c>
      <c r="B4518" s="192" t="s">
        <v>3006</v>
      </c>
      <c r="C4518" s="196">
        <v>-47000</v>
      </c>
      <c r="D4518" s="196">
        <v>0</v>
      </c>
      <c r="E4518" s="196">
        <v>0</v>
      </c>
      <c r="F4518" s="196">
        <v>0</v>
      </c>
      <c r="G4518" s="196">
        <v>-47000</v>
      </c>
    </row>
    <row r="4519" spans="1:7" x14ac:dyDescent="0.3">
      <c r="A4519" s="198">
        <v>1235257417</v>
      </c>
      <c r="B4519" s="192" t="s">
        <v>3007</v>
      </c>
      <c r="C4519" s="196">
        <v>-165000</v>
      </c>
      <c r="D4519" s="196">
        <v>0</v>
      </c>
      <c r="E4519" s="196">
        <v>0</v>
      </c>
      <c r="F4519" s="196">
        <v>0</v>
      </c>
      <c r="G4519" s="196">
        <v>-165000</v>
      </c>
    </row>
    <row r="4520" spans="1:7" x14ac:dyDescent="0.3">
      <c r="A4520" s="198">
        <v>1017163015</v>
      </c>
      <c r="B4520" s="192" t="s">
        <v>2377</v>
      </c>
      <c r="C4520" s="196">
        <v>-200000</v>
      </c>
      <c r="D4520" s="196">
        <v>0</v>
      </c>
      <c r="E4520" s="196">
        <v>0</v>
      </c>
      <c r="F4520" s="196">
        <v>0</v>
      </c>
      <c r="G4520" s="196">
        <v>-200000</v>
      </c>
    </row>
    <row r="4521" spans="1:7" x14ac:dyDescent="0.3">
      <c r="A4521" s="198">
        <v>1005604112</v>
      </c>
      <c r="B4521" s="192" t="s">
        <v>3008</v>
      </c>
      <c r="C4521" s="196">
        <v>-297000</v>
      </c>
      <c r="D4521" s="196">
        <v>0</v>
      </c>
      <c r="E4521" s="196">
        <v>0</v>
      </c>
      <c r="F4521" s="196">
        <v>0</v>
      </c>
      <c r="G4521" s="196">
        <v>-297000</v>
      </c>
    </row>
    <row r="4522" spans="1:7" x14ac:dyDescent="0.3">
      <c r="A4522" s="198">
        <v>595726260</v>
      </c>
      <c r="B4522" s="192" t="s">
        <v>3009</v>
      </c>
      <c r="C4522" s="196">
        <v>-247000</v>
      </c>
      <c r="D4522" s="196">
        <v>0</v>
      </c>
      <c r="E4522" s="196">
        <v>0</v>
      </c>
      <c r="F4522" s="196">
        <v>0</v>
      </c>
      <c r="G4522" s="196">
        <v>-247000</v>
      </c>
    </row>
    <row r="4523" spans="1:7" x14ac:dyDescent="0.3">
      <c r="A4523" s="198">
        <v>14623633</v>
      </c>
      <c r="B4523" s="192" t="s">
        <v>3010</v>
      </c>
      <c r="C4523" s="196">
        <v>-35000</v>
      </c>
      <c r="D4523" s="196">
        <v>0</v>
      </c>
      <c r="E4523" s="196">
        <v>0</v>
      </c>
      <c r="F4523" s="196">
        <v>0</v>
      </c>
      <c r="G4523" s="196">
        <v>-35000</v>
      </c>
    </row>
    <row r="4524" spans="1:7" x14ac:dyDescent="0.3">
      <c r="A4524" s="198">
        <v>91506365</v>
      </c>
      <c r="B4524" s="192" t="s">
        <v>3011</v>
      </c>
      <c r="C4524" s="196">
        <v>-46400</v>
      </c>
      <c r="D4524" s="196">
        <v>0</v>
      </c>
      <c r="E4524" s="196">
        <v>0</v>
      </c>
      <c r="F4524" s="196">
        <v>0</v>
      </c>
      <c r="G4524" s="196">
        <v>-46400</v>
      </c>
    </row>
    <row r="4525" spans="1:7" x14ac:dyDescent="0.3">
      <c r="A4525" s="198">
        <v>1035912930</v>
      </c>
      <c r="B4525" s="192" t="s">
        <v>395</v>
      </c>
      <c r="C4525" s="196">
        <v>0</v>
      </c>
      <c r="D4525" s="196">
        <v>0</v>
      </c>
      <c r="E4525" s="196">
        <v>50900</v>
      </c>
      <c r="F4525" s="196">
        <v>-50900</v>
      </c>
      <c r="G4525" s="196">
        <v>-50900</v>
      </c>
    </row>
    <row r="4526" spans="1:7" x14ac:dyDescent="0.3">
      <c r="A4526" s="198">
        <v>76311959</v>
      </c>
      <c r="B4526" s="192" t="s">
        <v>3012</v>
      </c>
      <c r="C4526" s="196">
        <v>-41800</v>
      </c>
      <c r="D4526" s="196">
        <v>0</v>
      </c>
      <c r="E4526" s="196">
        <v>0</v>
      </c>
      <c r="F4526" s="196">
        <v>0</v>
      </c>
      <c r="G4526" s="196">
        <v>-41800</v>
      </c>
    </row>
    <row r="4527" spans="1:7" x14ac:dyDescent="0.3">
      <c r="A4527" s="198">
        <v>79939715</v>
      </c>
      <c r="B4527" s="192" t="s">
        <v>3013</v>
      </c>
      <c r="C4527" s="196">
        <v>-50900</v>
      </c>
      <c r="D4527" s="196">
        <v>0</v>
      </c>
      <c r="E4527" s="196">
        <v>0</v>
      </c>
      <c r="F4527" s="196">
        <v>0</v>
      </c>
      <c r="G4527" s="196">
        <v>-50900</v>
      </c>
    </row>
    <row r="4528" spans="1:7" x14ac:dyDescent="0.3">
      <c r="A4528" s="198">
        <v>8256917</v>
      </c>
      <c r="B4528" s="192" t="s">
        <v>3014</v>
      </c>
      <c r="C4528" s="196">
        <v>-47400</v>
      </c>
      <c r="D4528" s="196">
        <v>0</v>
      </c>
      <c r="E4528" s="196">
        <v>0</v>
      </c>
      <c r="F4528" s="196">
        <v>0</v>
      </c>
      <c r="G4528" s="196">
        <v>-47400</v>
      </c>
    </row>
    <row r="4529" spans="1:7" x14ac:dyDescent="0.3">
      <c r="A4529" s="198">
        <v>3391333</v>
      </c>
      <c r="B4529" s="192" t="s">
        <v>3015</v>
      </c>
      <c r="C4529" s="196">
        <v>-297000</v>
      </c>
      <c r="D4529" s="196">
        <v>0</v>
      </c>
      <c r="E4529" s="196">
        <v>0</v>
      </c>
      <c r="F4529" s="196">
        <v>0</v>
      </c>
      <c r="G4529" s="196">
        <v>-297000</v>
      </c>
    </row>
    <row r="4530" spans="1:7" x14ac:dyDescent="0.3">
      <c r="A4530" s="198">
        <v>1035014846</v>
      </c>
      <c r="B4530" s="192" t="s">
        <v>3016</v>
      </c>
      <c r="C4530" s="196">
        <v>-50900</v>
      </c>
      <c r="D4530" s="196">
        <v>0</v>
      </c>
      <c r="E4530" s="196">
        <v>0</v>
      </c>
      <c r="F4530" s="196">
        <v>0</v>
      </c>
      <c r="G4530" s="196">
        <v>-50900</v>
      </c>
    </row>
    <row r="4531" spans="1:7" x14ac:dyDescent="0.3">
      <c r="A4531" s="198">
        <v>1037579790</v>
      </c>
      <c r="B4531" s="192" t="s">
        <v>3017</v>
      </c>
      <c r="C4531" s="196">
        <v>-54200</v>
      </c>
      <c r="D4531" s="196">
        <v>0</v>
      </c>
      <c r="E4531" s="196">
        <v>0</v>
      </c>
      <c r="F4531" s="196">
        <v>0</v>
      </c>
      <c r="G4531" s="196">
        <v>-54200</v>
      </c>
    </row>
    <row r="4532" spans="1:7" x14ac:dyDescent="0.3">
      <c r="A4532" s="198">
        <v>15666288</v>
      </c>
      <c r="B4532" s="192" t="s">
        <v>3018</v>
      </c>
      <c r="C4532" s="196">
        <v>-389000</v>
      </c>
      <c r="D4532" s="196">
        <v>0</v>
      </c>
      <c r="E4532" s="196">
        <v>0</v>
      </c>
      <c r="F4532" s="196">
        <v>0</v>
      </c>
      <c r="G4532" s="196">
        <v>-389000</v>
      </c>
    </row>
    <row r="4533" spans="1:7" x14ac:dyDescent="0.3">
      <c r="A4533" s="198">
        <v>8015245</v>
      </c>
      <c r="B4533" s="192" t="s">
        <v>3019</v>
      </c>
      <c r="C4533" s="196">
        <v>-297000</v>
      </c>
      <c r="D4533" s="196">
        <v>0</v>
      </c>
      <c r="E4533" s="196">
        <v>0</v>
      </c>
      <c r="F4533" s="196">
        <v>0</v>
      </c>
      <c r="G4533" s="196">
        <v>-297000</v>
      </c>
    </row>
    <row r="4534" spans="1:7" x14ac:dyDescent="0.3">
      <c r="A4534" s="198">
        <v>71389097</v>
      </c>
      <c r="B4534" s="192" t="s">
        <v>3020</v>
      </c>
      <c r="C4534" s="196">
        <v>-50900</v>
      </c>
      <c r="D4534" s="196">
        <v>0</v>
      </c>
      <c r="E4534" s="196">
        <v>0</v>
      </c>
      <c r="F4534" s="196">
        <v>0</v>
      </c>
      <c r="G4534" s="196">
        <v>-50900</v>
      </c>
    </row>
    <row r="4535" spans="1:7" x14ac:dyDescent="0.3">
      <c r="A4535" s="198">
        <v>10103079</v>
      </c>
      <c r="B4535" s="192" t="s">
        <v>397</v>
      </c>
      <c r="C4535" s="196">
        <v>0</v>
      </c>
      <c r="D4535" s="196">
        <v>0</v>
      </c>
      <c r="E4535" s="196">
        <v>50900</v>
      </c>
      <c r="F4535" s="196">
        <v>-50900</v>
      </c>
      <c r="G4535" s="196">
        <v>-50900</v>
      </c>
    </row>
    <row r="4536" spans="1:7" x14ac:dyDescent="0.3">
      <c r="A4536" s="198">
        <v>8200531</v>
      </c>
      <c r="B4536" s="192" t="s">
        <v>3021</v>
      </c>
      <c r="C4536" s="196">
        <v>-319000</v>
      </c>
      <c r="D4536" s="196">
        <v>0</v>
      </c>
      <c r="E4536" s="196">
        <v>0</v>
      </c>
      <c r="F4536" s="196">
        <v>0</v>
      </c>
      <c r="G4536" s="196">
        <v>-319000</v>
      </c>
    </row>
    <row r="4537" spans="1:7" x14ac:dyDescent="0.3">
      <c r="A4537" s="198">
        <v>71618070</v>
      </c>
      <c r="B4537" s="192" t="s">
        <v>3022</v>
      </c>
      <c r="C4537" s="196">
        <v>-50900</v>
      </c>
      <c r="D4537" s="196">
        <v>0</v>
      </c>
      <c r="E4537" s="196">
        <v>0</v>
      </c>
      <c r="F4537" s="196">
        <v>0</v>
      </c>
      <c r="G4537" s="196">
        <v>-50900</v>
      </c>
    </row>
    <row r="4538" spans="1:7" x14ac:dyDescent="0.3">
      <c r="A4538" s="198">
        <v>98644048</v>
      </c>
      <c r="B4538" s="192" t="s">
        <v>3023</v>
      </c>
      <c r="C4538" s="196">
        <v>-38400</v>
      </c>
      <c r="D4538" s="196">
        <v>0</v>
      </c>
      <c r="E4538" s="196">
        <v>0</v>
      </c>
      <c r="F4538" s="196">
        <v>0</v>
      </c>
      <c r="G4538" s="196">
        <v>-38400</v>
      </c>
    </row>
    <row r="4539" spans="1:7" x14ac:dyDescent="0.3">
      <c r="A4539" s="198">
        <v>71665341</v>
      </c>
      <c r="B4539" s="192" t="s">
        <v>399</v>
      </c>
      <c r="C4539" s="196">
        <v>0</v>
      </c>
      <c r="D4539" s="196">
        <v>0</v>
      </c>
      <c r="E4539" s="196">
        <v>57200</v>
      </c>
      <c r="F4539" s="196">
        <v>-57200</v>
      </c>
      <c r="G4539" s="196">
        <v>-57200</v>
      </c>
    </row>
    <row r="4540" spans="1:7" x14ac:dyDescent="0.3">
      <c r="A4540" s="198">
        <v>8103938</v>
      </c>
      <c r="B4540" s="192" t="s">
        <v>400</v>
      </c>
      <c r="C4540" s="196">
        <v>0</v>
      </c>
      <c r="D4540" s="196">
        <v>0</v>
      </c>
      <c r="E4540" s="196">
        <v>50900</v>
      </c>
      <c r="F4540" s="196">
        <v>-50900</v>
      </c>
      <c r="G4540" s="196">
        <v>-50900</v>
      </c>
    </row>
    <row r="4541" spans="1:7" x14ac:dyDescent="0.3">
      <c r="A4541" s="198">
        <v>70470637</v>
      </c>
      <c r="B4541" s="192" t="s">
        <v>3024</v>
      </c>
      <c r="C4541" s="196">
        <v>-290000</v>
      </c>
      <c r="D4541" s="196">
        <v>0</v>
      </c>
      <c r="E4541" s="196">
        <v>0</v>
      </c>
      <c r="F4541" s="196">
        <v>0</v>
      </c>
      <c r="G4541" s="196">
        <v>-290000</v>
      </c>
    </row>
    <row r="4542" spans="1:7" x14ac:dyDescent="0.3">
      <c r="A4542" s="198">
        <v>1037044320</v>
      </c>
      <c r="B4542" s="192" t="s">
        <v>3025</v>
      </c>
      <c r="C4542" s="196">
        <v>-50900</v>
      </c>
      <c r="D4542" s="196">
        <v>0</v>
      </c>
      <c r="E4542" s="196">
        <v>0</v>
      </c>
      <c r="F4542" s="196">
        <v>0</v>
      </c>
      <c r="G4542" s="196">
        <v>-50900</v>
      </c>
    </row>
    <row r="4543" spans="1:7" x14ac:dyDescent="0.3">
      <c r="A4543" s="198">
        <v>71713098</v>
      </c>
      <c r="B4543" s="192" t="s">
        <v>3026</v>
      </c>
      <c r="C4543" s="196">
        <v>-101800</v>
      </c>
      <c r="D4543" s="196">
        <v>0</v>
      </c>
      <c r="E4543" s="196">
        <v>0</v>
      </c>
      <c r="F4543" s="196">
        <v>0</v>
      </c>
      <c r="G4543" s="196">
        <v>-101800</v>
      </c>
    </row>
    <row r="4544" spans="1:7" x14ac:dyDescent="0.3">
      <c r="A4544" s="198">
        <v>1078462460</v>
      </c>
      <c r="B4544" s="192" t="s">
        <v>401</v>
      </c>
      <c r="C4544" s="196">
        <v>0</v>
      </c>
      <c r="D4544" s="196">
        <v>0</v>
      </c>
      <c r="E4544" s="196">
        <v>50900</v>
      </c>
      <c r="F4544" s="196">
        <v>-50900</v>
      </c>
      <c r="G4544" s="196">
        <v>-50900</v>
      </c>
    </row>
    <row r="4545" spans="1:7" x14ac:dyDescent="0.3">
      <c r="A4545" s="198">
        <v>8766628</v>
      </c>
      <c r="B4545" s="192" t="s">
        <v>2379</v>
      </c>
      <c r="C4545" s="196">
        <v>-50900</v>
      </c>
      <c r="D4545" s="196">
        <v>0</v>
      </c>
      <c r="E4545" s="196">
        <v>0</v>
      </c>
      <c r="F4545" s="196">
        <v>0</v>
      </c>
      <c r="G4545" s="196">
        <v>-50900</v>
      </c>
    </row>
    <row r="4546" spans="1:7" x14ac:dyDescent="0.3">
      <c r="A4546" s="198">
        <v>76322062</v>
      </c>
      <c r="B4546" s="192" t="s">
        <v>3027</v>
      </c>
      <c r="C4546" s="196">
        <v>-297000</v>
      </c>
      <c r="D4546" s="196">
        <v>0</v>
      </c>
      <c r="E4546" s="196">
        <v>0</v>
      </c>
      <c r="F4546" s="196">
        <v>0</v>
      </c>
      <c r="G4546" s="196">
        <v>-297000</v>
      </c>
    </row>
    <row r="4547" spans="1:7" x14ac:dyDescent="0.3">
      <c r="A4547" s="198">
        <v>22097163</v>
      </c>
      <c r="B4547" s="192" t="s">
        <v>3028</v>
      </c>
      <c r="C4547" s="196">
        <v>-290000</v>
      </c>
      <c r="D4547" s="196">
        <v>0</v>
      </c>
      <c r="E4547" s="196">
        <v>0</v>
      </c>
      <c r="F4547" s="196">
        <v>0</v>
      </c>
      <c r="G4547" s="196">
        <v>-290000</v>
      </c>
    </row>
    <row r="4548" spans="1:7" x14ac:dyDescent="0.3">
      <c r="A4548" s="198">
        <v>34374299</v>
      </c>
      <c r="B4548" s="192" t="s">
        <v>3029</v>
      </c>
      <c r="C4548" s="196">
        <v>-50900</v>
      </c>
      <c r="D4548" s="196">
        <v>0</v>
      </c>
      <c r="E4548" s="196">
        <v>0</v>
      </c>
      <c r="F4548" s="196">
        <v>0</v>
      </c>
      <c r="G4548" s="196">
        <v>-50900</v>
      </c>
    </row>
    <row r="4549" spans="1:7" x14ac:dyDescent="0.3">
      <c r="A4549" s="198">
        <v>1127959359</v>
      </c>
      <c r="B4549" s="192" t="s">
        <v>3030</v>
      </c>
      <c r="C4549" s="196">
        <v>-171600</v>
      </c>
      <c r="D4549" s="196">
        <v>0</v>
      </c>
      <c r="E4549" s="196">
        <v>0</v>
      </c>
      <c r="F4549" s="196">
        <v>0</v>
      </c>
      <c r="G4549" s="196">
        <v>-171600</v>
      </c>
    </row>
    <row r="4550" spans="1:7" x14ac:dyDescent="0.3">
      <c r="A4550" s="198">
        <v>42889411</v>
      </c>
      <c r="B4550" s="192" t="s">
        <v>402</v>
      </c>
      <c r="C4550" s="196">
        <v>-270001</v>
      </c>
      <c r="D4550" s="196">
        <v>0</v>
      </c>
      <c r="E4550" s="196">
        <v>0</v>
      </c>
      <c r="F4550" s="196">
        <v>0</v>
      </c>
      <c r="G4550" s="196">
        <v>-270001</v>
      </c>
    </row>
    <row r="4551" spans="1:7" x14ac:dyDescent="0.3">
      <c r="A4551" s="198">
        <v>21599449</v>
      </c>
      <c r="B4551" s="192" t="s">
        <v>403</v>
      </c>
      <c r="C4551" s="196">
        <v>-319001</v>
      </c>
      <c r="D4551" s="196">
        <v>0</v>
      </c>
      <c r="E4551" s="196">
        <v>0</v>
      </c>
      <c r="F4551" s="196">
        <v>0</v>
      </c>
      <c r="G4551" s="196">
        <v>-319001</v>
      </c>
    </row>
    <row r="4552" spans="1:7" x14ac:dyDescent="0.3">
      <c r="A4552" s="198">
        <v>42767034</v>
      </c>
      <c r="B4552" s="192" t="s">
        <v>3031</v>
      </c>
      <c r="C4552" s="196">
        <v>-101800</v>
      </c>
      <c r="D4552" s="196">
        <v>0</v>
      </c>
      <c r="E4552" s="196">
        <v>0</v>
      </c>
      <c r="F4552" s="196">
        <v>0</v>
      </c>
      <c r="G4552" s="196">
        <v>-101800</v>
      </c>
    </row>
    <row r="4553" spans="1:7" x14ac:dyDescent="0.3">
      <c r="A4553" s="198">
        <v>43644070</v>
      </c>
      <c r="B4553" s="192" t="s">
        <v>3032</v>
      </c>
      <c r="C4553" s="196">
        <v>-38400</v>
      </c>
      <c r="D4553" s="196">
        <v>0</v>
      </c>
      <c r="E4553" s="196">
        <v>0</v>
      </c>
      <c r="F4553" s="196">
        <v>0</v>
      </c>
      <c r="G4553" s="196">
        <v>-38400</v>
      </c>
    </row>
    <row r="4554" spans="1:7" x14ac:dyDescent="0.3">
      <c r="A4554" s="198">
        <v>43523385</v>
      </c>
      <c r="B4554" s="192" t="s">
        <v>3033</v>
      </c>
      <c r="C4554" s="196">
        <v>-38400</v>
      </c>
      <c r="D4554" s="196">
        <v>0</v>
      </c>
      <c r="E4554" s="196">
        <v>0</v>
      </c>
      <c r="F4554" s="196">
        <v>0</v>
      </c>
      <c r="G4554" s="196">
        <v>-38400</v>
      </c>
    </row>
    <row r="4555" spans="1:7" x14ac:dyDescent="0.3">
      <c r="A4555" s="198">
        <v>31134111</v>
      </c>
      <c r="B4555" s="192" t="s">
        <v>404</v>
      </c>
      <c r="C4555" s="196">
        <v>-114400</v>
      </c>
      <c r="D4555" s="196">
        <v>0</v>
      </c>
      <c r="E4555" s="196">
        <v>0</v>
      </c>
      <c r="F4555" s="196">
        <v>0</v>
      </c>
      <c r="G4555" s="196">
        <v>-114400</v>
      </c>
    </row>
    <row r="4556" spans="1:7" x14ac:dyDescent="0.3">
      <c r="A4556" s="198">
        <v>24339602</v>
      </c>
      <c r="B4556" s="192" t="s">
        <v>3034</v>
      </c>
      <c r="C4556" s="196">
        <v>-50900</v>
      </c>
      <c r="D4556" s="196">
        <v>0</v>
      </c>
      <c r="E4556" s="196">
        <v>0</v>
      </c>
      <c r="F4556" s="196">
        <v>0</v>
      </c>
      <c r="G4556" s="196">
        <v>-50900</v>
      </c>
    </row>
    <row r="4557" spans="1:7" x14ac:dyDescent="0.3">
      <c r="A4557" s="198">
        <v>1035015014</v>
      </c>
      <c r="B4557" s="192" t="s">
        <v>3035</v>
      </c>
      <c r="C4557" s="196">
        <v>-50900</v>
      </c>
      <c r="D4557" s="196">
        <v>0</v>
      </c>
      <c r="E4557" s="196">
        <v>0</v>
      </c>
      <c r="F4557" s="196">
        <v>0</v>
      </c>
      <c r="G4557" s="196">
        <v>-50900</v>
      </c>
    </row>
    <row r="4558" spans="1:7" x14ac:dyDescent="0.3">
      <c r="A4558" s="198">
        <v>43743985</v>
      </c>
      <c r="B4558" s="192" t="s">
        <v>3036</v>
      </c>
      <c r="C4558" s="196">
        <v>-50900</v>
      </c>
      <c r="D4558" s="196">
        <v>0</v>
      </c>
      <c r="E4558" s="196">
        <v>0</v>
      </c>
      <c r="F4558" s="196">
        <v>0</v>
      </c>
      <c r="G4558" s="196">
        <v>-50900</v>
      </c>
    </row>
    <row r="4559" spans="1:7" x14ac:dyDescent="0.3">
      <c r="A4559" s="198">
        <v>1127244545</v>
      </c>
      <c r="B4559" s="192" t="s">
        <v>3037</v>
      </c>
      <c r="C4559" s="196">
        <v>-270000</v>
      </c>
      <c r="D4559" s="196">
        <v>0</v>
      </c>
      <c r="E4559" s="196">
        <v>0</v>
      </c>
      <c r="F4559" s="196">
        <v>0</v>
      </c>
      <c r="G4559" s="196">
        <v>-270000</v>
      </c>
    </row>
    <row r="4560" spans="1:7" x14ac:dyDescent="0.3">
      <c r="A4560" s="198">
        <v>43323573</v>
      </c>
      <c r="B4560" s="192" t="s">
        <v>3038</v>
      </c>
      <c r="C4560" s="196">
        <v>-50900</v>
      </c>
      <c r="D4560" s="196">
        <v>0</v>
      </c>
      <c r="E4560" s="196">
        <v>0</v>
      </c>
      <c r="F4560" s="196">
        <v>0</v>
      </c>
      <c r="G4560" s="196">
        <v>-50900</v>
      </c>
    </row>
    <row r="4561" spans="1:7" x14ac:dyDescent="0.3">
      <c r="A4561" s="198">
        <v>1152442024</v>
      </c>
      <c r="B4561" s="192" t="s">
        <v>3039</v>
      </c>
      <c r="C4561" s="196">
        <v>-50900</v>
      </c>
      <c r="D4561" s="196">
        <v>0</v>
      </c>
      <c r="E4561" s="196">
        <v>0</v>
      </c>
      <c r="F4561" s="196">
        <v>0</v>
      </c>
      <c r="G4561" s="196">
        <v>-50900</v>
      </c>
    </row>
    <row r="4562" spans="1:7" x14ac:dyDescent="0.3">
      <c r="A4562" s="198">
        <v>1017146865</v>
      </c>
      <c r="B4562" s="192" t="s">
        <v>405</v>
      </c>
      <c r="C4562" s="196">
        <v>0</v>
      </c>
      <c r="D4562" s="196">
        <v>0</v>
      </c>
      <c r="E4562" s="196">
        <v>297000</v>
      </c>
      <c r="F4562" s="196">
        <v>-297000</v>
      </c>
      <c r="G4562" s="196">
        <v>-297000</v>
      </c>
    </row>
    <row r="4563" spans="1:7" x14ac:dyDescent="0.3">
      <c r="A4563" s="198">
        <v>1035388945</v>
      </c>
      <c r="B4563" s="192" t="s">
        <v>3040</v>
      </c>
      <c r="C4563" s="196">
        <v>-319000</v>
      </c>
      <c r="D4563" s="196">
        <v>0</v>
      </c>
      <c r="E4563" s="196">
        <v>0</v>
      </c>
      <c r="F4563" s="196">
        <v>0</v>
      </c>
      <c r="G4563" s="196">
        <v>-319000</v>
      </c>
    </row>
    <row r="4564" spans="1:7" x14ac:dyDescent="0.3">
      <c r="A4564" s="198">
        <v>43746229</v>
      </c>
      <c r="B4564" s="192" t="s">
        <v>3041</v>
      </c>
      <c r="C4564" s="196">
        <v>-100000</v>
      </c>
      <c r="D4564" s="196">
        <v>0</v>
      </c>
      <c r="E4564" s="196">
        <v>0</v>
      </c>
      <c r="F4564" s="196">
        <v>0</v>
      </c>
      <c r="G4564" s="196">
        <v>-100000</v>
      </c>
    </row>
    <row r="4565" spans="1:7" x14ac:dyDescent="0.3">
      <c r="A4565" s="198">
        <v>1037589144</v>
      </c>
      <c r="B4565" s="192" t="s">
        <v>3042</v>
      </c>
      <c r="C4565" s="196">
        <v>-47400</v>
      </c>
      <c r="D4565" s="196">
        <v>0</v>
      </c>
      <c r="E4565" s="196">
        <v>0</v>
      </c>
      <c r="F4565" s="196">
        <v>0</v>
      </c>
      <c r="G4565" s="196">
        <v>-47400</v>
      </c>
    </row>
    <row r="4566" spans="1:7" x14ac:dyDescent="0.3">
      <c r="A4566" s="198">
        <v>1039455529</v>
      </c>
      <c r="B4566" s="192" t="s">
        <v>407</v>
      </c>
      <c r="C4566" s="196">
        <v>-152700</v>
      </c>
      <c r="D4566" s="196">
        <v>0</v>
      </c>
      <c r="E4566" s="196">
        <v>50900</v>
      </c>
      <c r="F4566" s="196">
        <v>-50900</v>
      </c>
      <c r="G4566" s="196">
        <v>-203600</v>
      </c>
    </row>
    <row r="4567" spans="1:7" x14ac:dyDescent="0.3">
      <c r="A4567" s="198">
        <v>43871375</v>
      </c>
      <c r="B4567" s="192" t="s">
        <v>3043</v>
      </c>
      <c r="C4567" s="196">
        <v>-402700</v>
      </c>
      <c r="D4567" s="196">
        <v>0</v>
      </c>
      <c r="E4567" s="196">
        <v>0</v>
      </c>
      <c r="F4567" s="196">
        <v>0</v>
      </c>
      <c r="G4567" s="196">
        <v>-402700</v>
      </c>
    </row>
    <row r="4568" spans="1:7" x14ac:dyDescent="0.3">
      <c r="A4568" s="198">
        <v>1035436811</v>
      </c>
      <c r="B4568" s="192" t="s">
        <v>3044</v>
      </c>
      <c r="C4568" s="196">
        <v>-340000</v>
      </c>
      <c r="D4568" s="196">
        <v>0</v>
      </c>
      <c r="E4568" s="196">
        <v>0</v>
      </c>
      <c r="F4568" s="196">
        <v>0</v>
      </c>
      <c r="G4568" s="196">
        <v>-340000</v>
      </c>
    </row>
    <row r="4569" spans="1:7" x14ac:dyDescent="0.3">
      <c r="A4569" s="198">
        <v>43974663</v>
      </c>
      <c r="B4569" s="192" t="s">
        <v>3045</v>
      </c>
      <c r="C4569" s="196">
        <v>-47400</v>
      </c>
      <c r="D4569" s="196">
        <v>0</v>
      </c>
      <c r="E4569" s="196">
        <v>0</v>
      </c>
      <c r="F4569" s="196">
        <v>0</v>
      </c>
      <c r="G4569" s="196">
        <v>-47400</v>
      </c>
    </row>
    <row r="4570" spans="1:7" x14ac:dyDescent="0.3">
      <c r="A4570" s="198">
        <v>1152456745</v>
      </c>
      <c r="B4570" s="192" t="s">
        <v>3046</v>
      </c>
      <c r="C4570" s="196">
        <v>-165000</v>
      </c>
      <c r="D4570" s="196">
        <v>0</v>
      </c>
      <c r="E4570" s="196">
        <v>0</v>
      </c>
      <c r="F4570" s="196">
        <v>0</v>
      </c>
      <c r="G4570" s="196">
        <v>-165000</v>
      </c>
    </row>
    <row r="4571" spans="1:7" x14ac:dyDescent="0.3">
      <c r="A4571" s="198">
        <v>22550237</v>
      </c>
      <c r="B4571" s="192" t="s">
        <v>408</v>
      </c>
      <c r="C4571" s="196">
        <v>-50900</v>
      </c>
      <c r="D4571" s="196">
        <v>0</v>
      </c>
      <c r="E4571" s="196">
        <v>50900</v>
      </c>
      <c r="F4571" s="196">
        <v>-50900</v>
      </c>
      <c r="G4571" s="196">
        <v>-101800</v>
      </c>
    </row>
    <row r="4572" spans="1:7" x14ac:dyDescent="0.3">
      <c r="A4572" s="198">
        <v>1128268581</v>
      </c>
      <c r="B4572" s="192" t="s">
        <v>3047</v>
      </c>
      <c r="C4572" s="196">
        <v>-100000</v>
      </c>
      <c r="D4572" s="196">
        <v>0</v>
      </c>
      <c r="E4572" s="196">
        <v>0</v>
      </c>
      <c r="F4572" s="196">
        <v>0</v>
      </c>
      <c r="G4572" s="196">
        <v>-100000</v>
      </c>
    </row>
    <row r="4573" spans="1:7" x14ac:dyDescent="0.3">
      <c r="A4573" s="198">
        <v>13108788</v>
      </c>
      <c r="B4573" s="192" t="s">
        <v>3048</v>
      </c>
      <c r="C4573" s="196">
        <v>-297000</v>
      </c>
      <c r="D4573" s="196">
        <v>0</v>
      </c>
      <c r="E4573" s="196">
        <v>0</v>
      </c>
      <c r="F4573" s="196">
        <v>0</v>
      </c>
      <c r="G4573" s="196">
        <v>-297000</v>
      </c>
    </row>
    <row r="4574" spans="1:7" x14ac:dyDescent="0.3">
      <c r="A4574" s="198">
        <v>43220956</v>
      </c>
      <c r="B4574" s="192" t="s">
        <v>3049</v>
      </c>
      <c r="C4574" s="196">
        <v>-50900</v>
      </c>
      <c r="D4574" s="196">
        <v>0</v>
      </c>
      <c r="E4574" s="196">
        <v>0</v>
      </c>
      <c r="F4574" s="196">
        <v>0</v>
      </c>
      <c r="G4574" s="196">
        <v>-50900</v>
      </c>
    </row>
    <row r="4575" spans="1:7" x14ac:dyDescent="0.3">
      <c r="A4575" s="198">
        <v>43982984</v>
      </c>
      <c r="B4575" s="192" t="s">
        <v>411</v>
      </c>
      <c r="C4575" s="196">
        <v>-50900</v>
      </c>
      <c r="D4575" s="196">
        <v>0</v>
      </c>
      <c r="E4575" s="196">
        <v>50900</v>
      </c>
      <c r="F4575" s="196">
        <v>-50900</v>
      </c>
      <c r="G4575" s="196">
        <v>-101800</v>
      </c>
    </row>
    <row r="4576" spans="1:7" x14ac:dyDescent="0.3">
      <c r="A4576" s="198">
        <v>43156430</v>
      </c>
      <c r="B4576" s="192" t="s">
        <v>3050</v>
      </c>
      <c r="C4576" s="196">
        <v>-50900</v>
      </c>
      <c r="D4576" s="196">
        <v>0</v>
      </c>
      <c r="E4576" s="196">
        <v>0</v>
      </c>
      <c r="F4576" s="196">
        <v>0</v>
      </c>
      <c r="G4576" s="196">
        <v>-50900</v>
      </c>
    </row>
    <row r="4577" spans="1:7" x14ac:dyDescent="0.3">
      <c r="A4577" s="198">
        <v>1042768267</v>
      </c>
      <c r="B4577" s="192" t="s">
        <v>3051</v>
      </c>
      <c r="C4577" s="196">
        <v>-266800</v>
      </c>
      <c r="D4577" s="196">
        <v>0</v>
      </c>
      <c r="E4577" s="196">
        <v>0</v>
      </c>
      <c r="F4577" s="196">
        <v>0</v>
      </c>
      <c r="G4577" s="196">
        <v>-266800</v>
      </c>
    </row>
    <row r="4578" spans="1:7" x14ac:dyDescent="0.3">
      <c r="A4578" s="198">
        <v>1037632094</v>
      </c>
      <c r="B4578" s="192" t="s">
        <v>3052</v>
      </c>
      <c r="C4578" s="196">
        <v>-50900</v>
      </c>
      <c r="D4578" s="196">
        <v>0</v>
      </c>
      <c r="E4578" s="196">
        <v>0</v>
      </c>
      <c r="F4578" s="196">
        <v>0</v>
      </c>
      <c r="G4578" s="196">
        <v>-50900</v>
      </c>
    </row>
    <row r="4579" spans="1:7" x14ac:dyDescent="0.3">
      <c r="A4579" s="198">
        <v>1017206692</v>
      </c>
      <c r="B4579" s="192" t="s">
        <v>3053</v>
      </c>
      <c r="C4579" s="196">
        <v>-110000</v>
      </c>
      <c r="D4579" s="196">
        <v>0</v>
      </c>
      <c r="E4579" s="196">
        <v>0</v>
      </c>
      <c r="F4579" s="196">
        <v>0</v>
      </c>
      <c r="G4579" s="196">
        <v>-110000</v>
      </c>
    </row>
    <row r="4580" spans="1:7" x14ac:dyDescent="0.3">
      <c r="A4580" s="198">
        <v>1036643261</v>
      </c>
      <c r="B4580" s="192" t="s">
        <v>412</v>
      </c>
      <c r="C4580" s="196">
        <v>0</v>
      </c>
      <c r="D4580" s="196">
        <v>0</v>
      </c>
      <c r="E4580" s="196">
        <v>50900</v>
      </c>
      <c r="F4580" s="196">
        <v>-50900</v>
      </c>
      <c r="G4580" s="196">
        <v>-50900</v>
      </c>
    </row>
    <row r="4581" spans="1:7" x14ac:dyDescent="0.3">
      <c r="A4581" s="198">
        <v>43874917</v>
      </c>
      <c r="B4581" s="192" t="s">
        <v>413</v>
      </c>
      <c r="C4581" s="196">
        <v>0</v>
      </c>
      <c r="D4581" s="196">
        <v>0</v>
      </c>
      <c r="E4581" s="196">
        <v>50900</v>
      </c>
      <c r="F4581" s="196">
        <v>-50900</v>
      </c>
      <c r="G4581" s="196">
        <v>-50900</v>
      </c>
    </row>
    <row r="4582" spans="1:7" x14ac:dyDescent="0.3">
      <c r="A4582" s="198">
        <v>1039451040</v>
      </c>
      <c r="B4582" s="192" t="s">
        <v>414</v>
      </c>
      <c r="C4582" s="196">
        <v>0</v>
      </c>
      <c r="D4582" s="196">
        <v>0</v>
      </c>
      <c r="E4582" s="196">
        <v>50900</v>
      </c>
      <c r="F4582" s="196">
        <v>-50900</v>
      </c>
      <c r="G4582" s="196">
        <v>-50900</v>
      </c>
    </row>
    <row r="4583" spans="1:7" x14ac:dyDescent="0.3">
      <c r="A4583" s="198">
        <v>43878205</v>
      </c>
      <c r="B4583" s="192" t="s">
        <v>3054</v>
      </c>
      <c r="C4583" s="196">
        <v>-47400</v>
      </c>
      <c r="D4583" s="196">
        <v>0</v>
      </c>
      <c r="E4583" s="196">
        <v>0</v>
      </c>
      <c r="F4583" s="196">
        <v>0</v>
      </c>
      <c r="G4583" s="196">
        <v>-47400</v>
      </c>
    </row>
    <row r="4584" spans="1:7" x14ac:dyDescent="0.3">
      <c r="A4584" s="198">
        <v>43978326</v>
      </c>
      <c r="B4584" s="192" t="s">
        <v>3055</v>
      </c>
      <c r="C4584" s="196">
        <v>-152700</v>
      </c>
      <c r="D4584" s="196">
        <v>0</v>
      </c>
      <c r="E4584" s="196">
        <v>0</v>
      </c>
      <c r="F4584" s="196">
        <v>0</v>
      </c>
      <c r="G4584" s="196">
        <v>-152700</v>
      </c>
    </row>
    <row r="4585" spans="1:7" x14ac:dyDescent="0.3">
      <c r="A4585" s="198">
        <v>43201681</v>
      </c>
      <c r="B4585" s="192" t="s">
        <v>3056</v>
      </c>
      <c r="C4585" s="196">
        <v>-50900</v>
      </c>
      <c r="D4585" s="196">
        <v>0</v>
      </c>
      <c r="E4585" s="196">
        <v>0</v>
      </c>
      <c r="F4585" s="196">
        <v>0</v>
      </c>
      <c r="G4585" s="196">
        <v>-50900</v>
      </c>
    </row>
    <row r="4586" spans="1:7" x14ac:dyDescent="0.3">
      <c r="A4586" s="198">
        <v>52270254</v>
      </c>
      <c r="B4586" s="192" t="s">
        <v>3057</v>
      </c>
      <c r="C4586" s="196">
        <v>-95700</v>
      </c>
      <c r="D4586" s="196">
        <v>0</v>
      </c>
      <c r="E4586" s="196">
        <v>0</v>
      </c>
      <c r="F4586" s="196">
        <v>0</v>
      </c>
      <c r="G4586" s="196">
        <v>-95700</v>
      </c>
    </row>
    <row r="4587" spans="1:7" x14ac:dyDescent="0.3">
      <c r="A4587" s="198">
        <v>531010432</v>
      </c>
      <c r="B4587" s="192" t="s">
        <v>3058</v>
      </c>
      <c r="C4587" s="196">
        <v>-297000</v>
      </c>
      <c r="D4587" s="196">
        <v>0</v>
      </c>
      <c r="E4587" s="196">
        <v>0</v>
      </c>
      <c r="F4587" s="196">
        <v>0</v>
      </c>
      <c r="G4587" s="196">
        <v>-297000</v>
      </c>
    </row>
    <row r="4588" spans="1:7" x14ac:dyDescent="0.3">
      <c r="A4588" s="198">
        <v>32241583</v>
      </c>
      <c r="B4588" s="192" t="s">
        <v>3059</v>
      </c>
      <c r="C4588" s="196">
        <v>-50900</v>
      </c>
      <c r="D4588" s="196">
        <v>0</v>
      </c>
      <c r="E4588" s="196">
        <v>0</v>
      </c>
      <c r="F4588" s="196">
        <v>0</v>
      </c>
      <c r="G4588" s="196">
        <v>-50900</v>
      </c>
    </row>
    <row r="4589" spans="1:7" x14ac:dyDescent="0.3">
      <c r="A4589" s="198">
        <v>43870429</v>
      </c>
      <c r="B4589" s="192" t="s">
        <v>415</v>
      </c>
      <c r="C4589" s="196">
        <v>0</v>
      </c>
      <c r="D4589" s="196">
        <v>0</v>
      </c>
      <c r="E4589" s="196">
        <v>50900</v>
      </c>
      <c r="F4589" s="196">
        <v>-50900</v>
      </c>
      <c r="G4589" s="196">
        <v>-50900</v>
      </c>
    </row>
    <row r="4590" spans="1:7" x14ac:dyDescent="0.3">
      <c r="A4590" s="198">
        <v>1037582660</v>
      </c>
      <c r="B4590" s="192" t="s">
        <v>3060</v>
      </c>
      <c r="C4590" s="196">
        <v>-41400</v>
      </c>
      <c r="D4590" s="196">
        <v>0</v>
      </c>
      <c r="E4590" s="196">
        <v>0</v>
      </c>
      <c r="F4590" s="196">
        <v>0</v>
      </c>
      <c r="G4590" s="196">
        <v>-41400</v>
      </c>
    </row>
    <row r="4591" spans="1:7" x14ac:dyDescent="0.3">
      <c r="A4591" s="198">
        <v>43869870</v>
      </c>
      <c r="B4591" s="192" t="s">
        <v>3061</v>
      </c>
      <c r="C4591" s="196">
        <v>-50900</v>
      </c>
      <c r="D4591" s="196">
        <v>0</v>
      </c>
      <c r="E4591" s="196">
        <v>0</v>
      </c>
      <c r="F4591" s="196">
        <v>0</v>
      </c>
      <c r="G4591" s="196">
        <v>-50900</v>
      </c>
    </row>
    <row r="4592" spans="1:7" x14ac:dyDescent="0.3">
      <c r="A4592" s="198">
        <v>43720951</v>
      </c>
      <c r="B4592" s="192" t="s">
        <v>3062</v>
      </c>
      <c r="C4592" s="196">
        <v>-50900</v>
      </c>
      <c r="D4592" s="196">
        <v>0</v>
      </c>
      <c r="E4592" s="196">
        <v>0</v>
      </c>
      <c r="F4592" s="196">
        <v>0</v>
      </c>
      <c r="G4592" s="196">
        <v>-50900</v>
      </c>
    </row>
    <row r="4593" spans="1:7" x14ac:dyDescent="0.3">
      <c r="A4593" s="198">
        <v>1000748590</v>
      </c>
      <c r="B4593" s="192" t="s">
        <v>416</v>
      </c>
      <c r="C4593" s="196">
        <v>0</v>
      </c>
      <c r="D4593" s="196">
        <v>0</v>
      </c>
      <c r="E4593" s="196">
        <v>297000</v>
      </c>
      <c r="F4593" s="196">
        <v>-297000</v>
      </c>
      <c r="G4593" s="196">
        <v>-297000</v>
      </c>
    </row>
    <row r="4594" spans="1:7" x14ac:dyDescent="0.3">
      <c r="A4594" s="198">
        <v>1152457182</v>
      </c>
      <c r="B4594" s="192" t="s">
        <v>3063</v>
      </c>
      <c r="C4594" s="196">
        <v>-57200</v>
      </c>
      <c r="D4594" s="196">
        <v>0</v>
      </c>
      <c r="E4594" s="196">
        <v>0</v>
      </c>
      <c r="F4594" s="196">
        <v>0</v>
      </c>
      <c r="G4594" s="196">
        <v>-57200</v>
      </c>
    </row>
    <row r="4595" spans="1:7" x14ac:dyDescent="0.3">
      <c r="A4595" s="198">
        <v>1039471719</v>
      </c>
      <c r="B4595" s="192" t="s">
        <v>3064</v>
      </c>
      <c r="C4595" s="196">
        <v>-57200</v>
      </c>
      <c r="D4595" s="196">
        <v>0</v>
      </c>
      <c r="E4595" s="196">
        <v>0</v>
      </c>
      <c r="F4595" s="196">
        <v>0</v>
      </c>
      <c r="G4595" s="196">
        <v>-57200</v>
      </c>
    </row>
    <row r="4596" spans="1:7" x14ac:dyDescent="0.3">
      <c r="A4596" s="198">
        <v>43614504</v>
      </c>
      <c r="B4596" s="192" t="s">
        <v>3065</v>
      </c>
      <c r="C4596" s="196">
        <v>-50900</v>
      </c>
      <c r="D4596" s="196">
        <v>0</v>
      </c>
      <c r="E4596" s="196">
        <v>0</v>
      </c>
      <c r="F4596" s="196">
        <v>0</v>
      </c>
      <c r="G4596" s="196">
        <v>-50900</v>
      </c>
    </row>
    <row r="4597" spans="1:7" x14ac:dyDescent="0.3">
      <c r="A4597" s="198">
        <v>43628651</v>
      </c>
      <c r="B4597" s="192" t="s">
        <v>3066</v>
      </c>
      <c r="C4597" s="196">
        <v>-50900</v>
      </c>
      <c r="D4597" s="196">
        <v>0</v>
      </c>
      <c r="E4597" s="196">
        <v>0</v>
      </c>
      <c r="F4597" s="196">
        <v>0</v>
      </c>
      <c r="G4597" s="196">
        <v>-50900</v>
      </c>
    </row>
    <row r="4598" spans="1:7" x14ac:dyDescent="0.3">
      <c r="A4598" s="192" t="s">
        <v>3067</v>
      </c>
      <c r="B4598" s="192" t="s">
        <v>3068</v>
      </c>
      <c r="C4598" s="196">
        <v>-297000</v>
      </c>
      <c r="D4598" s="196">
        <v>0</v>
      </c>
      <c r="E4598" s="196">
        <v>0</v>
      </c>
      <c r="F4598" s="196">
        <v>0</v>
      </c>
      <c r="G4598" s="196">
        <v>-297000</v>
      </c>
    </row>
    <row r="4599" spans="1:7" x14ac:dyDescent="0.3">
      <c r="A4599" s="198">
        <v>43278671</v>
      </c>
      <c r="B4599" s="192" t="s">
        <v>417</v>
      </c>
      <c r="C4599" s="196">
        <v>0</v>
      </c>
      <c r="D4599" s="196">
        <v>0</v>
      </c>
      <c r="E4599" s="196">
        <v>45000</v>
      </c>
      <c r="F4599" s="196">
        <v>-45000</v>
      </c>
      <c r="G4599" s="196">
        <v>-45000</v>
      </c>
    </row>
    <row r="4600" spans="1:7" x14ac:dyDescent="0.3">
      <c r="A4600" s="198">
        <v>43639936</v>
      </c>
      <c r="B4600" s="192" t="s">
        <v>3069</v>
      </c>
      <c r="C4600" s="196">
        <v>-50900</v>
      </c>
      <c r="D4600" s="196">
        <v>0</v>
      </c>
      <c r="E4600" s="196">
        <v>0</v>
      </c>
      <c r="F4600" s="196">
        <v>0</v>
      </c>
      <c r="G4600" s="196">
        <v>-50900</v>
      </c>
    </row>
    <row r="4601" spans="1:7" x14ac:dyDescent="0.3">
      <c r="A4601" s="198">
        <v>43869069</v>
      </c>
      <c r="B4601" s="192" t="s">
        <v>3070</v>
      </c>
      <c r="C4601" s="196">
        <v>-207900</v>
      </c>
      <c r="D4601" s="196">
        <v>0</v>
      </c>
      <c r="E4601" s="196">
        <v>0</v>
      </c>
      <c r="F4601" s="196">
        <v>0</v>
      </c>
      <c r="G4601" s="196">
        <v>-207900</v>
      </c>
    </row>
    <row r="4602" spans="1:7" x14ac:dyDescent="0.3">
      <c r="A4602" s="198">
        <v>43866391</v>
      </c>
      <c r="B4602" s="192" t="s">
        <v>3071</v>
      </c>
      <c r="C4602" s="196">
        <v>-50900</v>
      </c>
      <c r="D4602" s="196">
        <v>0</v>
      </c>
      <c r="E4602" s="196">
        <v>0</v>
      </c>
      <c r="F4602" s="196">
        <v>0</v>
      </c>
      <c r="G4602" s="196">
        <v>-50900</v>
      </c>
    </row>
    <row r="4603" spans="1:7" x14ac:dyDescent="0.3">
      <c r="A4603" s="198">
        <v>43614881</v>
      </c>
      <c r="B4603" s="192" t="s">
        <v>419</v>
      </c>
      <c r="C4603" s="196">
        <v>0</v>
      </c>
      <c r="D4603" s="196">
        <v>0</v>
      </c>
      <c r="E4603" s="196">
        <v>50900</v>
      </c>
      <c r="F4603" s="196">
        <v>-50900</v>
      </c>
      <c r="G4603" s="196">
        <v>-50900</v>
      </c>
    </row>
    <row r="4604" spans="1:7" x14ac:dyDescent="0.3">
      <c r="A4604" s="198">
        <v>1036778931</v>
      </c>
      <c r="B4604" s="192" t="s">
        <v>3072</v>
      </c>
      <c r="C4604" s="196">
        <v>-47400</v>
      </c>
      <c r="D4604" s="196">
        <v>0</v>
      </c>
      <c r="E4604" s="196">
        <v>0</v>
      </c>
      <c r="F4604" s="196">
        <v>0</v>
      </c>
      <c r="G4604" s="196">
        <v>-47400</v>
      </c>
    </row>
    <row r="4605" spans="1:7" x14ac:dyDescent="0.3">
      <c r="A4605" s="198">
        <v>32183706</v>
      </c>
      <c r="B4605" s="192" t="s">
        <v>3073</v>
      </c>
      <c r="C4605" s="196">
        <v>-47400</v>
      </c>
      <c r="D4605" s="196">
        <v>0</v>
      </c>
      <c r="E4605" s="196">
        <v>0</v>
      </c>
      <c r="F4605" s="196">
        <v>0</v>
      </c>
      <c r="G4605" s="196">
        <v>-47400</v>
      </c>
    </row>
    <row r="4606" spans="1:7" x14ac:dyDescent="0.3">
      <c r="A4606" s="198">
        <v>1152201612</v>
      </c>
      <c r="B4606" s="192" t="s">
        <v>3074</v>
      </c>
      <c r="C4606" s="196">
        <v>-50900</v>
      </c>
      <c r="D4606" s="196">
        <v>0</v>
      </c>
      <c r="E4606" s="196">
        <v>0</v>
      </c>
      <c r="F4606" s="196">
        <v>0</v>
      </c>
      <c r="G4606" s="196">
        <v>-50900</v>
      </c>
    </row>
    <row r="4607" spans="1:7" x14ac:dyDescent="0.3">
      <c r="A4607" s="198">
        <v>43879237</v>
      </c>
      <c r="B4607" s="192" t="s">
        <v>3075</v>
      </c>
      <c r="C4607" s="196">
        <v>-47400</v>
      </c>
      <c r="D4607" s="196">
        <v>0</v>
      </c>
      <c r="E4607" s="196">
        <v>0</v>
      </c>
      <c r="F4607" s="196">
        <v>0</v>
      </c>
      <c r="G4607" s="196">
        <v>-47400</v>
      </c>
    </row>
    <row r="4608" spans="1:7" x14ac:dyDescent="0.3">
      <c r="A4608" s="198">
        <v>43603832</v>
      </c>
      <c r="B4608" s="192" t="s">
        <v>3076</v>
      </c>
      <c r="C4608" s="196">
        <v>-50900</v>
      </c>
      <c r="D4608" s="196">
        <v>0</v>
      </c>
      <c r="E4608" s="196">
        <v>0</v>
      </c>
      <c r="F4608" s="196">
        <v>0</v>
      </c>
      <c r="G4608" s="196">
        <v>-50900</v>
      </c>
    </row>
    <row r="4609" spans="1:7" x14ac:dyDescent="0.3">
      <c r="A4609" s="198">
        <v>43554919</v>
      </c>
      <c r="B4609" s="192" t="s">
        <v>3077</v>
      </c>
      <c r="C4609" s="196">
        <v>-57200</v>
      </c>
      <c r="D4609" s="196">
        <v>0</v>
      </c>
      <c r="E4609" s="196">
        <v>0</v>
      </c>
      <c r="F4609" s="196">
        <v>0</v>
      </c>
      <c r="G4609" s="196">
        <v>-57200</v>
      </c>
    </row>
    <row r="4610" spans="1:7" x14ac:dyDescent="0.3">
      <c r="A4610" s="198">
        <v>32242053</v>
      </c>
      <c r="B4610" s="192" t="s">
        <v>3078</v>
      </c>
      <c r="C4610" s="196">
        <v>-47400</v>
      </c>
      <c r="D4610" s="196">
        <v>0</v>
      </c>
      <c r="E4610" s="196">
        <v>0</v>
      </c>
      <c r="F4610" s="196">
        <v>0</v>
      </c>
      <c r="G4610" s="196">
        <v>-47400</v>
      </c>
    </row>
    <row r="4611" spans="1:7" x14ac:dyDescent="0.3">
      <c r="A4611" s="198">
        <v>39179617</v>
      </c>
      <c r="B4611" s="192" t="s">
        <v>3079</v>
      </c>
      <c r="C4611" s="196">
        <v>-47400</v>
      </c>
      <c r="D4611" s="196">
        <v>0</v>
      </c>
      <c r="E4611" s="196">
        <v>0</v>
      </c>
      <c r="F4611" s="196">
        <v>0</v>
      </c>
      <c r="G4611" s="196">
        <v>-47400</v>
      </c>
    </row>
    <row r="4612" spans="1:7" x14ac:dyDescent="0.3">
      <c r="A4612" s="198">
        <v>1017201855</v>
      </c>
      <c r="B4612" s="192" t="s">
        <v>3080</v>
      </c>
      <c r="C4612" s="196">
        <v>-165000</v>
      </c>
      <c r="D4612" s="196">
        <v>0</v>
      </c>
      <c r="E4612" s="196">
        <v>0</v>
      </c>
      <c r="F4612" s="196">
        <v>0</v>
      </c>
      <c r="G4612" s="196">
        <v>-165000</v>
      </c>
    </row>
    <row r="4613" spans="1:7" x14ac:dyDescent="0.3">
      <c r="A4613" s="198">
        <v>1040747474</v>
      </c>
      <c r="B4613" s="192" t="s">
        <v>3081</v>
      </c>
      <c r="C4613" s="196">
        <v>-47000</v>
      </c>
      <c r="D4613" s="196">
        <v>0</v>
      </c>
      <c r="E4613" s="196">
        <v>0</v>
      </c>
      <c r="F4613" s="196">
        <v>0</v>
      </c>
      <c r="G4613" s="196">
        <v>-47000</v>
      </c>
    </row>
    <row r="4614" spans="1:7" x14ac:dyDescent="0.3">
      <c r="A4614" s="198">
        <v>43617422</v>
      </c>
      <c r="B4614" s="192" t="s">
        <v>3082</v>
      </c>
      <c r="C4614" s="196">
        <v>-101800</v>
      </c>
      <c r="D4614" s="196">
        <v>0</v>
      </c>
      <c r="E4614" s="196">
        <v>0</v>
      </c>
      <c r="F4614" s="196">
        <v>0</v>
      </c>
      <c r="G4614" s="196">
        <v>-101800</v>
      </c>
    </row>
    <row r="4615" spans="1:7" x14ac:dyDescent="0.3">
      <c r="A4615" s="198">
        <v>20940527</v>
      </c>
      <c r="B4615" s="192" t="s">
        <v>421</v>
      </c>
      <c r="C4615" s="196">
        <v>0</v>
      </c>
      <c r="D4615" s="196">
        <v>0</v>
      </c>
      <c r="E4615" s="196">
        <v>297000</v>
      </c>
      <c r="F4615" s="196">
        <v>-297000</v>
      </c>
      <c r="G4615" s="196">
        <v>-297000</v>
      </c>
    </row>
    <row r="4616" spans="1:7" x14ac:dyDescent="0.3">
      <c r="A4616" s="198">
        <v>43206099</v>
      </c>
      <c r="B4616" s="192" t="s">
        <v>3083</v>
      </c>
      <c r="C4616" s="196">
        <v>-88000</v>
      </c>
      <c r="D4616" s="196">
        <v>0</v>
      </c>
      <c r="E4616" s="196">
        <v>0</v>
      </c>
      <c r="F4616" s="196">
        <v>0</v>
      </c>
      <c r="G4616" s="196">
        <v>-88000</v>
      </c>
    </row>
    <row r="4617" spans="1:7" x14ac:dyDescent="0.3">
      <c r="A4617" s="198">
        <v>1035020341</v>
      </c>
      <c r="B4617" s="192" t="s">
        <v>3084</v>
      </c>
      <c r="C4617" s="196">
        <v>-50900</v>
      </c>
      <c r="D4617" s="196">
        <v>0</v>
      </c>
      <c r="E4617" s="196">
        <v>0</v>
      </c>
      <c r="F4617" s="196">
        <v>0</v>
      </c>
      <c r="G4617" s="196">
        <v>-50900</v>
      </c>
    </row>
    <row r="4618" spans="1:7" x14ac:dyDescent="0.3">
      <c r="A4618" s="198">
        <v>1109555686</v>
      </c>
      <c r="B4618" s="192" t="s">
        <v>3085</v>
      </c>
      <c r="C4618" s="196">
        <v>-50900</v>
      </c>
      <c r="D4618" s="196">
        <v>0</v>
      </c>
      <c r="E4618" s="196">
        <v>0</v>
      </c>
      <c r="F4618" s="196">
        <v>0</v>
      </c>
      <c r="G4618" s="196">
        <v>-50900</v>
      </c>
    </row>
    <row r="4619" spans="1:7" x14ac:dyDescent="0.3">
      <c r="A4619" s="198">
        <v>1032036463</v>
      </c>
      <c r="B4619" s="192" t="s">
        <v>3086</v>
      </c>
      <c r="C4619" s="196">
        <v>-340000</v>
      </c>
      <c r="D4619" s="196">
        <v>0</v>
      </c>
      <c r="E4619" s="196">
        <v>0</v>
      </c>
      <c r="F4619" s="196">
        <v>0</v>
      </c>
      <c r="G4619" s="196">
        <v>-340000</v>
      </c>
    </row>
    <row r="4620" spans="1:7" x14ac:dyDescent="0.3">
      <c r="A4620" s="198">
        <v>1035012156</v>
      </c>
      <c r="B4620" s="192" t="s">
        <v>3087</v>
      </c>
      <c r="C4620" s="196">
        <v>-50900</v>
      </c>
      <c r="D4620" s="196">
        <v>0</v>
      </c>
      <c r="E4620" s="196">
        <v>0</v>
      </c>
      <c r="F4620" s="196">
        <v>0</v>
      </c>
      <c r="G4620" s="196">
        <v>-50900</v>
      </c>
    </row>
    <row r="4621" spans="1:7" x14ac:dyDescent="0.3">
      <c r="A4621" s="198">
        <v>1021937932</v>
      </c>
      <c r="B4621" s="192" t="s">
        <v>3088</v>
      </c>
      <c r="C4621" s="196">
        <v>-47400</v>
      </c>
      <c r="D4621" s="196">
        <v>0</v>
      </c>
      <c r="E4621" s="196">
        <v>0</v>
      </c>
      <c r="F4621" s="196">
        <v>0</v>
      </c>
      <c r="G4621" s="196">
        <v>-47400</v>
      </c>
    </row>
    <row r="4622" spans="1:7" x14ac:dyDescent="0.3">
      <c r="A4622" s="198">
        <v>1218963110</v>
      </c>
      <c r="B4622" s="192" t="s">
        <v>3089</v>
      </c>
      <c r="C4622" s="196">
        <v>-270000</v>
      </c>
      <c r="D4622" s="196">
        <v>0</v>
      </c>
      <c r="E4622" s="196">
        <v>0</v>
      </c>
      <c r="F4622" s="196">
        <v>0</v>
      </c>
      <c r="G4622" s="196">
        <v>-270000</v>
      </c>
    </row>
    <row r="4623" spans="1:7" x14ac:dyDescent="0.3">
      <c r="A4623" s="198">
        <v>1035013831</v>
      </c>
      <c r="B4623" s="192" t="s">
        <v>3090</v>
      </c>
      <c r="C4623" s="196">
        <v>-50900</v>
      </c>
      <c r="D4623" s="196">
        <v>0</v>
      </c>
      <c r="E4623" s="196">
        <v>0</v>
      </c>
      <c r="F4623" s="196">
        <v>0</v>
      </c>
      <c r="G4623" s="196">
        <v>-50900</v>
      </c>
    </row>
    <row r="4624" spans="1:7" x14ac:dyDescent="0.3">
      <c r="A4624" s="198">
        <v>1034998967</v>
      </c>
      <c r="B4624" s="192" t="s">
        <v>3091</v>
      </c>
      <c r="C4624" s="196">
        <v>-50900</v>
      </c>
      <c r="D4624" s="196">
        <v>0</v>
      </c>
      <c r="E4624" s="196">
        <v>0</v>
      </c>
      <c r="F4624" s="196">
        <v>0</v>
      </c>
      <c r="G4624" s="196">
        <v>-50900</v>
      </c>
    </row>
    <row r="4625" spans="1:7" x14ac:dyDescent="0.3">
      <c r="A4625" s="198">
        <v>1035014543</v>
      </c>
      <c r="B4625" s="192" t="s">
        <v>422</v>
      </c>
      <c r="C4625" s="196">
        <v>0</v>
      </c>
      <c r="D4625" s="196">
        <v>0</v>
      </c>
      <c r="E4625" s="196">
        <v>136666</v>
      </c>
      <c r="F4625" s="196">
        <v>-136666</v>
      </c>
      <c r="G4625" s="196">
        <v>-136666</v>
      </c>
    </row>
    <row r="4626" spans="1:7" x14ac:dyDescent="0.3">
      <c r="A4626" s="198">
        <v>1020327750</v>
      </c>
      <c r="B4626" s="192" t="s">
        <v>3092</v>
      </c>
      <c r="C4626" s="196">
        <v>-50900</v>
      </c>
      <c r="D4626" s="196">
        <v>0</v>
      </c>
      <c r="E4626" s="196">
        <v>0</v>
      </c>
      <c r="F4626" s="196">
        <v>0</v>
      </c>
      <c r="G4626" s="196">
        <v>-50900</v>
      </c>
    </row>
    <row r="4627" spans="1:7" x14ac:dyDescent="0.3">
      <c r="A4627" s="198">
        <v>1035007806</v>
      </c>
      <c r="B4627" s="192" t="s">
        <v>3093</v>
      </c>
      <c r="C4627" s="196">
        <v>-50900</v>
      </c>
      <c r="D4627" s="196">
        <v>0</v>
      </c>
      <c r="E4627" s="196">
        <v>0</v>
      </c>
      <c r="F4627" s="196">
        <v>0</v>
      </c>
      <c r="G4627" s="196">
        <v>-50900</v>
      </c>
    </row>
    <row r="4628" spans="1:7" x14ac:dyDescent="0.3">
      <c r="A4628" s="198">
        <v>1023558483</v>
      </c>
      <c r="B4628" s="192" t="s">
        <v>3094</v>
      </c>
      <c r="C4628" s="196">
        <v>-340000</v>
      </c>
      <c r="D4628" s="196">
        <v>0</v>
      </c>
      <c r="E4628" s="196">
        <v>0</v>
      </c>
      <c r="F4628" s="196">
        <v>0</v>
      </c>
      <c r="G4628" s="196">
        <v>-340000</v>
      </c>
    </row>
    <row r="4629" spans="1:7" x14ac:dyDescent="0.3">
      <c r="A4629" s="198">
        <v>1035010050</v>
      </c>
      <c r="B4629" s="192" t="s">
        <v>3095</v>
      </c>
      <c r="C4629" s="196">
        <v>-50900</v>
      </c>
      <c r="D4629" s="196">
        <v>0</v>
      </c>
      <c r="E4629" s="196">
        <v>0</v>
      </c>
      <c r="F4629" s="196">
        <v>0</v>
      </c>
      <c r="G4629" s="196">
        <v>-50900</v>
      </c>
    </row>
    <row r="4630" spans="1:7" x14ac:dyDescent="0.3">
      <c r="A4630" s="198">
        <v>21334843</v>
      </c>
      <c r="B4630" s="192" t="s">
        <v>423</v>
      </c>
      <c r="C4630" s="196">
        <v>0</v>
      </c>
      <c r="D4630" s="196">
        <v>0</v>
      </c>
      <c r="E4630" s="196">
        <v>57200</v>
      </c>
      <c r="F4630" s="196">
        <v>-57200</v>
      </c>
      <c r="G4630" s="196">
        <v>-57200</v>
      </c>
    </row>
    <row r="4631" spans="1:7" x14ac:dyDescent="0.3">
      <c r="A4631" s="198">
        <v>32019542</v>
      </c>
      <c r="B4631" s="192" t="s">
        <v>3096</v>
      </c>
      <c r="C4631" s="196">
        <v>-270000</v>
      </c>
      <c r="D4631" s="196">
        <v>0</v>
      </c>
      <c r="E4631" s="196">
        <v>0</v>
      </c>
      <c r="F4631" s="196">
        <v>0</v>
      </c>
      <c r="G4631" s="196">
        <v>-270000</v>
      </c>
    </row>
    <row r="4632" spans="1:7" x14ac:dyDescent="0.3">
      <c r="A4632" s="198">
        <v>41339079</v>
      </c>
      <c r="B4632" s="192" t="s">
        <v>3097</v>
      </c>
      <c r="C4632" s="196">
        <v>-100000</v>
      </c>
      <c r="D4632" s="196">
        <v>0</v>
      </c>
      <c r="E4632" s="196">
        <v>0</v>
      </c>
      <c r="F4632" s="196">
        <v>0</v>
      </c>
      <c r="G4632" s="196">
        <v>-100000</v>
      </c>
    </row>
    <row r="4633" spans="1:7" x14ac:dyDescent="0.3">
      <c r="A4633" s="198">
        <v>98666686</v>
      </c>
      <c r="B4633" s="192" t="s">
        <v>424</v>
      </c>
      <c r="C4633" s="196">
        <v>0</v>
      </c>
      <c r="D4633" s="196">
        <v>0</v>
      </c>
      <c r="E4633" s="196">
        <v>297000</v>
      </c>
      <c r="F4633" s="196">
        <v>-297000</v>
      </c>
      <c r="G4633" s="196">
        <v>-297000</v>
      </c>
    </row>
    <row r="4634" spans="1:7" x14ac:dyDescent="0.3">
      <c r="A4634" s="198">
        <v>71493047</v>
      </c>
      <c r="B4634" s="192" t="s">
        <v>3098</v>
      </c>
      <c r="C4634" s="196">
        <v>-297000</v>
      </c>
      <c r="D4634" s="196">
        <v>0</v>
      </c>
      <c r="E4634" s="196">
        <v>0</v>
      </c>
      <c r="F4634" s="196">
        <v>0</v>
      </c>
      <c r="G4634" s="196">
        <v>-297000</v>
      </c>
    </row>
    <row r="4635" spans="1:7" x14ac:dyDescent="0.3">
      <c r="A4635" s="198">
        <v>98550611</v>
      </c>
      <c r="B4635" s="192" t="s">
        <v>3099</v>
      </c>
      <c r="C4635" s="196">
        <v>-50900</v>
      </c>
      <c r="D4635" s="196">
        <v>0</v>
      </c>
      <c r="E4635" s="196">
        <v>0</v>
      </c>
      <c r="F4635" s="196">
        <v>0</v>
      </c>
      <c r="G4635" s="196">
        <v>-50900</v>
      </c>
    </row>
    <row r="4636" spans="1:7" x14ac:dyDescent="0.3">
      <c r="A4636" s="198">
        <v>8281422</v>
      </c>
      <c r="B4636" s="192" t="s">
        <v>3100</v>
      </c>
      <c r="C4636" s="196">
        <v>-616000</v>
      </c>
      <c r="D4636" s="196">
        <v>0</v>
      </c>
      <c r="E4636" s="196">
        <v>0</v>
      </c>
      <c r="F4636" s="196">
        <v>0</v>
      </c>
      <c r="G4636" s="196">
        <v>-616000</v>
      </c>
    </row>
    <row r="4637" spans="1:7" x14ac:dyDescent="0.3">
      <c r="A4637" s="198">
        <v>71271398</v>
      </c>
      <c r="B4637" s="192" t="s">
        <v>425</v>
      </c>
      <c r="C4637" s="196">
        <v>0</v>
      </c>
      <c r="D4637" s="196">
        <v>0</v>
      </c>
      <c r="E4637" s="196">
        <v>207900</v>
      </c>
      <c r="F4637" s="196">
        <v>-207900</v>
      </c>
      <c r="G4637" s="196">
        <v>-207900</v>
      </c>
    </row>
    <row r="4638" spans="1:7" x14ac:dyDescent="0.3">
      <c r="A4638" s="198">
        <v>70112854</v>
      </c>
      <c r="B4638" s="192" t="s">
        <v>426</v>
      </c>
      <c r="C4638" s="196">
        <v>0</v>
      </c>
      <c r="D4638" s="196">
        <v>0</v>
      </c>
      <c r="E4638" s="196">
        <v>82800</v>
      </c>
      <c r="F4638" s="196">
        <v>-82800</v>
      </c>
      <c r="G4638" s="196">
        <v>-82800</v>
      </c>
    </row>
    <row r="4639" spans="1:7" x14ac:dyDescent="0.3">
      <c r="A4639" s="198">
        <v>1035853180</v>
      </c>
      <c r="B4639" s="192" t="s">
        <v>3101</v>
      </c>
      <c r="C4639" s="196">
        <v>-50900</v>
      </c>
      <c r="D4639" s="196">
        <v>0</v>
      </c>
      <c r="E4639" s="196">
        <v>0</v>
      </c>
      <c r="F4639" s="196">
        <v>0</v>
      </c>
      <c r="G4639" s="196">
        <v>-50900</v>
      </c>
    </row>
    <row r="4640" spans="1:7" x14ac:dyDescent="0.3">
      <c r="A4640" s="198">
        <v>71736919</v>
      </c>
      <c r="B4640" s="192" t="s">
        <v>427</v>
      </c>
      <c r="C4640" s="196">
        <v>0</v>
      </c>
      <c r="D4640" s="196">
        <v>0</v>
      </c>
      <c r="E4640" s="196">
        <v>50900</v>
      </c>
      <c r="F4640" s="196">
        <v>-50900</v>
      </c>
      <c r="G4640" s="196">
        <v>-50900</v>
      </c>
    </row>
    <row r="4641" spans="1:7" x14ac:dyDescent="0.3">
      <c r="A4641" s="198">
        <v>80007668</v>
      </c>
      <c r="B4641" s="192" t="s">
        <v>3102</v>
      </c>
      <c r="C4641" s="196">
        <v>-50900</v>
      </c>
      <c r="D4641" s="196">
        <v>0</v>
      </c>
      <c r="E4641" s="196">
        <v>0</v>
      </c>
      <c r="F4641" s="196">
        <v>0</v>
      </c>
      <c r="G4641" s="196">
        <v>-50900</v>
      </c>
    </row>
    <row r="4642" spans="1:7" x14ac:dyDescent="0.3">
      <c r="A4642" s="198">
        <v>71654308</v>
      </c>
      <c r="B4642" s="192" t="s">
        <v>428</v>
      </c>
      <c r="C4642" s="196">
        <v>0</v>
      </c>
      <c r="D4642" s="196">
        <v>0</v>
      </c>
      <c r="E4642" s="196">
        <v>54200</v>
      </c>
      <c r="F4642" s="196">
        <v>-54200</v>
      </c>
      <c r="G4642" s="196">
        <v>-54200</v>
      </c>
    </row>
    <row r="4643" spans="1:7" x14ac:dyDescent="0.3">
      <c r="A4643" s="198">
        <v>79236164</v>
      </c>
      <c r="B4643" s="192" t="s">
        <v>429</v>
      </c>
      <c r="C4643" s="196">
        <v>-114400</v>
      </c>
      <c r="D4643" s="196">
        <v>0</v>
      </c>
      <c r="E4643" s="196">
        <v>0</v>
      </c>
      <c r="F4643" s="196">
        <v>0</v>
      </c>
      <c r="G4643" s="196">
        <v>-114400</v>
      </c>
    </row>
    <row r="4644" spans="1:7" x14ac:dyDescent="0.3">
      <c r="A4644" s="198">
        <v>80231527</v>
      </c>
      <c r="B4644" s="192" t="s">
        <v>3103</v>
      </c>
      <c r="C4644" s="196">
        <v>-43900</v>
      </c>
      <c r="D4644" s="196">
        <v>0</v>
      </c>
      <c r="E4644" s="196">
        <v>0</v>
      </c>
      <c r="F4644" s="196">
        <v>0</v>
      </c>
      <c r="G4644" s="196">
        <v>-43900</v>
      </c>
    </row>
    <row r="4645" spans="1:7" x14ac:dyDescent="0.3">
      <c r="A4645" s="198">
        <v>3227703</v>
      </c>
      <c r="B4645" s="192" t="s">
        <v>430</v>
      </c>
      <c r="C4645" s="196">
        <v>0</v>
      </c>
      <c r="D4645" s="196">
        <v>296999</v>
      </c>
      <c r="E4645" s="196">
        <v>504900</v>
      </c>
      <c r="F4645" s="196">
        <v>-207901</v>
      </c>
      <c r="G4645" s="196">
        <v>-207901</v>
      </c>
    </row>
    <row r="4646" spans="1:7" x14ac:dyDescent="0.3">
      <c r="A4646" s="198">
        <v>70165899</v>
      </c>
      <c r="B4646" s="192" t="s">
        <v>3104</v>
      </c>
      <c r="C4646" s="196">
        <v>-57200</v>
      </c>
      <c r="D4646" s="196">
        <v>0</v>
      </c>
      <c r="E4646" s="196">
        <v>0</v>
      </c>
      <c r="F4646" s="196">
        <v>0</v>
      </c>
      <c r="G4646" s="196">
        <v>-57200</v>
      </c>
    </row>
    <row r="4647" spans="1:7" x14ac:dyDescent="0.3">
      <c r="A4647" s="198">
        <v>1003232501</v>
      </c>
      <c r="B4647" s="192" t="s">
        <v>3105</v>
      </c>
      <c r="C4647" s="196">
        <v>-275000</v>
      </c>
      <c r="D4647" s="196">
        <v>0</v>
      </c>
      <c r="E4647" s="196">
        <v>0</v>
      </c>
      <c r="F4647" s="196">
        <v>0</v>
      </c>
      <c r="G4647" s="196">
        <v>-275000</v>
      </c>
    </row>
    <row r="4648" spans="1:7" x14ac:dyDescent="0.3">
      <c r="A4648" s="198">
        <v>1053773424</v>
      </c>
      <c r="B4648" s="192" t="s">
        <v>3106</v>
      </c>
      <c r="C4648" s="196">
        <v>-110000</v>
      </c>
      <c r="D4648" s="196">
        <v>0</v>
      </c>
      <c r="E4648" s="196">
        <v>0</v>
      </c>
      <c r="F4648" s="196">
        <v>0</v>
      </c>
      <c r="G4648" s="196">
        <v>-110000</v>
      </c>
    </row>
    <row r="4649" spans="1:7" x14ac:dyDescent="0.3">
      <c r="A4649" s="198">
        <v>561994491</v>
      </c>
      <c r="B4649" s="192" t="s">
        <v>3107</v>
      </c>
      <c r="C4649" s="196">
        <v>-297000</v>
      </c>
      <c r="D4649" s="196">
        <v>0</v>
      </c>
      <c r="E4649" s="196">
        <v>0</v>
      </c>
      <c r="F4649" s="196">
        <v>0</v>
      </c>
      <c r="G4649" s="196">
        <v>-297000</v>
      </c>
    </row>
    <row r="4650" spans="1:7" x14ac:dyDescent="0.3">
      <c r="A4650" s="198">
        <v>8140725</v>
      </c>
      <c r="B4650" s="192" t="s">
        <v>3108</v>
      </c>
      <c r="C4650" s="196">
        <v>-119000</v>
      </c>
      <c r="D4650" s="196">
        <v>0</v>
      </c>
      <c r="E4650" s="196">
        <v>0</v>
      </c>
      <c r="F4650" s="196">
        <v>0</v>
      </c>
      <c r="G4650" s="196">
        <v>-119000</v>
      </c>
    </row>
    <row r="4651" spans="1:7" x14ac:dyDescent="0.3">
      <c r="A4651" s="198">
        <v>392653</v>
      </c>
      <c r="B4651" s="192" t="s">
        <v>3109</v>
      </c>
      <c r="C4651" s="196">
        <v>-47400</v>
      </c>
      <c r="D4651" s="196">
        <v>0</v>
      </c>
      <c r="E4651" s="196">
        <v>0</v>
      </c>
      <c r="F4651" s="196">
        <v>0</v>
      </c>
      <c r="G4651" s="196">
        <v>-47400</v>
      </c>
    </row>
    <row r="4652" spans="1:7" x14ac:dyDescent="0.3">
      <c r="A4652" s="198">
        <v>563381417</v>
      </c>
      <c r="B4652" s="192" t="s">
        <v>3110</v>
      </c>
      <c r="C4652" s="196">
        <v>-270000</v>
      </c>
      <c r="D4652" s="196">
        <v>0</v>
      </c>
      <c r="E4652" s="196">
        <v>0</v>
      </c>
      <c r="F4652" s="196">
        <v>0</v>
      </c>
      <c r="G4652" s="196">
        <v>-270000</v>
      </c>
    </row>
    <row r="4653" spans="1:7" x14ac:dyDescent="0.3">
      <c r="A4653" s="192" t="s">
        <v>3111</v>
      </c>
      <c r="B4653" s="192" t="s">
        <v>3112</v>
      </c>
      <c r="C4653" s="196">
        <v>-110000</v>
      </c>
      <c r="D4653" s="196">
        <v>0</v>
      </c>
      <c r="E4653" s="196">
        <v>0</v>
      </c>
      <c r="F4653" s="196">
        <v>0</v>
      </c>
      <c r="G4653" s="196">
        <v>-110000</v>
      </c>
    </row>
    <row r="4654" spans="1:7" x14ac:dyDescent="0.3">
      <c r="A4654" s="198">
        <v>1152184448</v>
      </c>
      <c r="B4654" s="192" t="s">
        <v>3113</v>
      </c>
      <c r="C4654" s="196">
        <v>-50900</v>
      </c>
      <c r="D4654" s="196">
        <v>0</v>
      </c>
      <c r="E4654" s="196">
        <v>0</v>
      </c>
      <c r="F4654" s="196">
        <v>0</v>
      </c>
      <c r="G4654" s="196">
        <v>-50900</v>
      </c>
    </row>
    <row r="4655" spans="1:7" x14ac:dyDescent="0.3">
      <c r="A4655" s="198">
        <v>1103114605</v>
      </c>
      <c r="B4655" s="192" t="s">
        <v>432</v>
      </c>
      <c r="C4655" s="196">
        <v>0</v>
      </c>
      <c r="D4655" s="196">
        <v>0</v>
      </c>
      <c r="E4655" s="196">
        <v>50900</v>
      </c>
      <c r="F4655" s="196">
        <v>-50900</v>
      </c>
      <c r="G4655" s="196">
        <v>-50900</v>
      </c>
    </row>
    <row r="4656" spans="1:7" x14ac:dyDescent="0.3">
      <c r="A4656" s="198">
        <v>1152194003</v>
      </c>
      <c r="B4656" s="192" t="s">
        <v>3114</v>
      </c>
      <c r="C4656" s="196">
        <v>-47400</v>
      </c>
      <c r="D4656" s="196">
        <v>0</v>
      </c>
      <c r="E4656" s="196">
        <v>0</v>
      </c>
      <c r="F4656" s="196">
        <v>0</v>
      </c>
      <c r="G4656" s="196">
        <v>-47400</v>
      </c>
    </row>
    <row r="4657" spans="1:7" x14ac:dyDescent="0.3">
      <c r="A4657" s="198">
        <v>1098731980</v>
      </c>
      <c r="B4657" s="192" t="s">
        <v>3115</v>
      </c>
      <c r="C4657" s="196">
        <v>-165000</v>
      </c>
      <c r="D4657" s="196">
        <v>0</v>
      </c>
      <c r="E4657" s="196">
        <v>0</v>
      </c>
      <c r="F4657" s="196">
        <v>0</v>
      </c>
      <c r="G4657" s="196">
        <v>-165000</v>
      </c>
    </row>
    <row r="4658" spans="1:7" x14ac:dyDescent="0.3">
      <c r="A4658" s="198">
        <v>1017164824</v>
      </c>
      <c r="B4658" s="192" t="s">
        <v>3116</v>
      </c>
      <c r="C4658" s="196">
        <v>-94800</v>
      </c>
      <c r="D4658" s="196">
        <v>0</v>
      </c>
      <c r="E4658" s="196">
        <v>0</v>
      </c>
      <c r="F4658" s="196">
        <v>0</v>
      </c>
      <c r="G4658" s="196">
        <v>-94800</v>
      </c>
    </row>
    <row r="4659" spans="1:7" x14ac:dyDescent="0.3">
      <c r="A4659" s="198">
        <v>1015199327</v>
      </c>
      <c r="B4659" s="192" t="s">
        <v>435</v>
      </c>
      <c r="C4659" s="196">
        <v>0</v>
      </c>
      <c r="D4659" s="196">
        <v>0</v>
      </c>
      <c r="E4659" s="196">
        <v>50900</v>
      </c>
      <c r="F4659" s="196">
        <v>-50900</v>
      </c>
      <c r="G4659" s="196">
        <v>-50900</v>
      </c>
    </row>
    <row r="4660" spans="1:7" x14ac:dyDescent="0.3">
      <c r="A4660" s="198">
        <v>71650221</v>
      </c>
      <c r="B4660" s="192" t="s">
        <v>3117</v>
      </c>
      <c r="C4660" s="196">
        <v>-101800</v>
      </c>
      <c r="D4660" s="196">
        <v>0</v>
      </c>
      <c r="E4660" s="196">
        <v>0</v>
      </c>
      <c r="F4660" s="196">
        <v>0</v>
      </c>
      <c r="G4660" s="196">
        <v>-101800</v>
      </c>
    </row>
    <row r="4661" spans="1:7" x14ac:dyDescent="0.3">
      <c r="A4661" s="198">
        <v>91201800</v>
      </c>
      <c r="B4661" s="192" t="s">
        <v>3118</v>
      </c>
      <c r="C4661" s="196">
        <v>-616000</v>
      </c>
      <c r="D4661" s="196">
        <v>0</v>
      </c>
      <c r="E4661" s="196">
        <v>0</v>
      </c>
      <c r="F4661" s="196">
        <v>0</v>
      </c>
      <c r="G4661" s="196">
        <v>-616000</v>
      </c>
    </row>
    <row r="4662" spans="1:7" x14ac:dyDescent="0.3">
      <c r="A4662" s="198">
        <v>32493581</v>
      </c>
      <c r="B4662" s="192" t="s">
        <v>3119</v>
      </c>
      <c r="C4662" s="196">
        <v>-251000</v>
      </c>
      <c r="D4662" s="196">
        <v>0</v>
      </c>
      <c r="E4662" s="196">
        <v>0</v>
      </c>
      <c r="F4662" s="196">
        <v>0</v>
      </c>
      <c r="G4662" s="196">
        <v>-251000</v>
      </c>
    </row>
    <row r="4663" spans="1:7" x14ac:dyDescent="0.3">
      <c r="A4663" s="198">
        <v>42893880</v>
      </c>
      <c r="B4663" s="192" t="s">
        <v>3120</v>
      </c>
      <c r="C4663" s="196">
        <v>-38400</v>
      </c>
      <c r="D4663" s="196">
        <v>0</v>
      </c>
      <c r="E4663" s="196">
        <v>0</v>
      </c>
      <c r="F4663" s="196">
        <v>0</v>
      </c>
      <c r="G4663" s="196">
        <v>-38400</v>
      </c>
    </row>
    <row r="4664" spans="1:7" x14ac:dyDescent="0.3">
      <c r="A4664" s="198">
        <v>21823039</v>
      </c>
      <c r="B4664" s="192" t="s">
        <v>436</v>
      </c>
      <c r="C4664" s="196">
        <v>-114401</v>
      </c>
      <c r="D4664" s="196">
        <v>0</v>
      </c>
      <c r="E4664" s="196">
        <v>0</v>
      </c>
      <c r="F4664" s="196">
        <v>0</v>
      </c>
      <c r="G4664" s="196">
        <v>-114401</v>
      </c>
    </row>
    <row r="4665" spans="1:7" x14ac:dyDescent="0.3">
      <c r="A4665" s="198">
        <v>21401206</v>
      </c>
      <c r="B4665" s="192" t="s">
        <v>437</v>
      </c>
      <c r="C4665" s="196">
        <v>-101800</v>
      </c>
      <c r="D4665" s="196">
        <v>0</v>
      </c>
      <c r="E4665" s="196">
        <v>50900</v>
      </c>
      <c r="F4665" s="196">
        <v>-50900</v>
      </c>
      <c r="G4665" s="196">
        <v>-152700</v>
      </c>
    </row>
    <row r="4666" spans="1:7" x14ac:dyDescent="0.3">
      <c r="A4666" s="198">
        <v>22102847</v>
      </c>
      <c r="B4666" s="192" t="s">
        <v>3121</v>
      </c>
      <c r="C4666" s="196">
        <v>-82800</v>
      </c>
      <c r="D4666" s="196">
        <v>0</v>
      </c>
      <c r="E4666" s="196">
        <v>0</v>
      </c>
      <c r="F4666" s="196">
        <v>0</v>
      </c>
      <c r="G4666" s="196">
        <v>-82800</v>
      </c>
    </row>
    <row r="4667" spans="1:7" x14ac:dyDescent="0.3">
      <c r="A4667" s="198">
        <v>32508113</v>
      </c>
      <c r="B4667" s="192" t="s">
        <v>3122</v>
      </c>
      <c r="C4667" s="196">
        <v>-50900</v>
      </c>
      <c r="D4667" s="196">
        <v>0</v>
      </c>
      <c r="E4667" s="196">
        <v>0</v>
      </c>
      <c r="F4667" s="196">
        <v>0</v>
      </c>
      <c r="G4667" s="196">
        <v>-50900</v>
      </c>
    </row>
    <row r="4668" spans="1:7" x14ac:dyDescent="0.3">
      <c r="A4668" s="198">
        <v>32479576</v>
      </c>
      <c r="B4668" s="192" t="s">
        <v>3123</v>
      </c>
      <c r="C4668" s="196">
        <v>-57200</v>
      </c>
      <c r="D4668" s="196">
        <v>0</v>
      </c>
      <c r="E4668" s="196">
        <v>0</v>
      </c>
      <c r="F4668" s="196">
        <v>0</v>
      </c>
      <c r="G4668" s="196">
        <v>-57200</v>
      </c>
    </row>
    <row r="4669" spans="1:7" x14ac:dyDescent="0.3">
      <c r="A4669" s="198">
        <v>32536499</v>
      </c>
      <c r="B4669" s="192" t="s">
        <v>3124</v>
      </c>
      <c r="C4669" s="196">
        <v>-57200</v>
      </c>
      <c r="D4669" s="196">
        <v>0</v>
      </c>
      <c r="E4669" s="196">
        <v>0</v>
      </c>
      <c r="F4669" s="196">
        <v>0</v>
      </c>
      <c r="G4669" s="196">
        <v>-57200</v>
      </c>
    </row>
    <row r="4670" spans="1:7" x14ac:dyDescent="0.3">
      <c r="A4670" s="198">
        <v>42867308</v>
      </c>
      <c r="B4670" s="192" t="s">
        <v>3125</v>
      </c>
      <c r="C4670" s="196">
        <v>-101800</v>
      </c>
      <c r="D4670" s="196">
        <v>0</v>
      </c>
      <c r="E4670" s="196">
        <v>0</v>
      </c>
      <c r="F4670" s="196">
        <v>0</v>
      </c>
      <c r="G4670" s="196">
        <v>-101800</v>
      </c>
    </row>
    <row r="4671" spans="1:7" x14ac:dyDescent="0.3">
      <c r="A4671" s="198">
        <v>43740222</v>
      </c>
      <c r="B4671" s="192" t="s">
        <v>438</v>
      </c>
      <c r="C4671" s="196">
        <v>0</v>
      </c>
      <c r="D4671" s="196">
        <v>0</v>
      </c>
      <c r="E4671" s="196">
        <v>50900</v>
      </c>
      <c r="F4671" s="196">
        <v>-50900</v>
      </c>
      <c r="G4671" s="196">
        <v>-50900</v>
      </c>
    </row>
    <row r="4672" spans="1:7" x14ac:dyDescent="0.3">
      <c r="A4672" s="198">
        <v>43424227</v>
      </c>
      <c r="B4672" s="192" t="s">
        <v>3126</v>
      </c>
      <c r="C4672" s="196">
        <v>-297000</v>
      </c>
      <c r="D4672" s="196">
        <v>0</v>
      </c>
      <c r="E4672" s="196">
        <v>0</v>
      </c>
      <c r="F4672" s="196">
        <v>0</v>
      </c>
      <c r="G4672" s="196">
        <v>-297000</v>
      </c>
    </row>
    <row r="4673" spans="1:7" x14ac:dyDescent="0.3">
      <c r="A4673" s="198">
        <v>52249862</v>
      </c>
      <c r="B4673" s="192" t="s">
        <v>3127</v>
      </c>
      <c r="C4673" s="196">
        <v>-155600</v>
      </c>
      <c r="D4673" s="196">
        <v>0</v>
      </c>
      <c r="E4673" s="196">
        <v>0</v>
      </c>
      <c r="F4673" s="196">
        <v>0</v>
      </c>
      <c r="G4673" s="196">
        <v>-155600</v>
      </c>
    </row>
    <row r="4674" spans="1:7" x14ac:dyDescent="0.3">
      <c r="A4674" s="198">
        <v>43667274</v>
      </c>
      <c r="B4674" s="192" t="s">
        <v>439</v>
      </c>
      <c r="C4674" s="196">
        <v>0</v>
      </c>
      <c r="D4674" s="196">
        <v>0</v>
      </c>
      <c r="E4674" s="196">
        <v>50900</v>
      </c>
      <c r="F4674" s="196">
        <v>-50900</v>
      </c>
      <c r="G4674" s="196">
        <v>-50900</v>
      </c>
    </row>
    <row r="4675" spans="1:7" x14ac:dyDescent="0.3">
      <c r="A4675" s="198">
        <v>43086583</v>
      </c>
      <c r="B4675" s="192" t="s">
        <v>3128</v>
      </c>
      <c r="C4675" s="196">
        <v>-50900</v>
      </c>
      <c r="D4675" s="196">
        <v>0</v>
      </c>
      <c r="E4675" s="196">
        <v>0</v>
      </c>
      <c r="F4675" s="196">
        <v>0</v>
      </c>
      <c r="G4675" s="196">
        <v>-50900</v>
      </c>
    </row>
    <row r="4676" spans="1:7" x14ac:dyDescent="0.3">
      <c r="A4676" s="198">
        <v>42794223</v>
      </c>
      <c r="B4676" s="192" t="s">
        <v>3129</v>
      </c>
      <c r="C4676" s="196">
        <v>-47400</v>
      </c>
      <c r="D4676" s="196">
        <v>0</v>
      </c>
      <c r="E4676" s="196">
        <v>0</v>
      </c>
      <c r="F4676" s="196">
        <v>0</v>
      </c>
      <c r="G4676" s="196">
        <v>-47400</v>
      </c>
    </row>
    <row r="4677" spans="1:7" x14ac:dyDescent="0.3">
      <c r="A4677" s="198">
        <v>43795693</v>
      </c>
      <c r="B4677" s="192" t="s">
        <v>440</v>
      </c>
      <c r="C4677" s="196">
        <v>0</v>
      </c>
      <c r="D4677" s="196">
        <v>0</v>
      </c>
      <c r="E4677" s="196">
        <v>50900</v>
      </c>
      <c r="F4677" s="196">
        <v>-50900</v>
      </c>
      <c r="G4677" s="196">
        <v>-50900</v>
      </c>
    </row>
    <row r="4678" spans="1:7" x14ac:dyDescent="0.3">
      <c r="A4678" s="198">
        <v>42866014</v>
      </c>
      <c r="B4678" s="192" t="s">
        <v>3130</v>
      </c>
      <c r="C4678" s="196">
        <v>-50900</v>
      </c>
      <c r="D4678" s="196">
        <v>0</v>
      </c>
      <c r="E4678" s="196">
        <v>0</v>
      </c>
      <c r="F4678" s="196">
        <v>0</v>
      </c>
      <c r="G4678" s="196">
        <v>-50900</v>
      </c>
    </row>
    <row r="4679" spans="1:7" x14ac:dyDescent="0.3">
      <c r="A4679" s="198">
        <v>1020455499</v>
      </c>
      <c r="B4679" s="192" t="s">
        <v>3131</v>
      </c>
      <c r="C4679" s="196">
        <v>-297000</v>
      </c>
      <c r="D4679" s="196">
        <v>0</v>
      </c>
      <c r="E4679" s="196">
        <v>0</v>
      </c>
      <c r="F4679" s="196">
        <v>0</v>
      </c>
      <c r="G4679" s="196">
        <v>-297000</v>
      </c>
    </row>
    <row r="4680" spans="1:7" x14ac:dyDescent="0.3">
      <c r="A4680" s="198">
        <v>43752148</v>
      </c>
      <c r="B4680" s="192" t="s">
        <v>441</v>
      </c>
      <c r="C4680" s="196">
        <v>0</v>
      </c>
      <c r="D4680" s="196">
        <v>0</v>
      </c>
      <c r="E4680" s="196">
        <v>50900</v>
      </c>
      <c r="F4680" s="196">
        <v>-50900</v>
      </c>
      <c r="G4680" s="196">
        <v>-50900</v>
      </c>
    </row>
    <row r="4681" spans="1:7" x14ac:dyDescent="0.3">
      <c r="A4681" s="198">
        <v>43045998</v>
      </c>
      <c r="B4681" s="192" t="s">
        <v>3132</v>
      </c>
      <c r="C4681" s="196">
        <v>-50900</v>
      </c>
      <c r="D4681" s="196">
        <v>0</v>
      </c>
      <c r="E4681" s="196">
        <v>0</v>
      </c>
      <c r="F4681" s="196">
        <v>0</v>
      </c>
      <c r="G4681" s="196">
        <v>-50900</v>
      </c>
    </row>
    <row r="4682" spans="1:7" x14ac:dyDescent="0.3">
      <c r="A4682" s="198">
        <v>32351307</v>
      </c>
      <c r="B4682" s="192" t="s">
        <v>442</v>
      </c>
      <c r="C4682" s="196">
        <v>-54200</v>
      </c>
      <c r="D4682" s="196">
        <v>0</v>
      </c>
      <c r="E4682" s="196">
        <v>0</v>
      </c>
      <c r="F4682" s="196">
        <v>0</v>
      </c>
      <c r="G4682" s="196">
        <v>-54200</v>
      </c>
    </row>
    <row r="4683" spans="1:7" x14ac:dyDescent="0.3">
      <c r="A4683" s="198">
        <v>43735606</v>
      </c>
      <c r="B4683" s="192" t="s">
        <v>443</v>
      </c>
      <c r="C4683" s="196">
        <v>-41400</v>
      </c>
      <c r="D4683" s="196">
        <v>0</v>
      </c>
      <c r="E4683" s="196">
        <v>41400</v>
      </c>
      <c r="F4683" s="196">
        <v>-41400</v>
      </c>
      <c r="G4683" s="196">
        <v>-82800</v>
      </c>
    </row>
    <row r="4684" spans="1:7" x14ac:dyDescent="0.3">
      <c r="A4684" s="198">
        <v>1014214128</v>
      </c>
      <c r="B4684" s="192" t="s">
        <v>3133</v>
      </c>
      <c r="C4684" s="196">
        <v>-110000</v>
      </c>
      <c r="D4684" s="196">
        <v>0</v>
      </c>
      <c r="E4684" s="196">
        <v>0</v>
      </c>
      <c r="F4684" s="196">
        <v>0</v>
      </c>
      <c r="G4684" s="196">
        <v>-110000</v>
      </c>
    </row>
    <row r="4685" spans="1:7" x14ac:dyDescent="0.3">
      <c r="A4685" s="198">
        <v>51719149</v>
      </c>
      <c r="B4685" s="192" t="s">
        <v>3134</v>
      </c>
      <c r="C4685" s="196">
        <v>-101800</v>
      </c>
      <c r="D4685" s="196">
        <v>0</v>
      </c>
      <c r="E4685" s="196">
        <v>0</v>
      </c>
      <c r="F4685" s="196">
        <v>0</v>
      </c>
      <c r="G4685" s="196">
        <v>-101800</v>
      </c>
    </row>
    <row r="4686" spans="1:7" x14ac:dyDescent="0.3">
      <c r="A4686" s="198">
        <v>52139732</v>
      </c>
      <c r="B4686" s="192" t="s">
        <v>3135</v>
      </c>
      <c r="C4686" s="196">
        <v>-50900</v>
      </c>
      <c r="D4686" s="196">
        <v>0</v>
      </c>
      <c r="E4686" s="196">
        <v>0</v>
      </c>
      <c r="F4686" s="196">
        <v>0</v>
      </c>
      <c r="G4686" s="196">
        <v>-50900</v>
      </c>
    </row>
    <row r="4687" spans="1:7" x14ac:dyDescent="0.3">
      <c r="A4687" s="198">
        <v>24839087</v>
      </c>
      <c r="B4687" s="192" t="s">
        <v>3136</v>
      </c>
      <c r="C4687" s="196">
        <v>-50900</v>
      </c>
      <c r="D4687" s="196">
        <v>0</v>
      </c>
      <c r="E4687" s="196">
        <v>0</v>
      </c>
      <c r="F4687" s="196">
        <v>0</v>
      </c>
      <c r="G4687" s="196">
        <v>-50900</v>
      </c>
    </row>
    <row r="4688" spans="1:7" x14ac:dyDescent="0.3">
      <c r="A4688" s="198">
        <v>52887204</v>
      </c>
      <c r="B4688" s="192" t="s">
        <v>3137</v>
      </c>
      <c r="C4688" s="196">
        <v>-29700</v>
      </c>
      <c r="D4688" s="196">
        <v>0</v>
      </c>
      <c r="E4688" s="196">
        <v>0</v>
      </c>
      <c r="F4688" s="196">
        <v>0</v>
      </c>
      <c r="G4688" s="196">
        <v>-29700</v>
      </c>
    </row>
    <row r="4689" spans="1:7" x14ac:dyDescent="0.3">
      <c r="A4689" s="198">
        <v>41961745</v>
      </c>
      <c r="B4689" s="192" t="s">
        <v>3138</v>
      </c>
      <c r="C4689" s="196">
        <v>-33400</v>
      </c>
      <c r="D4689" s="196">
        <v>0</v>
      </c>
      <c r="E4689" s="196">
        <v>0</v>
      </c>
      <c r="F4689" s="196">
        <v>0</v>
      </c>
      <c r="G4689" s="196">
        <v>-33400</v>
      </c>
    </row>
    <row r="4690" spans="1:7" x14ac:dyDescent="0.3">
      <c r="A4690" s="198">
        <v>1020415217</v>
      </c>
      <c r="B4690" s="192" t="s">
        <v>3139</v>
      </c>
      <c r="C4690" s="196">
        <v>-50900</v>
      </c>
      <c r="D4690" s="196">
        <v>0</v>
      </c>
      <c r="E4690" s="196">
        <v>0</v>
      </c>
      <c r="F4690" s="196">
        <v>0</v>
      </c>
      <c r="G4690" s="196">
        <v>-50900</v>
      </c>
    </row>
    <row r="4691" spans="1:7" x14ac:dyDescent="0.3">
      <c r="A4691" s="198">
        <v>43743568</v>
      </c>
      <c r="B4691" s="192" t="s">
        <v>3140</v>
      </c>
      <c r="C4691" s="196">
        <v>-50900</v>
      </c>
      <c r="D4691" s="196">
        <v>0</v>
      </c>
      <c r="E4691" s="196">
        <v>0</v>
      </c>
      <c r="F4691" s="196">
        <v>0</v>
      </c>
      <c r="G4691" s="196">
        <v>-50900</v>
      </c>
    </row>
    <row r="4692" spans="1:7" x14ac:dyDescent="0.3">
      <c r="A4692" s="198">
        <v>43974434</v>
      </c>
      <c r="B4692" s="192" t="s">
        <v>3141</v>
      </c>
      <c r="C4692" s="196">
        <v>-50900</v>
      </c>
      <c r="D4692" s="196">
        <v>0</v>
      </c>
      <c r="E4692" s="196">
        <v>0</v>
      </c>
      <c r="F4692" s="196">
        <v>0</v>
      </c>
      <c r="G4692" s="196">
        <v>-50900</v>
      </c>
    </row>
    <row r="4693" spans="1:7" x14ac:dyDescent="0.3">
      <c r="A4693" s="198">
        <v>43169282</v>
      </c>
      <c r="B4693" s="192" t="s">
        <v>3142</v>
      </c>
      <c r="C4693" s="196">
        <v>-50900</v>
      </c>
      <c r="D4693" s="196">
        <v>0</v>
      </c>
      <c r="E4693" s="196">
        <v>0</v>
      </c>
      <c r="F4693" s="196">
        <v>0</v>
      </c>
      <c r="G4693" s="196">
        <v>-50900</v>
      </c>
    </row>
    <row r="4694" spans="1:7" x14ac:dyDescent="0.3">
      <c r="A4694" s="198">
        <v>43497971</v>
      </c>
      <c r="B4694" s="192" t="s">
        <v>3143</v>
      </c>
      <c r="C4694" s="196">
        <v>-50900</v>
      </c>
      <c r="D4694" s="196">
        <v>0</v>
      </c>
      <c r="E4694" s="196">
        <v>0</v>
      </c>
      <c r="F4694" s="196">
        <v>0</v>
      </c>
      <c r="G4694" s="196">
        <v>-50900</v>
      </c>
    </row>
    <row r="4695" spans="1:7" x14ac:dyDescent="0.3">
      <c r="A4695" s="198">
        <v>32295179</v>
      </c>
      <c r="B4695" s="192" t="s">
        <v>3144</v>
      </c>
      <c r="C4695" s="196">
        <v>-50900</v>
      </c>
      <c r="D4695" s="196">
        <v>0</v>
      </c>
      <c r="E4695" s="196">
        <v>0</v>
      </c>
      <c r="F4695" s="196">
        <v>0</v>
      </c>
      <c r="G4695" s="196">
        <v>-50900</v>
      </c>
    </row>
    <row r="4696" spans="1:7" x14ac:dyDescent="0.3">
      <c r="A4696" s="198">
        <v>223226772</v>
      </c>
      <c r="B4696" s="192" t="s">
        <v>444</v>
      </c>
      <c r="C4696" s="196">
        <v>-101800</v>
      </c>
      <c r="D4696" s="196">
        <v>0</v>
      </c>
      <c r="E4696" s="196">
        <v>0</v>
      </c>
      <c r="F4696" s="196">
        <v>0</v>
      </c>
      <c r="G4696" s="196">
        <v>-101800</v>
      </c>
    </row>
    <row r="4697" spans="1:7" x14ac:dyDescent="0.3">
      <c r="A4697" s="198">
        <v>65741563</v>
      </c>
      <c r="B4697" s="192" t="s">
        <v>3145</v>
      </c>
      <c r="C4697" s="196">
        <v>-50900</v>
      </c>
      <c r="D4697" s="196">
        <v>0</v>
      </c>
      <c r="E4697" s="196">
        <v>0</v>
      </c>
      <c r="F4697" s="196">
        <v>0</v>
      </c>
      <c r="G4697" s="196">
        <v>-50900</v>
      </c>
    </row>
    <row r="4698" spans="1:7" x14ac:dyDescent="0.3">
      <c r="A4698" s="198">
        <v>52711571</v>
      </c>
      <c r="B4698" s="192" t="s">
        <v>3146</v>
      </c>
      <c r="C4698" s="196">
        <v>-43900</v>
      </c>
      <c r="D4698" s="196">
        <v>0</v>
      </c>
      <c r="E4698" s="196">
        <v>0</v>
      </c>
      <c r="F4698" s="196">
        <v>0</v>
      </c>
      <c r="G4698" s="196">
        <v>-43900</v>
      </c>
    </row>
    <row r="4699" spans="1:7" x14ac:dyDescent="0.3">
      <c r="A4699" s="198">
        <v>31577431</v>
      </c>
      <c r="B4699" s="192" t="s">
        <v>446</v>
      </c>
      <c r="C4699" s="196">
        <v>-38400</v>
      </c>
      <c r="D4699" s="196">
        <v>0</v>
      </c>
      <c r="E4699" s="196">
        <v>38400</v>
      </c>
      <c r="F4699" s="196">
        <v>-38400</v>
      </c>
      <c r="G4699" s="196">
        <v>-76800</v>
      </c>
    </row>
    <row r="4700" spans="1:7" x14ac:dyDescent="0.3">
      <c r="A4700" s="198">
        <v>43841229</v>
      </c>
      <c r="B4700" s="192" t="s">
        <v>3147</v>
      </c>
      <c r="C4700" s="196">
        <v>-54200</v>
      </c>
      <c r="D4700" s="196">
        <v>0</v>
      </c>
      <c r="E4700" s="196">
        <v>0</v>
      </c>
      <c r="F4700" s="196">
        <v>0</v>
      </c>
      <c r="G4700" s="196">
        <v>-54200</v>
      </c>
    </row>
    <row r="4701" spans="1:7" x14ac:dyDescent="0.3">
      <c r="A4701" s="198">
        <v>52274750</v>
      </c>
      <c r="B4701" s="192" t="s">
        <v>3148</v>
      </c>
      <c r="C4701" s="196">
        <v>-459000</v>
      </c>
      <c r="D4701" s="196">
        <v>0</v>
      </c>
      <c r="E4701" s="196">
        <v>0</v>
      </c>
      <c r="F4701" s="196">
        <v>0</v>
      </c>
      <c r="G4701" s="196">
        <v>-459000</v>
      </c>
    </row>
    <row r="4702" spans="1:7" x14ac:dyDescent="0.3">
      <c r="A4702" s="198">
        <v>43513771</v>
      </c>
      <c r="B4702" s="192" t="s">
        <v>448</v>
      </c>
      <c r="C4702" s="196">
        <v>0</v>
      </c>
      <c r="D4702" s="196">
        <v>0</v>
      </c>
      <c r="E4702" s="196">
        <v>50900</v>
      </c>
      <c r="F4702" s="196">
        <v>-50900</v>
      </c>
      <c r="G4702" s="196">
        <v>-50900</v>
      </c>
    </row>
    <row r="4703" spans="1:7" x14ac:dyDescent="0.3">
      <c r="A4703" s="198">
        <v>43282634</v>
      </c>
      <c r="B4703" s="192" t="s">
        <v>3149</v>
      </c>
      <c r="C4703" s="196">
        <v>-38400</v>
      </c>
      <c r="D4703" s="196">
        <v>0</v>
      </c>
      <c r="E4703" s="196">
        <v>0</v>
      </c>
      <c r="F4703" s="196">
        <v>0</v>
      </c>
      <c r="G4703" s="196">
        <v>-38400</v>
      </c>
    </row>
    <row r="4704" spans="1:7" x14ac:dyDescent="0.3">
      <c r="A4704" s="198">
        <v>1017169759</v>
      </c>
      <c r="B4704" s="192" t="s">
        <v>3150</v>
      </c>
      <c r="C4704" s="196">
        <v>-165000</v>
      </c>
      <c r="D4704" s="196">
        <v>0</v>
      </c>
      <c r="E4704" s="196">
        <v>0</v>
      </c>
      <c r="F4704" s="196">
        <v>0</v>
      </c>
      <c r="G4704" s="196">
        <v>-165000</v>
      </c>
    </row>
    <row r="4705" spans="1:7" x14ac:dyDescent="0.3">
      <c r="A4705" s="198">
        <v>43100150</v>
      </c>
      <c r="B4705" s="192" t="s">
        <v>449</v>
      </c>
      <c r="C4705" s="196">
        <v>0</v>
      </c>
      <c r="D4705" s="196">
        <v>0</v>
      </c>
      <c r="E4705" s="196">
        <v>50900</v>
      </c>
      <c r="F4705" s="196">
        <v>-50900</v>
      </c>
      <c r="G4705" s="196">
        <v>-50900</v>
      </c>
    </row>
    <row r="4706" spans="1:7" x14ac:dyDescent="0.3">
      <c r="A4706" s="198">
        <v>43623687</v>
      </c>
      <c r="B4706" s="192" t="s">
        <v>3151</v>
      </c>
      <c r="C4706" s="196">
        <v>-50900</v>
      </c>
      <c r="D4706" s="196">
        <v>0</v>
      </c>
      <c r="E4706" s="196">
        <v>0</v>
      </c>
      <c r="F4706" s="196">
        <v>0</v>
      </c>
      <c r="G4706" s="196">
        <v>-50900</v>
      </c>
    </row>
    <row r="4707" spans="1:7" x14ac:dyDescent="0.3">
      <c r="A4707" s="198">
        <v>43978597</v>
      </c>
      <c r="B4707" s="192" t="s">
        <v>3152</v>
      </c>
      <c r="C4707" s="196">
        <v>-38400</v>
      </c>
      <c r="D4707" s="196">
        <v>0</v>
      </c>
      <c r="E4707" s="196">
        <v>0</v>
      </c>
      <c r="F4707" s="196">
        <v>0</v>
      </c>
      <c r="G4707" s="196">
        <v>-38400</v>
      </c>
    </row>
    <row r="4708" spans="1:7" x14ac:dyDescent="0.3">
      <c r="A4708" s="198">
        <v>43820827</v>
      </c>
      <c r="B4708" s="192" t="s">
        <v>3153</v>
      </c>
      <c r="C4708" s="196">
        <v>-47400</v>
      </c>
      <c r="D4708" s="196">
        <v>0</v>
      </c>
      <c r="E4708" s="196">
        <v>0</v>
      </c>
      <c r="F4708" s="196">
        <v>0</v>
      </c>
      <c r="G4708" s="196">
        <v>-47400</v>
      </c>
    </row>
    <row r="4709" spans="1:7" x14ac:dyDescent="0.3">
      <c r="A4709" s="198">
        <v>43604531</v>
      </c>
      <c r="B4709" s="192" t="s">
        <v>3154</v>
      </c>
      <c r="C4709" s="196">
        <v>-50900</v>
      </c>
      <c r="D4709" s="196">
        <v>0</v>
      </c>
      <c r="E4709" s="196">
        <v>0</v>
      </c>
      <c r="F4709" s="196">
        <v>0</v>
      </c>
      <c r="G4709" s="196">
        <v>-50900</v>
      </c>
    </row>
    <row r="4710" spans="1:7" x14ac:dyDescent="0.3">
      <c r="A4710" s="198">
        <v>42895891</v>
      </c>
      <c r="B4710" s="192" t="s">
        <v>3155</v>
      </c>
      <c r="C4710" s="196">
        <v>-50900</v>
      </c>
      <c r="D4710" s="196">
        <v>0</v>
      </c>
      <c r="E4710" s="196">
        <v>0</v>
      </c>
      <c r="F4710" s="196">
        <v>0</v>
      </c>
      <c r="G4710" s="196">
        <v>-50900</v>
      </c>
    </row>
    <row r="4711" spans="1:7" x14ac:dyDescent="0.3">
      <c r="A4711" s="198">
        <v>43628045</v>
      </c>
      <c r="B4711" s="192" t="s">
        <v>3156</v>
      </c>
      <c r="C4711" s="196">
        <v>-50900</v>
      </c>
      <c r="D4711" s="196">
        <v>0</v>
      </c>
      <c r="E4711" s="196">
        <v>0</v>
      </c>
      <c r="F4711" s="196">
        <v>0</v>
      </c>
      <c r="G4711" s="196">
        <v>-50900</v>
      </c>
    </row>
    <row r="4712" spans="1:7" x14ac:dyDescent="0.3">
      <c r="A4712" s="198">
        <v>38888529</v>
      </c>
      <c r="B4712" s="192" t="s">
        <v>450</v>
      </c>
      <c r="C4712" s="196">
        <v>0</v>
      </c>
      <c r="D4712" s="196">
        <v>0</v>
      </c>
      <c r="E4712" s="196">
        <v>47400</v>
      </c>
      <c r="F4712" s="196">
        <v>-47400</v>
      </c>
      <c r="G4712" s="196">
        <v>-47400</v>
      </c>
    </row>
    <row r="4713" spans="1:7" x14ac:dyDescent="0.3">
      <c r="A4713" s="198">
        <v>21588300</v>
      </c>
      <c r="B4713" s="192" t="s">
        <v>3157</v>
      </c>
      <c r="C4713" s="196">
        <v>-297000</v>
      </c>
      <c r="D4713" s="196">
        <v>0</v>
      </c>
      <c r="E4713" s="196">
        <v>0</v>
      </c>
      <c r="F4713" s="196">
        <v>0</v>
      </c>
      <c r="G4713" s="196">
        <v>-297000</v>
      </c>
    </row>
    <row r="4714" spans="1:7" x14ac:dyDescent="0.3">
      <c r="A4714" s="198">
        <v>43876282</v>
      </c>
      <c r="B4714" s="192" t="s">
        <v>3158</v>
      </c>
      <c r="C4714" s="196">
        <v>-50900</v>
      </c>
      <c r="D4714" s="196">
        <v>0</v>
      </c>
      <c r="E4714" s="196">
        <v>0</v>
      </c>
      <c r="F4714" s="196">
        <v>0</v>
      </c>
      <c r="G4714" s="196">
        <v>-50900</v>
      </c>
    </row>
    <row r="4715" spans="1:7" x14ac:dyDescent="0.3">
      <c r="A4715" s="198">
        <v>43743613</v>
      </c>
      <c r="B4715" s="192" t="s">
        <v>3159</v>
      </c>
      <c r="C4715" s="196">
        <v>-50900</v>
      </c>
      <c r="D4715" s="196">
        <v>0</v>
      </c>
      <c r="E4715" s="196">
        <v>0</v>
      </c>
      <c r="F4715" s="196">
        <v>0</v>
      </c>
      <c r="G4715" s="196">
        <v>-50900</v>
      </c>
    </row>
    <row r="4716" spans="1:7" x14ac:dyDescent="0.3">
      <c r="A4716" s="198">
        <v>75092625</v>
      </c>
      <c r="B4716" s="192" t="s">
        <v>451</v>
      </c>
      <c r="C4716" s="196">
        <v>0</v>
      </c>
      <c r="D4716" s="196">
        <v>0</v>
      </c>
      <c r="E4716" s="196">
        <v>165000</v>
      </c>
      <c r="F4716" s="196">
        <v>-165000</v>
      </c>
      <c r="G4716" s="196">
        <v>-165000</v>
      </c>
    </row>
    <row r="4717" spans="1:7" x14ac:dyDescent="0.3">
      <c r="A4717" s="198">
        <v>32488777</v>
      </c>
      <c r="B4717" s="192" t="s">
        <v>453</v>
      </c>
      <c r="C4717" s="196">
        <v>0</v>
      </c>
      <c r="D4717" s="196">
        <v>0</v>
      </c>
      <c r="E4717" s="196">
        <v>46400</v>
      </c>
      <c r="F4717" s="196">
        <v>-46400</v>
      </c>
      <c r="G4717" s="196">
        <v>-46400</v>
      </c>
    </row>
    <row r="4718" spans="1:7" x14ac:dyDescent="0.3">
      <c r="A4718" s="198">
        <v>1025775865</v>
      </c>
      <c r="B4718" s="192" t="s">
        <v>3160</v>
      </c>
      <c r="C4718" s="196">
        <v>-50900</v>
      </c>
      <c r="D4718" s="196">
        <v>0</v>
      </c>
      <c r="E4718" s="196">
        <v>0</v>
      </c>
      <c r="F4718" s="196">
        <v>0</v>
      </c>
      <c r="G4718" s="196">
        <v>-50900</v>
      </c>
    </row>
    <row r="4719" spans="1:7" x14ac:dyDescent="0.3">
      <c r="A4719" s="198">
        <v>800106339</v>
      </c>
      <c r="B4719" s="192" t="s">
        <v>454</v>
      </c>
      <c r="C4719" s="196">
        <v>-8414550</v>
      </c>
      <c r="D4719" s="196">
        <v>0</v>
      </c>
      <c r="E4719" s="196">
        <v>1481750</v>
      </c>
      <c r="F4719" s="196">
        <v>-1481750</v>
      </c>
      <c r="G4719" s="196">
        <v>-9896300</v>
      </c>
    </row>
    <row r="4720" spans="1:7" x14ac:dyDescent="0.3">
      <c r="A4720" s="198">
        <v>860002503</v>
      </c>
      <c r="B4720" s="192" t="s">
        <v>455</v>
      </c>
      <c r="C4720" s="196">
        <v>-9844700</v>
      </c>
      <c r="D4720" s="196">
        <v>0</v>
      </c>
      <c r="E4720" s="196">
        <v>2352100</v>
      </c>
      <c r="F4720" s="196">
        <v>-2352100</v>
      </c>
      <c r="G4720" s="196">
        <v>-12196800</v>
      </c>
    </row>
    <row r="4721" spans="1:7" x14ac:dyDescent="0.3">
      <c r="A4721" s="198">
        <v>901469580</v>
      </c>
      <c r="B4721" s="192" t="s">
        <v>456</v>
      </c>
      <c r="C4721" s="196">
        <v>-380000</v>
      </c>
      <c r="D4721" s="196">
        <v>0</v>
      </c>
      <c r="E4721" s="196">
        <v>90500</v>
      </c>
      <c r="F4721" s="196">
        <v>-90500</v>
      </c>
      <c r="G4721" s="196">
        <v>-470500</v>
      </c>
    </row>
    <row r="4722" spans="1:7" x14ac:dyDescent="0.3">
      <c r="A4722" s="198">
        <v>15665703</v>
      </c>
      <c r="B4722" s="192" t="s">
        <v>457</v>
      </c>
      <c r="C4722" s="196">
        <v>-50500</v>
      </c>
      <c r="D4722" s="196">
        <v>0</v>
      </c>
      <c r="E4722" s="196">
        <v>0</v>
      </c>
      <c r="F4722" s="196">
        <v>0</v>
      </c>
      <c r="G4722" s="196">
        <v>-50500</v>
      </c>
    </row>
    <row r="4723" spans="1:7" x14ac:dyDescent="0.3">
      <c r="A4723" s="198">
        <v>32346951</v>
      </c>
      <c r="B4723" s="192" t="s">
        <v>3161</v>
      </c>
      <c r="C4723" s="196">
        <v>-319000</v>
      </c>
      <c r="D4723" s="196">
        <v>0</v>
      </c>
      <c r="E4723" s="196">
        <v>0</v>
      </c>
      <c r="F4723" s="196">
        <v>0</v>
      </c>
      <c r="G4723" s="196">
        <v>-319000</v>
      </c>
    </row>
    <row r="4724" spans="1:7" x14ac:dyDescent="0.3">
      <c r="A4724" s="198">
        <v>32329225</v>
      </c>
      <c r="B4724" s="192" t="s">
        <v>3162</v>
      </c>
      <c r="C4724" s="196">
        <v>-319000</v>
      </c>
      <c r="D4724" s="196">
        <v>0</v>
      </c>
      <c r="E4724" s="196">
        <v>0</v>
      </c>
      <c r="F4724" s="196">
        <v>0</v>
      </c>
      <c r="G4724" s="196">
        <v>-319000</v>
      </c>
    </row>
    <row r="4725" spans="1:7" x14ac:dyDescent="0.3">
      <c r="A4725" s="198">
        <v>21251798</v>
      </c>
      <c r="B4725" s="192" t="s">
        <v>3163</v>
      </c>
      <c r="C4725" s="196">
        <v>-38400</v>
      </c>
      <c r="D4725" s="196">
        <v>0</v>
      </c>
      <c r="E4725" s="196">
        <v>0</v>
      </c>
      <c r="F4725" s="196">
        <v>0</v>
      </c>
      <c r="G4725" s="196">
        <v>-38400</v>
      </c>
    </row>
    <row r="4726" spans="1:7" x14ac:dyDescent="0.3">
      <c r="A4726" s="198">
        <v>21366560</v>
      </c>
      <c r="B4726" s="192" t="s">
        <v>460</v>
      </c>
      <c r="C4726" s="196">
        <v>0</v>
      </c>
      <c r="D4726" s="196">
        <v>0</v>
      </c>
      <c r="E4726" s="196">
        <v>319000</v>
      </c>
      <c r="F4726" s="196">
        <v>-319000</v>
      </c>
      <c r="G4726" s="196">
        <v>-319000</v>
      </c>
    </row>
    <row r="4727" spans="1:7" x14ac:dyDescent="0.3">
      <c r="A4727" s="198">
        <v>900451273</v>
      </c>
      <c r="B4727" s="192" t="s">
        <v>3164</v>
      </c>
      <c r="C4727" s="196">
        <v>-162000</v>
      </c>
      <c r="D4727" s="196">
        <v>0</v>
      </c>
      <c r="E4727" s="196">
        <v>0</v>
      </c>
      <c r="F4727" s="196">
        <v>0</v>
      </c>
      <c r="G4727" s="196">
        <v>-162000</v>
      </c>
    </row>
    <row r="4728" spans="1:7" x14ac:dyDescent="0.3">
      <c r="A4728" s="198">
        <v>805009741</v>
      </c>
      <c r="B4728" s="192" t="s">
        <v>461</v>
      </c>
      <c r="C4728" s="196">
        <v>-14092600</v>
      </c>
      <c r="D4728" s="196">
        <v>0</v>
      </c>
      <c r="E4728" s="196">
        <v>1764900</v>
      </c>
      <c r="F4728" s="196">
        <v>-1764900</v>
      </c>
      <c r="G4728" s="196">
        <v>-15857500</v>
      </c>
    </row>
    <row r="4729" spans="1:7" x14ac:dyDescent="0.3">
      <c r="A4729" s="198">
        <v>1020324292</v>
      </c>
      <c r="B4729" s="192" t="s">
        <v>3165</v>
      </c>
      <c r="C4729" s="196">
        <v>-50900</v>
      </c>
      <c r="D4729" s="196">
        <v>0</v>
      </c>
      <c r="E4729" s="196">
        <v>0</v>
      </c>
      <c r="F4729" s="196">
        <v>0</v>
      </c>
      <c r="G4729" s="196">
        <v>-50900</v>
      </c>
    </row>
    <row r="4730" spans="1:7" x14ac:dyDescent="0.3">
      <c r="A4730" s="192" t="s">
        <v>3166</v>
      </c>
      <c r="B4730" s="192" t="s">
        <v>3167</v>
      </c>
      <c r="C4730" s="196">
        <v>-162000</v>
      </c>
      <c r="D4730" s="196">
        <v>0</v>
      </c>
      <c r="E4730" s="196">
        <v>0</v>
      </c>
      <c r="F4730" s="196">
        <v>0</v>
      </c>
      <c r="G4730" s="196">
        <v>-162000</v>
      </c>
    </row>
    <row r="4731" spans="1:7" x14ac:dyDescent="0.3">
      <c r="A4731" s="198">
        <v>1090470937</v>
      </c>
      <c r="B4731" s="192" t="s">
        <v>3168</v>
      </c>
      <c r="C4731" s="196">
        <v>-297000</v>
      </c>
      <c r="D4731" s="196">
        <v>0</v>
      </c>
      <c r="E4731" s="196">
        <v>0</v>
      </c>
      <c r="F4731" s="196">
        <v>0</v>
      </c>
      <c r="G4731" s="196">
        <v>-297000</v>
      </c>
    </row>
    <row r="4732" spans="1:7" x14ac:dyDescent="0.3">
      <c r="A4732" s="198">
        <v>1046910676</v>
      </c>
      <c r="B4732" s="192" t="s">
        <v>3169</v>
      </c>
      <c r="C4732" s="196">
        <v>-340000</v>
      </c>
      <c r="D4732" s="196">
        <v>0</v>
      </c>
      <c r="E4732" s="196">
        <v>0</v>
      </c>
      <c r="F4732" s="196">
        <v>0</v>
      </c>
      <c r="G4732" s="196">
        <v>-340000</v>
      </c>
    </row>
    <row r="4733" spans="1:7" x14ac:dyDescent="0.3">
      <c r="A4733" s="198">
        <v>1053825950</v>
      </c>
      <c r="B4733" s="192" t="s">
        <v>462</v>
      </c>
      <c r="C4733" s="196">
        <v>0</v>
      </c>
      <c r="D4733" s="196">
        <v>0</v>
      </c>
      <c r="E4733" s="196">
        <v>110000</v>
      </c>
      <c r="F4733" s="196">
        <v>-110000</v>
      </c>
      <c r="G4733" s="196">
        <v>-110000</v>
      </c>
    </row>
    <row r="4734" spans="1:7" x14ac:dyDescent="0.3">
      <c r="A4734" s="198">
        <v>1038809926</v>
      </c>
      <c r="B4734" s="192" t="s">
        <v>3170</v>
      </c>
      <c r="C4734" s="196">
        <v>-319000</v>
      </c>
      <c r="D4734" s="196">
        <v>0</v>
      </c>
      <c r="E4734" s="196">
        <v>0</v>
      </c>
      <c r="F4734" s="196">
        <v>0</v>
      </c>
      <c r="G4734" s="196">
        <v>-319000</v>
      </c>
    </row>
    <row r="4735" spans="1:7" x14ac:dyDescent="0.3">
      <c r="A4735" s="198">
        <v>1017216320</v>
      </c>
      <c r="B4735" s="192" t="s">
        <v>3171</v>
      </c>
      <c r="C4735" s="196">
        <v>-50900</v>
      </c>
      <c r="D4735" s="196">
        <v>0</v>
      </c>
      <c r="E4735" s="196">
        <v>0</v>
      </c>
      <c r="F4735" s="196">
        <v>0</v>
      </c>
      <c r="G4735" s="196">
        <v>-50900</v>
      </c>
    </row>
    <row r="4736" spans="1:7" x14ac:dyDescent="0.3">
      <c r="A4736" s="198">
        <v>8028422</v>
      </c>
      <c r="B4736" s="192" t="s">
        <v>463</v>
      </c>
      <c r="C4736" s="196">
        <v>0</v>
      </c>
      <c r="D4736" s="196">
        <v>0</v>
      </c>
      <c r="E4736" s="196">
        <v>57200</v>
      </c>
      <c r="F4736" s="196">
        <v>-57200</v>
      </c>
      <c r="G4736" s="196">
        <v>-57200</v>
      </c>
    </row>
    <row r="4737" spans="1:7" x14ac:dyDescent="0.3">
      <c r="A4737" s="198">
        <v>1125642287</v>
      </c>
      <c r="B4737" s="192" t="s">
        <v>464</v>
      </c>
      <c r="C4737" s="196">
        <v>-416000</v>
      </c>
      <c r="D4737" s="196">
        <v>0</v>
      </c>
      <c r="E4737" s="196">
        <v>0</v>
      </c>
      <c r="F4737" s="196">
        <v>0</v>
      </c>
      <c r="G4737" s="196">
        <v>-416000</v>
      </c>
    </row>
    <row r="4738" spans="1:7" x14ac:dyDescent="0.3">
      <c r="A4738" s="198">
        <v>1040321268</v>
      </c>
      <c r="B4738" s="192" t="s">
        <v>3172</v>
      </c>
      <c r="C4738" s="196">
        <v>-319000</v>
      </c>
      <c r="D4738" s="196">
        <v>0</v>
      </c>
      <c r="E4738" s="196">
        <v>0</v>
      </c>
      <c r="F4738" s="196">
        <v>0</v>
      </c>
      <c r="G4738" s="196">
        <v>-319000</v>
      </c>
    </row>
    <row r="4739" spans="1:7" x14ac:dyDescent="0.3">
      <c r="A4739" s="198">
        <v>1017264978</v>
      </c>
      <c r="B4739" s="192" t="s">
        <v>3173</v>
      </c>
      <c r="C4739" s="196">
        <v>-50900</v>
      </c>
      <c r="D4739" s="196">
        <v>0</v>
      </c>
      <c r="E4739" s="196">
        <v>0</v>
      </c>
      <c r="F4739" s="196">
        <v>0</v>
      </c>
      <c r="G4739" s="196">
        <v>-50900</v>
      </c>
    </row>
    <row r="4740" spans="1:7" x14ac:dyDescent="0.3">
      <c r="A4740" s="198">
        <v>71607242</v>
      </c>
      <c r="B4740" s="192" t="s">
        <v>466</v>
      </c>
      <c r="C4740" s="196">
        <v>-297000</v>
      </c>
      <c r="D4740" s="196">
        <v>0</v>
      </c>
      <c r="E4740" s="196">
        <v>0</v>
      </c>
      <c r="F4740" s="196">
        <v>0</v>
      </c>
      <c r="G4740" s="196">
        <v>-297000</v>
      </c>
    </row>
    <row r="4741" spans="1:7" x14ac:dyDescent="0.3">
      <c r="A4741" s="198">
        <v>71228070</v>
      </c>
      <c r="B4741" s="192" t="s">
        <v>467</v>
      </c>
      <c r="C4741" s="196">
        <v>0</v>
      </c>
      <c r="D4741" s="196">
        <v>0</v>
      </c>
      <c r="E4741" s="196">
        <v>50900</v>
      </c>
      <c r="F4741" s="196">
        <v>-50900</v>
      </c>
      <c r="G4741" s="196">
        <v>-50900</v>
      </c>
    </row>
    <row r="4742" spans="1:7" x14ac:dyDescent="0.3">
      <c r="A4742" s="198">
        <v>39177175</v>
      </c>
      <c r="B4742" s="192" t="s">
        <v>3174</v>
      </c>
      <c r="C4742" s="196">
        <v>-101800</v>
      </c>
      <c r="D4742" s="196">
        <v>0</v>
      </c>
      <c r="E4742" s="196">
        <v>0</v>
      </c>
      <c r="F4742" s="196">
        <v>0</v>
      </c>
      <c r="G4742" s="196">
        <v>-101800</v>
      </c>
    </row>
    <row r="4743" spans="1:7" x14ac:dyDescent="0.3">
      <c r="A4743" s="192" t="s">
        <v>3175</v>
      </c>
      <c r="B4743" s="192" t="s">
        <v>3176</v>
      </c>
      <c r="C4743" s="196">
        <v>-127000</v>
      </c>
      <c r="D4743" s="196">
        <v>0</v>
      </c>
      <c r="E4743" s="196">
        <v>0</v>
      </c>
      <c r="F4743" s="196">
        <v>0</v>
      </c>
      <c r="G4743" s="196">
        <v>-127000</v>
      </c>
    </row>
    <row r="4744" spans="1:7" x14ac:dyDescent="0.3">
      <c r="A4744" s="198">
        <v>1035000459</v>
      </c>
      <c r="B4744" s="192" t="s">
        <v>468</v>
      </c>
      <c r="C4744" s="196">
        <v>0</v>
      </c>
      <c r="D4744" s="196">
        <v>0</v>
      </c>
      <c r="E4744" s="196">
        <v>49000</v>
      </c>
      <c r="F4744" s="196">
        <v>-49000</v>
      </c>
      <c r="G4744" s="196">
        <v>-49000</v>
      </c>
    </row>
    <row r="4745" spans="1:7" x14ac:dyDescent="0.3">
      <c r="A4745" s="198">
        <v>1020127926</v>
      </c>
      <c r="B4745" s="192" t="s">
        <v>3177</v>
      </c>
      <c r="C4745" s="196">
        <v>-50900</v>
      </c>
      <c r="D4745" s="196">
        <v>0</v>
      </c>
      <c r="E4745" s="196">
        <v>0</v>
      </c>
      <c r="F4745" s="196">
        <v>0</v>
      </c>
      <c r="G4745" s="196">
        <v>-50900</v>
      </c>
    </row>
    <row r="4746" spans="1:7" x14ac:dyDescent="0.3">
      <c r="A4746" s="198">
        <v>1020308882</v>
      </c>
      <c r="B4746" s="192" t="s">
        <v>3178</v>
      </c>
      <c r="C4746" s="196">
        <v>-49000</v>
      </c>
      <c r="D4746" s="196">
        <v>0</v>
      </c>
      <c r="E4746" s="196">
        <v>0</v>
      </c>
      <c r="F4746" s="196">
        <v>0</v>
      </c>
      <c r="G4746" s="196">
        <v>-49000</v>
      </c>
    </row>
    <row r="4747" spans="1:7" x14ac:dyDescent="0.3">
      <c r="A4747" s="198">
        <v>1034987242</v>
      </c>
      <c r="B4747" s="192" t="s">
        <v>3179</v>
      </c>
      <c r="C4747" s="196">
        <v>-203600</v>
      </c>
      <c r="D4747" s="196">
        <v>0</v>
      </c>
      <c r="E4747" s="196">
        <v>0</v>
      </c>
      <c r="F4747" s="196">
        <v>0</v>
      </c>
      <c r="G4747" s="196">
        <v>-203600</v>
      </c>
    </row>
    <row r="4748" spans="1:7" x14ac:dyDescent="0.3">
      <c r="A4748" s="198">
        <v>1027743532</v>
      </c>
      <c r="B4748" s="192" t="s">
        <v>3180</v>
      </c>
      <c r="C4748" s="196">
        <v>-101800</v>
      </c>
      <c r="D4748" s="196">
        <v>0</v>
      </c>
      <c r="E4748" s="196">
        <v>0</v>
      </c>
      <c r="F4748" s="196">
        <v>0</v>
      </c>
      <c r="G4748" s="196">
        <v>-101800</v>
      </c>
    </row>
    <row r="4749" spans="1:7" x14ac:dyDescent="0.3">
      <c r="A4749" s="198">
        <v>1032101182</v>
      </c>
      <c r="B4749" s="192" t="s">
        <v>3181</v>
      </c>
      <c r="C4749" s="196">
        <v>-35000</v>
      </c>
      <c r="D4749" s="196">
        <v>0</v>
      </c>
      <c r="E4749" s="196">
        <v>0</v>
      </c>
      <c r="F4749" s="196">
        <v>0</v>
      </c>
      <c r="G4749" s="196">
        <v>-35000</v>
      </c>
    </row>
    <row r="4750" spans="1:7" x14ac:dyDescent="0.3">
      <c r="A4750" s="198">
        <v>42756495</v>
      </c>
      <c r="B4750" s="192" t="s">
        <v>3182</v>
      </c>
      <c r="C4750" s="196">
        <v>-297000</v>
      </c>
      <c r="D4750" s="196">
        <v>0</v>
      </c>
      <c r="E4750" s="196">
        <v>0</v>
      </c>
      <c r="F4750" s="196">
        <v>0</v>
      </c>
      <c r="G4750" s="196">
        <v>-297000</v>
      </c>
    </row>
    <row r="4751" spans="1:7" x14ac:dyDescent="0.3">
      <c r="A4751" s="198">
        <v>39736645</v>
      </c>
      <c r="B4751" s="192" t="s">
        <v>3183</v>
      </c>
      <c r="C4751" s="196">
        <v>-162000</v>
      </c>
      <c r="D4751" s="196">
        <v>0</v>
      </c>
      <c r="E4751" s="196">
        <v>0</v>
      </c>
      <c r="F4751" s="196">
        <v>0</v>
      </c>
      <c r="G4751" s="196">
        <v>-162000</v>
      </c>
    </row>
    <row r="4752" spans="1:7" x14ac:dyDescent="0.3">
      <c r="A4752" s="192" t="s">
        <v>3184</v>
      </c>
      <c r="B4752" s="192" t="s">
        <v>472</v>
      </c>
      <c r="C4752" s="196">
        <v>-110000</v>
      </c>
      <c r="D4752" s="196">
        <v>0</v>
      </c>
      <c r="E4752" s="196">
        <v>0</v>
      </c>
      <c r="F4752" s="196">
        <v>0</v>
      </c>
      <c r="G4752" s="196">
        <v>-110000</v>
      </c>
    </row>
    <row r="4753" spans="1:7" x14ac:dyDescent="0.3">
      <c r="A4753" s="198">
        <v>1088271062</v>
      </c>
      <c r="B4753" s="192" t="s">
        <v>473</v>
      </c>
      <c r="C4753" s="196">
        <v>-110000</v>
      </c>
      <c r="D4753" s="196">
        <v>0</v>
      </c>
      <c r="E4753" s="196">
        <v>0</v>
      </c>
      <c r="F4753" s="196">
        <v>0</v>
      </c>
      <c r="G4753" s="196">
        <v>-110000</v>
      </c>
    </row>
    <row r="4754" spans="1:7" x14ac:dyDescent="0.3">
      <c r="A4754" s="198">
        <v>1020433856</v>
      </c>
      <c r="B4754" s="192" t="s">
        <v>474</v>
      </c>
      <c r="C4754" s="196">
        <v>0</v>
      </c>
      <c r="D4754" s="196">
        <v>0</v>
      </c>
      <c r="E4754" s="196">
        <v>50900</v>
      </c>
      <c r="F4754" s="196">
        <v>-50900</v>
      </c>
      <c r="G4754" s="196">
        <v>-50900</v>
      </c>
    </row>
    <row r="4755" spans="1:7" x14ac:dyDescent="0.3">
      <c r="A4755" s="198">
        <v>1128269844</v>
      </c>
      <c r="B4755" s="192" t="s">
        <v>475</v>
      </c>
      <c r="C4755" s="196">
        <v>0</v>
      </c>
      <c r="D4755" s="196">
        <v>0</v>
      </c>
      <c r="E4755" s="196">
        <v>57200</v>
      </c>
      <c r="F4755" s="196">
        <v>-57200</v>
      </c>
      <c r="G4755" s="196">
        <v>-57200</v>
      </c>
    </row>
    <row r="4756" spans="1:7" x14ac:dyDescent="0.3">
      <c r="A4756" s="198">
        <v>11791856</v>
      </c>
      <c r="B4756" s="192" t="s">
        <v>3185</v>
      </c>
      <c r="C4756" s="196">
        <v>-297000</v>
      </c>
      <c r="D4756" s="196">
        <v>0</v>
      </c>
      <c r="E4756" s="196">
        <v>0</v>
      </c>
      <c r="F4756" s="196">
        <v>0</v>
      </c>
      <c r="G4756" s="196">
        <v>-297000</v>
      </c>
    </row>
    <row r="4757" spans="1:7" x14ac:dyDescent="0.3">
      <c r="A4757" s="198">
        <v>38940183</v>
      </c>
      <c r="B4757" s="192" t="s">
        <v>3186</v>
      </c>
      <c r="C4757" s="196">
        <v>-319000</v>
      </c>
      <c r="D4757" s="196">
        <v>0</v>
      </c>
      <c r="E4757" s="196">
        <v>0</v>
      </c>
      <c r="F4757" s="196">
        <v>0</v>
      </c>
      <c r="G4757" s="196">
        <v>-319000</v>
      </c>
    </row>
    <row r="4758" spans="1:7" x14ac:dyDescent="0.3">
      <c r="A4758" s="198">
        <v>39356307</v>
      </c>
      <c r="B4758" s="192" t="s">
        <v>3187</v>
      </c>
      <c r="C4758" s="196">
        <v>-290000</v>
      </c>
      <c r="D4758" s="196">
        <v>0</v>
      </c>
      <c r="E4758" s="196">
        <v>0</v>
      </c>
      <c r="F4758" s="196">
        <v>0</v>
      </c>
      <c r="G4758" s="196">
        <v>-290000</v>
      </c>
    </row>
    <row r="4759" spans="1:7" x14ac:dyDescent="0.3">
      <c r="A4759" s="198">
        <v>8253738</v>
      </c>
      <c r="B4759" s="192" t="s">
        <v>3188</v>
      </c>
      <c r="C4759" s="196">
        <v>-380000</v>
      </c>
      <c r="D4759" s="196">
        <v>0</v>
      </c>
      <c r="E4759" s="196">
        <v>0</v>
      </c>
      <c r="F4759" s="196">
        <v>0</v>
      </c>
      <c r="G4759" s="196">
        <v>-380000</v>
      </c>
    </row>
    <row r="4760" spans="1:7" x14ac:dyDescent="0.3">
      <c r="A4760" s="198">
        <v>43489520</v>
      </c>
      <c r="B4760" s="192" t="s">
        <v>476</v>
      </c>
      <c r="C4760" s="196">
        <v>0</v>
      </c>
      <c r="D4760" s="196">
        <v>0</v>
      </c>
      <c r="E4760" s="196">
        <v>57200</v>
      </c>
      <c r="F4760" s="196">
        <v>-57200</v>
      </c>
      <c r="G4760" s="196">
        <v>-57200</v>
      </c>
    </row>
    <row r="4761" spans="1:7" x14ac:dyDescent="0.3">
      <c r="A4761" s="198">
        <v>43502691</v>
      </c>
      <c r="B4761" s="192" t="s">
        <v>3189</v>
      </c>
      <c r="C4761" s="196">
        <v>-34600</v>
      </c>
      <c r="D4761" s="196">
        <v>0</v>
      </c>
      <c r="E4761" s="196">
        <v>0</v>
      </c>
      <c r="F4761" s="196">
        <v>0</v>
      </c>
      <c r="G4761" s="196">
        <v>-34600</v>
      </c>
    </row>
    <row r="4762" spans="1:7" x14ac:dyDescent="0.3">
      <c r="A4762" s="198">
        <v>559390346</v>
      </c>
      <c r="B4762" s="192" t="s">
        <v>3190</v>
      </c>
      <c r="C4762" s="196">
        <v>-270000</v>
      </c>
      <c r="D4762" s="196">
        <v>0</v>
      </c>
      <c r="E4762" s="196">
        <v>0</v>
      </c>
      <c r="F4762" s="196">
        <v>0</v>
      </c>
      <c r="G4762" s="196">
        <v>-270000</v>
      </c>
    </row>
    <row r="4763" spans="1:7" x14ac:dyDescent="0.3">
      <c r="A4763" s="198">
        <v>1020325916</v>
      </c>
      <c r="B4763" s="192" t="s">
        <v>3191</v>
      </c>
      <c r="C4763" s="196">
        <v>-50900</v>
      </c>
      <c r="D4763" s="196">
        <v>0</v>
      </c>
      <c r="E4763" s="196">
        <v>0</v>
      </c>
      <c r="F4763" s="196">
        <v>0</v>
      </c>
      <c r="G4763" s="196">
        <v>-50900</v>
      </c>
    </row>
    <row r="4764" spans="1:7" x14ac:dyDescent="0.3">
      <c r="A4764" s="198">
        <v>1000853380</v>
      </c>
      <c r="B4764" s="192" t="s">
        <v>477</v>
      </c>
      <c r="C4764" s="196">
        <v>0</v>
      </c>
      <c r="D4764" s="196">
        <v>0</v>
      </c>
      <c r="E4764" s="196">
        <v>41400</v>
      </c>
      <c r="F4764" s="196">
        <v>-41400</v>
      </c>
      <c r="G4764" s="196">
        <v>-41400</v>
      </c>
    </row>
    <row r="4765" spans="1:7" x14ac:dyDescent="0.3">
      <c r="A4765" s="198">
        <v>1128424733</v>
      </c>
      <c r="B4765" s="192" t="s">
        <v>478</v>
      </c>
      <c r="C4765" s="196">
        <v>0</v>
      </c>
      <c r="D4765" s="196">
        <v>0</v>
      </c>
      <c r="E4765" s="196">
        <v>57200</v>
      </c>
      <c r="F4765" s="196">
        <v>-57200</v>
      </c>
      <c r="G4765" s="196">
        <v>-57200</v>
      </c>
    </row>
    <row r="4766" spans="1:7" x14ac:dyDescent="0.3">
      <c r="A4766" s="198">
        <v>71601982</v>
      </c>
      <c r="B4766" s="192" t="s">
        <v>3192</v>
      </c>
      <c r="C4766" s="196">
        <v>-162000</v>
      </c>
      <c r="D4766" s="196">
        <v>0</v>
      </c>
      <c r="E4766" s="196">
        <v>0</v>
      </c>
      <c r="F4766" s="196">
        <v>0</v>
      </c>
      <c r="G4766" s="196">
        <v>-162000</v>
      </c>
    </row>
    <row r="4767" spans="1:7" x14ac:dyDescent="0.3">
      <c r="A4767" s="198">
        <v>71275832</v>
      </c>
      <c r="B4767" s="192" t="s">
        <v>3193</v>
      </c>
      <c r="C4767" s="196">
        <v>-54200</v>
      </c>
      <c r="D4767" s="196">
        <v>0</v>
      </c>
      <c r="E4767" s="196">
        <v>0</v>
      </c>
      <c r="F4767" s="196">
        <v>0</v>
      </c>
      <c r="G4767" s="196">
        <v>-54200</v>
      </c>
    </row>
    <row r="4768" spans="1:7" x14ac:dyDescent="0.3">
      <c r="A4768" s="198">
        <v>8356332</v>
      </c>
      <c r="B4768" s="192" t="s">
        <v>3194</v>
      </c>
      <c r="C4768" s="196">
        <v>-57200</v>
      </c>
      <c r="D4768" s="196">
        <v>0</v>
      </c>
      <c r="E4768" s="196">
        <v>0</v>
      </c>
      <c r="F4768" s="196">
        <v>0</v>
      </c>
      <c r="G4768" s="196">
        <v>-57200</v>
      </c>
    </row>
    <row r="4769" spans="1:7" x14ac:dyDescent="0.3">
      <c r="A4769" s="192" t="s">
        <v>2381</v>
      </c>
      <c r="B4769" s="192" t="s">
        <v>2382</v>
      </c>
      <c r="C4769" s="196">
        <v>-567000</v>
      </c>
      <c r="D4769" s="196">
        <v>0</v>
      </c>
      <c r="E4769" s="196">
        <v>0</v>
      </c>
      <c r="F4769" s="196">
        <v>0</v>
      </c>
      <c r="G4769" s="196">
        <v>-567000</v>
      </c>
    </row>
    <row r="4770" spans="1:7" x14ac:dyDescent="0.3">
      <c r="A4770" s="198">
        <v>1152711894</v>
      </c>
      <c r="B4770" s="192" t="s">
        <v>479</v>
      </c>
      <c r="C4770" s="196">
        <v>0</v>
      </c>
      <c r="D4770" s="196">
        <v>0</v>
      </c>
      <c r="E4770" s="196">
        <v>222200</v>
      </c>
      <c r="F4770" s="196">
        <v>-222200</v>
      </c>
      <c r="G4770" s="196">
        <v>-222200</v>
      </c>
    </row>
    <row r="4771" spans="1:7" x14ac:dyDescent="0.3">
      <c r="A4771" s="198">
        <v>1128266076</v>
      </c>
      <c r="B4771" s="192" t="s">
        <v>3195</v>
      </c>
      <c r="C4771" s="196">
        <v>-190000</v>
      </c>
      <c r="D4771" s="196">
        <v>0</v>
      </c>
      <c r="E4771" s="196">
        <v>0</v>
      </c>
      <c r="F4771" s="196">
        <v>0</v>
      </c>
      <c r="G4771" s="196">
        <v>-190000</v>
      </c>
    </row>
    <row r="4772" spans="1:7" x14ac:dyDescent="0.3">
      <c r="A4772" s="198">
        <v>1097038190</v>
      </c>
      <c r="B4772" s="192" t="s">
        <v>3196</v>
      </c>
      <c r="C4772" s="196">
        <v>-50900</v>
      </c>
      <c r="D4772" s="196">
        <v>0</v>
      </c>
      <c r="E4772" s="196">
        <v>0</v>
      </c>
      <c r="F4772" s="196">
        <v>0</v>
      </c>
      <c r="G4772" s="196">
        <v>-50900</v>
      </c>
    </row>
    <row r="4773" spans="1:7" x14ac:dyDescent="0.3">
      <c r="A4773" s="198">
        <v>1633335715</v>
      </c>
      <c r="B4773" s="192" t="s">
        <v>3197</v>
      </c>
      <c r="C4773" s="196">
        <v>-50900</v>
      </c>
      <c r="D4773" s="196">
        <v>0</v>
      </c>
      <c r="E4773" s="196">
        <v>0</v>
      </c>
      <c r="F4773" s="196">
        <v>0</v>
      </c>
      <c r="G4773" s="196">
        <v>-50900</v>
      </c>
    </row>
    <row r="4774" spans="1:7" x14ac:dyDescent="0.3">
      <c r="A4774" s="198">
        <v>1036653121</v>
      </c>
      <c r="B4774" s="192" t="s">
        <v>3198</v>
      </c>
      <c r="C4774" s="196">
        <v>-54200</v>
      </c>
      <c r="D4774" s="196">
        <v>0</v>
      </c>
      <c r="E4774" s="196">
        <v>0</v>
      </c>
      <c r="F4774" s="196">
        <v>0</v>
      </c>
      <c r="G4774" s="196">
        <v>-54200</v>
      </c>
    </row>
    <row r="4775" spans="1:7" x14ac:dyDescent="0.3">
      <c r="A4775" s="198">
        <v>15427060</v>
      </c>
      <c r="B4775" s="192" t="s">
        <v>3199</v>
      </c>
      <c r="C4775" s="196">
        <v>-297000</v>
      </c>
      <c r="D4775" s="196">
        <v>0</v>
      </c>
      <c r="E4775" s="196">
        <v>0</v>
      </c>
      <c r="F4775" s="196">
        <v>0</v>
      </c>
      <c r="G4775" s="196">
        <v>-297000</v>
      </c>
    </row>
    <row r="4776" spans="1:7" x14ac:dyDescent="0.3">
      <c r="A4776" s="198">
        <v>71527070</v>
      </c>
      <c r="B4776" s="192" t="s">
        <v>3200</v>
      </c>
      <c r="C4776" s="196">
        <v>-50900</v>
      </c>
      <c r="D4776" s="196">
        <v>0</v>
      </c>
      <c r="E4776" s="196">
        <v>0</v>
      </c>
      <c r="F4776" s="196">
        <v>0</v>
      </c>
      <c r="G4776" s="196">
        <v>-50900</v>
      </c>
    </row>
    <row r="4777" spans="1:7" x14ac:dyDescent="0.3">
      <c r="A4777" s="198">
        <v>71786846</v>
      </c>
      <c r="B4777" s="192" t="s">
        <v>481</v>
      </c>
      <c r="C4777" s="196">
        <v>0</v>
      </c>
      <c r="D4777" s="196">
        <v>0</v>
      </c>
      <c r="E4777" s="196">
        <v>50900</v>
      </c>
      <c r="F4777" s="196">
        <v>-50900</v>
      </c>
      <c r="G4777" s="196">
        <v>-50900</v>
      </c>
    </row>
    <row r="4778" spans="1:7" x14ac:dyDescent="0.3">
      <c r="A4778" s="198">
        <v>1036686862</v>
      </c>
      <c r="B4778" s="192" t="s">
        <v>3201</v>
      </c>
      <c r="C4778" s="196">
        <v>-100000</v>
      </c>
      <c r="D4778" s="196">
        <v>0</v>
      </c>
      <c r="E4778" s="196">
        <v>0</v>
      </c>
      <c r="F4778" s="196">
        <v>0</v>
      </c>
      <c r="G4778" s="196">
        <v>-100000</v>
      </c>
    </row>
    <row r="4779" spans="1:7" x14ac:dyDescent="0.3">
      <c r="A4779" s="198">
        <v>8164130</v>
      </c>
      <c r="B4779" s="192" t="s">
        <v>3202</v>
      </c>
      <c r="C4779" s="196">
        <v>-150000</v>
      </c>
      <c r="D4779" s="196">
        <v>0</v>
      </c>
      <c r="E4779" s="196">
        <v>0</v>
      </c>
      <c r="F4779" s="196">
        <v>0</v>
      </c>
      <c r="G4779" s="196">
        <v>-150000</v>
      </c>
    </row>
    <row r="4780" spans="1:7" x14ac:dyDescent="0.3">
      <c r="A4780" s="192" t="s">
        <v>3203</v>
      </c>
      <c r="B4780" s="192" t="s">
        <v>3204</v>
      </c>
      <c r="C4780" s="196">
        <v>-297000</v>
      </c>
      <c r="D4780" s="196">
        <v>0</v>
      </c>
      <c r="E4780" s="196">
        <v>0</v>
      </c>
      <c r="F4780" s="196">
        <v>0</v>
      </c>
      <c r="G4780" s="196">
        <v>-297000</v>
      </c>
    </row>
    <row r="4781" spans="1:7" x14ac:dyDescent="0.3">
      <c r="A4781" s="192" t="s">
        <v>3205</v>
      </c>
      <c r="B4781" s="192" t="s">
        <v>3206</v>
      </c>
      <c r="C4781" s="196">
        <v>-297000</v>
      </c>
      <c r="D4781" s="196">
        <v>0</v>
      </c>
      <c r="E4781" s="196">
        <v>0</v>
      </c>
      <c r="F4781" s="196">
        <v>0</v>
      </c>
      <c r="G4781" s="196">
        <v>-297000</v>
      </c>
    </row>
    <row r="4782" spans="1:7" x14ac:dyDescent="0.3">
      <c r="A4782" s="192" t="s">
        <v>3207</v>
      </c>
      <c r="B4782" s="192" t="s">
        <v>3208</v>
      </c>
      <c r="C4782" s="196">
        <v>-108000</v>
      </c>
      <c r="D4782" s="196">
        <v>0</v>
      </c>
      <c r="E4782" s="196">
        <v>0</v>
      </c>
      <c r="F4782" s="196">
        <v>0</v>
      </c>
      <c r="G4782" s="196">
        <v>-108000</v>
      </c>
    </row>
    <row r="4783" spans="1:7" x14ac:dyDescent="0.3">
      <c r="A4783" s="198">
        <v>71748767</v>
      </c>
      <c r="B4783" s="192" t="s">
        <v>482</v>
      </c>
      <c r="C4783" s="196">
        <v>0</v>
      </c>
      <c r="D4783" s="196">
        <v>0</v>
      </c>
      <c r="E4783" s="196">
        <v>43900</v>
      </c>
      <c r="F4783" s="196">
        <v>-43900</v>
      </c>
      <c r="G4783" s="196">
        <v>-43900</v>
      </c>
    </row>
    <row r="4784" spans="1:7" x14ac:dyDescent="0.3">
      <c r="A4784" s="198">
        <v>1014182842</v>
      </c>
      <c r="B4784" s="192" t="s">
        <v>3209</v>
      </c>
      <c r="C4784" s="196">
        <v>-50900</v>
      </c>
      <c r="D4784" s="196">
        <v>0</v>
      </c>
      <c r="E4784" s="196">
        <v>0</v>
      </c>
      <c r="F4784" s="196">
        <v>0</v>
      </c>
      <c r="G4784" s="196">
        <v>-50900</v>
      </c>
    </row>
    <row r="4785" spans="1:7" x14ac:dyDescent="0.3">
      <c r="A4785" s="198">
        <v>895008</v>
      </c>
      <c r="B4785" s="192" t="s">
        <v>3210</v>
      </c>
      <c r="C4785" s="196">
        <v>-41400</v>
      </c>
      <c r="D4785" s="196">
        <v>0</v>
      </c>
      <c r="E4785" s="196">
        <v>0</v>
      </c>
      <c r="F4785" s="196">
        <v>0</v>
      </c>
      <c r="G4785" s="196">
        <v>-41400</v>
      </c>
    </row>
    <row r="4786" spans="1:7" x14ac:dyDescent="0.3">
      <c r="A4786" s="198">
        <v>1017251839</v>
      </c>
      <c r="B4786" s="192" t="s">
        <v>3211</v>
      </c>
      <c r="C4786" s="196">
        <v>-114400</v>
      </c>
      <c r="D4786" s="196">
        <v>0</v>
      </c>
      <c r="E4786" s="196">
        <v>0</v>
      </c>
      <c r="F4786" s="196">
        <v>0</v>
      </c>
      <c r="G4786" s="196">
        <v>-114400</v>
      </c>
    </row>
    <row r="4787" spans="1:7" x14ac:dyDescent="0.3">
      <c r="A4787" s="198">
        <v>1020448582</v>
      </c>
      <c r="B4787" s="192" t="s">
        <v>483</v>
      </c>
      <c r="C4787" s="196">
        <v>0</v>
      </c>
      <c r="D4787" s="196">
        <v>0</v>
      </c>
      <c r="E4787" s="196">
        <v>50900</v>
      </c>
      <c r="F4787" s="196">
        <v>-50900</v>
      </c>
      <c r="G4787" s="196">
        <v>-50900</v>
      </c>
    </row>
    <row r="4788" spans="1:7" x14ac:dyDescent="0.3">
      <c r="A4788" s="198">
        <v>1037643620</v>
      </c>
      <c r="B4788" s="192" t="s">
        <v>3212</v>
      </c>
      <c r="C4788" s="196">
        <v>-50900</v>
      </c>
      <c r="D4788" s="196">
        <v>0</v>
      </c>
      <c r="E4788" s="196">
        <v>0</v>
      </c>
      <c r="F4788" s="196">
        <v>0</v>
      </c>
      <c r="G4788" s="196">
        <v>-50900</v>
      </c>
    </row>
    <row r="4789" spans="1:7" x14ac:dyDescent="0.3">
      <c r="A4789" s="198">
        <v>1037664053</v>
      </c>
      <c r="B4789" s="192" t="s">
        <v>3213</v>
      </c>
      <c r="C4789" s="196">
        <v>-57200</v>
      </c>
      <c r="D4789" s="196">
        <v>0</v>
      </c>
      <c r="E4789" s="196">
        <v>0</v>
      </c>
      <c r="F4789" s="196">
        <v>0</v>
      </c>
      <c r="G4789" s="196">
        <v>-57200</v>
      </c>
    </row>
    <row r="4790" spans="1:7" x14ac:dyDescent="0.3">
      <c r="A4790" s="198">
        <v>80183652</v>
      </c>
      <c r="B4790" s="192" t="s">
        <v>3214</v>
      </c>
      <c r="C4790" s="196">
        <v>-47400</v>
      </c>
      <c r="D4790" s="196">
        <v>0</v>
      </c>
      <c r="E4790" s="196">
        <v>0</v>
      </c>
      <c r="F4790" s="196">
        <v>0</v>
      </c>
      <c r="G4790" s="196">
        <v>-47400</v>
      </c>
    </row>
    <row r="4791" spans="1:7" x14ac:dyDescent="0.3">
      <c r="A4791" s="198">
        <v>1036672398</v>
      </c>
      <c r="B4791" s="192" t="s">
        <v>484</v>
      </c>
      <c r="C4791" s="196">
        <v>-724000</v>
      </c>
      <c r="D4791" s="196">
        <v>0</v>
      </c>
      <c r="E4791" s="196">
        <v>0</v>
      </c>
      <c r="F4791" s="196">
        <v>0</v>
      </c>
      <c r="G4791" s="196">
        <v>-724000</v>
      </c>
    </row>
    <row r="4792" spans="1:7" x14ac:dyDescent="0.3">
      <c r="A4792" s="198">
        <v>1037641568</v>
      </c>
      <c r="B4792" s="192" t="s">
        <v>485</v>
      </c>
      <c r="C4792" s="196">
        <v>-1</v>
      </c>
      <c r="D4792" s="196">
        <v>0</v>
      </c>
      <c r="E4792" s="196">
        <v>0</v>
      </c>
      <c r="F4792" s="196">
        <v>0</v>
      </c>
      <c r="G4792" s="196">
        <v>-1</v>
      </c>
    </row>
    <row r="4793" spans="1:7" x14ac:dyDescent="0.3">
      <c r="A4793" s="198">
        <v>1036686370</v>
      </c>
      <c r="B4793" s="192" t="s">
        <v>3215</v>
      </c>
      <c r="C4793" s="196">
        <v>-50900</v>
      </c>
      <c r="D4793" s="196">
        <v>0</v>
      </c>
      <c r="E4793" s="196">
        <v>0</v>
      </c>
      <c r="F4793" s="196">
        <v>0</v>
      </c>
      <c r="G4793" s="196">
        <v>-50900</v>
      </c>
    </row>
    <row r="4794" spans="1:7" x14ac:dyDescent="0.3">
      <c r="A4794" s="198">
        <v>1017933542</v>
      </c>
      <c r="B4794" s="192" t="s">
        <v>3216</v>
      </c>
      <c r="C4794" s="196">
        <v>-57200</v>
      </c>
      <c r="D4794" s="196">
        <v>0</v>
      </c>
      <c r="E4794" s="196">
        <v>0</v>
      </c>
      <c r="F4794" s="196">
        <v>0</v>
      </c>
      <c r="G4794" s="196">
        <v>-57200</v>
      </c>
    </row>
    <row r="4795" spans="1:7" x14ac:dyDescent="0.3">
      <c r="A4795" s="198">
        <v>1018225090</v>
      </c>
      <c r="B4795" s="192" t="s">
        <v>3217</v>
      </c>
      <c r="C4795" s="196">
        <v>-50900</v>
      </c>
      <c r="D4795" s="196">
        <v>0</v>
      </c>
      <c r="E4795" s="196">
        <v>0</v>
      </c>
      <c r="F4795" s="196">
        <v>0</v>
      </c>
      <c r="G4795" s="196">
        <v>-50900</v>
      </c>
    </row>
    <row r="4796" spans="1:7" x14ac:dyDescent="0.3">
      <c r="A4796" s="198">
        <v>1047972201</v>
      </c>
      <c r="B4796" s="192" t="s">
        <v>3218</v>
      </c>
      <c r="C4796" s="196">
        <v>-297000</v>
      </c>
      <c r="D4796" s="196">
        <v>0</v>
      </c>
      <c r="E4796" s="196">
        <v>0</v>
      </c>
      <c r="F4796" s="196">
        <v>0</v>
      </c>
      <c r="G4796" s="196">
        <v>-297000</v>
      </c>
    </row>
    <row r="4797" spans="1:7" x14ac:dyDescent="0.3">
      <c r="A4797" s="198">
        <v>1020811497</v>
      </c>
      <c r="B4797" s="192" t="s">
        <v>3219</v>
      </c>
      <c r="C4797" s="196">
        <v>-29700</v>
      </c>
      <c r="D4797" s="196">
        <v>0</v>
      </c>
      <c r="E4797" s="196">
        <v>0</v>
      </c>
      <c r="F4797" s="196">
        <v>0</v>
      </c>
      <c r="G4797" s="196">
        <v>-29700</v>
      </c>
    </row>
    <row r="4798" spans="1:7" x14ac:dyDescent="0.3">
      <c r="A4798" s="198">
        <v>1039467226</v>
      </c>
      <c r="B4798" s="192" t="s">
        <v>3220</v>
      </c>
      <c r="C4798" s="196">
        <v>-101800</v>
      </c>
      <c r="D4798" s="196">
        <v>0</v>
      </c>
      <c r="E4798" s="196">
        <v>0</v>
      </c>
      <c r="F4798" s="196">
        <v>0</v>
      </c>
      <c r="G4798" s="196">
        <v>-101800</v>
      </c>
    </row>
    <row r="4799" spans="1:7" x14ac:dyDescent="0.3">
      <c r="A4799" s="198">
        <v>1082124028</v>
      </c>
      <c r="B4799" s="192" t="s">
        <v>3221</v>
      </c>
      <c r="C4799" s="196">
        <v>-100000</v>
      </c>
      <c r="D4799" s="196">
        <v>0</v>
      </c>
      <c r="E4799" s="196">
        <v>0</v>
      </c>
      <c r="F4799" s="196">
        <v>0</v>
      </c>
      <c r="G4799" s="196">
        <v>-100000</v>
      </c>
    </row>
    <row r="4800" spans="1:7" x14ac:dyDescent="0.3">
      <c r="A4800" s="198">
        <v>1214747090</v>
      </c>
      <c r="B4800" s="192" t="s">
        <v>3222</v>
      </c>
      <c r="C4800" s="196">
        <v>-162000</v>
      </c>
      <c r="D4800" s="196">
        <v>0</v>
      </c>
      <c r="E4800" s="196">
        <v>0</v>
      </c>
      <c r="F4800" s="196">
        <v>0</v>
      </c>
      <c r="G4800" s="196">
        <v>-162000</v>
      </c>
    </row>
    <row r="4801" spans="1:7" x14ac:dyDescent="0.3">
      <c r="A4801" s="198">
        <v>1027885952</v>
      </c>
      <c r="B4801" s="192" t="s">
        <v>3223</v>
      </c>
      <c r="C4801" s="196">
        <v>-297000</v>
      </c>
      <c r="D4801" s="196">
        <v>0</v>
      </c>
      <c r="E4801" s="196">
        <v>0</v>
      </c>
      <c r="F4801" s="196">
        <v>0</v>
      </c>
      <c r="G4801" s="196">
        <v>-297000</v>
      </c>
    </row>
    <row r="4802" spans="1:7" x14ac:dyDescent="0.3">
      <c r="A4802" s="198">
        <v>1017201353</v>
      </c>
      <c r="B4802" s="192" t="s">
        <v>3224</v>
      </c>
      <c r="C4802" s="196">
        <v>-50900</v>
      </c>
      <c r="D4802" s="196">
        <v>0</v>
      </c>
      <c r="E4802" s="196">
        <v>0</v>
      </c>
      <c r="F4802" s="196">
        <v>0</v>
      </c>
      <c r="G4802" s="196">
        <v>-50900</v>
      </c>
    </row>
    <row r="4803" spans="1:7" x14ac:dyDescent="0.3">
      <c r="A4803" s="198">
        <v>1034987258</v>
      </c>
      <c r="B4803" s="192" t="s">
        <v>3225</v>
      </c>
      <c r="C4803" s="196">
        <v>-270000</v>
      </c>
      <c r="D4803" s="196">
        <v>0</v>
      </c>
      <c r="E4803" s="196">
        <v>0</v>
      </c>
      <c r="F4803" s="196">
        <v>0</v>
      </c>
      <c r="G4803" s="196">
        <v>-270000</v>
      </c>
    </row>
    <row r="4804" spans="1:7" x14ac:dyDescent="0.3">
      <c r="A4804" s="198">
        <v>1094927375</v>
      </c>
      <c r="B4804" s="192" t="s">
        <v>3226</v>
      </c>
      <c r="C4804" s="196">
        <v>-47400</v>
      </c>
      <c r="D4804" s="196">
        <v>0</v>
      </c>
      <c r="E4804" s="196">
        <v>0</v>
      </c>
      <c r="F4804" s="196">
        <v>0</v>
      </c>
      <c r="G4804" s="196">
        <v>-47400</v>
      </c>
    </row>
    <row r="4805" spans="1:7" x14ac:dyDescent="0.3">
      <c r="A4805" s="198">
        <v>1017228152</v>
      </c>
      <c r="B4805" s="192" t="s">
        <v>3227</v>
      </c>
      <c r="C4805" s="196">
        <v>-43900</v>
      </c>
      <c r="D4805" s="196">
        <v>0</v>
      </c>
      <c r="E4805" s="196">
        <v>0</v>
      </c>
      <c r="F4805" s="196">
        <v>0</v>
      </c>
      <c r="G4805" s="196">
        <v>-43900</v>
      </c>
    </row>
    <row r="4806" spans="1:7" x14ac:dyDescent="0.3">
      <c r="A4806" s="198">
        <v>1036619836</v>
      </c>
      <c r="B4806" s="192" t="s">
        <v>3228</v>
      </c>
      <c r="C4806" s="196">
        <v>-101800</v>
      </c>
      <c r="D4806" s="196">
        <v>0</v>
      </c>
      <c r="E4806" s="196">
        <v>0</v>
      </c>
      <c r="F4806" s="196">
        <v>0</v>
      </c>
      <c r="G4806" s="196">
        <v>-101800</v>
      </c>
    </row>
    <row r="4807" spans="1:7" x14ac:dyDescent="0.3">
      <c r="A4807" s="198">
        <v>1036924309</v>
      </c>
      <c r="B4807" s="192" t="s">
        <v>3229</v>
      </c>
      <c r="C4807" s="196">
        <v>-41400</v>
      </c>
      <c r="D4807" s="196">
        <v>0</v>
      </c>
      <c r="E4807" s="196">
        <v>0</v>
      </c>
      <c r="F4807" s="196">
        <v>0</v>
      </c>
      <c r="G4807" s="196">
        <v>-41400</v>
      </c>
    </row>
    <row r="4808" spans="1:7" x14ac:dyDescent="0.3">
      <c r="A4808" s="198">
        <v>1152448089</v>
      </c>
      <c r="B4808" s="192" t="s">
        <v>3230</v>
      </c>
      <c r="C4808" s="196">
        <v>-48000</v>
      </c>
      <c r="D4808" s="196">
        <v>0</v>
      </c>
      <c r="E4808" s="196">
        <v>0</v>
      </c>
      <c r="F4808" s="196">
        <v>0</v>
      </c>
      <c r="G4808" s="196">
        <v>-48000</v>
      </c>
    </row>
    <row r="4809" spans="1:7" x14ac:dyDescent="0.3">
      <c r="A4809" s="198">
        <v>1152220266</v>
      </c>
      <c r="B4809" s="192" t="s">
        <v>3231</v>
      </c>
      <c r="C4809" s="196">
        <v>-50900</v>
      </c>
      <c r="D4809" s="196">
        <v>0</v>
      </c>
      <c r="E4809" s="196">
        <v>0</v>
      </c>
      <c r="F4809" s="196">
        <v>0</v>
      </c>
      <c r="G4809" s="196">
        <v>-50900</v>
      </c>
    </row>
    <row r="4810" spans="1:7" x14ac:dyDescent="0.3">
      <c r="A4810" s="198">
        <v>1020417973</v>
      </c>
      <c r="B4810" s="192" t="s">
        <v>3232</v>
      </c>
      <c r="C4810" s="196">
        <v>-50900</v>
      </c>
      <c r="D4810" s="196">
        <v>0</v>
      </c>
      <c r="E4810" s="196">
        <v>0</v>
      </c>
      <c r="F4810" s="196">
        <v>0</v>
      </c>
      <c r="G4810" s="196">
        <v>-50900</v>
      </c>
    </row>
    <row r="4811" spans="1:7" x14ac:dyDescent="0.3">
      <c r="A4811" s="198">
        <v>1017254699</v>
      </c>
      <c r="B4811" s="192" t="s">
        <v>3233</v>
      </c>
      <c r="C4811" s="196">
        <v>-110000</v>
      </c>
      <c r="D4811" s="196">
        <v>0</v>
      </c>
      <c r="E4811" s="196">
        <v>0</v>
      </c>
      <c r="F4811" s="196">
        <v>0</v>
      </c>
      <c r="G4811" s="196">
        <v>-110000</v>
      </c>
    </row>
    <row r="4812" spans="1:7" x14ac:dyDescent="0.3">
      <c r="A4812" s="198">
        <v>1017243336</v>
      </c>
      <c r="B4812" s="192" t="s">
        <v>3234</v>
      </c>
      <c r="C4812" s="196">
        <v>-50900</v>
      </c>
      <c r="D4812" s="196">
        <v>0</v>
      </c>
      <c r="E4812" s="196">
        <v>0</v>
      </c>
      <c r="F4812" s="196">
        <v>0</v>
      </c>
      <c r="G4812" s="196">
        <v>-50900</v>
      </c>
    </row>
    <row r="4813" spans="1:7" x14ac:dyDescent="0.3">
      <c r="A4813" s="198">
        <v>1037615537</v>
      </c>
      <c r="B4813" s="192" t="s">
        <v>3235</v>
      </c>
      <c r="C4813" s="196">
        <v>-47400</v>
      </c>
      <c r="D4813" s="196">
        <v>0</v>
      </c>
      <c r="E4813" s="196">
        <v>0</v>
      </c>
      <c r="F4813" s="196">
        <v>0</v>
      </c>
      <c r="G4813" s="196">
        <v>-47400</v>
      </c>
    </row>
    <row r="4814" spans="1:7" x14ac:dyDescent="0.3">
      <c r="A4814" s="198">
        <v>1037601648</v>
      </c>
      <c r="B4814" s="192" t="s">
        <v>3236</v>
      </c>
      <c r="C4814" s="196">
        <v>-100000</v>
      </c>
      <c r="D4814" s="196">
        <v>0</v>
      </c>
      <c r="E4814" s="196">
        <v>0</v>
      </c>
      <c r="F4814" s="196">
        <v>0</v>
      </c>
      <c r="G4814" s="196">
        <v>-100000</v>
      </c>
    </row>
    <row r="4815" spans="1:7" x14ac:dyDescent="0.3">
      <c r="A4815" s="198">
        <v>1035427921</v>
      </c>
      <c r="B4815" s="192" t="s">
        <v>3237</v>
      </c>
      <c r="C4815" s="196">
        <v>-47000</v>
      </c>
      <c r="D4815" s="196">
        <v>0</v>
      </c>
      <c r="E4815" s="196">
        <v>0</v>
      </c>
      <c r="F4815" s="196">
        <v>0</v>
      </c>
      <c r="G4815" s="196">
        <v>-47000</v>
      </c>
    </row>
    <row r="4816" spans="1:7" x14ac:dyDescent="0.3">
      <c r="A4816" s="198">
        <v>1036655663</v>
      </c>
      <c r="B4816" s="192" t="s">
        <v>488</v>
      </c>
      <c r="C4816" s="196">
        <v>0</v>
      </c>
      <c r="D4816" s="196">
        <v>0</v>
      </c>
      <c r="E4816" s="196">
        <v>50900</v>
      </c>
      <c r="F4816" s="196">
        <v>-50900</v>
      </c>
      <c r="G4816" s="196">
        <v>-50900</v>
      </c>
    </row>
    <row r="4817" spans="1:7" x14ac:dyDescent="0.3">
      <c r="A4817" s="198">
        <v>1214722193</v>
      </c>
      <c r="B4817" s="192" t="s">
        <v>3238</v>
      </c>
      <c r="C4817" s="196">
        <v>-59400</v>
      </c>
      <c r="D4817" s="196">
        <v>0</v>
      </c>
      <c r="E4817" s="196">
        <v>0</v>
      </c>
      <c r="F4817" s="196">
        <v>0</v>
      </c>
      <c r="G4817" s="196">
        <v>-59400</v>
      </c>
    </row>
    <row r="4818" spans="1:7" x14ac:dyDescent="0.3">
      <c r="A4818" s="198">
        <v>1037650683</v>
      </c>
      <c r="B4818" s="192" t="s">
        <v>489</v>
      </c>
      <c r="C4818" s="196">
        <v>0</v>
      </c>
      <c r="D4818" s="196">
        <v>0</v>
      </c>
      <c r="E4818" s="196">
        <v>50900</v>
      </c>
      <c r="F4818" s="196">
        <v>-50900</v>
      </c>
      <c r="G4818" s="196">
        <v>-50900</v>
      </c>
    </row>
    <row r="4819" spans="1:7" x14ac:dyDescent="0.3">
      <c r="A4819" s="198">
        <v>1020128630</v>
      </c>
      <c r="B4819" s="192" t="s">
        <v>490</v>
      </c>
      <c r="C4819" s="196">
        <v>0</v>
      </c>
      <c r="D4819" s="196">
        <v>0</v>
      </c>
      <c r="E4819" s="196">
        <v>29000</v>
      </c>
      <c r="F4819" s="196">
        <v>-29000</v>
      </c>
      <c r="G4819" s="196">
        <v>-29000</v>
      </c>
    </row>
    <row r="4820" spans="1:7" x14ac:dyDescent="0.3">
      <c r="A4820" s="198">
        <v>1001917884</v>
      </c>
      <c r="B4820" s="192" t="s">
        <v>3239</v>
      </c>
      <c r="C4820" s="196">
        <v>-35000</v>
      </c>
      <c r="D4820" s="196">
        <v>0</v>
      </c>
      <c r="E4820" s="196">
        <v>0</v>
      </c>
      <c r="F4820" s="196">
        <v>0</v>
      </c>
      <c r="G4820" s="196">
        <v>-35000</v>
      </c>
    </row>
    <row r="4821" spans="1:7" x14ac:dyDescent="0.3">
      <c r="A4821" s="198">
        <v>1017218351</v>
      </c>
      <c r="B4821" s="192" t="s">
        <v>3240</v>
      </c>
      <c r="C4821" s="196">
        <v>-28900</v>
      </c>
      <c r="D4821" s="196">
        <v>0</v>
      </c>
      <c r="E4821" s="196">
        <v>0</v>
      </c>
      <c r="F4821" s="196">
        <v>0</v>
      </c>
      <c r="G4821" s="196">
        <v>-28900</v>
      </c>
    </row>
    <row r="4822" spans="1:7" x14ac:dyDescent="0.3">
      <c r="A4822" s="198">
        <v>1037660477</v>
      </c>
      <c r="B4822" s="192" t="s">
        <v>3241</v>
      </c>
      <c r="C4822" s="196">
        <v>-54200</v>
      </c>
      <c r="D4822" s="196">
        <v>0</v>
      </c>
      <c r="E4822" s="196">
        <v>0</v>
      </c>
      <c r="F4822" s="196">
        <v>0</v>
      </c>
      <c r="G4822" s="196">
        <v>-54200</v>
      </c>
    </row>
    <row r="4823" spans="1:7" x14ac:dyDescent="0.3">
      <c r="A4823" s="198">
        <v>1016106992</v>
      </c>
      <c r="B4823" s="192" t="s">
        <v>3242</v>
      </c>
      <c r="C4823" s="196">
        <v>-140400</v>
      </c>
      <c r="D4823" s="196">
        <v>0</v>
      </c>
      <c r="E4823" s="196">
        <v>0</v>
      </c>
      <c r="F4823" s="196">
        <v>0</v>
      </c>
      <c r="G4823" s="196">
        <v>-140400</v>
      </c>
    </row>
    <row r="4824" spans="1:7" x14ac:dyDescent="0.3">
      <c r="A4824" s="198">
        <v>10214390</v>
      </c>
      <c r="B4824" s="192" t="s">
        <v>3243</v>
      </c>
      <c r="C4824" s="196">
        <v>-98300</v>
      </c>
      <c r="D4824" s="196">
        <v>0</v>
      </c>
      <c r="E4824" s="196">
        <v>0</v>
      </c>
      <c r="F4824" s="196">
        <v>0</v>
      </c>
      <c r="G4824" s="196">
        <v>-98300</v>
      </c>
    </row>
    <row r="4825" spans="1:7" x14ac:dyDescent="0.3">
      <c r="A4825" s="198">
        <v>1220477450</v>
      </c>
      <c r="B4825" s="192" t="s">
        <v>3244</v>
      </c>
      <c r="C4825" s="196">
        <v>-47400</v>
      </c>
      <c r="D4825" s="196">
        <v>0</v>
      </c>
      <c r="E4825" s="196">
        <v>0</v>
      </c>
      <c r="F4825" s="196">
        <v>0</v>
      </c>
      <c r="G4825" s="196">
        <v>-47400</v>
      </c>
    </row>
    <row r="4826" spans="1:7" x14ac:dyDescent="0.3">
      <c r="A4826" s="198">
        <v>1090430472</v>
      </c>
      <c r="B4826" s="192" t="s">
        <v>3245</v>
      </c>
      <c r="C4826" s="196">
        <v>-20000</v>
      </c>
      <c r="D4826" s="196">
        <v>0</v>
      </c>
      <c r="E4826" s="196">
        <v>0</v>
      </c>
      <c r="F4826" s="196">
        <v>0</v>
      </c>
      <c r="G4826" s="196">
        <v>-20000</v>
      </c>
    </row>
    <row r="4827" spans="1:7" x14ac:dyDescent="0.3">
      <c r="A4827" s="198">
        <v>933309</v>
      </c>
      <c r="B4827" s="192" t="s">
        <v>3246</v>
      </c>
      <c r="C4827" s="196">
        <v>-297000</v>
      </c>
      <c r="D4827" s="196">
        <v>0</v>
      </c>
      <c r="E4827" s="196">
        <v>0</v>
      </c>
      <c r="F4827" s="196">
        <v>0</v>
      </c>
      <c r="G4827" s="196">
        <v>-297000</v>
      </c>
    </row>
    <row r="4828" spans="1:7" x14ac:dyDescent="0.3">
      <c r="A4828" s="198">
        <v>70548075</v>
      </c>
      <c r="B4828" s="192" t="s">
        <v>3247</v>
      </c>
      <c r="C4828" s="196">
        <v>-47000</v>
      </c>
      <c r="D4828" s="196">
        <v>0</v>
      </c>
      <c r="E4828" s="196">
        <v>0</v>
      </c>
      <c r="F4828" s="196">
        <v>0</v>
      </c>
      <c r="G4828" s="196">
        <v>-47000</v>
      </c>
    </row>
    <row r="4829" spans="1:7" x14ac:dyDescent="0.3">
      <c r="A4829" s="198">
        <v>3553819</v>
      </c>
      <c r="B4829" s="192" t="s">
        <v>3248</v>
      </c>
      <c r="C4829" s="196">
        <v>-319000</v>
      </c>
      <c r="D4829" s="196">
        <v>0</v>
      </c>
      <c r="E4829" s="196">
        <v>0</v>
      </c>
      <c r="F4829" s="196">
        <v>0</v>
      </c>
      <c r="G4829" s="196">
        <v>-319000</v>
      </c>
    </row>
    <row r="4830" spans="1:7" x14ac:dyDescent="0.3">
      <c r="A4830" s="192" t="s">
        <v>3249</v>
      </c>
      <c r="B4830" s="192" t="s">
        <v>3250</v>
      </c>
      <c r="C4830" s="196">
        <v>-319000</v>
      </c>
      <c r="D4830" s="196">
        <v>0</v>
      </c>
      <c r="E4830" s="196">
        <v>0</v>
      </c>
      <c r="F4830" s="196">
        <v>0</v>
      </c>
      <c r="G4830" s="196">
        <v>-319000</v>
      </c>
    </row>
    <row r="4831" spans="1:7" x14ac:dyDescent="0.3">
      <c r="A4831" s="198">
        <v>43161404</v>
      </c>
      <c r="B4831" s="192" t="s">
        <v>493</v>
      </c>
      <c r="C4831" s="196">
        <v>-149200</v>
      </c>
      <c r="D4831" s="196">
        <v>0</v>
      </c>
      <c r="E4831" s="196">
        <v>50900</v>
      </c>
      <c r="F4831" s="196">
        <v>-50900</v>
      </c>
      <c r="G4831" s="196">
        <v>-200100</v>
      </c>
    </row>
    <row r="4832" spans="1:7" x14ac:dyDescent="0.3">
      <c r="A4832" s="192" t="s">
        <v>3251</v>
      </c>
      <c r="B4832" s="192" t="s">
        <v>3252</v>
      </c>
      <c r="C4832" s="196">
        <v>-297000</v>
      </c>
      <c r="D4832" s="196">
        <v>0</v>
      </c>
      <c r="E4832" s="196">
        <v>0</v>
      </c>
      <c r="F4832" s="196">
        <v>0</v>
      </c>
      <c r="G4832" s="196">
        <v>-297000</v>
      </c>
    </row>
    <row r="4833" spans="1:7" x14ac:dyDescent="0.3">
      <c r="A4833" s="198">
        <v>1054884607</v>
      </c>
      <c r="B4833" s="192" t="s">
        <v>494</v>
      </c>
      <c r="C4833" s="196">
        <v>0</v>
      </c>
      <c r="D4833" s="196">
        <v>0</v>
      </c>
      <c r="E4833" s="196">
        <v>50900</v>
      </c>
      <c r="F4833" s="196">
        <v>-50900</v>
      </c>
      <c r="G4833" s="196">
        <v>-50900</v>
      </c>
    </row>
    <row r="4834" spans="1:7" x14ac:dyDescent="0.3">
      <c r="A4834" s="198">
        <v>18517136</v>
      </c>
      <c r="B4834" s="192" t="s">
        <v>3253</v>
      </c>
      <c r="C4834" s="196">
        <v>-43900</v>
      </c>
      <c r="D4834" s="196">
        <v>0</v>
      </c>
      <c r="E4834" s="196">
        <v>0</v>
      </c>
      <c r="F4834" s="196">
        <v>0</v>
      </c>
      <c r="G4834" s="196">
        <v>-43900</v>
      </c>
    </row>
    <row r="4835" spans="1:7" x14ac:dyDescent="0.3">
      <c r="A4835" s="198">
        <v>1094934464</v>
      </c>
      <c r="B4835" s="192" t="s">
        <v>3254</v>
      </c>
      <c r="C4835" s="196">
        <v>-57200</v>
      </c>
      <c r="D4835" s="196">
        <v>0</v>
      </c>
      <c r="E4835" s="196">
        <v>0</v>
      </c>
      <c r="F4835" s="196">
        <v>0</v>
      </c>
      <c r="G4835" s="196">
        <v>-57200</v>
      </c>
    </row>
    <row r="4836" spans="1:7" x14ac:dyDescent="0.3">
      <c r="A4836" s="198">
        <v>1066869982</v>
      </c>
      <c r="B4836" s="192" t="s">
        <v>3255</v>
      </c>
      <c r="C4836" s="196">
        <v>-87800</v>
      </c>
      <c r="D4836" s="196">
        <v>0</v>
      </c>
      <c r="E4836" s="196">
        <v>0</v>
      </c>
      <c r="F4836" s="196">
        <v>0</v>
      </c>
      <c r="G4836" s="196">
        <v>-87800</v>
      </c>
    </row>
    <row r="4837" spans="1:7" x14ac:dyDescent="0.3">
      <c r="A4837" s="198">
        <v>71217211</v>
      </c>
      <c r="B4837" s="192" t="s">
        <v>3256</v>
      </c>
      <c r="C4837" s="196">
        <v>-50900</v>
      </c>
      <c r="D4837" s="196">
        <v>0</v>
      </c>
      <c r="E4837" s="196">
        <v>0</v>
      </c>
      <c r="F4837" s="196">
        <v>0</v>
      </c>
      <c r="G4837" s="196">
        <v>-50900</v>
      </c>
    </row>
    <row r="4838" spans="1:7" x14ac:dyDescent="0.3">
      <c r="A4838" s="198">
        <v>98545850</v>
      </c>
      <c r="B4838" s="192" t="s">
        <v>3257</v>
      </c>
      <c r="C4838" s="196">
        <v>-47400</v>
      </c>
      <c r="D4838" s="196">
        <v>0</v>
      </c>
      <c r="E4838" s="196">
        <v>0</v>
      </c>
      <c r="F4838" s="196">
        <v>0</v>
      </c>
      <c r="G4838" s="196">
        <v>-47400</v>
      </c>
    </row>
    <row r="4839" spans="1:7" x14ac:dyDescent="0.3">
      <c r="A4839" s="198">
        <v>71753215</v>
      </c>
      <c r="B4839" s="192" t="s">
        <v>3258</v>
      </c>
      <c r="C4839" s="196">
        <v>-47400</v>
      </c>
      <c r="D4839" s="196">
        <v>0</v>
      </c>
      <c r="E4839" s="196">
        <v>0</v>
      </c>
      <c r="F4839" s="196">
        <v>0</v>
      </c>
      <c r="G4839" s="196">
        <v>-47400</v>
      </c>
    </row>
    <row r="4840" spans="1:7" x14ac:dyDescent="0.3">
      <c r="A4840" s="192" t="s">
        <v>496</v>
      </c>
      <c r="B4840" s="192" t="s">
        <v>497</v>
      </c>
      <c r="C4840" s="196">
        <v>0</v>
      </c>
      <c r="D4840" s="196">
        <v>0</v>
      </c>
      <c r="E4840" s="196">
        <v>165000</v>
      </c>
      <c r="F4840" s="196">
        <v>-165000</v>
      </c>
      <c r="G4840" s="196">
        <v>-165000</v>
      </c>
    </row>
    <row r="4841" spans="1:7" x14ac:dyDescent="0.3">
      <c r="A4841" s="198">
        <v>1037632907</v>
      </c>
      <c r="B4841" s="192" t="s">
        <v>3259</v>
      </c>
      <c r="C4841" s="196">
        <v>-50900</v>
      </c>
      <c r="D4841" s="196">
        <v>0</v>
      </c>
      <c r="E4841" s="196">
        <v>0</v>
      </c>
      <c r="F4841" s="196">
        <v>0</v>
      </c>
      <c r="G4841" s="196">
        <v>-50900</v>
      </c>
    </row>
    <row r="4842" spans="1:7" x14ac:dyDescent="0.3">
      <c r="A4842" s="198">
        <v>1037603294</v>
      </c>
      <c r="B4842" s="192" t="s">
        <v>3260</v>
      </c>
      <c r="C4842" s="196">
        <v>-38400</v>
      </c>
      <c r="D4842" s="196">
        <v>0</v>
      </c>
      <c r="E4842" s="196">
        <v>0</v>
      </c>
      <c r="F4842" s="196">
        <v>0</v>
      </c>
      <c r="G4842" s="196">
        <v>-38400</v>
      </c>
    </row>
    <row r="4843" spans="1:7" x14ac:dyDescent="0.3">
      <c r="A4843" s="198">
        <v>1032027613</v>
      </c>
      <c r="B4843" s="192" t="s">
        <v>498</v>
      </c>
      <c r="C4843" s="196">
        <v>0</v>
      </c>
      <c r="D4843" s="196">
        <v>0</v>
      </c>
      <c r="E4843" s="196">
        <v>340000</v>
      </c>
      <c r="F4843" s="196">
        <v>-340000</v>
      </c>
      <c r="G4843" s="196">
        <v>-340000</v>
      </c>
    </row>
    <row r="4844" spans="1:7" x14ac:dyDescent="0.3">
      <c r="A4844" s="198">
        <v>71291723</v>
      </c>
      <c r="B4844" s="192" t="s">
        <v>499</v>
      </c>
      <c r="C4844" s="196">
        <v>-50900</v>
      </c>
      <c r="D4844" s="196">
        <v>0</v>
      </c>
      <c r="E4844" s="196">
        <v>50900</v>
      </c>
      <c r="F4844" s="196">
        <v>-50900</v>
      </c>
      <c r="G4844" s="196">
        <v>-101800</v>
      </c>
    </row>
    <row r="4845" spans="1:7" x14ac:dyDescent="0.3">
      <c r="A4845" s="192" t="s">
        <v>3261</v>
      </c>
      <c r="B4845" s="192" t="s">
        <v>3262</v>
      </c>
      <c r="C4845" s="196">
        <v>-270000</v>
      </c>
      <c r="D4845" s="196">
        <v>0</v>
      </c>
      <c r="E4845" s="196">
        <v>0</v>
      </c>
      <c r="F4845" s="196">
        <v>0</v>
      </c>
      <c r="G4845" s="196">
        <v>-270000</v>
      </c>
    </row>
    <row r="4846" spans="1:7" x14ac:dyDescent="0.3">
      <c r="A4846" s="198">
        <v>1040182458</v>
      </c>
      <c r="B4846" s="192" t="s">
        <v>3263</v>
      </c>
      <c r="C4846" s="196">
        <v>-50900</v>
      </c>
      <c r="D4846" s="196">
        <v>0</v>
      </c>
      <c r="E4846" s="196">
        <v>0</v>
      </c>
      <c r="F4846" s="196">
        <v>0</v>
      </c>
      <c r="G4846" s="196">
        <v>-50900</v>
      </c>
    </row>
    <row r="4847" spans="1:7" x14ac:dyDescent="0.3">
      <c r="A4847" s="198">
        <v>2000001734</v>
      </c>
      <c r="B4847" s="192" t="s">
        <v>3264</v>
      </c>
      <c r="C4847" s="196">
        <v>-57200</v>
      </c>
      <c r="D4847" s="196">
        <v>0</v>
      </c>
      <c r="E4847" s="196">
        <v>0</v>
      </c>
      <c r="F4847" s="196">
        <v>0</v>
      </c>
      <c r="G4847" s="196">
        <v>-57200</v>
      </c>
    </row>
    <row r="4848" spans="1:7" x14ac:dyDescent="0.3">
      <c r="A4848" s="198">
        <v>769782</v>
      </c>
      <c r="B4848" s="192" t="s">
        <v>3265</v>
      </c>
      <c r="C4848" s="196">
        <v>-50900</v>
      </c>
      <c r="D4848" s="196">
        <v>0</v>
      </c>
      <c r="E4848" s="196">
        <v>0</v>
      </c>
      <c r="F4848" s="196">
        <v>0</v>
      </c>
      <c r="G4848" s="196">
        <v>-50900</v>
      </c>
    </row>
    <row r="4849" spans="1:7" x14ac:dyDescent="0.3">
      <c r="A4849" s="198">
        <v>1000549504</v>
      </c>
      <c r="B4849" s="192" t="s">
        <v>3266</v>
      </c>
      <c r="C4849" s="196">
        <v>-34000</v>
      </c>
      <c r="D4849" s="196">
        <v>0</v>
      </c>
      <c r="E4849" s="196">
        <v>0</v>
      </c>
      <c r="F4849" s="196">
        <v>0</v>
      </c>
      <c r="G4849" s="196">
        <v>-34000</v>
      </c>
    </row>
    <row r="4850" spans="1:7" x14ac:dyDescent="0.3">
      <c r="A4850" s="198">
        <v>75093578</v>
      </c>
      <c r="B4850" s="192" t="s">
        <v>3267</v>
      </c>
      <c r="C4850" s="196">
        <v>-162000</v>
      </c>
      <c r="D4850" s="196">
        <v>0</v>
      </c>
      <c r="E4850" s="196">
        <v>0</v>
      </c>
      <c r="F4850" s="196">
        <v>0</v>
      </c>
      <c r="G4850" s="196">
        <v>-162000</v>
      </c>
    </row>
    <row r="4851" spans="1:7" x14ac:dyDescent="0.3">
      <c r="A4851" s="198">
        <v>646592280</v>
      </c>
      <c r="B4851" s="192" t="s">
        <v>3268</v>
      </c>
      <c r="C4851" s="196">
        <v>-110000</v>
      </c>
      <c r="D4851" s="196">
        <v>0</v>
      </c>
      <c r="E4851" s="196">
        <v>0</v>
      </c>
      <c r="F4851" s="196">
        <v>0</v>
      </c>
      <c r="G4851" s="196">
        <v>-110000</v>
      </c>
    </row>
    <row r="4852" spans="1:7" x14ac:dyDescent="0.3">
      <c r="A4852" s="198">
        <v>71276225</v>
      </c>
      <c r="B4852" s="192" t="s">
        <v>3269</v>
      </c>
      <c r="C4852" s="196">
        <v>-36000</v>
      </c>
      <c r="D4852" s="196">
        <v>0</v>
      </c>
      <c r="E4852" s="196">
        <v>0</v>
      </c>
      <c r="F4852" s="196">
        <v>0</v>
      </c>
      <c r="G4852" s="196">
        <v>-36000</v>
      </c>
    </row>
    <row r="4853" spans="1:7" x14ac:dyDescent="0.3">
      <c r="A4853" s="198">
        <v>1036631309</v>
      </c>
      <c r="B4853" s="192" t="s">
        <v>3270</v>
      </c>
      <c r="C4853" s="196">
        <v>-57200</v>
      </c>
      <c r="D4853" s="196">
        <v>0</v>
      </c>
      <c r="E4853" s="196">
        <v>0</v>
      </c>
      <c r="F4853" s="196">
        <v>0</v>
      </c>
      <c r="G4853" s="196">
        <v>-57200</v>
      </c>
    </row>
    <row r="4854" spans="1:7" x14ac:dyDescent="0.3">
      <c r="A4854" s="198">
        <v>1000399514</v>
      </c>
      <c r="B4854" s="192" t="s">
        <v>3271</v>
      </c>
      <c r="C4854" s="196">
        <v>-57200</v>
      </c>
      <c r="D4854" s="196">
        <v>0</v>
      </c>
      <c r="E4854" s="196">
        <v>0</v>
      </c>
      <c r="F4854" s="196">
        <v>0</v>
      </c>
      <c r="G4854" s="196">
        <v>-57200</v>
      </c>
    </row>
    <row r="4855" spans="1:7" x14ac:dyDescent="0.3">
      <c r="A4855" s="198">
        <v>1152191315</v>
      </c>
      <c r="B4855" s="192" t="s">
        <v>3272</v>
      </c>
      <c r="C4855" s="196">
        <v>-25000</v>
      </c>
      <c r="D4855" s="196">
        <v>0</v>
      </c>
      <c r="E4855" s="196">
        <v>0</v>
      </c>
      <c r="F4855" s="196">
        <v>0</v>
      </c>
      <c r="G4855" s="196">
        <v>-25000</v>
      </c>
    </row>
    <row r="4856" spans="1:7" x14ac:dyDescent="0.3">
      <c r="A4856" s="198">
        <v>1038874642</v>
      </c>
      <c r="B4856" s="192" t="s">
        <v>501</v>
      </c>
      <c r="C4856" s="196">
        <v>0</v>
      </c>
      <c r="D4856" s="196">
        <v>0</v>
      </c>
      <c r="E4856" s="196">
        <v>207900</v>
      </c>
      <c r="F4856" s="196">
        <v>-207900</v>
      </c>
      <c r="G4856" s="196">
        <v>-207900</v>
      </c>
    </row>
    <row r="4857" spans="1:7" x14ac:dyDescent="0.3">
      <c r="A4857" s="198">
        <v>1017217227</v>
      </c>
      <c r="B4857" s="192" t="s">
        <v>3273</v>
      </c>
      <c r="C4857" s="196">
        <v>-50900</v>
      </c>
      <c r="D4857" s="196">
        <v>0</v>
      </c>
      <c r="E4857" s="196">
        <v>0</v>
      </c>
      <c r="F4857" s="196">
        <v>0</v>
      </c>
      <c r="G4857" s="196">
        <v>-50900</v>
      </c>
    </row>
    <row r="4858" spans="1:7" x14ac:dyDescent="0.3">
      <c r="A4858" s="198">
        <v>1055833241</v>
      </c>
      <c r="B4858" s="192" t="s">
        <v>3274</v>
      </c>
      <c r="C4858" s="196">
        <v>-165000</v>
      </c>
      <c r="D4858" s="196">
        <v>0</v>
      </c>
      <c r="E4858" s="196">
        <v>0</v>
      </c>
      <c r="F4858" s="196">
        <v>0</v>
      </c>
      <c r="G4858" s="196">
        <v>-165000</v>
      </c>
    </row>
    <row r="4859" spans="1:7" x14ac:dyDescent="0.3">
      <c r="A4859" s="198">
        <v>596947354</v>
      </c>
      <c r="B4859" s="192" t="s">
        <v>3275</v>
      </c>
      <c r="C4859" s="196">
        <v>-190000</v>
      </c>
      <c r="D4859" s="196">
        <v>0</v>
      </c>
      <c r="E4859" s="196">
        <v>0</v>
      </c>
      <c r="F4859" s="196">
        <v>0</v>
      </c>
      <c r="G4859" s="196">
        <v>-190000</v>
      </c>
    </row>
    <row r="4860" spans="1:7" x14ac:dyDescent="0.3">
      <c r="A4860" s="198">
        <v>5937142</v>
      </c>
      <c r="B4860" s="192" t="s">
        <v>3276</v>
      </c>
      <c r="C4860" s="196">
        <v>-49000</v>
      </c>
      <c r="D4860" s="196">
        <v>0</v>
      </c>
      <c r="E4860" s="196">
        <v>0</v>
      </c>
      <c r="F4860" s="196">
        <v>0</v>
      </c>
      <c r="G4860" s="196">
        <v>-49000</v>
      </c>
    </row>
    <row r="4861" spans="1:7" x14ac:dyDescent="0.3">
      <c r="A4861" s="198">
        <v>1036658716</v>
      </c>
      <c r="B4861" s="192" t="s">
        <v>502</v>
      </c>
      <c r="C4861" s="196">
        <v>0</v>
      </c>
      <c r="D4861" s="196">
        <v>0</v>
      </c>
      <c r="E4861" s="196">
        <v>308000</v>
      </c>
      <c r="F4861" s="196">
        <v>-308000</v>
      </c>
      <c r="G4861" s="196">
        <v>-308000</v>
      </c>
    </row>
    <row r="4862" spans="1:7" x14ac:dyDescent="0.3">
      <c r="A4862" s="198">
        <v>1152206132</v>
      </c>
      <c r="B4862" s="192" t="s">
        <v>3277</v>
      </c>
      <c r="C4862" s="196">
        <v>-50900</v>
      </c>
      <c r="D4862" s="196">
        <v>0</v>
      </c>
      <c r="E4862" s="196">
        <v>0</v>
      </c>
      <c r="F4862" s="196">
        <v>0</v>
      </c>
      <c r="G4862" s="196">
        <v>-50900</v>
      </c>
    </row>
    <row r="4863" spans="1:7" x14ac:dyDescent="0.3">
      <c r="A4863" s="198">
        <v>1036947810</v>
      </c>
      <c r="B4863" s="192" t="s">
        <v>503</v>
      </c>
      <c r="C4863" s="196">
        <v>0</v>
      </c>
      <c r="D4863" s="196">
        <v>0</v>
      </c>
      <c r="E4863" s="196">
        <v>50900</v>
      </c>
      <c r="F4863" s="196">
        <v>-50900</v>
      </c>
      <c r="G4863" s="196">
        <v>-50900</v>
      </c>
    </row>
    <row r="4864" spans="1:7" x14ac:dyDescent="0.3">
      <c r="A4864" s="192" t="s">
        <v>3278</v>
      </c>
      <c r="B4864" s="192" t="s">
        <v>3279</v>
      </c>
      <c r="C4864" s="196">
        <v>-297000</v>
      </c>
      <c r="D4864" s="196">
        <v>0</v>
      </c>
      <c r="E4864" s="196">
        <v>0</v>
      </c>
      <c r="F4864" s="196">
        <v>0</v>
      </c>
      <c r="G4864" s="196">
        <v>-297000</v>
      </c>
    </row>
    <row r="4865" spans="1:7" x14ac:dyDescent="0.3">
      <c r="A4865" s="198">
        <v>1193068396</v>
      </c>
      <c r="B4865" s="192" t="s">
        <v>504</v>
      </c>
      <c r="C4865" s="196">
        <v>-119000</v>
      </c>
      <c r="D4865" s="196">
        <v>0</v>
      </c>
      <c r="E4865" s="196">
        <v>223300</v>
      </c>
      <c r="F4865" s="196">
        <v>-223300</v>
      </c>
      <c r="G4865" s="196">
        <v>-342300</v>
      </c>
    </row>
    <row r="4866" spans="1:7" x14ac:dyDescent="0.3">
      <c r="A4866" s="198">
        <v>87131483</v>
      </c>
      <c r="B4866" s="192" t="s">
        <v>3280</v>
      </c>
      <c r="C4866" s="196">
        <v>-319000</v>
      </c>
      <c r="D4866" s="196">
        <v>0</v>
      </c>
      <c r="E4866" s="196">
        <v>0</v>
      </c>
      <c r="F4866" s="196">
        <v>0</v>
      </c>
      <c r="G4866" s="196">
        <v>-319000</v>
      </c>
    </row>
    <row r="4867" spans="1:7" x14ac:dyDescent="0.3">
      <c r="A4867" s="198">
        <v>678413131</v>
      </c>
      <c r="B4867" s="192" t="s">
        <v>3281</v>
      </c>
      <c r="C4867" s="196">
        <v>-270000</v>
      </c>
      <c r="D4867" s="196">
        <v>0</v>
      </c>
      <c r="E4867" s="196">
        <v>0</v>
      </c>
      <c r="F4867" s="196">
        <v>0</v>
      </c>
      <c r="G4867" s="196">
        <v>-270000</v>
      </c>
    </row>
    <row r="4868" spans="1:7" x14ac:dyDescent="0.3">
      <c r="A4868" s="198">
        <v>55305538</v>
      </c>
      <c r="B4868" s="192" t="s">
        <v>3282</v>
      </c>
      <c r="C4868" s="196">
        <v>-46800</v>
      </c>
      <c r="D4868" s="196">
        <v>0</v>
      </c>
      <c r="E4868" s="196">
        <v>0</v>
      </c>
      <c r="F4868" s="196">
        <v>0</v>
      </c>
      <c r="G4868" s="196">
        <v>-46800</v>
      </c>
    </row>
    <row r="4869" spans="1:7" x14ac:dyDescent="0.3">
      <c r="A4869" s="198">
        <v>1041205106</v>
      </c>
      <c r="B4869" s="192" t="s">
        <v>505</v>
      </c>
      <c r="C4869" s="196">
        <v>-165000</v>
      </c>
      <c r="D4869" s="196">
        <v>0</v>
      </c>
      <c r="E4869" s="196">
        <v>85000</v>
      </c>
      <c r="F4869" s="196">
        <v>-85000</v>
      </c>
      <c r="G4869" s="196">
        <v>-250000</v>
      </c>
    </row>
    <row r="4870" spans="1:7" x14ac:dyDescent="0.3">
      <c r="A4870" s="198">
        <v>699248</v>
      </c>
      <c r="B4870" s="192" t="s">
        <v>3283</v>
      </c>
      <c r="C4870" s="196">
        <v>-43000</v>
      </c>
      <c r="D4870" s="196">
        <v>0</v>
      </c>
      <c r="E4870" s="196">
        <v>0</v>
      </c>
      <c r="F4870" s="196">
        <v>0</v>
      </c>
      <c r="G4870" s="196">
        <v>-43000</v>
      </c>
    </row>
    <row r="4871" spans="1:7" x14ac:dyDescent="0.3">
      <c r="A4871" s="198">
        <v>1077469281</v>
      </c>
      <c r="B4871" s="192" t="s">
        <v>3284</v>
      </c>
      <c r="C4871" s="196">
        <v>-297000</v>
      </c>
      <c r="D4871" s="196">
        <v>0</v>
      </c>
      <c r="E4871" s="196">
        <v>0</v>
      </c>
      <c r="F4871" s="196">
        <v>0</v>
      </c>
      <c r="G4871" s="196">
        <v>-297000</v>
      </c>
    </row>
    <row r="4872" spans="1:7" x14ac:dyDescent="0.3">
      <c r="A4872" s="198">
        <v>98637270</v>
      </c>
      <c r="B4872" s="192" t="s">
        <v>506</v>
      </c>
      <c r="C4872" s="196">
        <v>0</v>
      </c>
      <c r="D4872" s="196">
        <v>0</v>
      </c>
      <c r="E4872" s="196">
        <v>30000</v>
      </c>
      <c r="F4872" s="196">
        <v>-30000</v>
      </c>
      <c r="G4872" s="196">
        <v>-30000</v>
      </c>
    </row>
    <row r="4873" spans="1:7" x14ac:dyDescent="0.3">
      <c r="A4873" s="198">
        <v>568873</v>
      </c>
      <c r="B4873" s="192" t="s">
        <v>3285</v>
      </c>
      <c r="C4873" s="196">
        <v>-152700</v>
      </c>
      <c r="D4873" s="196">
        <v>0</v>
      </c>
      <c r="E4873" s="196">
        <v>0</v>
      </c>
      <c r="F4873" s="196">
        <v>0</v>
      </c>
      <c r="G4873" s="196">
        <v>-152700</v>
      </c>
    </row>
    <row r="4874" spans="1:7" x14ac:dyDescent="0.3">
      <c r="A4874" s="198">
        <v>802710</v>
      </c>
      <c r="B4874" s="192" t="s">
        <v>3286</v>
      </c>
      <c r="C4874" s="196">
        <v>-114400</v>
      </c>
      <c r="D4874" s="196">
        <v>0</v>
      </c>
      <c r="E4874" s="196">
        <v>0</v>
      </c>
      <c r="F4874" s="196">
        <v>0</v>
      </c>
      <c r="G4874" s="196">
        <v>-114400</v>
      </c>
    </row>
    <row r="4875" spans="1:7" x14ac:dyDescent="0.3">
      <c r="A4875" s="198">
        <v>541147936</v>
      </c>
      <c r="B4875" s="192" t="s">
        <v>507</v>
      </c>
      <c r="C4875" s="196">
        <v>-54200</v>
      </c>
      <c r="D4875" s="196">
        <v>0</v>
      </c>
      <c r="E4875" s="196">
        <v>0</v>
      </c>
      <c r="F4875" s="196">
        <v>0</v>
      </c>
      <c r="G4875" s="196">
        <v>-54200</v>
      </c>
    </row>
    <row r="4876" spans="1:7" x14ac:dyDescent="0.3">
      <c r="A4876" s="198">
        <v>60381341</v>
      </c>
      <c r="B4876" s="192" t="s">
        <v>3287</v>
      </c>
      <c r="C4876" s="196">
        <v>-119000</v>
      </c>
      <c r="D4876" s="196">
        <v>0</v>
      </c>
      <c r="E4876" s="196">
        <v>0</v>
      </c>
      <c r="F4876" s="196">
        <v>0</v>
      </c>
      <c r="G4876" s="196">
        <v>-119000</v>
      </c>
    </row>
    <row r="4877" spans="1:7" x14ac:dyDescent="0.3">
      <c r="A4877" s="198">
        <v>32299337</v>
      </c>
      <c r="B4877" s="192" t="s">
        <v>3288</v>
      </c>
      <c r="C4877" s="196">
        <v>-101800</v>
      </c>
      <c r="D4877" s="196">
        <v>0</v>
      </c>
      <c r="E4877" s="196">
        <v>0</v>
      </c>
      <c r="F4877" s="196">
        <v>0</v>
      </c>
      <c r="G4877" s="196">
        <v>-101800</v>
      </c>
    </row>
    <row r="4878" spans="1:7" x14ac:dyDescent="0.3">
      <c r="A4878" s="198">
        <v>1035430166</v>
      </c>
      <c r="B4878" s="192" t="s">
        <v>510</v>
      </c>
      <c r="C4878" s="196">
        <v>-110000</v>
      </c>
      <c r="D4878" s="196">
        <v>0</v>
      </c>
      <c r="E4878" s="196">
        <v>119000</v>
      </c>
      <c r="F4878" s="196">
        <v>-119000</v>
      </c>
      <c r="G4878" s="196">
        <v>-229000</v>
      </c>
    </row>
    <row r="4879" spans="1:7" x14ac:dyDescent="0.3">
      <c r="A4879" s="198">
        <v>32160999</v>
      </c>
      <c r="B4879" s="192" t="s">
        <v>3289</v>
      </c>
      <c r="C4879" s="196">
        <v>-297000</v>
      </c>
      <c r="D4879" s="196">
        <v>0</v>
      </c>
      <c r="E4879" s="196">
        <v>0</v>
      </c>
      <c r="F4879" s="196">
        <v>0</v>
      </c>
      <c r="G4879" s="196">
        <v>-297000</v>
      </c>
    </row>
    <row r="4880" spans="1:7" x14ac:dyDescent="0.3">
      <c r="A4880" s="198">
        <v>1040733497</v>
      </c>
      <c r="B4880" s="192" t="s">
        <v>3290</v>
      </c>
      <c r="C4880" s="196">
        <v>-50900</v>
      </c>
      <c r="D4880" s="196">
        <v>0</v>
      </c>
      <c r="E4880" s="196">
        <v>0</v>
      </c>
      <c r="F4880" s="196">
        <v>0</v>
      </c>
      <c r="G4880" s="196">
        <v>-50900</v>
      </c>
    </row>
    <row r="4881" spans="1:7" x14ac:dyDescent="0.3">
      <c r="A4881" s="198">
        <v>43189931</v>
      </c>
      <c r="B4881" s="192" t="s">
        <v>3291</v>
      </c>
      <c r="C4881" s="196">
        <v>-47000</v>
      </c>
      <c r="D4881" s="196">
        <v>0</v>
      </c>
      <c r="E4881" s="196">
        <v>0</v>
      </c>
      <c r="F4881" s="196">
        <v>0</v>
      </c>
      <c r="G4881" s="196">
        <v>-47000</v>
      </c>
    </row>
    <row r="4882" spans="1:7" x14ac:dyDescent="0.3">
      <c r="A4882" s="198">
        <v>1036682078</v>
      </c>
      <c r="B4882" s="192" t="s">
        <v>3292</v>
      </c>
      <c r="C4882" s="196">
        <v>-110000</v>
      </c>
      <c r="D4882" s="196">
        <v>0</v>
      </c>
      <c r="E4882" s="196">
        <v>0</v>
      </c>
      <c r="F4882" s="196">
        <v>0</v>
      </c>
      <c r="G4882" s="196">
        <v>-110000</v>
      </c>
    </row>
    <row r="4883" spans="1:7" x14ac:dyDescent="0.3">
      <c r="A4883" s="198">
        <v>3396316</v>
      </c>
      <c r="B4883" s="192" t="s">
        <v>3293</v>
      </c>
      <c r="C4883" s="196">
        <v>-50900</v>
      </c>
      <c r="D4883" s="196">
        <v>0</v>
      </c>
      <c r="E4883" s="196">
        <v>0</v>
      </c>
      <c r="F4883" s="196">
        <v>0</v>
      </c>
      <c r="G4883" s="196">
        <v>-50900</v>
      </c>
    </row>
    <row r="4884" spans="1:7" x14ac:dyDescent="0.3">
      <c r="A4884" s="198">
        <v>1127579094</v>
      </c>
      <c r="B4884" s="192" t="s">
        <v>3294</v>
      </c>
      <c r="C4884" s="196">
        <v>-47000</v>
      </c>
      <c r="D4884" s="196">
        <v>0</v>
      </c>
      <c r="E4884" s="196">
        <v>0</v>
      </c>
      <c r="F4884" s="196">
        <v>0</v>
      </c>
      <c r="G4884" s="196">
        <v>-47000</v>
      </c>
    </row>
    <row r="4885" spans="1:7" x14ac:dyDescent="0.3">
      <c r="A4885" s="198">
        <v>1128272790</v>
      </c>
      <c r="B4885" s="192" t="s">
        <v>511</v>
      </c>
      <c r="C4885" s="196">
        <v>0</v>
      </c>
      <c r="D4885" s="196">
        <v>0</v>
      </c>
      <c r="E4885" s="196">
        <v>50900</v>
      </c>
      <c r="F4885" s="196">
        <v>-50900</v>
      </c>
      <c r="G4885" s="196">
        <v>-50900</v>
      </c>
    </row>
    <row r="4886" spans="1:7" x14ac:dyDescent="0.3">
      <c r="A4886" s="198">
        <v>1035024119</v>
      </c>
      <c r="B4886" s="192" t="s">
        <v>3295</v>
      </c>
      <c r="C4886" s="196">
        <v>-36200</v>
      </c>
      <c r="D4886" s="196">
        <v>0</v>
      </c>
      <c r="E4886" s="196">
        <v>0</v>
      </c>
      <c r="F4886" s="196">
        <v>0</v>
      </c>
      <c r="G4886" s="196">
        <v>-36200</v>
      </c>
    </row>
    <row r="4887" spans="1:7" x14ac:dyDescent="0.3">
      <c r="A4887" s="198">
        <v>1090453849</v>
      </c>
      <c r="B4887" s="192" t="s">
        <v>3296</v>
      </c>
      <c r="C4887" s="196">
        <v>-50900</v>
      </c>
      <c r="D4887" s="196">
        <v>0</v>
      </c>
      <c r="E4887" s="196">
        <v>0</v>
      </c>
      <c r="F4887" s="196">
        <v>0</v>
      </c>
      <c r="G4887" s="196">
        <v>-50900</v>
      </c>
    </row>
    <row r="4888" spans="1:7" x14ac:dyDescent="0.3">
      <c r="A4888" s="192" t="s">
        <v>3297</v>
      </c>
      <c r="B4888" s="192" t="s">
        <v>3298</v>
      </c>
      <c r="C4888" s="196">
        <v>-270000</v>
      </c>
      <c r="D4888" s="196">
        <v>0</v>
      </c>
      <c r="E4888" s="196">
        <v>0</v>
      </c>
      <c r="F4888" s="196">
        <v>0</v>
      </c>
      <c r="G4888" s="196">
        <v>-270000</v>
      </c>
    </row>
    <row r="4889" spans="1:7" x14ac:dyDescent="0.3">
      <c r="A4889" s="192" t="s">
        <v>513</v>
      </c>
      <c r="B4889" s="192" t="s">
        <v>514</v>
      </c>
      <c r="C4889" s="196">
        <v>0</v>
      </c>
      <c r="D4889" s="196">
        <v>0</v>
      </c>
      <c r="E4889" s="196">
        <v>110000</v>
      </c>
      <c r="F4889" s="196">
        <v>-110000</v>
      </c>
      <c r="G4889" s="196">
        <v>-110000</v>
      </c>
    </row>
    <row r="4890" spans="1:7" x14ac:dyDescent="0.3">
      <c r="A4890" s="198">
        <v>1035023733</v>
      </c>
      <c r="B4890" s="192" t="s">
        <v>3299</v>
      </c>
      <c r="C4890" s="196">
        <v>-50900</v>
      </c>
      <c r="D4890" s="196">
        <v>0</v>
      </c>
      <c r="E4890" s="196">
        <v>0</v>
      </c>
      <c r="F4890" s="196">
        <v>0</v>
      </c>
      <c r="G4890" s="196">
        <v>-50900</v>
      </c>
    </row>
    <row r="4891" spans="1:7" x14ac:dyDescent="0.3">
      <c r="A4891" s="192" t="s">
        <v>3300</v>
      </c>
      <c r="B4891" s="192" t="s">
        <v>3301</v>
      </c>
      <c r="C4891" s="196">
        <v>-110000</v>
      </c>
      <c r="D4891" s="196">
        <v>0</v>
      </c>
      <c r="E4891" s="196">
        <v>0</v>
      </c>
      <c r="F4891" s="196">
        <v>0</v>
      </c>
      <c r="G4891" s="196">
        <v>-110000</v>
      </c>
    </row>
    <row r="4892" spans="1:7" x14ac:dyDescent="0.3">
      <c r="A4892" s="192" t="s">
        <v>3302</v>
      </c>
      <c r="B4892" s="192" t="s">
        <v>3303</v>
      </c>
      <c r="C4892" s="196">
        <v>-319000</v>
      </c>
      <c r="D4892" s="196">
        <v>0</v>
      </c>
      <c r="E4892" s="196">
        <v>0</v>
      </c>
      <c r="F4892" s="196">
        <v>0</v>
      </c>
      <c r="G4892" s="196">
        <v>-319000</v>
      </c>
    </row>
    <row r="4893" spans="1:7" x14ac:dyDescent="0.3">
      <c r="A4893" s="198">
        <v>43757204</v>
      </c>
      <c r="B4893" s="192" t="s">
        <v>3304</v>
      </c>
      <c r="C4893" s="196">
        <v>-319000</v>
      </c>
      <c r="D4893" s="196">
        <v>0</v>
      </c>
      <c r="E4893" s="196">
        <v>0</v>
      </c>
      <c r="F4893" s="196">
        <v>0</v>
      </c>
      <c r="G4893" s="196">
        <v>-319000</v>
      </c>
    </row>
    <row r="4894" spans="1:7" x14ac:dyDescent="0.3">
      <c r="A4894" s="192" t="s">
        <v>515</v>
      </c>
      <c r="B4894" s="192" t="s">
        <v>516</v>
      </c>
      <c r="C4894" s="196">
        <v>-100000</v>
      </c>
      <c r="D4894" s="196">
        <v>0</v>
      </c>
      <c r="E4894" s="196">
        <v>0</v>
      </c>
      <c r="F4894" s="196">
        <v>0</v>
      </c>
      <c r="G4894" s="196">
        <v>-100000</v>
      </c>
    </row>
    <row r="4895" spans="1:7" x14ac:dyDescent="0.3">
      <c r="A4895" s="198">
        <v>39268791</v>
      </c>
      <c r="B4895" s="192" t="s">
        <v>3305</v>
      </c>
      <c r="C4895" s="196">
        <v>-50900</v>
      </c>
      <c r="D4895" s="196">
        <v>0</v>
      </c>
      <c r="E4895" s="196">
        <v>0</v>
      </c>
      <c r="F4895" s="196">
        <v>0</v>
      </c>
      <c r="G4895" s="196">
        <v>-50900</v>
      </c>
    </row>
    <row r="4896" spans="1:7" x14ac:dyDescent="0.3">
      <c r="A4896" s="198">
        <v>43321403</v>
      </c>
      <c r="B4896" s="192" t="s">
        <v>3306</v>
      </c>
      <c r="C4896" s="196">
        <v>-290000</v>
      </c>
      <c r="D4896" s="196">
        <v>0</v>
      </c>
      <c r="E4896" s="196">
        <v>0</v>
      </c>
      <c r="F4896" s="196">
        <v>0</v>
      </c>
      <c r="G4896" s="196">
        <v>-290000</v>
      </c>
    </row>
    <row r="4897" spans="1:7" x14ac:dyDescent="0.3">
      <c r="A4897" s="198">
        <v>1149450676</v>
      </c>
      <c r="B4897" s="192" t="s">
        <v>3307</v>
      </c>
      <c r="C4897" s="196">
        <v>-110000</v>
      </c>
      <c r="D4897" s="196">
        <v>0</v>
      </c>
      <c r="E4897" s="196">
        <v>0</v>
      </c>
      <c r="F4897" s="196">
        <v>0</v>
      </c>
      <c r="G4897" s="196">
        <v>-110000</v>
      </c>
    </row>
    <row r="4898" spans="1:7" x14ac:dyDescent="0.3">
      <c r="A4898" s="198">
        <v>31255527</v>
      </c>
      <c r="B4898" s="192" t="s">
        <v>3308</v>
      </c>
      <c r="C4898" s="196">
        <v>-114400</v>
      </c>
      <c r="D4898" s="196">
        <v>0</v>
      </c>
      <c r="E4898" s="196">
        <v>0</v>
      </c>
      <c r="F4898" s="196">
        <v>0</v>
      </c>
      <c r="G4898" s="196">
        <v>-114400</v>
      </c>
    </row>
    <row r="4899" spans="1:7" x14ac:dyDescent="0.3">
      <c r="A4899" s="198">
        <v>1110471888</v>
      </c>
      <c r="B4899" s="192" t="s">
        <v>3309</v>
      </c>
      <c r="C4899" s="196">
        <v>-50900</v>
      </c>
      <c r="D4899" s="196">
        <v>0</v>
      </c>
      <c r="E4899" s="196">
        <v>0</v>
      </c>
      <c r="F4899" s="196">
        <v>0</v>
      </c>
      <c r="G4899" s="196">
        <v>-50900</v>
      </c>
    </row>
    <row r="4900" spans="1:7" x14ac:dyDescent="0.3">
      <c r="A4900" s="198">
        <v>1039452861</v>
      </c>
      <c r="B4900" s="192" t="s">
        <v>3310</v>
      </c>
      <c r="C4900" s="196">
        <v>-50900</v>
      </c>
      <c r="D4900" s="196">
        <v>0</v>
      </c>
      <c r="E4900" s="196">
        <v>0</v>
      </c>
      <c r="F4900" s="196">
        <v>0</v>
      </c>
      <c r="G4900" s="196">
        <v>-50900</v>
      </c>
    </row>
    <row r="4901" spans="1:7" x14ac:dyDescent="0.3">
      <c r="A4901" s="198">
        <v>1034989345</v>
      </c>
      <c r="B4901" s="192" t="s">
        <v>3311</v>
      </c>
      <c r="C4901" s="196">
        <v>-50900</v>
      </c>
      <c r="D4901" s="196">
        <v>0</v>
      </c>
      <c r="E4901" s="196">
        <v>0</v>
      </c>
      <c r="F4901" s="196">
        <v>0</v>
      </c>
      <c r="G4901" s="196">
        <v>-50900</v>
      </c>
    </row>
    <row r="4902" spans="1:7" x14ac:dyDescent="0.3">
      <c r="A4902" s="198">
        <v>1037572985</v>
      </c>
      <c r="B4902" s="192" t="s">
        <v>3312</v>
      </c>
      <c r="C4902" s="196">
        <v>-50900</v>
      </c>
      <c r="D4902" s="196">
        <v>0</v>
      </c>
      <c r="E4902" s="196">
        <v>0</v>
      </c>
      <c r="F4902" s="196">
        <v>0</v>
      </c>
      <c r="G4902" s="196">
        <v>-50900</v>
      </c>
    </row>
    <row r="4903" spans="1:7" x14ac:dyDescent="0.3">
      <c r="A4903" s="198">
        <v>1026132800</v>
      </c>
      <c r="B4903" s="192" t="s">
        <v>3313</v>
      </c>
      <c r="C4903" s="196">
        <v>-50900</v>
      </c>
      <c r="D4903" s="196">
        <v>0</v>
      </c>
      <c r="E4903" s="196">
        <v>0</v>
      </c>
      <c r="F4903" s="196">
        <v>0</v>
      </c>
      <c r="G4903" s="196">
        <v>-50900</v>
      </c>
    </row>
    <row r="4904" spans="1:7" x14ac:dyDescent="0.3">
      <c r="A4904" s="198">
        <v>1128279186</v>
      </c>
      <c r="B4904" s="192" t="s">
        <v>517</v>
      </c>
      <c r="C4904" s="196">
        <v>-50900</v>
      </c>
      <c r="D4904" s="196">
        <v>0</v>
      </c>
      <c r="E4904" s="196">
        <v>50900</v>
      </c>
      <c r="F4904" s="196">
        <v>-50900</v>
      </c>
      <c r="G4904" s="196">
        <v>-101800</v>
      </c>
    </row>
    <row r="4905" spans="1:7" x14ac:dyDescent="0.3">
      <c r="A4905" s="198">
        <v>43251662</v>
      </c>
      <c r="B4905" s="192" t="s">
        <v>518</v>
      </c>
      <c r="C4905" s="196">
        <v>0</v>
      </c>
      <c r="D4905" s="196">
        <v>0</v>
      </c>
      <c r="E4905" s="196">
        <v>319000</v>
      </c>
      <c r="F4905" s="196">
        <v>-319000</v>
      </c>
      <c r="G4905" s="196">
        <v>-319000</v>
      </c>
    </row>
    <row r="4906" spans="1:7" x14ac:dyDescent="0.3">
      <c r="A4906" s="198">
        <v>42893610</v>
      </c>
      <c r="B4906" s="192" t="s">
        <v>3314</v>
      </c>
      <c r="C4906" s="196">
        <v>-50900</v>
      </c>
      <c r="D4906" s="196">
        <v>0</v>
      </c>
      <c r="E4906" s="196">
        <v>0</v>
      </c>
      <c r="F4906" s="196">
        <v>0</v>
      </c>
      <c r="G4906" s="196">
        <v>-50900</v>
      </c>
    </row>
    <row r="4907" spans="1:7" x14ac:dyDescent="0.3">
      <c r="A4907" s="198">
        <v>43604020</v>
      </c>
      <c r="B4907" s="192" t="s">
        <v>519</v>
      </c>
      <c r="C4907" s="196">
        <v>-54200</v>
      </c>
      <c r="D4907" s="196">
        <v>0</v>
      </c>
      <c r="E4907" s="196">
        <v>0</v>
      </c>
      <c r="F4907" s="196">
        <v>0</v>
      </c>
      <c r="G4907" s="196">
        <v>-54200</v>
      </c>
    </row>
    <row r="4908" spans="1:7" x14ac:dyDescent="0.3">
      <c r="A4908" s="198">
        <v>32184715</v>
      </c>
      <c r="B4908" s="192" t="s">
        <v>520</v>
      </c>
      <c r="C4908" s="196">
        <v>0</v>
      </c>
      <c r="D4908" s="196">
        <v>0</v>
      </c>
      <c r="E4908" s="196">
        <v>50900</v>
      </c>
      <c r="F4908" s="196">
        <v>-50900</v>
      </c>
      <c r="G4908" s="196">
        <v>-50900</v>
      </c>
    </row>
    <row r="4909" spans="1:7" x14ac:dyDescent="0.3">
      <c r="A4909" s="198">
        <v>21400198</v>
      </c>
      <c r="B4909" s="192" t="s">
        <v>521</v>
      </c>
      <c r="C4909" s="196">
        <v>0</v>
      </c>
      <c r="D4909" s="196">
        <v>0</v>
      </c>
      <c r="E4909" s="196">
        <v>50900</v>
      </c>
      <c r="F4909" s="196">
        <v>-50900</v>
      </c>
      <c r="G4909" s="196">
        <v>-50900</v>
      </c>
    </row>
    <row r="4910" spans="1:7" x14ac:dyDescent="0.3">
      <c r="A4910" s="198">
        <v>32259608</v>
      </c>
      <c r="B4910" s="192" t="s">
        <v>3315</v>
      </c>
      <c r="C4910" s="196">
        <v>-50900</v>
      </c>
      <c r="D4910" s="196">
        <v>0</v>
      </c>
      <c r="E4910" s="196">
        <v>0</v>
      </c>
      <c r="F4910" s="196">
        <v>0</v>
      </c>
      <c r="G4910" s="196">
        <v>-50900</v>
      </c>
    </row>
    <row r="4911" spans="1:7" x14ac:dyDescent="0.3">
      <c r="A4911" s="198">
        <v>1037609575</v>
      </c>
      <c r="B4911" s="192" t="s">
        <v>3316</v>
      </c>
      <c r="C4911" s="196">
        <v>-50900</v>
      </c>
      <c r="D4911" s="196">
        <v>0</v>
      </c>
      <c r="E4911" s="196">
        <v>0</v>
      </c>
      <c r="F4911" s="196">
        <v>0</v>
      </c>
      <c r="G4911" s="196">
        <v>-50900</v>
      </c>
    </row>
    <row r="4912" spans="1:7" x14ac:dyDescent="0.3">
      <c r="A4912" s="198">
        <v>42798737</v>
      </c>
      <c r="B4912" s="192" t="s">
        <v>3317</v>
      </c>
      <c r="C4912" s="196">
        <v>-57200</v>
      </c>
      <c r="D4912" s="196">
        <v>0</v>
      </c>
      <c r="E4912" s="196">
        <v>0</v>
      </c>
      <c r="F4912" s="196">
        <v>0</v>
      </c>
      <c r="G4912" s="196">
        <v>-57200</v>
      </c>
    </row>
    <row r="4913" spans="1:7" x14ac:dyDescent="0.3">
      <c r="A4913" s="198">
        <v>43971528</v>
      </c>
      <c r="B4913" s="192" t="s">
        <v>523</v>
      </c>
      <c r="C4913" s="196">
        <v>0</v>
      </c>
      <c r="D4913" s="196">
        <v>0</v>
      </c>
      <c r="E4913" s="196">
        <v>50900</v>
      </c>
      <c r="F4913" s="196">
        <v>-50900</v>
      </c>
      <c r="G4913" s="196">
        <v>-50900</v>
      </c>
    </row>
    <row r="4914" spans="1:7" x14ac:dyDescent="0.3">
      <c r="A4914" s="198">
        <v>43826776</v>
      </c>
      <c r="B4914" s="192" t="s">
        <v>3318</v>
      </c>
      <c r="C4914" s="196">
        <v>-54200</v>
      </c>
      <c r="D4914" s="196">
        <v>0</v>
      </c>
      <c r="E4914" s="196">
        <v>0</v>
      </c>
      <c r="F4914" s="196">
        <v>0</v>
      </c>
      <c r="G4914" s="196">
        <v>-54200</v>
      </c>
    </row>
    <row r="4915" spans="1:7" x14ac:dyDescent="0.3">
      <c r="A4915" s="198">
        <v>43615961</v>
      </c>
      <c r="B4915" s="192" t="s">
        <v>3319</v>
      </c>
      <c r="C4915" s="196">
        <v>-47400</v>
      </c>
      <c r="D4915" s="196">
        <v>0</v>
      </c>
      <c r="E4915" s="196">
        <v>0</v>
      </c>
      <c r="F4915" s="196">
        <v>0</v>
      </c>
      <c r="G4915" s="196">
        <v>-47400</v>
      </c>
    </row>
    <row r="4916" spans="1:7" x14ac:dyDescent="0.3">
      <c r="A4916" s="198">
        <v>52818396</v>
      </c>
      <c r="B4916" s="192" t="s">
        <v>3320</v>
      </c>
      <c r="C4916" s="196">
        <v>-50900</v>
      </c>
      <c r="D4916" s="196">
        <v>0</v>
      </c>
      <c r="E4916" s="196">
        <v>0</v>
      </c>
      <c r="F4916" s="196">
        <v>0</v>
      </c>
      <c r="G4916" s="196">
        <v>-50900</v>
      </c>
    </row>
    <row r="4917" spans="1:7" x14ac:dyDescent="0.3">
      <c r="A4917" s="198">
        <v>39176806</v>
      </c>
      <c r="B4917" s="192" t="s">
        <v>3321</v>
      </c>
      <c r="C4917" s="196">
        <v>-114400</v>
      </c>
      <c r="D4917" s="196">
        <v>0</v>
      </c>
      <c r="E4917" s="196">
        <v>0</v>
      </c>
      <c r="F4917" s="196">
        <v>0</v>
      </c>
      <c r="G4917" s="196">
        <v>-114400</v>
      </c>
    </row>
    <row r="4918" spans="1:7" x14ac:dyDescent="0.3">
      <c r="A4918" s="198">
        <v>42685056</v>
      </c>
      <c r="B4918" s="192" t="s">
        <v>3322</v>
      </c>
      <c r="C4918" s="196">
        <v>-54200</v>
      </c>
      <c r="D4918" s="196">
        <v>0</v>
      </c>
      <c r="E4918" s="196">
        <v>0</v>
      </c>
      <c r="F4918" s="196">
        <v>0</v>
      </c>
      <c r="G4918" s="196">
        <v>-54200</v>
      </c>
    </row>
    <row r="4919" spans="1:7" x14ac:dyDescent="0.3">
      <c r="A4919" s="198">
        <v>42791148</v>
      </c>
      <c r="B4919" s="192" t="s">
        <v>3323</v>
      </c>
      <c r="C4919" s="196">
        <v>-148500</v>
      </c>
      <c r="D4919" s="196">
        <v>0</v>
      </c>
      <c r="E4919" s="196">
        <v>0</v>
      </c>
      <c r="F4919" s="196">
        <v>0</v>
      </c>
      <c r="G4919" s="196">
        <v>-148500</v>
      </c>
    </row>
    <row r="4920" spans="1:7" x14ac:dyDescent="0.3">
      <c r="A4920" s="198">
        <v>1123624693</v>
      </c>
      <c r="B4920" s="192" t="s">
        <v>3324</v>
      </c>
      <c r="C4920" s="196">
        <v>-50900</v>
      </c>
      <c r="D4920" s="196">
        <v>0</v>
      </c>
      <c r="E4920" s="196">
        <v>0</v>
      </c>
      <c r="F4920" s="196">
        <v>0</v>
      </c>
      <c r="G4920" s="196">
        <v>-50900</v>
      </c>
    </row>
    <row r="4921" spans="1:7" x14ac:dyDescent="0.3">
      <c r="A4921" s="198">
        <v>43744888</v>
      </c>
      <c r="B4921" s="192" t="s">
        <v>3325</v>
      </c>
      <c r="C4921" s="196">
        <v>-101800</v>
      </c>
      <c r="D4921" s="196">
        <v>0</v>
      </c>
      <c r="E4921" s="196">
        <v>0</v>
      </c>
      <c r="F4921" s="196">
        <v>0</v>
      </c>
      <c r="G4921" s="196">
        <v>-101800</v>
      </c>
    </row>
    <row r="4922" spans="1:7" x14ac:dyDescent="0.3">
      <c r="A4922" s="198">
        <v>50947682</v>
      </c>
      <c r="B4922" s="192" t="s">
        <v>3326</v>
      </c>
      <c r="C4922" s="196">
        <v>-165000</v>
      </c>
      <c r="D4922" s="196">
        <v>0</v>
      </c>
      <c r="E4922" s="196">
        <v>0</v>
      </c>
      <c r="F4922" s="196">
        <v>0</v>
      </c>
      <c r="G4922" s="196">
        <v>-165000</v>
      </c>
    </row>
    <row r="4923" spans="1:7" x14ac:dyDescent="0.3">
      <c r="A4923" s="198">
        <v>1037604751</v>
      </c>
      <c r="B4923" s="192" t="s">
        <v>3327</v>
      </c>
      <c r="C4923" s="196">
        <v>-50900</v>
      </c>
      <c r="D4923" s="196">
        <v>0</v>
      </c>
      <c r="E4923" s="196">
        <v>0</v>
      </c>
      <c r="F4923" s="196">
        <v>0</v>
      </c>
      <c r="G4923" s="196">
        <v>-50900</v>
      </c>
    </row>
    <row r="4924" spans="1:7" x14ac:dyDescent="0.3">
      <c r="A4924" s="198">
        <v>43875370</v>
      </c>
      <c r="B4924" s="192" t="s">
        <v>3328</v>
      </c>
      <c r="C4924" s="196">
        <v>-50900</v>
      </c>
      <c r="D4924" s="196">
        <v>0</v>
      </c>
      <c r="E4924" s="196">
        <v>0</v>
      </c>
      <c r="F4924" s="196">
        <v>0</v>
      </c>
      <c r="G4924" s="196">
        <v>-50900</v>
      </c>
    </row>
    <row r="4925" spans="1:7" x14ac:dyDescent="0.3">
      <c r="A4925" s="198">
        <v>1126964103</v>
      </c>
      <c r="B4925" s="192" t="s">
        <v>524</v>
      </c>
      <c r="C4925" s="196">
        <v>0</v>
      </c>
      <c r="D4925" s="196">
        <v>0</v>
      </c>
      <c r="E4925" s="196">
        <v>50900</v>
      </c>
      <c r="F4925" s="196">
        <v>-50900</v>
      </c>
      <c r="G4925" s="196">
        <v>-50900</v>
      </c>
    </row>
    <row r="4926" spans="1:7" x14ac:dyDescent="0.3">
      <c r="A4926" s="198">
        <v>42751512</v>
      </c>
      <c r="B4926" s="192" t="s">
        <v>525</v>
      </c>
      <c r="C4926" s="196">
        <v>0</v>
      </c>
      <c r="D4926" s="196">
        <v>0</v>
      </c>
      <c r="E4926" s="196">
        <v>165000</v>
      </c>
      <c r="F4926" s="196">
        <v>-165000</v>
      </c>
      <c r="G4926" s="196">
        <v>-165000</v>
      </c>
    </row>
    <row r="4927" spans="1:7" x14ac:dyDescent="0.3">
      <c r="A4927" s="198">
        <v>43874201</v>
      </c>
      <c r="B4927" s="192" t="s">
        <v>527</v>
      </c>
      <c r="C4927" s="196">
        <v>0</v>
      </c>
      <c r="D4927" s="196">
        <v>0</v>
      </c>
      <c r="E4927" s="196">
        <v>50900</v>
      </c>
      <c r="F4927" s="196">
        <v>-50900</v>
      </c>
      <c r="G4927" s="196">
        <v>-50900</v>
      </c>
    </row>
    <row r="4928" spans="1:7" x14ac:dyDescent="0.3">
      <c r="A4928" s="198">
        <v>42780670</v>
      </c>
      <c r="B4928" s="192" t="s">
        <v>3329</v>
      </c>
      <c r="C4928" s="196">
        <v>-47400</v>
      </c>
      <c r="D4928" s="196">
        <v>0</v>
      </c>
      <c r="E4928" s="196">
        <v>0</v>
      </c>
      <c r="F4928" s="196">
        <v>0</v>
      </c>
      <c r="G4928" s="196">
        <v>-47400</v>
      </c>
    </row>
    <row r="4929" spans="1:7" x14ac:dyDescent="0.3">
      <c r="A4929" s="198">
        <v>1042768843</v>
      </c>
      <c r="B4929" s="192" t="s">
        <v>528</v>
      </c>
      <c r="C4929" s="196">
        <v>-110001</v>
      </c>
      <c r="D4929" s="196">
        <v>0</v>
      </c>
      <c r="E4929" s="196">
        <v>0</v>
      </c>
      <c r="F4929" s="196">
        <v>0</v>
      </c>
      <c r="G4929" s="196">
        <v>-110001</v>
      </c>
    </row>
    <row r="4930" spans="1:7" x14ac:dyDescent="0.3">
      <c r="A4930" s="198">
        <v>43109321</v>
      </c>
      <c r="B4930" s="192" t="s">
        <v>3330</v>
      </c>
      <c r="C4930" s="196">
        <v>-270000</v>
      </c>
      <c r="D4930" s="196">
        <v>0</v>
      </c>
      <c r="E4930" s="196">
        <v>0</v>
      </c>
      <c r="F4930" s="196">
        <v>0</v>
      </c>
      <c r="G4930" s="196">
        <v>-270000</v>
      </c>
    </row>
    <row r="4931" spans="1:7" x14ac:dyDescent="0.3">
      <c r="A4931" s="198">
        <v>42156743</v>
      </c>
      <c r="B4931" s="192" t="s">
        <v>3331</v>
      </c>
      <c r="C4931" s="196">
        <v>-35000</v>
      </c>
      <c r="D4931" s="196">
        <v>0</v>
      </c>
      <c r="E4931" s="196">
        <v>0</v>
      </c>
      <c r="F4931" s="196">
        <v>0</v>
      </c>
      <c r="G4931" s="196">
        <v>-35000</v>
      </c>
    </row>
    <row r="4932" spans="1:7" x14ac:dyDescent="0.3">
      <c r="A4932" s="198">
        <v>43437073</v>
      </c>
      <c r="B4932" s="192" t="s">
        <v>3332</v>
      </c>
      <c r="C4932" s="196">
        <v>-46400</v>
      </c>
      <c r="D4932" s="196">
        <v>0</v>
      </c>
      <c r="E4932" s="196">
        <v>0</v>
      </c>
      <c r="F4932" s="196">
        <v>0</v>
      </c>
      <c r="G4932" s="196">
        <v>-46400</v>
      </c>
    </row>
    <row r="4933" spans="1:7" x14ac:dyDescent="0.3">
      <c r="A4933" s="198">
        <v>39213635</v>
      </c>
      <c r="B4933" s="192" t="s">
        <v>3333</v>
      </c>
      <c r="C4933" s="196">
        <v>-290000</v>
      </c>
      <c r="D4933" s="196">
        <v>0</v>
      </c>
      <c r="E4933" s="196">
        <v>0</v>
      </c>
      <c r="F4933" s="196">
        <v>0</v>
      </c>
      <c r="G4933" s="196">
        <v>-290000</v>
      </c>
    </row>
    <row r="4934" spans="1:7" x14ac:dyDescent="0.3">
      <c r="A4934" s="198">
        <v>64578585</v>
      </c>
      <c r="B4934" s="192" t="s">
        <v>3334</v>
      </c>
      <c r="C4934" s="196">
        <v>-36000</v>
      </c>
      <c r="D4934" s="196">
        <v>0</v>
      </c>
      <c r="E4934" s="196">
        <v>0</v>
      </c>
      <c r="F4934" s="196">
        <v>0</v>
      </c>
      <c r="G4934" s="196">
        <v>-36000</v>
      </c>
    </row>
    <row r="4935" spans="1:7" x14ac:dyDescent="0.3">
      <c r="A4935" s="198">
        <v>43481752</v>
      </c>
      <c r="B4935" s="192" t="s">
        <v>3335</v>
      </c>
      <c r="C4935" s="196">
        <v>-297000</v>
      </c>
      <c r="D4935" s="196">
        <v>0</v>
      </c>
      <c r="E4935" s="196">
        <v>0</v>
      </c>
      <c r="F4935" s="196">
        <v>0</v>
      </c>
      <c r="G4935" s="196">
        <v>-297000</v>
      </c>
    </row>
    <row r="4936" spans="1:7" x14ac:dyDescent="0.3">
      <c r="A4936" s="198">
        <v>43667469</v>
      </c>
      <c r="B4936" s="192" t="s">
        <v>3336</v>
      </c>
      <c r="C4936" s="196">
        <v>-50900</v>
      </c>
      <c r="D4936" s="196">
        <v>0</v>
      </c>
      <c r="E4936" s="196">
        <v>0</v>
      </c>
      <c r="F4936" s="196">
        <v>0</v>
      </c>
      <c r="G4936" s="196">
        <v>-50900</v>
      </c>
    </row>
    <row r="4937" spans="1:7" x14ac:dyDescent="0.3">
      <c r="A4937" s="198">
        <v>42936753</v>
      </c>
      <c r="B4937" s="192" t="s">
        <v>3337</v>
      </c>
      <c r="C4937" s="196">
        <v>-297000</v>
      </c>
      <c r="D4937" s="196">
        <v>0</v>
      </c>
      <c r="E4937" s="196">
        <v>0</v>
      </c>
      <c r="F4937" s="196">
        <v>0</v>
      </c>
      <c r="G4937" s="196">
        <v>-297000</v>
      </c>
    </row>
    <row r="4938" spans="1:7" x14ac:dyDescent="0.3">
      <c r="A4938" s="198">
        <v>1090401888</v>
      </c>
      <c r="B4938" s="192" t="s">
        <v>3338</v>
      </c>
      <c r="C4938" s="196">
        <v>-47000</v>
      </c>
      <c r="D4938" s="196">
        <v>0</v>
      </c>
      <c r="E4938" s="196">
        <v>0</v>
      </c>
      <c r="F4938" s="196">
        <v>0</v>
      </c>
      <c r="G4938" s="196">
        <v>-47000</v>
      </c>
    </row>
    <row r="4939" spans="1:7" x14ac:dyDescent="0.3">
      <c r="A4939" s="192" t="s">
        <v>3339</v>
      </c>
      <c r="B4939" s="192" t="s">
        <v>3340</v>
      </c>
      <c r="C4939" s="196">
        <v>-297000</v>
      </c>
      <c r="D4939" s="196">
        <v>0</v>
      </c>
      <c r="E4939" s="196">
        <v>0</v>
      </c>
      <c r="F4939" s="196">
        <v>0</v>
      </c>
      <c r="G4939" s="196">
        <v>-297000</v>
      </c>
    </row>
    <row r="4940" spans="1:7" x14ac:dyDescent="0.3">
      <c r="A4940" s="198">
        <v>1034286833</v>
      </c>
      <c r="B4940" s="192" t="s">
        <v>3341</v>
      </c>
      <c r="C4940" s="196">
        <v>-50900</v>
      </c>
      <c r="D4940" s="196">
        <v>0</v>
      </c>
      <c r="E4940" s="196">
        <v>0</v>
      </c>
      <c r="F4940" s="196">
        <v>0</v>
      </c>
      <c r="G4940" s="196">
        <v>-50900</v>
      </c>
    </row>
    <row r="4941" spans="1:7" x14ac:dyDescent="0.3">
      <c r="A4941" s="198">
        <v>70327013</v>
      </c>
      <c r="B4941" s="192" t="s">
        <v>3342</v>
      </c>
      <c r="C4941" s="196">
        <v>-46400</v>
      </c>
      <c r="D4941" s="196">
        <v>0</v>
      </c>
      <c r="E4941" s="196">
        <v>0</v>
      </c>
      <c r="F4941" s="196">
        <v>0</v>
      </c>
      <c r="G4941" s="196">
        <v>-46400</v>
      </c>
    </row>
    <row r="4942" spans="1:7" x14ac:dyDescent="0.3">
      <c r="A4942" s="198">
        <v>1128274298</v>
      </c>
      <c r="B4942" s="192" t="s">
        <v>3343</v>
      </c>
      <c r="C4942" s="196">
        <v>-50900</v>
      </c>
      <c r="D4942" s="196">
        <v>0</v>
      </c>
      <c r="E4942" s="196">
        <v>0</v>
      </c>
      <c r="F4942" s="196">
        <v>0</v>
      </c>
      <c r="G4942" s="196">
        <v>-50900</v>
      </c>
    </row>
    <row r="4943" spans="1:7" x14ac:dyDescent="0.3">
      <c r="A4943" s="198">
        <v>1053790621</v>
      </c>
      <c r="B4943" s="192" t="s">
        <v>3344</v>
      </c>
      <c r="C4943" s="196">
        <v>-270000</v>
      </c>
      <c r="D4943" s="196">
        <v>0</v>
      </c>
      <c r="E4943" s="196">
        <v>0</v>
      </c>
      <c r="F4943" s="196">
        <v>0</v>
      </c>
      <c r="G4943" s="196">
        <v>-270000</v>
      </c>
    </row>
    <row r="4944" spans="1:7" x14ac:dyDescent="0.3">
      <c r="A4944" s="198">
        <v>71786497</v>
      </c>
      <c r="B4944" s="192" t="s">
        <v>3345</v>
      </c>
      <c r="C4944" s="196">
        <v>-50900</v>
      </c>
      <c r="D4944" s="196">
        <v>0</v>
      </c>
      <c r="E4944" s="196">
        <v>0</v>
      </c>
      <c r="F4944" s="196">
        <v>0</v>
      </c>
      <c r="G4944" s="196">
        <v>-50900</v>
      </c>
    </row>
    <row r="4945" spans="1:7" x14ac:dyDescent="0.3">
      <c r="A4945" s="198">
        <v>13749703</v>
      </c>
      <c r="B4945" s="192" t="s">
        <v>3346</v>
      </c>
      <c r="C4945" s="196">
        <v>-50900</v>
      </c>
      <c r="D4945" s="196">
        <v>0</v>
      </c>
      <c r="E4945" s="196">
        <v>0</v>
      </c>
      <c r="F4945" s="196">
        <v>0</v>
      </c>
      <c r="G4945" s="196">
        <v>-50900</v>
      </c>
    </row>
    <row r="4946" spans="1:7" x14ac:dyDescent="0.3">
      <c r="A4946" s="198">
        <v>98667256</v>
      </c>
      <c r="B4946" s="192" t="s">
        <v>3347</v>
      </c>
      <c r="C4946" s="196">
        <v>-47000</v>
      </c>
      <c r="D4946" s="196">
        <v>0</v>
      </c>
      <c r="E4946" s="196">
        <v>0</v>
      </c>
      <c r="F4946" s="196">
        <v>0</v>
      </c>
      <c r="G4946" s="196">
        <v>-47000</v>
      </c>
    </row>
    <row r="4947" spans="1:7" x14ac:dyDescent="0.3">
      <c r="A4947" s="198">
        <v>71371676</v>
      </c>
      <c r="B4947" s="192" t="s">
        <v>3348</v>
      </c>
      <c r="C4947" s="196">
        <v>-50900</v>
      </c>
      <c r="D4947" s="196">
        <v>0</v>
      </c>
      <c r="E4947" s="196">
        <v>0</v>
      </c>
      <c r="F4947" s="196">
        <v>0</v>
      </c>
      <c r="G4947" s="196">
        <v>-50900</v>
      </c>
    </row>
    <row r="4948" spans="1:7" x14ac:dyDescent="0.3">
      <c r="A4948" s="198">
        <v>89007154</v>
      </c>
      <c r="B4948" s="192" t="s">
        <v>3349</v>
      </c>
      <c r="C4948" s="196">
        <v>-50900</v>
      </c>
      <c r="D4948" s="196">
        <v>0</v>
      </c>
      <c r="E4948" s="196">
        <v>0</v>
      </c>
      <c r="F4948" s="196">
        <v>0</v>
      </c>
      <c r="G4948" s="196">
        <v>-50900</v>
      </c>
    </row>
    <row r="4949" spans="1:7" x14ac:dyDescent="0.3">
      <c r="A4949" s="198">
        <v>1089458130</v>
      </c>
      <c r="B4949" s="192" t="s">
        <v>3350</v>
      </c>
      <c r="C4949" s="196">
        <v>-390000</v>
      </c>
      <c r="D4949" s="196">
        <v>0</v>
      </c>
      <c r="E4949" s="196">
        <v>0</v>
      </c>
      <c r="F4949" s="196">
        <v>0</v>
      </c>
      <c r="G4949" s="196">
        <v>-390000</v>
      </c>
    </row>
    <row r="4950" spans="1:7" x14ac:dyDescent="0.3">
      <c r="A4950" s="198">
        <v>1026586592</v>
      </c>
      <c r="B4950" s="192" t="s">
        <v>3351</v>
      </c>
      <c r="C4950" s="196">
        <v>-100000</v>
      </c>
      <c r="D4950" s="196">
        <v>0</v>
      </c>
      <c r="E4950" s="196">
        <v>0</v>
      </c>
      <c r="F4950" s="196">
        <v>0</v>
      </c>
      <c r="G4950" s="196">
        <v>-100000</v>
      </c>
    </row>
    <row r="4951" spans="1:7" x14ac:dyDescent="0.3">
      <c r="A4951" s="198">
        <v>71312974</v>
      </c>
      <c r="B4951" s="192" t="s">
        <v>3352</v>
      </c>
      <c r="C4951" s="196">
        <v>-38400</v>
      </c>
      <c r="D4951" s="196">
        <v>0</v>
      </c>
      <c r="E4951" s="196">
        <v>0</v>
      </c>
      <c r="F4951" s="196">
        <v>0</v>
      </c>
      <c r="G4951" s="196">
        <v>-38400</v>
      </c>
    </row>
    <row r="4952" spans="1:7" x14ac:dyDescent="0.3">
      <c r="A4952" s="198">
        <v>98541789</v>
      </c>
      <c r="B4952" s="192" t="s">
        <v>3353</v>
      </c>
      <c r="C4952" s="196">
        <v>-50900</v>
      </c>
      <c r="D4952" s="196">
        <v>0</v>
      </c>
      <c r="E4952" s="196">
        <v>0</v>
      </c>
      <c r="F4952" s="196">
        <v>0</v>
      </c>
      <c r="G4952" s="196">
        <v>-50900</v>
      </c>
    </row>
    <row r="4953" spans="1:7" x14ac:dyDescent="0.3">
      <c r="A4953" s="198">
        <v>16581627</v>
      </c>
      <c r="B4953" s="192" t="s">
        <v>532</v>
      </c>
      <c r="C4953" s="196">
        <v>0</v>
      </c>
      <c r="D4953" s="196">
        <v>0</v>
      </c>
      <c r="E4953" s="196">
        <v>380000</v>
      </c>
      <c r="F4953" s="196">
        <v>-380000</v>
      </c>
      <c r="G4953" s="196">
        <v>-380000</v>
      </c>
    </row>
    <row r="4954" spans="1:7" x14ac:dyDescent="0.3">
      <c r="A4954" s="198">
        <v>70557316</v>
      </c>
      <c r="B4954" s="192" t="s">
        <v>3354</v>
      </c>
      <c r="C4954" s="196">
        <v>-47400</v>
      </c>
      <c r="D4954" s="196">
        <v>0</v>
      </c>
      <c r="E4954" s="196">
        <v>0</v>
      </c>
      <c r="F4954" s="196">
        <v>0</v>
      </c>
      <c r="G4954" s="196">
        <v>-47400</v>
      </c>
    </row>
    <row r="4955" spans="1:7" x14ac:dyDescent="0.3">
      <c r="A4955" s="198">
        <v>98666903</v>
      </c>
      <c r="B4955" s="192" t="s">
        <v>534</v>
      </c>
      <c r="C4955" s="196">
        <v>0</v>
      </c>
      <c r="D4955" s="196">
        <v>0</v>
      </c>
      <c r="E4955" s="196">
        <v>101800</v>
      </c>
      <c r="F4955" s="196">
        <v>-101800</v>
      </c>
      <c r="G4955" s="196">
        <v>-101800</v>
      </c>
    </row>
    <row r="4956" spans="1:7" x14ac:dyDescent="0.3">
      <c r="A4956" s="198">
        <v>1127573676</v>
      </c>
      <c r="B4956" s="192" t="s">
        <v>3355</v>
      </c>
      <c r="C4956" s="196">
        <v>-50900</v>
      </c>
      <c r="D4956" s="196">
        <v>0</v>
      </c>
      <c r="E4956" s="196">
        <v>0</v>
      </c>
      <c r="F4956" s="196">
        <v>0</v>
      </c>
      <c r="G4956" s="196">
        <v>-50900</v>
      </c>
    </row>
    <row r="4957" spans="1:7" x14ac:dyDescent="0.3">
      <c r="A4957" s="198">
        <v>1032372919</v>
      </c>
      <c r="B4957" s="192" t="s">
        <v>3356</v>
      </c>
      <c r="C4957" s="196">
        <v>-98000</v>
      </c>
      <c r="D4957" s="196">
        <v>0</v>
      </c>
      <c r="E4957" s="196">
        <v>0</v>
      </c>
      <c r="F4957" s="196">
        <v>0</v>
      </c>
      <c r="G4957" s="196">
        <v>-98000</v>
      </c>
    </row>
    <row r="4958" spans="1:7" x14ac:dyDescent="0.3">
      <c r="A4958" s="198">
        <v>8025723</v>
      </c>
      <c r="B4958" s="192" t="s">
        <v>3357</v>
      </c>
      <c r="C4958" s="196">
        <v>-290000</v>
      </c>
      <c r="D4958" s="196">
        <v>0</v>
      </c>
      <c r="E4958" s="196">
        <v>0</v>
      </c>
      <c r="F4958" s="196">
        <v>0</v>
      </c>
      <c r="G4958" s="196">
        <v>-290000</v>
      </c>
    </row>
    <row r="4959" spans="1:7" x14ac:dyDescent="0.3">
      <c r="A4959" s="198">
        <v>98761413</v>
      </c>
      <c r="B4959" s="192" t="s">
        <v>3358</v>
      </c>
      <c r="C4959" s="196">
        <v>-319000</v>
      </c>
      <c r="D4959" s="196">
        <v>0</v>
      </c>
      <c r="E4959" s="196">
        <v>0</v>
      </c>
      <c r="F4959" s="196">
        <v>0</v>
      </c>
      <c r="G4959" s="196">
        <v>-319000</v>
      </c>
    </row>
    <row r="4960" spans="1:7" x14ac:dyDescent="0.3">
      <c r="A4960" s="198">
        <v>1015433441</v>
      </c>
      <c r="B4960" s="192" t="s">
        <v>3359</v>
      </c>
      <c r="C4960" s="196">
        <v>-54200</v>
      </c>
      <c r="D4960" s="196">
        <v>0</v>
      </c>
      <c r="E4960" s="196">
        <v>0</v>
      </c>
      <c r="F4960" s="196">
        <v>0</v>
      </c>
      <c r="G4960" s="196">
        <v>-54200</v>
      </c>
    </row>
    <row r="4961" spans="1:7" x14ac:dyDescent="0.3">
      <c r="A4961" s="198">
        <v>43210938</v>
      </c>
      <c r="B4961" s="192" t="s">
        <v>3360</v>
      </c>
      <c r="C4961" s="196">
        <v>-101800</v>
      </c>
      <c r="D4961" s="196">
        <v>0</v>
      </c>
      <c r="E4961" s="196">
        <v>0</v>
      </c>
      <c r="F4961" s="196">
        <v>0</v>
      </c>
      <c r="G4961" s="196">
        <v>-101800</v>
      </c>
    </row>
    <row r="4962" spans="1:7" x14ac:dyDescent="0.3">
      <c r="A4962" s="198">
        <v>13509242</v>
      </c>
      <c r="B4962" s="192" t="s">
        <v>3361</v>
      </c>
      <c r="C4962" s="196">
        <v>-319000</v>
      </c>
      <c r="D4962" s="196">
        <v>0</v>
      </c>
      <c r="E4962" s="196">
        <v>0</v>
      </c>
      <c r="F4962" s="196">
        <v>0</v>
      </c>
      <c r="G4962" s="196">
        <v>-319000</v>
      </c>
    </row>
    <row r="4963" spans="1:7" x14ac:dyDescent="0.3">
      <c r="A4963" s="198">
        <v>35697312</v>
      </c>
      <c r="B4963" s="192" t="s">
        <v>3362</v>
      </c>
      <c r="C4963" s="196">
        <v>-319000</v>
      </c>
      <c r="D4963" s="196">
        <v>0</v>
      </c>
      <c r="E4963" s="196">
        <v>0</v>
      </c>
      <c r="F4963" s="196">
        <v>0</v>
      </c>
      <c r="G4963" s="196">
        <v>-319000</v>
      </c>
    </row>
    <row r="4964" spans="1:7" x14ac:dyDescent="0.3">
      <c r="A4964" s="198">
        <v>1152208257</v>
      </c>
      <c r="B4964" s="192" t="s">
        <v>3363</v>
      </c>
      <c r="C4964" s="196">
        <v>-50900</v>
      </c>
      <c r="D4964" s="196">
        <v>0</v>
      </c>
      <c r="E4964" s="196">
        <v>0</v>
      </c>
      <c r="F4964" s="196">
        <v>0</v>
      </c>
      <c r="G4964" s="196">
        <v>-50900</v>
      </c>
    </row>
    <row r="4965" spans="1:7" x14ac:dyDescent="0.3">
      <c r="A4965" s="198">
        <v>43666367</v>
      </c>
      <c r="B4965" s="192" t="s">
        <v>3364</v>
      </c>
      <c r="C4965" s="196">
        <v>-101800</v>
      </c>
      <c r="D4965" s="196">
        <v>0</v>
      </c>
      <c r="E4965" s="196">
        <v>0</v>
      </c>
      <c r="F4965" s="196">
        <v>0</v>
      </c>
      <c r="G4965" s="196">
        <v>-101800</v>
      </c>
    </row>
    <row r="4966" spans="1:7" x14ac:dyDescent="0.3">
      <c r="A4966" s="198">
        <v>1128406921</v>
      </c>
      <c r="B4966" s="192" t="s">
        <v>3365</v>
      </c>
      <c r="C4966" s="196">
        <v>-47400</v>
      </c>
      <c r="D4966" s="196">
        <v>0</v>
      </c>
      <c r="E4966" s="196">
        <v>0</v>
      </c>
      <c r="F4966" s="196">
        <v>0</v>
      </c>
      <c r="G4966" s="196">
        <v>-47400</v>
      </c>
    </row>
    <row r="4967" spans="1:7" x14ac:dyDescent="0.3">
      <c r="A4967" s="198">
        <v>43820498</v>
      </c>
      <c r="B4967" s="192" t="s">
        <v>3366</v>
      </c>
      <c r="C4967" s="196">
        <v>-319000</v>
      </c>
      <c r="D4967" s="196">
        <v>0</v>
      </c>
      <c r="E4967" s="196">
        <v>0</v>
      </c>
      <c r="F4967" s="196">
        <v>0</v>
      </c>
      <c r="G4967" s="196">
        <v>-319000</v>
      </c>
    </row>
    <row r="4968" spans="1:7" x14ac:dyDescent="0.3">
      <c r="A4968" s="198">
        <v>32501148</v>
      </c>
      <c r="B4968" s="192" t="s">
        <v>3367</v>
      </c>
      <c r="C4968" s="196">
        <v>-165000</v>
      </c>
      <c r="D4968" s="196">
        <v>0</v>
      </c>
      <c r="E4968" s="196">
        <v>0</v>
      </c>
      <c r="F4968" s="196">
        <v>0</v>
      </c>
      <c r="G4968" s="196">
        <v>-165000</v>
      </c>
    </row>
    <row r="4969" spans="1:7" x14ac:dyDescent="0.3">
      <c r="A4969" s="198">
        <v>22732256</v>
      </c>
      <c r="B4969" s="192" t="s">
        <v>536</v>
      </c>
      <c r="C4969" s="196">
        <v>0</v>
      </c>
      <c r="D4969" s="196">
        <v>0</v>
      </c>
      <c r="E4969" s="196">
        <v>41400</v>
      </c>
      <c r="F4969" s="196">
        <v>-41400</v>
      </c>
      <c r="G4969" s="196">
        <v>-41400</v>
      </c>
    </row>
    <row r="4970" spans="1:7" x14ac:dyDescent="0.3">
      <c r="A4970" s="192" t="s">
        <v>3368</v>
      </c>
      <c r="B4970" s="192" t="s">
        <v>3369</v>
      </c>
      <c r="C4970" s="196">
        <v>-481000</v>
      </c>
      <c r="D4970" s="196">
        <v>0</v>
      </c>
      <c r="E4970" s="196">
        <v>0</v>
      </c>
      <c r="F4970" s="196">
        <v>0</v>
      </c>
      <c r="G4970" s="196">
        <v>-481000</v>
      </c>
    </row>
    <row r="4971" spans="1:7" x14ac:dyDescent="0.3">
      <c r="A4971" s="198">
        <v>1143850723</v>
      </c>
      <c r="B4971" s="192" t="s">
        <v>3370</v>
      </c>
      <c r="C4971" s="196">
        <v>-47400</v>
      </c>
      <c r="D4971" s="196">
        <v>0</v>
      </c>
      <c r="E4971" s="196">
        <v>0</v>
      </c>
      <c r="F4971" s="196">
        <v>0</v>
      </c>
      <c r="G4971" s="196">
        <v>-47400</v>
      </c>
    </row>
    <row r="4972" spans="1:7" x14ac:dyDescent="0.3">
      <c r="A4972" s="198">
        <v>39357536</v>
      </c>
      <c r="B4972" s="192" t="s">
        <v>3371</v>
      </c>
      <c r="C4972" s="196">
        <v>-54200</v>
      </c>
      <c r="D4972" s="196">
        <v>0</v>
      </c>
      <c r="E4972" s="196">
        <v>0</v>
      </c>
      <c r="F4972" s="196">
        <v>0</v>
      </c>
      <c r="G4972" s="196">
        <v>-54200</v>
      </c>
    </row>
    <row r="4973" spans="1:7" x14ac:dyDescent="0.3">
      <c r="A4973" s="198">
        <v>60366315</v>
      </c>
      <c r="B4973" s="192" t="s">
        <v>3372</v>
      </c>
      <c r="C4973" s="196">
        <v>-50900</v>
      </c>
      <c r="D4973" s="196">
        <v>0</v>
      </c>
      <c r="E4973" s="196">
        <v>0</v>
      </c>
      <c r="F4973" s="196">
        <v>0</v>
      </c>
      <c r="G4973" s="196">
        <v>-50900</v>
      </c>
    </row>
    <row r="4974" spans="1:7" x14ac:dyDescent="0.3">
      <c r="A4974" s="198">
        <v>21274917</v>
      </c>
      <c r="B4974" s="192" t="s">
        <v>3373</v>
      </c>
      <c r="C4974" s="196">
        <v>-223300</v>
      </c>
      <c r="D4974" s="196">
        <v>0</v>
      </c>
      <c r="E4974" s="196">
        <v>0</v>
      </c>
      <c r="F4974" s="196">
        <v>0</v>
      </c>
      <c r="G4974" s="196">
        <v>-223300</v>
      </c>
    </row>
    <row r="4975" spans="1:7" x14ac:dyDescent="0.3">
      <c r="A4975" s="198">
        <v>43021199</v>
      </c>
      <c r="B4975" s="192" t="s">
        <v>3374</v>
      </c>
      <c r="C4975" s="196">
        <v>-57200</v>
      </c>
      <c r="D4975" s="196">
        <v>0</v>
      </c>
      <c r="E4975" s="196">
        <v>0</v>
      </c>
      <c r="F4975" s="196">
        <v>0</v>
      </c>
      <c r="G4975" s="196">
        <v>-57200</v>
      </c>
    </row>
    <row r="4976" spans="1:7" x14ac:dyDescent="0.3">
      <c r="A4976" s="198">
        <v>42876459</v>
      </c>
      <c r="B4976" s="192" t="s">
        <v>537</v>
      </c>
      <c r="C4976" s="196">
        <v>0</v>
      </c>
      <c r="D4976" s="196">
        <v>0</v>
      </c>
      <c r="E4976" s="196">
        <v>380000</v>
      </c>
      <c r="F4976" s="196">
        <v>-380000</v>
      </c>
      <c r="G4976" s="196">
        <v>-380000</v>
      </c>
    </row>
    <row r="4977" spans="1:7" x14ac:dyDescent="0.3">
      <c r="A4977" s="198">
        <v>32480757</v>
      </c>
      <c r="B4977" s="192" t="s">
        <v>538</v>
      </c>
      <c r="C4977" s="196">
        <v>0</v>
      </c>
      <c r="D4977" s="196">
        <v>0</v>
      </c>
      <c r="E4977" s="196">
        <v>38400</v>
      </c>
      <c r="F4977" s="196">
        <v>-38400</v>
      </c>
      <c r="G4977" s="196">
        <v>-38400</v>
      </c>
    </row>
    <row r="4978" spans="1:7" x14ac:dyDescent="0.3">
      <c r="A4978" s="198">
        <v>32557919</v>
      </c>
      <c r="B4978" s="192" t="s">
        <v>3375</v>
      </c>
      <c r="C4978" s="196">
        <v>-43900</v>
      </c>
      <c r="D4978" s="196">
        <v>0</v>
      </c>
      <c r="E4978" s="196">
        <v>0</v>
      </c>
      <c r="F4978" s="196">
        <v>0</v>
      </c>
      <c r="G4978" s="196">
        <v>-43900</v>
      </c>
    </row>
    <row r="4979" spans="1:7" x14ac:dyDescent="0.3">
      <c r="A4979" s="198">
        <v>32544263</v>
      </c>
      <c r="B4979" s="192" t="s">
        <v>3376</v>
      </c>
      <c r="C4979" s="196">
        <v>-101800</v>
      </c>
      <c r="D4979" s="196">
        <v>0</v>
      </c>
      <c r="E4979" s="196">
        <v>0</v>
      </c>
      <c r="F4979" s="196">
        <v>0</v>
      </c>
      <c r="G4979" s="196">
        <v>-101800</v>
      </c>
    </row>
    <row r="4980" spans="1:7" x14ac:dyDescent="0.3">
      <c r="A4980" s="198">
        <v>22057994</v>
      </c>
      <c r="B4980" s="192" t="s">
        <v>3377</v>
      </c>
      <c r="C4980" s="196">
        <v>-297000</v>
      </c>
      <c r="D4980" s="196">
        <v>0</v>
      </c>
      <c r="E4980" s="196">
        <v>0</v>
      </c>
      <c r="F4980" s="196">
        <v>0</v>
      </c>
      <c r="G4980" s="196">
        <v>-297000</v>
      </c>
    </row>
    <row r="4981" spans="1:7" x14ac:dyDescent="0.3">
      <c r="A4981" s="198">
        <v>42980905</v>
      </c>
      <c r="B4981" s="192" t="s">
        <v>3378</v>
      </c>
      <c r="C4981" s="196">
        <v>-57200</v>
      </c>
      <c r="D4981" s="196">
        <v>0</v>
      </c>
      <c r="E4981" s="196">
        <v>0</v>
      </c>
      <c r="F4981" s="196">
        <v>0</v>
      </c>
      <c r="G4981" s="196">
        <v>-57200</v>
      </c>
    </row>
    <row r="4982" spans="1:7" x14ac:dyDescent="0.3">
      <c r="A4982" s="198">
        <v>43609899</v>
      </c>
      <c r="B4982" s="192" t="s">
        <v>3379</v>
      </c>
      <c r="C4982" s="196">
        <v>-50900</v>
      </c>
      <c r="D4982" s="196">
        <v>0</v>
      </c>
      <c r="E4982" s="196">
        <v>0</v>
      </c>
      <c r="F4982" s="196">
        <v>0</v>
      </c>
      <c r="G4982" s="196">
        <v>-50900</v>
      </c>
    </row>
    <row r="4983" spans="1:7" x14ac:dyDescent="0.3">
      <c r="A4983" s="198">
        <v>39170440</v>
      </c>
      <c r="B4983" s="192" t="s">
        <v>3380</v>
      </c>
      <c r="C4983" s="196">
        <v>-119000</v>
      </c>
      <c r="D4983" s="196">
        <v>0</v>
      </c>
      <c r="E4983" s="196">
        <v>0</v>
      </c>
      <c r="F4983" s="196">
        <v>0</v>
      </c>
      <c r="G4983" s="196">
        <v>-119000</v>
      </c>
    </row>
    <row r="4984" spans="1:7" x14ac:dyDescent="0.3">
      <c r="A4984" s="198">
        <v>42971780</v>
      </c>
      <c r="B4984" s="192" t="s">
        <v>539</v>
      </c>
      <c r="C4984" s="196">
        <v>-57200</v>
      </c>
      <c r="D4984" s="196">
        <v>0</v>
      </c>
      <c r="E4984" s="196">
        <v>57200</v>
      </c>
      <c r="F4984" s="196">
        <v>-57200</v>
      </c>
      <c r="G4984" s="196">
        <v>-114400</v>
      </c>
    </row>
    <row r="4985" spans="1:7" x14ac:dyDescent="0.3">
      <c r="A4985" s="198">
        <v>43040509</v>
      </c>
      <c r="B4985" s="192" t="s">
        <v>3381</v>
      </c>
      <c r="C4985" s="196">
        <v>-50900</v>
      </c>
      <c r="D4985" s="196">
        <v>0</v>
      </c>
      <c r="E4985" s="196">
        <v>0</v>
      </c>
      <c r="F4985" s="196">
        <v>0</v>
      </c>
      <c r="G4985" s="196">
        <v>-50900</v>
      </c>
    </row>
    <row r="4986" spans="1:7" x14ac:dyDescent="0.3">
      <c r="A4986" s="198">
        <v>43677268</v>
      </c>
      <c r="B4986" s="192" t="s">
        <v>3382</v>
      </c>
      <c r="C4986" s="196">
        <v>-54200</v>
      </c>
      <c r="D4986" s="196">
        <v>0</v>
      </c>
      <c r="E4986" s="196">
        <v>0</v>
      </c>
      <c r="F4986" s="196">
        <v>0</v>
      </c>
      <c r="G4986" s="196">
        <v>-54200</v>
      </c>
    </row>
    <row r="4987" spans="1:7" x14ac:dyDescent="0.3">
      <c r="A4987" s="198">
        <v>21424210</v>
      </c>
      <c r="B4987" s="192" t="s">
        <v>3383</v>
      </c>
      <c r="C4987" s="196">
        <v>-54200</v>
      </c>
      <c r="D4987" s="196">
        <v>0</v>
      </c>
      <c r="E4987" s="196">
        <v>0</v>
      </c>
      <c r="F4987" s="196">
        <v>0</v>
      </c>
      <c r="G4987" s="196">
        <v>-54200</v>
      </c>
    </row>
    <row r="4988" spans="1:7" x14ac:dyDescent="0.3">
      <c r="A4988" s="198">
        <v>42767889</v>
      </c>
      <c r="B4988" s="192" t="s">
        <v>3384</v>
      </c>
      <c r="C4988" s="196">
        <v>-50900</v>
      </c>
      <c r="D4988" s="196">
        <v>0</v>
      </c>
      <c r="E4988" s="196">
        <v>0</v>
      </c>
      <c r="F4988" s="196">
        <v>0</v>
      </c>
      <c r="G4988" s="196">
        <v>-50900</v>
      </c>
    </row>
    <row r="4989" spans="1:7" x14ac:dyDescent="0.3">
      <c r="A4989" s="198">
        <v>43082776</v>
      </c>
      <c r="B4989" s="192" t="s">
        <v>3385</v>
      </c>
      <c r="C4989" s="196">
        <v>-297000</v>
      </c>
      <c r="D4989" s="196">
        <v>0</v>
      </c>
      <c r="E4989" s="196">
        <v>0</v>
      </c>
      <c r="F4989" s="196">
        <v>0</v>
      </c>
      <c r="G4989" s="196">
        <v>-297000</v>
      </c>
    </row>
    <row r="4990" spans="1:7" x14ac:dyDescent="0.3">
      <c r="A4990" s="198">
        <v>43520955</v>
      </c>
      <c r="B4990" s="192" t="s">
        <v>3386</v>
      </c>
      <c r="C4990" s="196">
        <v>-101800</v>
      </c>
      <c r="D4990" s="196">
        <v>0</v>
      </c>
      <c r="E4990" s="196">
        <v>0</v>
      </c>
      <c r="F4990" s="196">
        <v>0</v>
      </c>
      <c r="G4990" s="196">
        <v>-101800</v>
      </c>
    </row>
    <row r="4991" spans="1:7" x14ac:dyDescent="0.3">
      <c r="A4991" s="198">
        <v>1228879</v>
      </c>
      <c r="B4991" s="192" t="s">
        <v>3387</v>
      </c>
      <c r="C4991" s="196">
        <v>-297000</v>
      </c>
      <c r="D4991" s="196">
        <v>0</v>
      </c>
      <c r="E4991" s="196">
        <v>0</v>
      </c>
      <c r="F4991" s="196">
        <v>0</v>
      </c>
      <c r="G4991" s="196">
        <v>-297000</v>
      </c>
    </row>
    <row r="4992" spans="1:7" x14ac:dyDescent="0.3">
      <c r="A4992" s="198">
        <v>98669004</v>
      </c>
      <c r="B4992" s="192" t="s">
        <v>3388</v>
      </c>
      <c r="C4992" s="196">
        <v>-50900</v>
      </c>
      <c r="D4992" s="196">
        <v>0</v>
      </c>
      <c r="E4992" s="196">
        <v>0</v>
      </c>
      <c r="F4992" s="196">
        <v>0</v>
      </c>
      <c r="G4992" s="196">
        <v>-50900</v>
      </c>
    </row>
    <row r="4993" spans="1:7" x14ac:dyDescent="0.3">
      <c r="A4993" s="198">
        <v>1036647717</v>
      </c>
      <c r="B4993" s="192" t="s">
        <v>3389</v>
      </c>
      <c r="C4993" s="196">
        <v>-50900</v>
      </c>
      <c r="D4993" s="196">
        <v>0</v>
      </c>
      <c r="E4993" s="196">
        <v>0</v>
      </c>
      <c r="F4993" s="196">
        <v>0</v>
      </c>
      <c r="G4993" s="196">
        <v>-50900</v>
      </c>
    </row>
    <row r="4994" spans="1:7" x14ac:dyDescent="0.3">
      <c r="A4994" s="198">
        <v>71729597</v>
      </c>
      <c r="B4994" s="192" t="s">
        <v>540</v>
      </c>
      <c r="C4994" s="196">
        <v>0</v>
      </c>
      <c r="D4994" s="196">
        <v>0</v>
      </c>
      <c r="E4994" s="196">
        <v>50900</v>
      </c>
      <c r="F4994" s="196">
        <v>-50900</v>
      </c>
      <c r="G4994" s="196">
        <v>-50900</v>
      </c>
    </row>
    <row r="4995" spans="1:7" x14ac:dyDescent="0.3">
      <c r="A4995" s="198">
        <v>1021948642</v>
      </c>
      <c r="B4995" s="192" t="s">
        <v>3390</v>
      </c>
      <c r="C4995" s="196">
        <v>-47000</v>
      </c>
      <c r="D4995" s="196">
        <v>0</v>
      </c>
      <c r="E4995" s="196">
        <v>0</v>
      </c>
      <c r="F4995" s="196">
        <v>0</v>
      </c>
      <c r="G4995" s="196">
        <v>-47000</v>
      </c>
    </row>
    <row r="4996" spans="1:7" x14ac:dyDescent="0.3">
      <c r="A4996" s="198">
        <v>1038419355</v>
      </c>
      <c r="B4996" s="192" t="s">
        <v>3391</v>
      </c>
      <c r="C4996" s="196">
        <v>-297000</v>
      </c>
      <c r="D4996" s="196">
        <v>0</v>
      </c>
      <c r="E4996" s="196">
        <v>0</v>
      </c>
      <c r="F4996" s="196">
        <v>0</v>
      </c>
      <c r="G4996" s="196">
        <v>-297000</v>
      </c>
    </row>
    <row r="4997" spans="1:7" x14ac:dyDescent="0.3">
      <c r="A4997" s="198">
        <v>1023542048</v>
      </c>
      <c r="B4997" s="192" t="s">
        <v>3392</v>
      </c>
      <c r="C4997" s="196">
        <v>-297000</v>
      </c>
      <c r="D4997" s="196">
        <v>0</v>
      </c>
      <c r="E4997" s="196">
        <v>0</v>
      </c>
      <c r="F4997" s="196">
        <v>0</v>
      </c>
      <c r="G4997" s="196">
        <v>-297000</v>
      </c>
    </row>
    <row r="4998" spans="1:7" x14ac:dyDescent="0.3">
      <c r="A4998" s="198">
        <v>1195216427</v>
      </c>
      <c r="B4998" s="192" t="s">
        <v>3393</v>
      </c>
      <c r="C4998" s="196">
        <v>-660300</v>
      </c>
      <c r="D4998" s="196">
        <v>0</v>
      </c>
      <c r="E4998" s="196">
        <v>0</v>
      </c>
      <c r="F4998" s="196">
        <v>0</v>
      </c>
      <c r="G4998" s="196">
        <v>-660300</v>
      </c>
    </row>
    <row r="4999" spans="1:7" x14ac:dyDescent="0.3">
      <c r="A4999" s="198">
        <v>1035025653</v>
      </c>
      <c r="B4999" s="192" t="s">
        <v>3394</v>
      </c>
      <c r="C4999" s="196">
        <v>-50900</v>
      </c>
      <c r="D4999" s="196">
        <v>0</v>
      </c>
      <c r="E4999" s="196">
        <v>0</v>
      </c>
      <c r="F4999" s="196">
        <v>0</v>
      </c>
      <c r="G4999" s="196">
        <v>-50900</v>
      </c>
    </row>
    <row r="5000" spans="1:7" x14ac:dyDescent="0.3">
      <c r="A5000" s="198">
        <v>43206483</v>
      </c>
      <c r="B5000" s="192" t="s">
        <v>3395</v>
      </c>
      <c r="C5000" s="196">
        <v>-191400</v>
      </c>
      <c r="D5000" s="196">
        <v>0</v>
      </c>
      <c r="E5000" s="196">
        <v>0</v>
      </c>
      <c r="F5000" s="196">
        <v>0</v>
      </c>
      <c r="G5000" s="196">
        <v>-191400</v>
      </c>
    </row>
    <row r="5001" spans="1:7" x14ac:dyDescent="0.3">
      <c r="A5001" s="198">
        <v>43826965</v>
      </c>
      <c r="B5001" s="192" t="s">
        <v>3396</v>
      </c>
      <c r="C5001" s="196">
        <v>-57200</v>
      </c>
      <c r="D5001" s="196">
        <v>0</v>
      </c>
      <c r="E5001" s="196">
        <v>0</v>
      </c>
      <c r="F5001" s="196">
        <v>0</v>
      </c>
      <c r="G5001" s="196">
        <v>-57200</v>
      </c>
    </row>
    <row r="5002" spans="1:7" x14ac:dyDescent="0.3">
      <c r="A5002" s="198">
        <v>901820351</v>
      </c>
      <c r="B5002" s="192" t="s">
        <v>3397</v>
      </c>
      <c r="C5002" s="196">
        <v>-300000</v>
      </c>
      <c r="D5002" s="196">
        <v>0</v>
      </c>
      <c r="E5002" s="196">
        <v>0</v>
      </c>
      <c r="F5002" s="196">
        <v>0</v>
      </c>
      <c r="G5002" s="196">
        <v>-300000</v>
      </c>
    </row>
    <row r="5003" spans="1:7" x14ac:dyDescent="0.3">
      <c r="A5003" s="198">
        <v>43599050</v>
      </c>
      <c r="B5003" s="192" t="s">
        <v>541</v>
      </c>
      <c r="C5003" s="196">
        <v>0</v>
      </c>
      <c r="D5003" s="196">
        <v>0</v>
      </c>
      <c r="E5003" s="196">
        <v>50900</v>
      </c>
      <c r="F5003" s="196">
        <v>-50900</v>
      </c>
      <c r="G5003" s="196">
        <v>-50900</v>
      </c>
    </row>
    <row r="5004" spans="1:7" x14ac:dyDescent="0.3">
      <c r="A5004" s="198">
        <v>42785326</v>
      </c>
      <c r="B5004" s="192" t="s">
        <v>3398</v>
      </c>
      <c r="C5004" s="196">
        <v>-38400</v>
      </c>
      <c r="D5004" s="196">
        <v>0</v>
      </c>
      <c r="E5004" s="196">
        <v>0</v>
      </c>
      <c r="F5004" s="196">
        <v>0</v>
      </c>
      <c r="G5004" s="196">
        <v>-38400</v>
      </c>
    </row>
    <row r="5005" spans="1:7" x14ac:dyDescent="0.3">
      <c r="A5005" s="198">
        <v>1036672362</v>
      </c>
      <c r="B5005" s="192" t="s">
        <v>3399</v>
      </c>
      <c r="C5005" s="196">
        <v>-297000</v>
      </c>
      <c r="D5005" s="196">
        <v>0</v>
      </c>
      <c r="E5005" s="196">
        <v>0</v>
      </c>
      <c r="F5005" s="196">
        <v>0</v>
      </c>
      <c r="G5005" s="196">
        <v>-297000</v>
      </c>
    </row>
    <row r="5006" spans="1:7" x14ac:dyDescent="0.3">
      <c r="A5006" s="198">
        <v>42702272</v>
      </c>
      <c r="B5006" s="192" t="s">
        <v>3400</v>
      </c>
      <c r="C5006" s="196">
        <v>-270000</v>
      </c>
      <c r="D5006" s="196">
        <v>0</v>
      </c>
      <c r="E5006" s="196">
        <v>0</v>
      </c>
      <c r="F5006" s="196">
        <v>0</v>
      </c>
      <c r="G5006" s="196">
        <v>-270000</v>
      </c>
    </row>
    <row r="5007" spans="1:7" x14ac:dyDescent="0.3">
      <c r="A5007" s="198">
        <v>71600069</v>
      </c>
      <c r="B5007" s="192" t="s">
        <v>3401</v>
      </c>
      <c r="C5007" s="196">
        <v>-207900</v>
      </c>
      <c r="D5007" s="196">
        <v>0</v>
      </c>
      <c r="E5007" s="196">
        <v>0</v>
      </c>
      <c r="F5007" s="196">
        <v>0</v>
      </c>
      <c r="G5007" s="196">
        <v>-207900</v>
      </c>
    </row>
    <row r="5008" spans="1:7" x14ac:dyDescent="0.3">
      <c r="A5008" s="198">
        <v>169365338</v>
      </c>
      <c r="B5008" s="192" t="s">
        <v>3402</v>
      </c>
      <c r="C5008" s="196">
        <v>-54200</v>
      </c>
      <c r="D5008" s="196">
        <v>0</v>
      </c>
      <c r="E5008" s="196">
        <v>0</v>
      </c>
      <c r="F5008" s="196">
        <v>0</v>
      </c>
      <c r="G5008" s="196">
        <v>-54200</v>
      </c>
    </row>
    <row r="5009" spans="1:7" x14ac:dyDescent="0.3">
      <c r="A5009" s="192" t="s">
        <v>543</v>
      </c>
      <c r="B5009" s="192" t="s">
        <v>544</v>
      </c>
      <c r="C5009" s="196">
        <v>0</v>
      </c>
      <c r="D5009" s="196">
        <v>0</v>
      </c>
      <c r="E5009" s="196">
        <v>297000</v>
      </c>
      <c r="F5009" s="196">
        <v>-297000</v>
      </c>
      <c r="G5009" s="196">
        <v>-297000</v>
      </c>
    </row>
    <row r="5010" spans="1:7" x14ac:dyDescent="0.3">
      <c r="A5010" s="198">
        <v>5615039</v>
      </c>
      <c r="B5010" s="192" t="s">
        <v>3403</v>
      </c>
      <c r="C5010" s="196">
        <v>-50900</v>
      </c>
      <c r="D5010" s="196">
        <v>0</v>
      </c>
      <c r="E5010" s="196">
        <v>0</v>
      </c>
      <c r="F5010" s="196">
        <v>0</v>
      </c>
      <c r="G5010" s="196">
        <v>-50900</v>
      </c>
    </row>
    <row r="5011" spans="1:7" x14ac:dyDescent="0.3">
      <c r="A5011" s="198">
        <v>1034930521</v>
      </c>
      <c r="B5011" s="192" t="s">
        <v>545</v>
      </c>
      <c r="C5011" s="196">
        <v>0</v>
      </c>
      <c r="D5011" s="196">
        <v>0</v>
      </c>
      <c r="E5011" s="196">
        <v>340000</v>
      </c>
      <c r="F5011" s="196">
        <v>-340000</v>
      </c>
      <c r="G5011" s="196">
        <v>-340000</v>
      </c>
    </row>
    <row r="5012" spans="1:7" x14ac:dyDescent="0.3">
      <c r="A5012" s="198">
        <v>522888</v>
      </c>
      <c r="B5012" s="192" t="s">
        <v>3404</v>
      </c>
      <c r="C5012" s="196">
        <v>-50900</v>
      </c>
      <c r="D5012" s="196">
        <v>0</v>
      </c>
      <c r="E5012" s="196">
        <v>0</v>
      </c>
      <c r="F5012" s="196">
        <v>0</v>
      </c>
      <c r="G5012" s="196">
        <v>-50900</v>
      </c>
    </row>
    <row r="5013" spans="1:7" x14ac:dyDescent="0.3">
      <c r="A5013" s="198">
        <v>79233426</v>
      </c>
      <c r="B5013" s="192" t="s">
        <v>3405</v>
      </c>
      <c r="C5013" s="196">
        <v>-57200</v>
      </c>
      <c r="D5013" s="196">
        <v>0</v>
      </c>
      <c r="E5013" s="196">
        <v>0</v>
      </c>
      <c r="F5013" s="196">
        <v>0</v>
      </c>
      <c r="G5013" s="196">
        <v>-57200</v>
      </c>
    </row>
    <row r="5014" spans="1:7" x14ac:dyDescent="0.3">
      <c r="A5014" s="198">
        <v>98627915</v>
      </c>
      <c r="B5014" s="192" t="s">
        <v>3406</v>
      </c>
      <c r="C5014" s="196">
        <v>-41400</v>
      </c>
      <c r="D5014" s="196">
        <v>0</v>
      </c>
      <c r="E5014" s="196">
        <v>0</v>
      </c>
      <c r="F5014" s="196">
        <v>0</v>
      </c>
      <c r="G5014" s="196">
        <v>-41400</v>
      </c>
    </row>
    <row r="5015" spans="1:7" x14ac:dyDescent="0.3">
      <c r="A5015" s="198">
        <v>11235588</v>
      </c>
      <c r="B5015" s="192" t="s">
        <v>3407</v>
      </c>
      <c r="C5015" s="196">
        <v>-57200</v>
      </c>
      <c r="D5015" s="196">
        <v>0</v>
      </c>
      <c r="E5015" s="196">
        <v>0</v>
      </c>
      <c r="F5015" s="196">
        <v>0</v>
      </c>
      <c r="G5015" s="196">
        <v>-57200</v>
      </c>
    </row>
    <row r="5016" spans="1:7" x14ac:dyDescent="0.3">
      <c r="A5016" s="198">
        <v>79122696</v>
      </c>
      <c r="B5016" s="192" t="s">
        <v>3408</v>
      </c>
      <c r="C5016" s="196">
        <v>-319000</v>
      </c>
      <c r="D5016" s="196">
        <v>0</v>
      </c>
      <c r="E5016" s="196">
        <v>0</v>
      </c>
      <c r="F5016" s="196">
        <v>0</v>
      </c>
      <c r="G5016" s="196">
        <v>-319000</v>
      </c>
    </row>
    <row r="5017" spans="1:7" x14ac:dyDescent="0.3">
      <c r="A5017" s="198">
        <v>98671272</v>
      </c>
      <c r="B5017" s="192" t="s">
        <v>3409</v>
      </c>
      <c r="C5017" s="196">
        <v>-50900</v>
      </c>
      <c r="D5017" s="196">
        <v>0</v>
      </c>
      <c r="E5017" s="196">
        <v>0</v>
      </c>
      <c r="F5017" s="196">
        <v>0</v>
      </c>
      <c r="G5017" s="196">
        <v>-50900</v>
      </c>
    </row>
    <row r="5018" spans="1:7" x14ac:dyDescent="0.3">
      <c r="A5018" s="198">
        <v>1093739722</v>
      </c>
      <c r="B5018" s="192" t="s">
        <v>3410</v>
      </c>
      <c r="C5018" s="196">
        <v>-297000</v>
      </c>
      <c r="D5018" s="196">
        <v>0</v>
      </c>
      <c r="E5018" s="196">
        <v>0</v>
      </c>
      <c r="F5018" s="196">
        <v>0</v>
      </c>
      <c r="G5018" s="196">
        <v>-297000</v>
      </c>
    </row>
    <row r="5019" spans="1:7" x14ac:dyDescent="0.3">
      <c r="A5019" s="198">
        <v>39270933</v>
      </c>
      <c r="B5019" s="192" t="s">
        <v>3411</v>
      </c>
      <c r="C5019" s="196">
        <v>-47000</v>
      </c>
      <c r="D5019" s="196">
        <v>0</v>
      </c>
      <c r="E5019" s="196">
        <v>0</v>
      </c>
      <c r="F5019" s="196">
        <v>0</v>
      </c>
      <c r="G5019" s="196">
        <v>-47000</v>
      </c>
    </row>
    <row r="5020" spans="1:7" x14ac:dyDescent="0.3">
      <c r="A5020" s="198">
        <v>25396150</v>
      </c>
      <c r="B5020" s="192" t="s">
        <v>3412</v>
      </c>
      <c r="C5020" s="196">
        <v>-270000</v>
      </c>
      <c r="D5020" s="196">
        <v>0</v>
      </c>
      <c r="E5020" s="196">
        <v>0</v>
      </c>
      <c r="F5020" s="196">
        <v>0</v>
      </c>
      <c r="G5020" s="196">
        <v>-270000</v>
      </c>
    </row>
    <row r="5021" spans="1:7" x14ac:dyDescent="0.3">
      <c r="A5021" s="198">
        <v>63330632</v>
      </c>
      <c r="B5021" s="192" t="s">
        <v>3413</v>
      </c>
      <c r="C5021" s="196">
        <v>-297000</v>
      </c>
      <c r="D5021" s="196">
        <v>0</v>
      </c>
      <c r="E5021" s="196">
        <v>0</v>
      </c>
      <c r="F5021" s="196">
        <v>0</v>
      </c>
      <c r="G5021" s="196">
        <v>-297000</v>
      </c>
    </row>
    <row r="5022" spans="1:7" x14ac:dyDescent="0.3">
      <c r="A5022" s="198">
        <v>42694737</v>
      </c>
      <c r="B5022" s="192" t="s">
        <v>3414</v>
      </c>
      <c r="C5022" s="196">
        <v>-36600</v>
      </c>
      <c r="D5022" s="196">
        <v>0</v>
      </c>
      <c r="E5022" s="196">
        <v>0</v>
      </c>
      <c r="F5022" s="196">
        <v>0</v>
      </c>
      <c r="G5022" s="196">
        <v>-36600</v>
      </c>
    </row>
    <row r="5023" spans="1:7" x14ac:dyDescent="0.3">
      <c r="A5023" s="192" t="s">
        <v>548</v>
      </c>
      <c r="B5023" s="192" t="s">
        <v>549</v>
      </c>
      <c r="C5023" s="196">
        <v>0</v>
      </c>
      <c r="D5023" s="196">
        <v>0</v>
      </c>
      <c r="E5023" s="196">
        <v>200000</v>
      </c>
      <c r="F5023" s="196">
        <v>-200000</v>
      </c>
      <c r="G5023" s="196">
        <v>-200000</v>
      </c>
    </row>
    <row r="5024" spans="1:7" x14ac:dyDescent="0.3">
      <c r="A5024" s="198">
        <v>1146441782</v>
      </c>
      <c r="B5024" s="192" t="s">
        <v>3415</v>
      </c>
      <c r="C5024" s="196">
        <v>-270000</v>
      </c>
      <c r="D5024" s="196">
        <v>0</v>
      </c>
      <c r="E5024" s="196">
        <v>0</v>
      </c>
      <c r="F5024" s="196">
        <v>0</v>
      </c>
      <c r="G5024" s="196">
        <v>-270000</v>
      </c>
    </row>
    <row r="5025" spans="1:7" x14ac:dyDescent="0.3">
      <c r="A5025" s="198">
        <v>1001187728</v>
      </c>
      <c r="B5025" s="192" t="s">
        <v>3416</v>
      </c>
      <c r="C5025" s="196">
        <v>-616000</v>
      </c>
      <c r="D5025" s="196">
        <v>0</v>
      </c>
      <c r="E5025" s="196">
        <v>0</v>
      </c>
      <c r="F5025" s="196">
        <v>0</v>
      </c>
      <c r="G5025" s="196">
        <v>-616000</v>
      </c>
    </row>
    <row r="5026" spans="1:7" x14ac:dyDescent="0.3">
      <c r="A5026" s="198">
        <v>10482220</v>
      </c>
      <c r="B5026" s="192" t="s">
        <v>3417</v>
      </c>
      <c r="C5026" s="196">
        <v>-57200</v>
      </c>
      <c r="D5026" s="196">
        <v>0</v>
      </c>
      <c r="E5026" s="196">
        <v>0</v>
      </c>
      <c r="F5026" s="196">
        <v>0</v>
      </c>
      <c r="G5026" s="196">
        <v>-57200</v>
      </c>
    </row>
    <row r="5027" spans="1:7" x14ac:dyDescent="0.3">
      <c r="A5027" s="198">
        <v>70083146</v>
      </c>
      <c r="B5027" s="192" t="s">
        <v>3418</v>
      </c>
      <c r="C5027" s="196">
        <v>-50900</v>
      </c>
      <c r="D5027" s="196">
        <v>0</v>
      </c>
      <c r="E5027" s="196">
        <v>0</v>
      </c>
      <c r="F5027" s="196">
        <v>0</v>
      </c>
      <c r="G5027" s="196">
        <v>-50900</v>
      </c>
    </row>
    <row r="5028" spans="1:7" x14ac:dyDescent="0.3">
      <c r="A5028" s="198">
        <v>1037592821</v>
      </c>
      <c r="B5028" s="192" t="s">
        <v>3419</v>
      </c>
      <c r="C5028" s="196">
        <v>-50900</v>
      </c>
      <c r="D5028" s="196">
        <v>0</v>
      </c>
      <c r="E5028" s="196">
        <v>0</v>
      </c>
      <c r="F5028" s="196">
        <v>0</v>
      </c>
      <c r="G5028" s="196">
        <v>-50900</v>
      </c>
    </row>
    <row r="5029" spans="1:7" x14ac:dyDescent="0.3">
      <c r="A5029" s="198">
        <v>80033041</v>
      </c>
      <c r="B5029" s="192" t="s">
        <v>3420</v>
      </c>
      <c r="C5029" s="196">
        <v>-50900</v>
      </c>
      <c r="D5029" s="196">
        <v>0</v>
      </c>
      <c r="E5029" s="196">
        <v>0</v>
      </c>
      <c r="F5029" s="196">
        <v>0</v>
      </c>
      <c r="G5029" s="196">
        <v>-50900</v>
      </c>
    </row>
    <row r="5030" spans="1:7" x14ac:dyDescent="0.3">
      <c r="A5030" s="198">
        <v>1239488847</v>
      </c>
      <c r="B5030" s="192" t="s">
        <v>3421</v>
      </c>
      <c r="C5030" s="196">
        <v>-340000</v>
      </c>
      <c r="D5030" s="196">
        <v>0</v>
      </c>
      <c r="E5030" s="196">
        <v>0</v>
      </c>
      <c r="F5030" s="196">
        <v>0</v>
      </c>
      <c r="G5030" s="196">
        <v>-340000</v>
      </c>
    </row>
    <row r="5031" spans="1:7" x14ac:dyDescent="0.3">
      <c r="A5031" s="198">
        <v>71378950</v>
      </c>
      <c r="B5031" s="192" t="s">
        <v>3422</v>
      </c>
      <c r="C5031" s="196">
        <v>-50900</v>
      </c>
      <c r="D5031" s="196">
        <v>0</v>
      </c>
      <c r="E5031" s="196">
        <v>0</v>
      </c>
      <c r="F5031" s="196">
        <v>0</v>
      </c>
      <c r="G5031" s="196">
        <v>-50900</v>
      </c>
    </row>
    <row r="5032" spans="1:7" x14ac:dyDescent="0.3">
      <c r="A5032" s="198">
        <v>70110035</v>
      </c>
      <c r="B5032" s="192" t="s">
        <v>550</v>
      </c>
      <c r="C5032" s="196">
        <v>0</v>
      </c>
      <c r="D5032" s="196">
        <v>0</v>
      </c>
      <c r="E5032" s="196">
        <v>52400</v>
      </c>
      <c r="F5032" s="196">
        <v>-52400</v>
      </c>
      <c r="G5032" s="196">
        <v>-52400</v>
      </c>
    </row>
    <row r="5033" spans="1:7" x14ac:dyDescent="0.3">
      <c r="A5033" s="198">
        <v>71794058</v>
      </c>
      <c r="B5033" s="192" t="s">
        <v>551</v>
      </c>
      <c r="C5033" s="196">
        <v>0</v>
      </c>
      <c r="D5033" s="196">
        <v>0</v>
      </c>
      <c r="E5033" s="196">
        <v>26500</v>
      </c>
      <c r="F5033" s="196">
        <v>-26500</v>
      </c>
      <c r="G5033" s="196">
        <v>-26500</v>
      </c>
    </row>
    <row r="5034" spans="1:7" x14ac:dyDescent="0.3">
      <c r="A5034" s="198">
        <v>12644705</v>
      </c>
      <c r="B5034" s="192" t="s">
        <v>552</v>
      </c>
      <c r="C5034" s="196">
        <v>0</v>
      </c>
      <c r="D5034" s="196">
        <v>0</v>
      </c>
      <c r="E5034" s="196">
        <v>50900</v>
      </c>
      <c r="F5034" s="196">
        <v>-50900</v>
      </c>
      <c r="G5034" s="196">
        <v>-50900</v>
      </c>
    </row>
    <row r="5035" spans="1:7" x14ac:dyDescent="0.3">
      <c r="A5035" s="198">
        <v>388152</v>
      </c>
      <c r="B5035" s="192" t="s">
        <v>3423</v>
      </c>
      <c r="C5035" s="196">
        <v>-47400</v>
      </c>
      <c r="D5035" s="196">
        <v>0</v>
      </c>
      <c r="E5035" s="196">
        <v>0</v>
      </c>
      <c r="F5035" s="196">
        <v>0</v>
      </c>
      <c r="G5035" s="196">
        <v>-47400</v>
      </c>
    </row>
    <row r="5036" spans="1:7" x14ac:dyDescent="0.3">
      <c r="A5036" s="198">
        <v>98634098</v>
      </c>
      <c r="B5036" s="192" t="s">
        <v>3424</v>
      </c>
      <c r="C5036" s="196">
        <v>-50900</v>
      </c>
      <c r="D5036" s="196">
        <v>0</v>
      </c>
      <c r="E5036" s="196">
        <v>0</v>
      </c>
      <c r="F5036" s="196">
        <v>0</v>
      </c>
      <c r="G5036" s="196">
        <v>-50900</v>
      </c>
    </row>
    <row r="5037" spans="1:7" x14ac:dyDescent="0.3">
      <c r="A5037" s="198">
        <v>1017259604</v>
      </c>
      <c r="B5037" s="192" t="s">
        <v>3425</v>
      </c>
      <c r="C5037" s="196">
        <v>-47000</v>
      </c>
      <c r="D5037" s="196">
        <v>0</v>
      </c>
      <c r="E5037" s="196">
        <v>0</v>
      </c>
      <c r="F5037" s="196">
        <v>0</v>
      </c>
      <c r="G5037" s="196">
        <v>-47000</v>
      </c>
    </row>
    <row r="5038" spans="1:7" x14ac:dyDescent="0.3">
      <c r="A5038" s="198">
        <v>1110516685</v>
      </c>
      <c r="B5038" s="192" t="s">
        <v>3426</v>
      </c>
      <c r="C5038" s="196">
        <v>-57200</v>
      </c>
      <c r="D5038" s="196">
        <v>0</v>
      </c>
      <c r="E5038" s="196">
        <v>0</v>
      </c>
      <c r="F5038" s="196">
        <v>0</v>
      </c>
      <c r="G5038" s="196">
        <v>-57200</v>
      </c>
    </row>
    <row r="5039" spans="1:7" x14ac:dyDescent="0.3">
      <c r="A5039" s="192" t="s">
        <v>3427</v>
      </c>
      <c r="B5039" s="192" t="s">
        <v>3428</v>
      </c>
      <c r="C5039" s="196">
        <v>-162000</v>
      </c>
      <c r="D5039" s="196">
        <v>0</v>
      </c>
      <c r="E5039" s="196">
        <v>0</v>
      </c>
      <c r="F5039" s="196">
        <v>0</v>
      </c>
      <c r="G5039" s="196">
        <v>-162000</v>
      </c>
    </row>
    <row r="5040" spans="1:7" x14ac:dyDescent="0.3">
      <c r="A5040" s="198">
        <v>75074085</v>
      </c>
      <c r="B5040" s="192" t="s">
        <v>3429</v>
      </c>
      <c r="C5040" s="196">
        <v>-50900</v>
      </c>
      <c r="D5040" s="196">
        <v>0</v>
      </c>
      <c r="E5040" s="196">
        <v>0</v>
      </c>
      <c r="F5040" s="196">
        <v>0</v>
      </c>
      <c r="G5040" s="196">
        <v>-50900</v>
      </c>
    </row>
    <row r="5041" spans="1:7" x14ac:dyDescent="0.3">
      <c r="A5041" s="198">
        <v>98548221</v>
      </c>
      <c r="B5041" s="192" t="s">
        <v>554</v>
      </c>
      <c r="C5041" s="196">
        <v>0</v>
      </c>
      <c r="D5041" s="196">
        <v>0</v>
      </c>
      <c r="E5041" s="196">
        <v>297000</v>
      </c>
      <c r="F5041" s="196">
        <v>-297000</v>
      </c>
      <c r="G5041" s="196">
        <v>-297000</v>
      </c>
    </row>
    <row r="5042" spans="1:7" x14ac:dyDescent="0.3">
      <c r="A5042" s="198">
        <v>1035852193</v>
      </c>
      <c r="B5042" s="192" t="s">
        <v>3430</v>
      </c>
      <c r="C5042" s="196">
        <v>-57200</v>
      </c>
      <c r="D5042" s="196">
        <v>0</v>
      </c>
      <c r="E5042" s="196">
        <v>0</v>
      </c>
      <c r="F5042" s="196">
        <v>0</v>
      </c>
      <c r="G5042" s="196">
        <v>-57200</v>
      </c>
    </row>
    <row r="5043" spans="1:7" x14ac:dyDescent="0.3">
      <c r="A5043" s="198">
        <v>79335169</v>
      </c>
      <c r="B5043" s="192" t="s">
        <v>3431</v>
      </c>
      <c r="C5043" s="196">
        <v>-44900</v>
      </c>
      <c r="D5043" s="196">
        <v>0</v>
      </c>
      <c r="E5043" s="196">
        <v>0</v>
      </c>
      <c r="F5043" s="196">
        <v>0</v>
      </c>
      <c r="G5043" s="196">
        <v>-44900</v>
      </c>
    </row>
    <row r="5044" spans="1:7" x14ac:dyDescent="0.3">
      <c r="A5044" s="198">
        <v>6401369</v>
      </c>
      <c r="B5044" s="192" t="s">
        <v>555</v>
      </c>
      <c r="C5044" s="196">
        <v>0</v>
      </c>
      <c r="D5044" s="196">
        <v>0</v>
      </c>
      <c r="E5044" s="196">
        <v>297000</v>
      </c>
      <c r="F5044" s="196">
        <v>-297000</v>
      </c>
      <c r="G5044" s="196">
        <v>-297000</v>
      </c>
    </row>
    <row r="5045" spans="1:7" x14ac:dyDescent="0.3">
      <c r="A5045" s="198">
        <v>42867127</v>
      </c>
      <c r="B5045" s="192" t="s">
        <v>3432</v>
      </c>
      <c r="C5045" s="196">
        <v>-57200</v>
      </c>
      <c r="D5045" s="196">
        <v>0</v>
      </c>
      <c r="E5045" s="196">
        <v>0</v>
      </c>
      <c r="F5045" s="196">
        <v>0</v>
      </c>
      <c r="G5045" s="196">
        <v>-57200</v>
      </c>
    </row>
    <row r="5046" spans="1:7" x14ac:dyDescent="0.3">
      <c r="A5046" s="198">
        <v>21277585</v>
      </c>
      <c r="B5046" s="192" t="s">
        <v>556</v>
      </c>
      <c r="C5046" s="196">
        <v>-100000</v>
      </c>
      <c r="D5046" s="196">
        <v>0</v>
      </c>
      <c r="E5046" s="196">
        <v>100000</v>
      </c>
      <c r="F5046" s="196">
        <v>-100000</v>
      </c>
      <c r="G5046" s="196">
        <v>-200000</v>
      </c>
    </row>
    <row r="5047" spans="1:7" x14ac:dyDescent="0.3">
      <c r="A5047" s="198">
        <v>39278063</v>
      </c>
      <c r="B5047" s="192" t="s">
        <v>3433</v>
      </c>
      <c r="C5047" s="196">
        <v>-38400</v>
      </c>
      <c r="D5047" s="196">
        <v>0</v>
      </c>
      <c r="E5047" s="196">
        <v>0</v>
      </c>
      <c r="F5047" s="196">
        <v>0</v>
      </c>
      <c r="G5047" s="196">
        <v>-38400</v>
      </c>
    </row>
    <row r="5048" spans="1:7" x14ac:dyDescent="0.3">
      <c r="A5048" s="198">
        <v>1065659779</v>
      </c>
      <c r="B5048" s="192" t="s">
        <v>557</v>
      </c>
      <c r="C5048" s="196">
        <v>-215900</v>
      </c>
      <c r="D5048" s="196">
        <v>0</v>
      </c>
      <c r="E5048" s="196">
        <v>165000</v>
      </c>
      <c r="F5048" s="196">
        <v>-165000</v>
      </c>
      <c r="G5048" s="196">
        <v>-380900</v>
      </c>
    </row>
    <row r="5049" spans="1:7" x14ac:dyDescent="0.3">
      <c r="A5049" s="198">
        <v>21404805</v>
      </c>
      <c r="B5049" s="192" t="s">
        <v>558</v>
      </c>
      <c r="C5049" s="196">
        <v>0</v>
      </c>
      <c r="D5049" s="196">
        <v>0</v>
      </c>
      <c r="E5049" s="196">
        <v>297000</v>
      </c>
      <c r="F5049" s="196">
        <v>-297000</v>
      </c>
      <c r="G5049" s="196">
        <v>-297000</v>
      </c>
    </row>
    <row r="5050" spans="1:7" x14ac:dyDescent="0.3">
      <c r="A5050" s="192" t="s">
        <v>3434</v>
      </c>
      <c r="B5050" s="192" t="s">
        <v>3435</v>
      </c>
      <c r="C5050" s="196">
        <v>-207000</v>
      </c>
      <c r="D5050" s="196">
        <v>0</v>
      </c>
      <c r="E5050" s="196">
        <v>0</v>
      </c>
      <c r="F5050" s="196">
        <v>0</v>
      </c>
      <c r="G5050" s="196">
        <v>-207000</v>
      </c>
    </row>
    <row r="5051" spans="1:7" x14ac:dyDescent="0.3">
      <c r="A5051" s="198">
        <v>3670785</v>
      </c>
      <c r="B5051" s="192" t="s">
        <v>3436</v>
      </c>
      <c r="C5051" s="196">
        <v>-297000</v>
      </c>
      <c r="D5051" s="196">
        <v>0</v>
      </c>
      <c r="E5051" s="196">
        <v>0</v>
      </c>
      <c r="F5051" s="196">
        <v>0</v>
      </c>
      <c r="G5051" s="196">
        <v>-297000</v>
      </c>
    </row>
    <row r="5052" spans="1:7" x14ac:dyDescent="0.3">
      <c r="A5052" s="198">
        <v>1076340133</v>
      </c>
      <c r="B5052" s="192" t="s">
        <v>3437</v>
      </c>
      <c r="C5052" s="196">
        <v>-340000</v>
      </c>
      <c r="D5052" s="196">
        <v>0</v>
      </c>
      <c r="E5052" s="196">
        <v>0</v>
      </c>
      <c r="F5052" s="196">
        <v>0</v>
      </c>
      <c r="G5052" s="196">
        <v>-340000</v>
      </c>
    </row>
    <row r="5053" spans="1:7" x14ac:dyDescent="0.3">
      <c r="A5053" s="198">
        <v>1040758017</v>
      </c>
      <c r="B5053" s="192" t="s">
        <v>3438</v>
      </c>
      <c r="C5053" s="196">
        <v>-50900</v>
      </c>
      <c r="D5053" s="196">
        <v>0</v>
      </c>
      <c r="E5053" s="196">
        <v>0</v>
      </c>
      <c r="F5053" s="196">
        <v>0</v>
      </c>
      <c r="G5053" s="196">
        <v>-50900</v>
      </c>
    </row>
    <row r="5054" spans="1:7" x14ac:dyDescent="0.3">
      <c r="A5054" s="198">
        <v>1017942012</v>
      </c>
      <c r="B5054" s="192" t="s">
        <v>3439</v>
      </c>
      <c r="C5054" s="196">
        <v>-50900</v>
      </c>
      <c r="D5054" s="196">
        <v>0</v>
      </c>
      <c r="E5054" s="196">
        <v>0</v>
      </c>
      <c r="F5054" s="196">
        <v>0</v>
      </c>
      <c r="G5054" s="196">
        <v>-50900</v>
      </c>
    </row>
    <row r="5055" spans="1:7" x14ac:dyDescent="0.3">
      <c r="A5055" s="198">
        <v>1035021753</v>
      </c>
      <c r="B5055" s="192" t="s">
        <v>3440</v>
      </c>
      <c r="C5055" s="196">
        <v>-46400</v>
      </c>
      <c r="D5055" s="196">
        <v>0</v>
      </c>
      <c r="E5055" s="196">
        <v>0</v>
      </c>
      <c r="F5055" s="196">
        <v>0</v>
      </c>
      <c r="G5055" s="196">
        <v>-46400</v>
      </c>
    </row>
    <row r="5056" spans="1:7" x14ac:dyDescent="0.3">
      <c r="A5056" s="198">
        <v>43688233</v>
      </c>
      <c r="B5056" s="192" t="s">
        <v>3441</v>
      </c>
      <c r="C5056" s="196">
        <v>-114400</v>
      </c>
      <c r="D5056" s="196">
        <v>0</v>
      </c>
      <c r="E5056" s="196">
        <v>0</v>
      </c>
      <c r="F5056" s="196">
        <v>0</v>
      </c>
      <c r="G5056" s="196">
        <v>-114400</v>
      </c>
    </row>
    <row r="5057" spans="1:7" x14ac:dyDescent="0.3">
      <c r="A5057" s="198">
        <v>1017941756</v>
      </c>
      <c r="B5057" s="192" t="s">
        <v>3442</v>
      </c>
      <c r="C5057" s="196">
        <v>-46100</v>
      </c>
      <c r="D5057" s="196">
        <v>0</v>
      </c>
      <c r="E5057" s="196">
        <v>0</v>
      </c>
      <c r="F5057" s="196">
        <v>0</v>
      </c>
      <c r="G5057" s="196">
        <v>-46100</v>
      </c>
    </row>
    <row r="5058" spans="1:7" x14ac:dyDescent="0.3">
      <c r="A5058" s="198">
        <v>1109582910</v>
      </c>
      <c r="B5058" s="192" t="s">
        <v>3443</v>
      </c>
      <c r="C5058" s="196">
        <v>-50900</v>
      </c>
      <c r="D5058" s="196">
        <v>0</v>
      </c>
      <c r="E5058" s="196">
        <v>0</v>
      </c>
      <c r="F5058" s="196">
        <v>0</v>
      </c>
      <c r="G5058" s="196">
        <v>-50900</v>
      </c>
    </row>
    <row r="5059" spans="1:7" x14ac:dyDescent="0.3">
      <c r="A5059" s="198">
        <v>1035016401</v>
      </c>
      <c r="B5059" s="192" t="s">
        <v>3444</v>
      </c>
      <c r="C5059" s="196">
        <v>-47400</v>
      </c>
      <c r="D5059" s="196">
        <v>0</v>
      </c>
      <c r="E5059" s="196">
        <v>0</v>
      </c>
      <c r="F5059" s="196">
        <v>0</v>
      </c>
      <c r="G5059" s="196">
        <v>-47400</v>
      </c>
    </row>
    <row r="5060" spans="1:7" x14ac:dyDescent="0.3">
      <c r="A5060" s="198">
        <v>1020247844</v>
      </c>
      <c r="B5060" s="192" t="s">
        <v>3445</v>
      </c>
      <c r="C5060" s="196">
        <v>-50900</v>
      </c>
      <c r="D5060" s="196">
        <v>0</v>
      </c>
      <c r="E5060" s="196">
        <v>0</v>
      </c>
      <c r="F5060" s="196">
        <v>0</v>
      </c>
      <c r="G5060" s="196">
        <v>-50900</v>
      </c>
    </row>
    <row r="5061" spans="1:7" x14ac:dyDescent="0.3">
      <c r="A5061" s="198">
        <v>1090432275</v>
      </c>
      <c r="B5061" s="192" t="s">
        <v>3446</v>
      </c>
      <c r="C5061" s="196">
        <v>-50900</v>
      </c>
      <c r="D5061" s="196">
        <v>0</v>
      </c>
      <c r="E5061" s="196">
        <v>0</v>
      </c>
      <c r="F5061" s="196">
        <v>0</v>
      </c>
      <c r="G5061" s="196">
        <v>-50900</v>
      </c>
    </row>
    <row r="5062" spans="1:7" x14ac:dyDescent="0.3">
      <c r="A5062" s="198">
        <v>43570820</v>
      </c>
      <c r="B5062" s="192" t="s">
        <v>3447</v>
      </c>
      <c r="C5062" s="196">
        <v>-50900</v>
      </c>
      <c r="D5062" s="196">
        <v>0</v>
      </c>
      <c r="E5062" s="196">
        <v>0</v>
      </c>
      <c r="F5062" s="196">
        <v>0</v>
      </c>
      <c r="G5062" s="196">
        <v>-50900</v>
      </c>
    </row>
    <row r="5063" spans="1:7" x14ac:dyDescent="0.3">
      <c r="A5063" s="198">
        <v>43107684</v>
      </c>
      <c r="B5063" s="192" t="s">
        <v>3448</v>
      </c>
      <c r="C5063" s="196">
        <v>-50900</v>
      </c>
      <c r="D5063" s="196">
        <v>0</v>
      </c>
      <c r="E5063" s="196">
        <v>0</v>
      </c>
      <c r="F5063" s="196">
        <v>0</v>
      </c>
      <c r="G5063" s="196">
        <v>-50900</v>
      </c>
    </row>
    <row r="5064" spans="1:7" x14ac:dyDescent="0.3">
      <c r="A5064" s="198">
        <v>43615148</v>
      </c>
      <c r="B5064" s="192" t="s">
        <v>3449</v>
      </c>
      <c r="C5064" s="196">
        <v>-50900</v>
      </c>
      <c r="D5064" s="196">
        <v>0</v>
      </c>
      <c r="E5064" s="196">
        <v>0</v>
      </c>
      <c r="F5064" s="196">
        <v>0</v>
      </c>
      <c r="G5064" s="196">
        <v>-50900</v>
      </c>
    </row>
    <row r="5065" spans="1:7" x14ac:dyDescent="0.3">
      <c r="A5065" s="198">
        <v>52233560</v>
      </c>
      <c r="B5065" s="192" t="s">
        <v>3450</v>
      </c>
      <c r="C5065" s="196">
        <v>-215900</v>
      </c>
      <c r="D5065" s="196">
        <v>0</v>
      </c>
      <c r="E5065" s="196">
        <v>0</v>
      </c>
      <c r="F5065" s="196">
        <v>0</v>
      </c>
      <c r="G5065" s="196">
        <v>-215900</v>
      </c>
    </row>
    <row r="5066" spans="1:7" x14ac:dyDescent="0.3">
      <c r="A5066" s="198">
        <v>1039459754</v>
      </c>
      <c r="B5066" s="192" t="s">
        <v>561</v>
      </c>
      <c r="C5066" s="196">
        <v>-101800</v>
      </c>
      <c r="D5066" s="196">
        <v>0</v>
      </c>
      <c r="E5066" s="196">
        <v>0</v>
      </c>
      <c r="F5066" s="196">
        <v>0</v>
      </c>
      <c r="G5066" s="196">
        <v>-101800</v>
      </c>
    </row>
    <row r="5067" spans="1:7" x14ac:dyDescent="0.3">
      <c r="A5067" s="198">
        <v>1036652149</v>
      </c>
      <c r="B5067" s="192" t="s">
        <v>3451</v>
      </c>
      <c r="C5067" s="196">
        <v>-50900</v>
      </c>
      <c r="D5067" s="196">
        <v>0</v>
      </c>
      <c r="E5067" s="196">
        <v>0</v>
      </c>
      <c r="F5067" s="196">
        <v>0</v>
      </c>
      <c r="G5067" s="196">
        <v>-50900</v>
      </c>
    </row>
    <row r="5068" spans="1:7" x14ac:dyDescent="0.3">
      <c r="A5068" s="198">
        <v>1034992607</v>
      </c>
      <c r="B5068" s="192" t="s">
        <v>562</v>
      </c>
      <c r="C5068" s="196">
        <v>0</v>
      </c>
      <c r="D5068" s="196">
        <v>0</v>
      </c>
      <c r="E5068" s="196">
        <v>57200</v>
      </c>
      <c r="F5068" s="196">
        <v>-57200</v>
      </c>
      <c r="G5068" s="196">
        <v>-57200</v>
      </c>
    </row>
    <row r="5069" spans="1:7" x14ac:dyDescent="0.3">
      <c r="A5069" s="198">
        <v>1067973683</v>
      </c>
      <c r="B5069" s="192" t="s">
        <v>563</v>
      </c>
      <c r="C5069" s="196">
        <v>0</v>
      </c>
      <c r="D5069" s="196">
        <v>0</v>
      </c>
      <c r="E5069" s="196">
        <v>43900</v>
      </c>
      <c r="F5069" s="196">
        <v>-43900</v>
      </c>
      <c r="G5069" s="196">
        <v>-43900</v>
      </c>
    </row>
    <row r="5070" spans="1:7" x14ac:dyDescent="0.3">
      <c r="A5070" s="198">
        <v>1035018916</v>
      </c>
      <c r="B5070" s="192" t="s">
        <v>3452</v>
      </c>
      <c r="C5070" s="196">
        <v>-50900</v>
      </c>
      <c r="D5070" s="196">
        <v>0</v>
      </c>
      <c r="E5070" s="196">
        <v>0</v>
      </c>
      <c r="F5070" s="196">
        <v>0</v>
      </c>
      <c r="G5070" s="196">
        <v>-50900</v>
      </c>
    </row>
    <row r="5071" spans="1:7" x14ac:dyDescent="0.3">
      <c r="A5071" s="198">
        <v>70073766</v>
      </c>
      <c r="B5071" s="192" t="s">
        <v>3453</v>
      </c>
      <c r="C5071" s="196">
        <v>-50900</v>
      </c>
      <c r="D5071" s="196">
        <v>0</v>
      </c>
      <c r="E5071" s="196">
        <v>0</v>
      </c>
      <c r="F5071" s="196">
        <v>0</v>
      </c>
      <c r="G5071" s="196">
        <v>-50900</v>
      </c>
    </row>
    <row r="5072" spans="1:7" x14ac:dyDescent="0.3">
      <c r="A5072" s="198">
        <v>1020318462</v>
      </c>
      <c r="B5072" s="192" t="s">
        <v>3454</v>
      </c>
      <c r="C5072" s="196">
        <v>-50900</v>
      </c>
      <c r="D5072" s="196">
        <v>0</v>
      </c>
      <c r="E5072" s="196">
        <v>0</v>
      </c>
      <c r="F5072" s="196">
        <v>0</v>
      </c>
      <c r="G5072" s="196">
        <v>-50900</v>
      </c>
    </row>
    <row r="5073" spans="1:7" x14ac:dyDescent="0.3">
      <c r="A5073" s="198">
        <v>1040753933</v>
      </c>
      <c r="B5073" s="192" t="s">
        <v>3455</v>
      </c>
      <c r="C5073" s="196">
        <v>-50900</v>
      </c>
      <c r="D5073" s="196">
        <v>0</v>
      </c>
      <c r="E5073" s="196">
        <v>0</v>
      </c>
      <c r="F5073" s="196">
        <v>0</v>
      </c>
      <c r="G5073" s="196">
        <v>-50900</v>
      </c>
    </row>
    <row r="5074" spans="1:7" x14ac:dyDescent="0.3">
      <c r="A5074" s="198">
        <v>1037612866</v>
      </c>
      <c r="B5074" s="192" t="s">
        <v>564</v>
      </c>
      <c r="C5074" s="196">
        <v>0</v>
      </c>
      <c r="D5074" s="196">
        <v>0</v>
      </c>
      <c r="E5074" s="196">
        <v>50900</v>
      </c>
      <c r="F5074" s="196">
        <v>-50900</v>
      </c>
      <c r="G5074" s="196">
        <v>-50900</v>
      </c>
    </row>
    <row r="5075" spans="1:7" x14ac:dyDescent="0.3">
      <c r="A5075" s="198">
        <v>43865300</v>
      </c>
      <c r="B5075" s="192" t="s">
        <v>3456</v>
      </c>
      <c r="C5075" s="196">
        <v>-50900</v>
      </c>
      <c r="D5075" s="196">
        <v>0</v>
      </c>
      <c r="E5075" s="196">
        <v>0</v>
      </c>
      <c r="F5075" s="196">
        <v>0</v>
      </c>
      <c r="G5075" s="196">
        <v>-50900</v>
      </c>
    </row>
    <row r="5076" spans="1:7" x14ac:dyDescent="0.3">
      <c r="A5076" s="198">
        <v>1017205089</v>
      </c>
      <c r="B5076" s="192" t="s">
        <v>3457</v>
      </c>
      <c r="C5076" s="196">
        <v>-98300</v>
      </c>
      <c r="D5076" s="196">
        <v>0</v>
      </c>
      <c r="E5076" s="196">
        <v>0</v>
      </c>
      <c r="F5076" s="196">
        <v>0</v>
      </c>
      <c r="G5076" s="196">
        <v>-98300</v>
      </c>
    </row>
    <row r="5077" spans="1:7" x14ac:dyDescent="0.3">
      <c r="A5077" s="198">
        <v>1035018931</v>
      </c>
      <c r="B5077" s="192" t="s">
        <v>3458</v>
      </c>
      <c r="C5077" s="196">
        <v>-50900</v>
      </c>
      <c r="D5077" s="196">
        <v>0</v>
      </c>
      <c r="E5077" s="196">
        <v>0</v>
      </c>
      <c r="F5077" s="196">
        <v>0</v>
      </c>
      <c r="G5077" s="196">
        <v>-50900</v>
      </c>
    </row>
    <row r="5078" spans="1:7" x14ac:dyDescent="0.3">
      <c r="A5078" s="198">
        <v>1035011240</v>
      </c>
      <c r="B5078" s="192" t="s">
        <v>3459</v>
      </c>
      <c r="C5078" s="196">
        <v>-50900</v>
      </c>
      <c r="D5078" s="196">
        <v>0</v>
      </c>
      <c r="E5078" s="196">
        <v>0</v>
      </c>
      <c r="F5078" s="196">
        <v>0</v>
      </c>
      <c r="G5078" s="196">
        <v>-50900</v>
      </c>
    </row>
    <row r="5079" spans="1:7" x14ac:dyDescent="0.3">
      <c r="A5079" s="198">
        <v>1037661911</v>
      </c>
      <c r="B5079" s="192" t="s">
        <v>3460</v>
      </c>
      <c r="C5079" s="196">
        <v>-43900</v>
      </c>
      <c r="D5079" s="196">
        <v>0</v>
      </c>
      <c r="E5079" s="196">
        <v>0</v>
      </c>
      <c r="F5079" s="196">
        <v>0</v>
      </c>
      <c r="G5079" s="196">
        <v>-43900</v>
      </c>
    </row>
    <row r="5080" spans="1:7" x14ac:dyDescent="0.3">
      <c r="A5080" s="198">
        <v>1035011630</v>
      </c>
      <c r="B5080" s="192" t="s">
        <v>3461</v>
      </c>
      <c r="C5080" s="196">
        <v>-47400</v>
      </c>
      <c r="D5080" s="196">
        <v>0</v>
      </c>
      <c r="E5080" s="196">
        <v>0</v>
      </c>
      <c r="F5080" s="196">
        <v>0</v>
      </c>
      <c r="G5080" s="196">
        <v>-47400</v>
      </c>
    </row>
    <row r="5081" spans="1:7" x14ac:dyDescent="0.3">
      <c r="A5081" s="198">
        <v>42068434</v>
      </c>
      <c r="B5081" s="192" t="s">
        <v>3462</v>
      </c>
      <c r="C5081" s="196">
        <v>-33000</v>
      </c>
      <c r="D5081" s="196">
        <v>0</v>
      </c>
      <c r="E5081" s="196">
        <v>0</v>
      </c>
      <c r="F5081" s="196">
        <v>0</v>
      </c>
      <c r="G5081" s="196">
        <v>-33000</v>
      </c>
    </row>
    <row r="5082" spans="1:7" x14ac:dyDescent="0.3">
      <c r="A5082" s="198">
        <v>1110367636</v>
      </c>
      <c r="B5082" s="192" t="s">
        <v>3463</v>
      </c>
      <c r="C5082" s="196">
        <v>-350000</v>
      </c>
      <c r="D5082" s="196">
        <v>0</v>
      </c>
      <c r="E5082" s="196">
        <v>0</v>
      </c>
      <c r="F5082" s="196">
        <v>0</v>
      </c>
      <c r="G5082" s="196">
        <v>-350000</v>
      </c>
    </row>
    <row r="5083" spans="1:7" x14ac:dyDescent="0.3">
      <c r="A5083" s="198">
        <v>1045022293</v>
      </c>
      <c r="B5083" s="192" t="s">
        <v>566</v>
      </c>
      <c r="C5083" s="196">
        <v>-335000</v>
      </c>
      <c r="D5083" s="196">
        <v>0</v>
      </c>
      <c r="E5083" s="196">
        <v>170000</v>
      </c>
      <c r="F5083" s="196">
        <v>-170000</v>
      </c>
      <c r="G5083" s="196">
        <v>-505000</v>
      </c>
    </row>
    <row r="5084" spans="1:7" x14ac:dyDescent="0.3">
      <c r="A5084" s="198">
        <v>1017131454</v>
      </c>
      <c r="B5084" s="192" t="s">
        <v>3464</v>
      </c>
      <c r="C5084" s="196">
        <v>-50900</v>
      </c>
      <c r="D5084" s="196">
        <v>0</v>
      </c>
      <c r="E5084" s="196">
        <v>0</v>
      </c>
      <c r="F5084" s="196">
        <v>0</v>
      </c>
      <c r="G5084" s="196">
        <v>-50900</v>
      </c>
    </row>
    <row r="5085" spans="1:7" x14ac:dyDescent="0.3">
      <c r="A5085" s="198">
        <v>1039473003</v>
      </c>
      <c r="B5085" s="192" t="s">
        <v>3465</v>
      </c>
      <c r="C5085" s="196">
        <v>-319000</v>
      </c>
      <c r="D5085" s="196">
        <v>0</v>
      </c>
      <c r="E5085" s="196">
        <v>0</v>
      </c>
      <c r="F5085" s="196">
        <v>0</v>
      </c>
      <c r="G5085" s="196">
        <v>-319000</v>
      </c>
    </row>
    <row r="5086" spans="1:7" x14ac:dyDescent="0.3">
      <c r="A5086" s="198">
        <v>1037629035</v>
      </c>
      <c r="B5086" s="192" t="s">
        <v>567</v>
      </c>
      <c r="C5086" s="196">
        <v>0</v>
      </c>
      <c r="D5086" s="196">
        <v>0</v>
      </c>
      <c r="E5086" s="196">
        <v>57200</v>
      </c>
      <c r="F5086" s="196">
        <v>-57200</v>
      </c>
      <c r="G5086" s="196">
        <v>-57200</v>
      </c>
    </row>
    <row r="5087" spans="1:7" x14ac:dyDescent="0.3">
      <c r="A5087" s="198">
        <v>42799143</v>
      </c>
      <c r="B5087" s="192" t="s">
        <v>3466</v>
      </c>
      <c r="C5087" s="196">
        <v>-50900</v>
      </c>
      <c r="D5087" s="196">
        <v>0</v>
      </c>
      <c r="E5087" s="196">
        <v>0</v>
      </c>
      <c r="F5087" s="196">
        <v>0</v>
      </c>
      <c r="G5087" s="196">
        <v>-50900</v>
      </c>
    </row>
    <row r="5088" spans="1:7" x14ac:dyDescent="0.3">
      <c r="A5088" s="198">
        <v>1017131358</v>
      </c>
      <c r="B5088" s="192" t="s">
        <v>3467</v>
      </c>
      <c r="C5088" s="196">
        <v>-50900</v>
      </c>
      <c r="D5088" s="196">
        <v>0</v>
      </c>
      <c r="E5088" s="196">
        <v>0</v>
      </c>
      <c r="F5088" s="196">
        <v>0</v>
      </c>
      <c r="G5088" s="196">
        <v>-50900</v>
      </c>
    </row>
    <row r="5089" spans="1:7" x14ac:dyDescent="0.3">
      <c r="A5089" s="198">
        <v>43571311</v>
      </c>
      <c r="B5089" s="192" t="s">
        <v>3468</v>
      </c>
      <c r="C5089" s="196">
        <v>-92800</v>
      </c>
      <c r="D5089" s="196">
        <v>0</v>
      </c>
      <c r="E5089" s="196">
        <v>0</v>
      </c>
      <c r="F5089" s="196">
        <v>0</v>
      </c>
      <c r="G5089" s="196">
        <v>-92800</v>
      </c>
    </row>
    <row r="5090" spans="1:7" x14ac:dyDescent="0.3">
      <c r="A5090" s="198">
        <v>60337891</v>
      </c>
      <c r="B5090" s="192" t="s">
        <v>3469</v>
      </c>
      <c r="C5090" s="196">
        <v>-54200</v>
      </c>
      <c r="D5090" s="196">
        <v>0</v>
      </c>
      <c r="E5090" s="196">
        <v>0</v>
      </c>
      <c r="F5090" s="196">
        <v>0</v>
      </c>
      <c r="G5090" s="196">
        <v>-54200</v>
      </c>
    </row>
    <row r="5091" spans="1:7" x14ac:dyDescent="0.3">
      <c r="A5091" s="198">
        <v>1036645913</v>
      </c>
      <c r="B5091" s="192" t="s">
        <v>3470</v>
      </c>
      <c r="C5091" s="196">
        <v>-38400</v>
      </c>
      <c r="D5091" s="196">
        <v>0</v>
      </c>
      <c r="E5091" s="196">
        <v>0</v>
      </c>
      <c r="F5091" s="196">
        <v>0</v>
      </c>
      <c r="G5091" s="196">
        <v>-38400</v>
      </c>
    </row>
    <row r="5092" spans="1:7" x14ac:dyDescent="0.3">
      <c r="A5092" s="198">
        <v>1039454319</v>
      </c>
      <c r="B5092" s="192" t="s">
        <v>3471</v>
      </c>
      <c r="C5092" s="196">
        <v>-50900</v>
      </c>
      <c r="D5092" s="196">
        <v>0</v>
      </c>
      <c r="E5092" s="196">
        <v>0</v>
      </c>
      <c r="F5092" s="196">
        <v>0</v>
      </c>
      <c r="G5092" s="196">
        <v>-50900</v>
      </c>
    </row>
    <row r="5093" spans="1:7" x14ac:dyDescent="0.3">
      <c r="A5093" s="198">
        <v>43896254</v>
      </c>
      <c r="B5093" s="192" t="s">
        <v>3472</v>
      </c>
      <c r="C5093" s="196">
        <v>-297000</v>
      </c>
      <c r="D5093" s="196">
        <v>0</v>
      </c>
      <c r="E5093" s="196">
        <v>0</v>
      </c>
      <c r="F5093" s="196">
        <v>0</v>
      </c>
      <c r="G5093" s="196">
        <v>-297000</v>
      </c>
    </row>
    <row r="5094" spans="1:7" x14ac:dyDescent="0.3">
      <c r="A5094" s="198">
        <v>43455098</v>
      </c>
      <c r="B5094" s="192" t="s">
        <v>3473</v>
      </c>
      <c r="C5094" s="196">
        <v>-50900</v>
      </c>
      <c r="D5094" s="196">
        <v>0</v>
      </c>
      <c r="E5094" s="196">
        <v>0</v>
      </c>
      <c r="F5094" s="196">
        <v>0</v>
      </c>
      <c r="G5094" s="196">
        <v>-50900</v>
      </c>
    </row>
    <row r="5095" spans="1:7" x14ac:dyDescent="0.3">
      <c r="A5095" s="198">
        <v>67040332</v>
      </c>
      <c r="B5095" s="192" t="s">
        <v>3474</v>
      </c>
      <c r="C5095" s="196">
        <v>-50900</v>
      </c>
      <c r="D5095" s="196">
        <v>0</v>
      </c>
      <c r="E5095" s="196">
        <v>0</v>
      </c>
      <c r="F5095" s="196">
        <v>0</v>
      </c>
      <c r="G5095" s="196">
        <v>-50900</v>
      </c>
    </row>
    <row r="5096" spans="1:7" x14ac:dyDescent="0.3">
      <c r="A5096" s="198">
        <v>43874435</v>
      </c>
      <c r="B5096" s="192" t="s">
        <v>3475</v>
      </c>
      <c r="C5096" s="196">
        <v>-38000</v>
      </c>
      <c r="D5096" s="196">
        <v>0</v>
      </c>
      <c r="E5096" s="196">
        <v>0</v>
      </c>
      <c r="F5096" s="196">
        <v>0</v>
      </c>
      <c r="G5096" s="196">
        <v>-38000</v>
      </c>
    </row>
    <row r="5097" spans="1:7" x14ac:dyDescent="0.3">
      <c r="A5097" s="198">
        <v>43612607</v>
      </c>
      <c r="B5097" s="192" t="s">
        <v>3476</v>
      </c>
      <c r="C5097" s="196">
        <v>-41400</v>
      </c>
      <c r="D5097" s="196">
        <v>0</v>
      </c>
      <c r="E5097" s="196">
        <v>0</v>
      </c>
      <c r="F5097" s="196">
        <v>0</v>
      </c>
      <c r="G5097" s="196">
        <v>-41400</v>
      </c>
    </row>
    <row r="5098" spans="1:7" x14ac:dyDescent="0.3">
      <c r="A5098" s="198">
        <v>43189391</v>
      </c>
      <c r="B5098" s="192" t="s">
        <v>3477</v>
      </c>
      <c r="C5098" s="196">
        <v>-270000</v>
      </c>
      <c r="D5098" s="196">
        <v>0</v>
      </c>
      <c r="E5098" s="196">
        <v>0</v>
      </c>
      <c r="F5098" s="196">
        <v>0</v>
      </c>
      <c r="G5098" s="196">
        <v>-270000</v>
      </c>
    </row>
    <row r="5099" spans="1:7" x14ac:dyDescent="0.3">
      <c r="A5099" s="198">
        <v>565436108</v>
      </c>
      <c r="B5099" s="192" t="s">
        <v>3478</v>
      </c>
      <c r="C5099" s="196">
        <v>-290000</v>
      </c>
      <c r="D5099" s="196">
        <v>0</v>
      </c>
      <c r="E5099" s="196">
        <v>0</v>
      </c>
      <c r="F5099" s="196">
        <v>0</v>
      </c>
      <c r="G5099" s="196">
        <v>-290000</v>
      </c>
    </row>
    <row r="5100" spans="1:7" x14ac:dyDescent="0.3">
      <c r="A5100" s="198">
        <v>920830</v>
      </c>
      <c r="B5100" s="192" t="s">
        <v>3479</v>
      </c>
      <c r="C5100" s="196">
        <v>-98300</v>
      </c>
      <c r="D5100" s="196">
        <v>0</v>
      </c>
      <c r="E5100" s="196">
        <v>0</v>
      </c>
      <c r="F5100" s="196">
        <v>0</v>
      </c>
      <c r="G5100" s="196">
        <v>-98300</v>
      </c>
    </row>
    <row r="5101" spans="1:7" x14ac:dyDescent="0.3">
      <c r="A5101" s="198">
        <v>6161056</v>
      </c>
      <c r="B5101" s="192" t="s">
        <v>3480</v>
      </c>
      <c r="C5101" s="196">
        <v>-270000</v>
      </c>
      <c r="D5101" s="196">
        <v>0</v>
      </c>
      <c r="E5101" s="196">
        <v>0</v>
      </c>
      <c r="F5101" s="196">
        <v>0</v>
      </c>
      <c r="G5101" s="196">
        <v>-270000</v>
      </c>
    </row>
    <row r="5102" spans="1:7" x14ac:dyDescent="0.3">
      <c r="A5102" s="198">
        <v>70220901</v>
      </c>
      <c r="B5102" s="192" t="s">
        <v>3481</v>
      </c>
      <c r="C5102" s="196">
        <v>-50900</v>
      </c>
      <c r="D5102" s="196">
        <v>0</v>
      </c>
      <c r="E5102" s="196">
        <v>0</v>
      </c>
      <c r="F5102" s="196">
        <v>0</v>
      </c>
      <c r="G5102" s="196">
        <v>-50900</v>
      </c>
    </row>
    <row r="5103" spans="1:7" x14ac:dyDescent="0.3">
      <c r="A5103" s="198">
        <v>70696866</v>
      </c>
      <c r="B5103" s="192" t="s">
        <v>3482</v>
      </c>
      <c r="C5103" s="196">
        <v>-47000</v>
      </c>
      <c r="D5103" s="196">
        <v>0</v>
      </c>
      <c r="E5103" s="196">
        <v>0</v>
      </c>
      <c r="F5103" s="196">
        <v>0</v>
      </c>
      <c r="G5103" s="196">
        <v>-47000</v>
      </c>
    </row>
    <row r="5104" spans="1:7" x14ac:dyDescent="0.3">
      <c r="A5104" s="198">
        <v>15509188</v>
      </c>
      <c r="B5104" s="192" t="s">
        <v>3483</v>
      </c>
      <c r="C5104" s="196">
        <v>-216000</v>
      </c>
      <c r="D5104" s="196">
        <v>0</v>
      </c>
      <c r="E5104" s="196">
        <v>0</v>
      </c>
      <c r="F5104" s="196">
        <v>0</v>
      </c>
      <c r="G5104" s="196">
        <v>-216000</v>
      </c>
    </row>
    <row r="5105" spans="1:7" x14ac:dyDescent="0.3">
      <c r="A5105" s="198">
        <v>70695681</v>
      </c>
      <c r="B5105" s="192" t="s">
        <v>3484</v>
      </c>
      <c r="C5105" s="196">
        <v>-50900</v>
      </c>
      <c r="D5105" s="196">
        <v>0</v>
      </c>
      <c r="E5105" s="196">
        <v>0</v>
      </c>
      <c r="F5105" s="196">
        <v>0</v>
      </c>
      <c r="G5105" s="196">
        <v>-50900</v>
      </c>
    </row>
    <row r="5106" spans="1:7" x14ac:dyDescent="0.3">
      <c r="A5106" s="198">
        <v>1035012581</v>
      </c>
      <c r="B5106" s="192" t="s">
        <v>3485</v>
      </c>
      <c r="C5106" s="196">
        <v>-46800</v>
      </c>
      <c r="D5106" s="196">
        <v>0</v>
      </c>
      <c r="E5106" s="196">
        <v>0</v>
      </c>
      <c r="F5106" s="196">
        <v>0</v>
      </c>
      <c r="G5106" s="196">
        <v>-46800</v>
      </c>
    </row>
    <row r="5107" spans="1:7" x14ac:dyDescent="0.3">
      <c r="A5107" s="198">
        <v>43634292</v>
      </c>
      <c r="B5107" s="192" t="s">
        <v>570</v>
      </c>
      <c r="C5107" s="196">
        <v>0</v>
      </c>
      <c r="D5107" s="196">
        <v>0</v>
      </c>
      <c r="E5107" s="196">
        <v>49000</v>
      </c>
      <c r="F5107" s="196">
        <v>-49000</v>
      </c>
      <c r="G5107" s="196">
        <v>-49000</v>
      </c>
    </row>
    <row r="5108" spans="1:7" x14ac:dyDescent="0.3">
      <c r="A5108" s="198">
        <v>16585666</v>
      </c>
      <c r="B5108" s="192" t="s">
        <v>117</v>
      </c>
      <c r="C5108" s="196">
        <v>-57200</v>
      </c>
      <c r="D5108" s="196">
        <v>0</v>
      </c>
      <c r="E5108" s="196">
        <v>0</v>
      </c>
      <c r="F5108" s="196">
        <v>0</v>
      </c>
      <c r="G5108" s="196">
        <v>-57200</v>
      </c>
    </row>
    <row r="5109" spans="1:7" x14ac:dyDescent="0.3">
      <c r="A5109" s="198">
        <v>1017263569</v>
      </c>
      <c r="B5109" s="192" t="s">
        <v>3486</v>
      </c>
      <c r="C5109" s="196">
        <v>-57200</v>
      </c>
      <c r="D5109" s="196">
        <v>0</v>
      </c>
      <c r="E5109" s="196">
        <v>0</v>
      </c>
      <c r="F5109" s="196">
        <v>0</v>
      </c>
      <c r="G5109" s="196">
        <v>-57200</v>
      </c>
    </row>
    <row r="5110" spans="1:7" x14ac:dyDescent="0.3">
      <c r="A5110" s="198">
        <v>1035003188</v>
      </c>
      <c r="B5110" s="192" t="s">
        <v>3487</v>
      </c>
      <c r="C5110" s="196">
        <v>-50900</v>
      </c>
      <c r="D5110" s="196">
        <v>0</v>
      </c>
      <c r="E5110" s="196">
        <v>0</v>
      </c>
      <c r="F5110" s="196">
        <v>0</v>
      </c>
      <c r="G5110" s="196">
        <v>-50900</v>
      </c>
    </row>
    <row r="5111" spans="1:7" x14ac:dyDescent="0.3">
      <c r="A5111" s="198">
        <v>1035003898</v>
      </c>
      <c r="B5111" s="192" t="s">
        <v>571</v>
      </c>
      <c r="C5111" s="196">
        <v>0</v>
      </c>
      <c r="D5111" s="196">
        <v>0</v>
      </c>
      <c r="E5111" s="196">
        <v>50900</v>
      </c>
      <c r="F5111" s="196">
        <v>-50900</v>
      </c>
      <c r="G5111" s="196">
        <v>-50900</v>
      </c>
    </row>
    <row r="5112" spans="1:7" x14ac:dyDescent="0.3">
      <c r="A5112" s="198">
        <v>1112067946</v>
      </c>
      <c r="B5112" s="192" t="s">
        <v>3488</v>
      </c>
      <c r="C5112" s="196">
        <v>-165000</v>
      </c>
      <c r="D5112" s="196">
        <v>0</v>
      </c>
      <c r="E5112" s="196">
        <v>0</v>
      </c>
      <c r="F5112" s="196">
        <v>0</v>
      </c>
      <c r="G5112" s="196">
        <v>-165000</v>
      </c>
    </row>
    <row r="5113" spans="1:7" x14ac:dyDescent="0.3">
      <c r="A5113" s="198">
        <v>1035024507</v>
      </c>
      <c r="B5113" s="192" t="s">
        <v>3489</v>
      </c>
      <c r="C5113" s="196">
        <v>-35000</v>
      </c>
      <c r="D5113" s="196">
        <v>0</v>
      </c>
      <c r="E5113" s="196">
        <v>0</v>
      </c>
      <c r="F5113" s="196">
        <v>0</v>
      </c>
      <c r="G5113" s="196">
        <v>-35000</v>
      </c>
    </row>
    <row r="5114" spans="1:7" x14ac:dyDescent="0.3">
      <c r="A5114" s="198">
        <v>1140419097</v>
      </c>
      <c r="B5114" s="192" t="s">
        <v>572</v>
      </c>
      <c r="C5114" s="196">
        <v>0</v>
      </c>
      <c r="D5114" s="196">
        <v>0</v>
      </c>
      <c r="E5114" s="196">
        <v>50900</v>
      </c>
      <c r="F5114" s="196">
        <v>-50900</v>
      </c>
      <c r="G5114" s="196">
        <v>-50900</v>
      </c>
    </row>
    <row r="5115" spans="1:7" x14ac:dyDescent="0.3">
      <c r="A5115" s="198">
        <v>37804760</v>
      </c>
      <c r="B5115" s="192" t="s">
        <v>3490</v>
      </c>
      <c r="C5115" s="196">
        <v>-50900</v>
      </c>
      <c r="D5115" s="196">
        <v>0</v>
      </c>
      <c r="E5115" s="196">
        <v>0</v>
      </c>
      <c r="F5115" s="196">
        <v>0</v>
      </c>
      <c r="G5115" s="196">
        <v>-50900</v>
      </c>
    </row>
    <row r="5116" spans="1:7" x14ac:dyDescent="0.3">
      <c r="A5116" s="198">
        <v>43084499</v>
      </c>
      <c r="B5116" s="192" t="s">
        <v>2386</v>
      </c>
      <c r="C5116" s="196">
        <v>-57200</v>
      </c>
      <c r="D5116" s="196">
        <v>0</v>
      </c>
      <c r="E5116" s="196">
        <v>0</v>
      </c>
      <c r="F5116" s="196">
        <v>0</v>
      </c>
      <c r="G5116" s="196">
        <v>-57200</v>
      </c>
    </row>
    <row r="5117" spans="1:7" x14ac:dyDescent="0.3">
      <c r="A5117" s="198">
        <v>43005559</v>
      </c>
      <c r="B5117" s="192" t="s">
        <v>3491</v>
      </c>
      <c r="C5117" s="196">
        <v>-57200</v>
      </c>
      <c r="D5117" s="196">
        <v>0</v>
      </c>
      <c r="E5117" s="196">
        <v>0</v>
      </c>
      <c r="F5117" s="196">
        <v>0</v>
      </c>
      <c r="G5117" s="196">
        <v>-57200</v>
      </c>
    </row>
    <row r="5118" spans="1:7" x14ac:dyDescent="0.3">
      <c r="A5118" s="198">
        <v>42886040</v>
      </c>
      <c r="B5118" s="192" t="s">
        <v>3492</v>
      </c>
      <c r="C5118" s="196">
        <v>-101800</v>
      </c>
      <c r="D5118" s="196">
        <v>0</v>
      </c>
      <c r="E5118" s="196">
        <v>0</v>
      </c>
      <c r="F5118" s="196">
        <v>0</v>
      </c>
      <c r="G5118" s="196">
        <v>-101800</v>
      </c>
    </row>
    <row r="5119" spans="1:7" x14ac:dyDescent="0.3">
      <c r="A5119" s="198">
        <v>21278834</v>
      </c>
      <c r="B5119" s="192" t="s">
        <v>3493</v>
      </c>
      <c r="C5119" s="196">
        <v>-319000</v>
      </c>
      <c r="D5119" s="196">
        <v>0</v>
      </c>
      <c r="E5119" s="196">
        <v>0</v>
      </c>
      <c r="F5119" s="196">
        <v>0</v>
      </c>
      <c r="G5119" s="196">
        <v>-319000</v>
      </c>
    </row>
    <row r="5120" spans="1:7" x14ac:dyDescent="0.3">
      <c r="A5120" s="198">
        <v>32870548</v>
      </c>
      <c r="B5120" s="192" t="s">
        <v>3494</v>
      </c>
      <c r="C5120" s="196">
        <v>-50900</v>
      </c>
      <c r="D5120" s="196">
        <v>0</v>
      </c>
      <c r="E5120" s="196">
        <v>0</v>
      </c>
      <c r="F5120" s="196">
        <v>0</v>
      </c>
      <c r="G5120" s="196">
        <v>-50900</v>
      </c>
    </row>
    <row r="5121" spans="1:7" x14ac:dyDescent="0.3">
      <c r="A5121" s="198">
        <v>42750620</v>
      </c>
      <c r="B5121" s="192" t="s">
        <v>575</v>
      </c>
      <c r="C5121" s="196">
        <v>-101800</v>
      </c>
      <c r="D5121" s="196">
        <v>0</v>
      </c>
      <c r="E5121" s="196">
        <v>0</v>
      </c>
      <c r="F5121" s="196">
        <v>0</v>
      </c>
      <c r="G5121" s="196">
        <v>-101800</v>
      </c>
    </row>
    <row r="5122" spans="1:7" x14ac:dyDescent="0.3">
      <c r="A5122" s="198">
        <v>596708557</v>
      </c>
      <c r="B5122" s="192" t="s">
        <v>3495</v>
      </c>
      <c r="C5122" s="196">
        <v>-162000</v>
      </c>
      <c r="D5122" s="196">
        <v>0</v>
      </c>
      <c r="E5122" s="196">
        <v>0</v>
      </c>
      <c r="F5122" s="196">
        <v>0</v>
      </c>
      <c r="G5122" s="196">
        <v>-162000</v>
      </c>
    </row>
    <row r="5123" spans="1:7" x14ac:dyDescent="0.3">
      <c r="A5123" s="198">
        <v>28403914</v>
      </c>
      <c r="B5123" s="192" t="s">
        <v>3496</v>
      </c>
      <c r="C5123" s="196">
        <v>-50900</v>
      </c>
      <c r="D5123" s="196">
        <v>0</v>
      </c>
      <c r="E5123" s="196">
        <v>0</v>
      </c>
      <c r="F5123" s="196">
        <v>0</v>
      </c>
      <c r="G5123" s="196">
        <v>-50900</v>
      </c>
    </row>
    <row r="5124" spans="1:7" x14ac:dyDescent="0.3">
      <c r="A5124" s="198">
        <v>57448496</v>
      </c>
      <c r="B5124" s="192" t="s">
        <v>3497</v>
      </c>
      <c r="C5124" s="196">
        <v>-297000</v>
      </c>
      <c r="D5124" s="196">
        <v>0</v>
      </c>
      <c r="E5124" s="196">
        <v>0</v>
      </c>
      <c r="F5124" s="196">
        <v>0</v>
      </c>
      <c r="G5124" s="196">
        <v>-297000</v>
      </c>
    </row>
    <row r="5125" spans="1:7" x14ac:dyDescent="0.3">
      <c r="A5125" s="198">
        <v>1035013501</v>
      </c>
      <c r="B5125" s="192" t="s">
        <v>576</v>
      </c>
      <c r="C5125" s="196">
        <v>-266800</v>
      </c>
      <c r="D5125" s="196">
        <v>0</v>
      </c>
      <c r="E5125" s="196">
        <v>50900</v>
      </c>
      <c r="F5125" s="196">
        <v>-50900</v>
      </c>
      <c r="G5125" s="196">
        <v>-317700</v>
      </c>
    </row>
    <row r="5126" spans="1:7" x14ac:dyDescent="0.3">
      <c r="A5126" s="198">
        <v>1038339433</v>
      </c>
      <c r="B5126" s="192" t="s">
        <v>3498</v>
      </c>
      <c r="C5126" s="196">
        <v>-297000</v>
      </c>
      <c r="D5126" s="196">
        <v>0</v>
      </c>
      <c r="E5126" s="196">
        <v>0</v>
      </c>
      <c r="F5126" s="196">
        <v>0</v>
      </c>
      <c r="G5126" s="196">
        <v>-297000</v>
      </c>
    </row>
    <row r="5127" spans="1:7" x14ac:dyDescent="0.3">
      <c r="A5127" s="198">
        <v>1040578418</v>
      </c>
      <c r="B5127" s="192" t="s">
        <v>3499</v>
      </c>
      <c r="C5127" s="196">
        <v>-49000</v>
      </c>
      <c r="D5127" s="196">
        <v>0</v>
      </c>
      <c r="E5127" s="196">
        <v>0</v>
      </c>
      <c r="F5127" s="196">
        <v>0</v>
      </c>
      <c r="G5127" s="196">
        <v>-49000</v>
      </c>
    </row>
    <row r="5128" spans="1:7" x14ac:dyDescent="0.3">
      <c r="A5128" s="198">
        <v>1035006585</v>
      </c>
      <c r="B5128" s="192" t="s">
        <v>3500</v>
      </c>
      <c r="C5128" s="196">
        <v>-50900</v>
      </c>
      <c r="D5128" s="196">
        <v>0</v>
      </c>
      <c r="E5128" s="196">
        <v>0</v>
      </c>
      <c r="F5128" s="196">
        <v>0</v>
      </c>
      <c r="G5128" s="196">
        <v>-50900</v>
      </c>
    </row>
    <row r="5129" spans="1:7" x14ac:dyDescent="0.3">
      <c r="A5129" s="198">
        <v>1035020873</v>
      </c>
      <c r="B5129" s="192" t="s">
        <v>3501</v>
      </c>
      <c r="C5129" s="196">
        <v>-54200</v>
      </c>
      <c r="D5129" s="196">
        <v>0</v>
      </c>
      <c r="E5129" s="196">
        <v>0</v>
      </c>
      <c r="F5129" s="196">
        <v>0</v>
      </c>
      <c r="G5129" s="196">
        <v>-54200</v>
      </c>
    </row>
    <row r="5130" spans="1:7" x14ac:dyDescent="0.3">
      <c r="A5130" s="198">
        <v>1093591002</v>
      </c>
      <c r="B5130" s="192" t="s">
        <v>3502</v>
      </c>
      <c r="C5130" s="196">
        <v>-20000</v>
      </c>
      <c r="D5130" s="196">
        <v>0</v>
      </c>
      <c r="E5130" s="196">
        <v>0</v>
      </c>
      <c r="F5130" s="196">
        <v>0</v>
      </c>
      <c r="G5130" s="196">
        <v>-20000</v>
      </c>
    </row>
    <row r="5131" spans="1:7" x14ac:dyDescent="0.3">
      <c r="A5131" s="198">
        <v>1027664108</v>
      </c>
      <c r="B5131" s="192" t="s">
        <v>577</v>
      </c>
      <c r="C5131" s="196">
        <v>0</v>
      </c>
      <c r="D5131" s="196">
        <v>0</v>
      </c>
      <c r="E5131" s="196">
        <v>49000</v>
      </c>
      <c r="F5131" s="196">
        <v>-49000</v>
      </c>
      <c r="G5131" s="196">
        <v>-49000</v>
      </c>
    </row>
    <row r="5132" spans="1:7" x14ac:dyDescent="0.3">
      <c r="A5132" s="198">
        <v>818611</v>
      </c>
      <c r="B5132" s="192" t="s">
        <v>3503</v>
      </c>
      <c r="C5132" s="196">
        <v>-101800</v>
      </c>
      <c r="D5132" s="196">
        <v>0</v>
      </c>
      <c r="E5132" s="196">
        <v>0</v>
      </c>
      <c r="F5132" s="196">
        <v>0</v>
      </c>
      <c r="G5132" s="196">
        <v>-101800</v>
      </c>
    </row>
    <row r="5133" spans="1:7" x14ac:dyDescent="0.3">
      <c r="A5133" s="198">
        <v>1023567004</v>
      </c>
      <c r="B5133" s="192" t="s">
        <v>578</v>
      </c>
      <c r="C5133" s="196">
        <v>0</v>
      </c>
      <c r="D5133" s="196">
        <v>0</v>
      </c>
      <c r="E5133" s="196">
        <v>26600</v>
      </c>
      <c r="F5133" s="196">
        <v>-26600</v>
      </c>
      <c r="G5133" s="196">
        <v>-26600</v>
      </c>
    </row>
    <row r="5134" spans="1:7" x14ac:dyDescent="0.3">
      <c r="A5134" s="198">
        <v>1142948656</v>
      </c>
      <c r="B5134" s="192" t="s">
        <v>3504</v>
      </c>
      <c r="C5134" s="196">
        <v>-50900</v>
      </c>
      <c r="D5134" s="196">
        <v>0</v>
      </c>
      <c r="E5134" s="196">
        <v>0</v>
      </c>
      <c r="F5134" s="196">
        <v>0</v>
      </c>
      <c r="G5134" s="196">
        <v>-50900</v>
      </c>
    </row>
    <row r="5135" spans="1:7" x14ac:dyDescent="0.3">
      <c r="A5135" s="198">
        <v>1035026065</v>
      </c>
      <c r="B5135" s="192" t="s">
        <v>3505</v>
      </c>
      <c r="C5135" s="196">
        <v>-50900</v>
      </c>
      <c r="D5135" s="196">
        <v>0</v>
      </c>
      <c r="E5135" s="196">
        <v>0</v>
      </c>
      <c r="F5135" s="196">
        <v>0</v>
      </c>
      <c r="G5135" s="196">
        <v>-50900</v>
      </c>
    </row>
    <row r="5136" spans="1:7" x14ac:dyDescent="0.3">
      <c r="A5136" s="198">
        <v>1020128646</v>
      </c>
      <c r="B5136" s="192" t="s">
        <v>3506</v>
      </c>
      <c r="C5136" s="196">
        <v>-50900</v>
      </c>
      <c r="D5136" s="196">
        <v>0</v>
      </c>
      <c r="E5136" s="196">
        <v>0</v>
      </c>
      <c r="F5136" s="196">
        <v>0</v>
      </c>
      <c r="G5136" s="196">
        <v>-50900</v>
      </c>
    </row>
    <row r="5137" spans="1:7" x14ac:dyDescent="0.3">
      <c r="A5137" s="198">
        <v>1035025276</v>
      </c>
      <c r="B5137" s="192" t="s">
        <v>3507</v>
      </c>
      <c r="C5137" s="196">
        <v>-47400</v>
      </c>
      <c r="D5137" s="196">
        <v>0</v>
      </c>
      <c r="E5137" s="196">
        <v>0</v>
      </c>
      <c r="F5137" s="196">
        <v>0</v>
      </c>
      <c r="G5137" s="196">
        <v>-47400</v>
      </c>
    </row>
    <row r="5138" spans="1:7" x14ac:dyDescent="0.3">
      <c r="A5138" s="198">
        <v>1032104215</v>
      </c>
      <c r="B5138" s="192" t="s">
        <v>3508</v>
      </c>
      <c r="C5138" s="196">
        <v>-41400</v>
      </c>
      <c r="D5138" s="196">
        <v>0</v>
      </c>
      <c r="E5138" s="196">
        <v>0</v>
      </c>
      <c r="F5138" s="196">
        <v>0</v>
      </c>
      <c r="G5138" s="196">
        <v>-41400</v>
      </c>
    </row>
    <row r="5139" spans="1:7" x14ac:dyDescent="0.3">
      <c r="A5139" s="198">
        <v>1035001710</v>
      </c>
      <c r="B5139" s="192" t="s">
        <v>579</v>
      </c>
      <c r="C5139" s="196">
        <v>0</v>
      </c>
      <c r="D5139" s="196">
        <v>0</v>
      </c>
      <c r="E5139" s="196">
        <v>50900</v>
      </c>
      <c r="F5139" s="196">
        <v>-50900</v>
      </c>
      <c r="G5139" s="196">
        <v>-50900</v>
      </c>
    </row>
    <row r="5140" spans="1:7" x14ac:dyDescent="0.3">
      <c r="A5140" s="198">
        <v>1035026360</v>
      </c>
      <c r="B5140" s="192" t="s">
        <v>580</v>
      </c>
      <c r="C5140" s="196">
        <v>0</v>
      </c>
      <c r="D5140" s="196">
        <v>0</v>
      </c>
      <c r="E5140" s="196">
        <v>50900</v>
      </c>
      <c r="F5140" s="196">
        <v>-50900</v>
      </c>
      <c r="G5140" s="196">
        <v>-50900</v>
      </c>
    </row>
    <row r="5141" spans="1:7" x14ac:dyDescent="0.3">
      <c r="A5141" s="198">
        <v>1125098073</v>
      </c>
      <c r="B5141" s="192" t="s">
        <v>581</v>
      </c>
      <c r="C5141" s="196">
        <v>0</v>
      </c>
      <c r="D5141" s="196">
        <v>0</v>
      </c>
      <c r="E5141" s="196">
        <v>136667</v>
      </c>
      <c r="F5141" s="196">
        <v>-136667</v>
      </c>
      <c r="G5141" s="196">
        <v>-136667</v>
      </c>
    </row>
    <row r="5142" spans="1:7" x14ac:dyDescent="0.3">
      <c r="A5142" s="198">
        <v>1035024693</v>
      </c>
      <c r="B5142" s="192" t="s">
        <v>3509</v>
      </c>
      <c r="C5142" s="196">
        <v>-50900</v>
      </c>
      <c r="D5142" s="196">
        <v>0</v>
      </c>
      <c r="E5142" s="196">
        <v>0</v>
      </c>
      <c r="F5142" s="196">
        <v>0</v>
      </c>
      <c r="G5142" s="196">
        <v>-50900</v>
      </c>
    </row>
    <row r="5143" spans="1:7" x14ac:dyDescent="0.3">
      <c r="A5143" s="198">
        <v>1035022260</v>
      </c>
      <c r="B5143" s="192" t="s">
        <v>3510</v>
      </c>
      <c r="C5143" s="196">
        <v>-50900</v>
      </c>
      <c r="D5143" s="196">
        <v>0</v>
      </c>
      <c r="E5143" s="196">
        <v>0</v>
      </c>
      <c r="F5143" s="196">
        <v>0</v>
      </c>
      <c r="G5143" s="196">
        <v>-50900</v>
      </c>
    </row>
    <row r="5144" spans="1:7" x14ac:dyDescent="0.3">
      <c r="A5144" s="198">
        <v>1035012123</v>
      </c>
      <c r="B5144" s="192" t="s">
        <v>3511</v>
      </c>
      <c r="C5144" s="196">
        <v>-50900</v>
      </c>
      <c r="D5144" s="196">
        <v>0</v>
      </c>
      <c r="E5144" s="196">
        <v>0</v>
      </c>
      <c r="F5144" s="196">
        <v>0</v>
      </c>
      <c r="G5144" s="196">
        <v>-50900</v>
      </c>
    </row>
    <row r="5145" spans="1:7" x14ac:dyDescent="0.3">
      <c r="A5145" s="192" t="s">
        <v>3512</v>
      </c>
      <c r="B5145" s="192" t="s">
        <v>3513</v>
      </c>
      <c r="C5145" s="196">
        <v>-297000</v>
      </c>
      <c r="D5145" s="196">
        <v>0</v>
      </c>
      <c r="E5145" s="196">
        <v>0</v>
      </c>
      <c r="F5145" s="196">
        <v>0</v>
      </c>
      <c r="G5145" s="196">
        <v>-297000</v>
      </c>
    </row>
    <row r="5146" spans="1:7" x14ac:dyDescent="0.3">
      <c r="A5146" s="198">
        <v>1035008717</v>
      </c>
      <c r="B5146" s="192" t="s">
        <v>3514</v>
      </c>
      <c r="C5146" s="196">
        <v>-50900</v>
      </c>
      <c r="D5146" s="196">
        <v>0</v>
      </c>
      <c r="E5146" s="196">
        <v>0</v>
      </c>
      <c r="F5146" s="196">
        <v>0</v>
      </c>
      <c r="G5146" s="196">
        <v>-50900</v>
      </c>
    </row>
    <row r="5147" spans="1:7" x14ac:dyDescent="0.3">
      <c r="A5147" s="198">
        <v>1035027196</v>
      </c>
      <c r="B5147" s="192" t="s">
        <v>3515</v>
      </c>
      <c r="C5147" s="196">
        <v>-50900</v>
      </c>
      <c r="D5147" s="196">
        <v>0</v>
      </c>
      <c r="E5147" s="196">
        <v>0</v>
      </c>
      <c r="F5147" s="196">
        <v>0</v>
      </c>
      <c r="G5147" s="196">
        <v>-50900</v>
      </c>
    </row>
    <row r="5148" spans="1:7" x14ac:dyDescent="0.3">
      <c r="A5148" s="198">
        <v>1035026644</v>
      </c>
      <c r="B5148" s="192" t="s">
        <v>3516</v>
      </c>
      <c r="C5148" s="196">
        <v>-50900</v>
      </c>
      <c r="D5148" s="196">
        <v>0</v>
      </c>
      <c r="E5148" s="196">
        <v>0</v>
      </c>
      <c r="F5148" s="196">
        <v>0</v>
      </c>
      <c r="G5148" s="196">
        <v>-50900</v>
      </c>
    </row>
    <row r="5149" spans="1:7" x14ac:dyDescent="0.3">
      <c r="A5149" s="198">
        <v>1020327787</v>
      </c>
      <c r="B5149" s="192" t="s">
        <v>582</v>
      </c>
      <c r="C5149" s="196">
        <v>0</v>
      </c>
      <c r="D5149" s="196">
        <v>0</v>
      </c>
      <c r="E5149" s="196">
        <v>340000</v>
      </c>
      <c r="F5149" s="196">
        <v>-340000</v>
      </c>
      <c r="G5149" s="196">
        <v>-340000</v>
      </c>
    </row>
    <row r="5150" spans="1:7" x14ac:dyDescent="0.3">
      <c r="A5150" s="198">
        <v>1023595120</v>
      </c>
      <c r="B5150" s="192" t="s">
        <v>583</v>
      </c>
      <c r="C5150" s="196">
        <v>0</v>
      </c>
      <c r="D5150" s="196">
        <v>0</v>
      </c>
      <c r="E5150" s="196">
        <v>50900</v>
      </c>
      <c r="F5150" s="196">
        <v>-50900</v>
      </c>
      <c r="G5150" s="196">
        <v>-50900</v>
      </c>
    </row>
    <row r="5151" spans="1:7" x14ac:dyDescent="0.3">
      <c r="A5151" s="198">
        <v>1021809038</v>
      </c>
      <c r="B5151" s="192" t="s">
        <v>3517</v>
      </c>
      <c r="C5151" s="196">
        <v>-47400</v>
      </c>
      <c r="D5151" s="196">
        <v>0</v>
      </c>
      <c r="E5151" s="196">
        <v>0</v>
      </c>
      <c r="F5151" s="196">
        <v>0</v>
      </c>
      <c r="G5151" s="196">
        <v>-47400</v>
      </c>
    </row>
    <row r="5152" spans="1:7" x14ac:dyDescent="0.3">
      <c r="A5152" s="198">
        <v>1155717599</v>
      </c>
      <c r="B5152" s="192" t="s">
        <v>3518</v>
      </c>
      <c r="C5152" s="196">
        <v>-50900</v>
      </c>
      <c r="D5152" s="196">
        <v>0</v>
      </c>
      <c r="E5152" s="196">
        <v>0</v>
      </c>
      <c r="F5152" s="196">
        <v>0</v>
      </c>
      <c r="G5152" s="196">
        <v>-50900</v>
      </c>
    </row>
    <row r="5153" spans="1:7" x14ac:dyDescent="0.3">
      <c r="A5153" s="198">
        <v>1020302862</v>
      </c>
      <c r="B5153" s="192" t="s">
        <v>3519</v>
      </c>
      <c r="C5153" s="196">
        <v>-50900</v>
      </c>
      <c r="D5153" s="196">
        <v>0</v>
      </c>
      <c r="E5153" s="196">
        <v>0</v>
      </c>
      <c r="F5153" s="196">
        <v>0</v>
      </c>
      <c r="G5153" s="196">
        <v>-50900</v>
      </c>
    </row>
    <row r="5154" spans="1:7" x14ac:dyDescent="0.3">
      <c r="A5154" s="198">
        <v>1021810536</v>
      </c>
      <c r="B5154" s="192" t="s">
        <v>3520</v>
      </c>
      <c r="C5154" s="196">
        <v>-50900</v>
      </c>
      <c r="D5154" s="196">
        <v>0</v>
      </c>
      <c r="E5154" s="196">
        <v>0</v>
      </c>
      <c r="F5154" s="196">
        <v>0</v>
      </c>
      <c r="G5154" s="196">
        <v>-50900</v>
      </c>
    </row>
    <row r="5155" spans="1:7" x14ac:dyDescent="0.3">
      <c r="A5155" s="198">
        <v>1035000931</v>
      </c>
      <c r="B5155" s="192" t="s">
        <v>3521</v>
      </c>
      <c r="C5155" s="196">
        <v>-50900</v>
      </c>
      <c r="D5155" s="196">
        <v>0</v>
      </c>
      <c r="E5155" s="196">
        <v>0</v>
      </c>
      <c r="F5155" s="196">
        <v>0</v>
      </c>
      <c r="G5155" s="196">
        <v>-50900</v>
      </c>
    </row>
    <row r="5156" spans="1:7" x14ac:dyDescent="0.3">
      <c r="A5156" s="198">
        <v>1035021091</v>
      </c>
      <c r="B5156" s="192" t="s">
        <v>584</v>
      </c>
      <c r="C5156" s="196">
        <v>0</v>
      </c>
      <c r="D5156" s="196">
        <v>0</v>
      </c>
      <c r="E5156" s="196">
        <v>50900</v>
      </c>
      <c r="F5156" s="196">
        <v>-50900</v>
      </c>
      <c r="G5156" s="196">
        <v>-50900</v>
      </c>
    </row>
    <row r="5157" spans="1:7" x14ac:dyDescent="0.3">
      <c r="A5157" s="198">
        <v>1034988218</v>
      </c>
      <c r="B5157" s="192" t="s">
        <v>3522</v>
      </c>
      <c r="C5157" s="196">
        <v>-47400</v>
      </c>
      <c r="D5157" s="196">
        <v>0</v>
      </c>
      <c r="E5157" s="196">
        <v>0</v>
      </c>
      <c r="F5157" s="196">
        <v>0</v>
      </c>
      <c r="G5157" s="196">
        <v>-47400</v>
      </c>
    </row>
    <row r="5158" spans="1:7" x14ac:dyDescent="0.3">
      <c r="A5158" s="198">
        <v>1036461103</v>
      </c>
      <c r="B5158" s="192" t="s">
        <v>3523</v>
      </c>
      <c r="C5158" s="196">
        <v>-37000</v>
      </c>
      <c r="D5158" s="196">
        <v>0</v>
      </c>
      <c r="E5158" s="196">
        <v>0</v>
      </c>
      <c r="F5158" s="196">
        <v>0</v>
      </c>
      <c r="G5158" s="196">
        <v>-37000</v>
      </c>
    </row>
    <row r="5159" spans="1:7" x14ac:dyDescent="0.3">
      <c r="A5159" s="198">
        <v>1035013647</v>
      </c>
      <c r="B5159" s="192" t="s">
        <v>3524</v>
      </c>
      <c r="C5159" s="196">
        <v>-50900</v>
      </c>
      <c r="D5159" s="196">
        <v>0</v>
      </c>
      <c r="E5159" s="196">
        <v>0</v>
      </c>
      <c r="F5159" s="196">
        <v>0</v>
      </c>
      <c r="G5159" s="196">
        <v>-50900</v>
      </c>
    </row>
    <row r="5160" spans="1:7" x14ac:dyDescent="0.3">
      <c r="A5160" s="198">
        <v>1035026886</v>
      </c>
      <c r="B5160" s="192" t="s">
        <v>585</v>
      </c>
      <c r="C5160" s="196">
        <v>0</v>
      </c>
      <c r="D5160" s="196">
        <v>0</v>
      </c>
      <c r="E5160" s="196">
        <v>50900</v>
      </c>
      <c r="F5160" s="196">
        <v>-50900</v>
      </c>
      <c r="G5160" s="196">
        <v>-50900</v>
      </c>
    </row>
    <row r="5161" spans="1:7" x14ac:dyDescent="0.3">
      <c r="A5161" s="198">
        <v>1034994943</v>
      </c>
      <c r="B5161" s="192" t="s">
        <v>3525</v>
      </c>
      <c r="C5161" s="196">
        <v>-101800</v>
      </c>
      <c r="D5161" s="196">
        <v>0</v>
      </c>
      <c r="E5161" s="196">
        <v>0</v>
      </c>
      <c r="F5161" s="196">
        <v>0</v>
      </c>
      <c r="G5161" s="196">
        <v>-101800</v>
      </c>
    </row>
    <row r="5162" spans="1:7" x14ac:dyDescent="0.3">
      <c r="A5162" s="198">
        <v>1035001156</v>
      </c>
      <c r="B5162" s="192" t="s">
        <v>3526</v>
      </c>
      <c r="C5162" s="196">
        <v>-57200</v>
      </c>
      <c r="D5162" s="196">
        <v>0</v>
      </c>
      <c r="E5162" s="196">
        <v>0</v>
      </c>
      <c r="F5162" s="196">
        <v>0</v>
      </c>
      <c r="G5162" s="196">
        <v>-57200</v>
      </c>
    </row>
    <row r="5163" spans="1:7" x14ac:dyDescent="0.3">
      <c r="A5163" s="198">
        <v>1035006789</v>
      </c>
      <c r="B5163" s="192" t="s">
        <v>3527</v>
      </c>
      <c r="C5163" s="196">
        <v>-101800</v>
      </c>
      <c r="D5163" s="196">
        <v>0</v>
      </c>
      <c r="E5163" s="196">
        <v>0</v>
      </c>
      <c r="F5163" s="196">
        <v>0</v>
      </c>
      <c r="G5163" s="196">
        <v>-101800</v>
      </c>
    </row>
    <row r="5164" spans="1:7" x14ac:dyDescent="0.3">
      <c r="A5164" s="198">
        <v>1035881526</v>
      </c>
      <c r="B5164" s="192" t="s">
        <v>3528</v>
      </c>
      <c r="C5164" s="196">
        <v>-50900</v>
      </c>
      <c r="D5164" s="196">
        <v>0</v>
      </c>
      <c r="E5164" s="196">
        <v>0</v>
      </c>
      <c r="F5164" s="196">
        <v>0</v>
      </c>
      <c r="G5164" s="196">
        <v>-50900</v>
      </c>
    </row>
    <row r="5165" spans="1:7" x14ac:dyDescent="0.3">
      <c r="A5165" s="198">
        <v>1021810254</v>
      </c>
      <c r="B5165" s="192" t="s">
        <v>586</v>
      </c>
      <c r="C5165" s="196">
        <v>-46400</v>
      </c>
      <c r="D5165" s="196">
        <v>0</v>
      </c>
      <c r="E5165" s="196">
        <v>46400</v>
      </c>
      <c r="F5165" s="196">
        <v>-46400</v>
      </c>
      <c r="G5165" s="196">
        <v>-92800</v>
      </c>
    </row>
    <row r="5166" spans="1:7" x14ac:dyDescent="0.3">
      <c r="A5166" s="198">
        <v>1021936009</v>
      </c>
      <c r="B5166" s="192" t="s">
        <v>3529</v>
      </c>
      <c r="C5166" s="196">
        <v>-54200</v>
      </c>
      <c r="D5166" s="196">
        <v>0</v>
      </c>
      <c r="E5166" s="196">
        <v>0</v>
      </c>
      <c r="F5166" s="196">
        <v>0</v>
      </c>
      <c r="G5166" s="196">
        <v>-54200</v>
      </c>
    </row>
    <row r="5167" spans="1:7" x14ac:dyDescent="0.3">
      <c r="A5167" s="198">
        <v>1035019837</v>
      </c>
      <c r="B5167" s="192" t="s">
        <v>3530</v>
      </c>
      <c r="C5167" s="196">
        <v>-47400</v>
      </c>
      <c r="D5167" s="196">
        <v>0</v>
      </c>
      <c r="E5167" s="196">
        <v>0</v>
      </c>
      <c r="F5167" s="196">
        <v>0</v>
      </c>
      <c r="G5167" s="196">
        <v>-47400</v>
      </c>
    </row>
    <row r="5168" spans="1:7" x14ac:dyDescent="0.3">
      <c r="A5168" s="198">
        <v>1018350666</v>
      </c>
      <c r="B5168" s="192" t="s">
        <v>3531</v>
      </c>
      <c r="C5168" s="196">
        <v>-297000</v>
      </c>
      <c r="D5168" s="196">
        <v>0</v>
      </c>
      <c r="E5168" s="196">
        <v>0</v>
      </c>
      <c r="F5168" s="196">
        <v>0</v>
      </c>
      <c r="G5168" s="196">
        <v>-297000</v>
      </c>
    </row>
    <row r="5169" spans="1:7" x14ac:dyDescent="0.3">
      <c r="A5169" s="198">
        <v>1023534235</v>
      </c>
      <c r="B5169" s="192" t="s">
        <v>3532</v>
      </c>
      <c r="C5169" s="196">
        <v>-50900</v>
      </c>
      <c r="D5169" s="196">
        <v>0</v>
      </c>
      <c r="E5169" s="196">
        <v>0</v>
      </c>
      <c r="F5169" s="196">
        <v>0</v>
      </c>
      <c r="G5169" s="196">
        <v>-50900</v>
      </c>
    </row>
    <row r="5170" spans="1:7" x14ac:dyDescent="0.3">
      <c r="A5170" s="198">
        <v>1035024142</v>
      </c>
      <c r="B5170" s="192" t="s">
        <v>3533</v>
      </c>
      <c r="C5170" s="196">
        <v>-47400</v>
      </c>
      <c r="D5170" s="196">
        <v>0</v>
      </c>
      <c r="E5170" s="196">
        <v>0</v>
      </c>
      <c r="F5170" s="196">
        <v>0</v>
      </c>
      <c r="G5170" s="196">
        <v>-47400</v>
      </c>
    </row>
    <row r="5171" spans="1:7" x14ac:dyDescent="0.3">
      <c r="A5171" s="198">
        <v>1035019651</v>
      </c>
      <c r="B5171" s="192" t="s">
        <v>3534</v>
      </c>
      <c r="C5171" s="196">
        <v>-50900</v>
      </c>
      <c r="D5171" s="196">
        <v>0</v>
      </c>
      <c r="E5171" s="196">
        <v>0</v>
      </c>
      <c r="F5171" s="196">
        <v>0</v>
      </c>
      <c r="G5171" s="196">
        <v>-50900</v>
      </c>
    </row>
    <row r="5172" spans="1:7" x14ac:dyDescent="0.3">
      <c r="A5172" s="198">
        <v>1035004483</v>
      </c>
      <c r="B5172" s="192" t="s">
        <v>3535</v>
      </c>
      <c r="C5172" s="196">
        <v>-50900</v>
      </c>
      <c r="D5172" s="196">
        <v>0</v>
      </c>
      <c r="E5172" s="196">
        <v>0</v>
      </c>
      <c r="F5172" s="196">
        <v>0</v>
      </c>
      <c r="G5172" s="196">
        <v>-50900</v>
      </c>
    </row>
    <row r="5173" spans="1:7" x14ac:dyDescent="0.3">
      <c r="A5173" s="198">
        <v>1020230022</v>
      </c>
      <c r="B5173" s="192" t="s">
        <v>3536</v>
      </c>
      <c r="C5173" s="196">
        <v>-57200</v>
      </c>
      <c r="D5173" s="196">
        <v>0</v>
      </c>
      <c r="E5173" s="196">
        <v>0</v>
      </c>
      <c r="F5173" s="196">
        <v>0</v>
      </c>
      <c r="G5173" s="196">
        <v>-57200</v>
      </c>
    </row>
    <row r="5174" spans="1:7" x14ac:dyDescent="0.3">
      <c r="A5174" s="198">
        <v>1035026132</v>
      </c>
      <c r="B5174" s="192" t="s">
        <v>587</v>
      </c>
      <c r="C5174" s="196">
        <v>0</v>
      </c>
      <c r="D5174" s="196">
        <v>0</v>
      </c>
      <c r="E5174" s="196">
        <v>50900</v>
      </c>
      <c r="F5174" s="196">
        <v>-50900</v>
      </c>
      <c r="G5174" s="196">
        <v>-50900</v>
      </c>
    </row>
    <row r="5175" spans="1:7" x14ac:dyDescent="0.3">
      <c r="A5175" s="198">
        <v>1035003416</v>
      </c>
      <c r="B5175" s="192" t="s">
        <v>3537</v>
      </c>
      <c r="C5175" s="196">
        <v>-82800</v>
      </c>
      <c r="D5175" s="196">
        <v>0</v>
      </c>
      <c r="E5175" s="196">
        <v>0</v>
      </c>
      <c r="F5175" s="196">
        <v>0</v>
      </c>
      <c r="G5175" s="196">
        <v>-82800</v>
      </c>
    </row>
    <row r="5176" spans="1:7" x14ac:dyDescent="0.3">
      <c r="A5176" s="198">
        <v>1021942946</v>
      </c>
      <c r="B5176" s="192" t="s">
        <v>3538</v>
      </c>
      <c r="C5176" s="196">
        <v>-340000</v>
      </c>
      <c r="D5176" s="196">
        <v>0</v>
      </c>
      <c r="E5176" s="196">
        <v>0</v>
      </c>
      <c r="F5176" s="196">
        <v>0</v>
      </c>
      <c r="G5176" s="196">
        <v>-340000</v>
      </c>
    </row>
    <row r="5177" spans="1:7" x14ac:dyDescent="0.3">
      <c r="A5177" s="198">
        <v>1035019256</v>
      </c>
      <c r="B5177" s="192" t="s">
        <v>3539</v>
      </c>
      <c r="C5177" s="196">
        <v>-121600</v>
      </c>
      <c r="D5177" s="196">
        <v>0</v>
      </c>
      <c r="E5177" s="196">
        <v>0</v>
      </c>
      <c r="F5177" s="196">
        <v>0</v>
      </c>
      <c r="G5177" s="196">
        <v>-121600</v>
      </c>
    </row>
    <row r="5178" spans="1:7" x14ac:dyDescent="0.3">
      <c r="A5178" s="198">
        <v>1035026591</v>
      </c>
      <c r="B5178" s="192" t="s">
        <v>3540</v>
      </c>
      <c r="C5178" s="196">
        <v>-50900</v>
      </c>
      <c r="D5178" s="196">
        <v>0</v>
      </c>
      <c r="E5178" s="196">
        <v>0</v>
      </c>
      <c r="F5178" s="196">
        <v>0</v>
      </c>
      <c r="G5178" s="196">
        <v>-50900</v>
      </c>
    </row>
    <row r="5179" spans="1:7" x14ac:dyDescent="0.3">
      <c r="A5179" s="198">
        <v>1020327623</v>
      </c>
      <c r="B5179" s="192" t="s">
        <v>588</v>
      </c>
      <c r="C5179" s="196">
        <v>-50900</v>
      </c>
      <c r="D5179" s="196">
        <v>0</v>
      </c>
      <c r="E5179" s="196">
        <v>50900</v>
      </c>
      <c r="F5179" s="196">
        <v>-50900</v>
      </c>
      <c r="G5179" s="196">
        <v>-101800</v>
      </c>
    </row>
    <row r="5180" spans="1:7" x14ac:dyDescent="0.3">
      <c r="A5180" s="198">
        <v>1035017852</v>
      </c>
      <c r="B5180" s="192" t="s">
        <v>589</v>
      </c>
      <c r="C5180" s="196">
        <v>0</v>
      </c>
      <c r="D5180" s="196">
        <v>0</v>
      </c>
      <c r="E5180" s="196">
        <v>50900</v>
      </c>
      <c r="F5180" s="196">
        <v>-50900</v>
      </c>
      <c r="G5180" s="196">
        <v>-50900</v>
      </c>
    </row>
    <row r="5181" spans="1:7" x14ac:dyDescent="0.3">
      <c r="A5181" s="198">
        <v>1036459324</v>
      </c>
      <c r="B5181" s="192" t="s">
        <v>3541</v>
      </c>
      <c r="C5181" s="196">
        <v>-54200</v>
      </c>
      <c r="D5181" s="196">
        <v>0</v>
      </c>
      <c r="E5181" s="196">
        <v>0</v>
      </c>
      <c r="F5181" s="196">
        <v>0</v>
      </c>
      <c r="G5181" s="196">
        <v>-54200</v>
      </c>
    </row>
    <row r="5182" spans="1:7" x14ac:dyDescent="0.3">
      <c r="A5182" s="198">
        <v>1020322989</v>
      </c>
      <c r="B5182" s="192" t="s">
        <v>3542</v>
      </c>
      <c r="C5182" s="196">
        <v>-50900</v>
      </c>
      <c r="D5182" s="196">
        <v>0</v>
      </c>
      <c r="E5182" s="196">
        <v>0</v>
      </c>
      <c r="F5182" s="196">
        <v>0</v>
      </c>
      <c r="G5182" s="196">
        <v>-50900</v>
      </c>
    </row>
    <row r="5183" spans="1:7" x14ac:dyDescent="0.3">
      <c r="A5183" s="198">
        <v>1013373357</v>
      </c>
      <c r="B5183" s="192" t="s">
        <v>3543</v>
      </c>
      <c r="C5183" s="196">
        <v>-310000</v>
      </c>
      <c r="D5183" s="196">
        <v>0</v>
      </c>
      <c r="E5183" s="196">
        <v>0</v>
      </c>
      <c r="F5183" s="196">
        <v>0</v>
      </c>
      <c r="G5183" s="196">
        <v>-310000</v>
      </c>
    </row>
    <row r="5184" spans="1:7" x14ac:dyDescent="0.3">
      <c r="A5184" s="198">
        <v>1035020500</v>
      </c>
      <c r="B5184" s="192" t="s">
        <v>590</v>
      </c>
      <c r="C5184" s="196">
        <v>0</v>
      </c>
      <c r="D5184" s="196">
        <v>0</v>
      </c>
      <c r="E5184" s="196">
        <v>50900</v>
      </c>
      <c r="F5184" s="196">
        <v>-50900</v>
      </c>
      <c r="G5184" s="196">
        <v>-50900</v>
      </c>
    </row>
    <row r="5185" spans="1:7" x14ac:dyDescent="0.3">
      <c r="A5185" s="198">
        <v>1022158147</v>
      </c>
      <c r="B5185" s="192" t="s">
        <v>591</v>
      </c>
      <c r="C5185" s="196">
        <v>0</v>
      </c>
      <c r="D5185" s="196">
        <v>0</v>
      </c>
      <c r="E5185" s="196">
        <v>50900</v>
      </c>
      <c r="F5185" s="196">
        <v>-50900</v>
      </c>
      <c r="G5185" s="196">
        <v>-50900</v>
      </c>
    </row>
    <row r="5186" spans="1:7" x14ac:dyDescent="0.3">
      <c r="A5186" s="198">
        <v>1000416858</v>
      </c>
      <c r="B5186" s="192" t="s">
        <v>3544</v>
      </c>
      <c r="C5186" s="196">
        <v>-319000</v>
      </c>
      <c r="D5186" s="196">
        <v>0</v>
      </c>
      <c r="E5186" s="196">
        <v>0</v>
      </c>
      <c r="F5186" s="196">
        <v>0</v>
      </c>
      <c r="G5186" s="196">
        <v>-319000</v>
      </c>
    </row>
    <row r="5187" spans="1:7" x14ac:dyDescent="0.3">
      <c r="A5187" s="198">
        <v>41456802</v>
      </c>
      <c r="B5187" s="192" t="s">
        <v>3545</v>
      </c>
      <c r="C5187" s="196">
        <v>-50900</v>
      </c>
      <c r="D5187" s="196">
        <v>0</v>
      </c>
      <c r="E5187" s="196">
        <v>0</v>
      </c>
      <c r="F5187" s="196">
        <v>0</v>
      </c>
      <c r="G5187" s="196">
        <v>-50900</v>
      </c>
    </row>
    <row r="5188" spans="1:7" x14ac:dyDescent="0.3">
      <c r="A5188" s="198">
        <v>1020317217</v>
      </c>
      <c r="B5188" s="192" t="s">
        <v>3546</v>
      </c>
      <c r="C5188" s="196">
        <v>-50900</v>
      </c>
      <c r="D5188" s="196">
        <v>0</v>
      </c>
      <c r="E5188" s="196">
        <v>0</v>
      </c>
      <c r="F5188" s="196">
        <v>0</v>
      </c>
      <c r="G5188" s="196">
        <v>-50900</v>
      </c>
    </row>
    <row r="5189" spans="1:7" x14ac:dyDescent="0.3">
      <c r="A5189" s="198">
        <v>1023304227</v>
      </c>
      <c r="B5189" s="192" t="s">
        <v>592</v>
      </c>
      <c r="C5189" s="196">
        <v>0</v>
      </c>
      <c r="D5189" s="196">
        <v>0</v>
      </c>
      <c r="E5189" s="196">
        <v>50900</v>
      </c>
      <c r="F5189" s="196">
        <v>-50900</v>
      </c>
      <c r="G5189" s="196">
        <v>-50900</v>
      </c>
    </row>
    <row r="5190" spans="1:7" x14ac:dyDescent="0.3">
      <c r="A5190" s="198">
        <v>1035023130</v>
      </c>
      <c r="B5190" s="192" t="s">
        <v>3547</v>
      </c>
      <c r="C5190" s="196">
        <v>-50900</v>
      </c>
      <c r="D5190" s="196">
        <v>0</v>
      </c>
      <c r="E5190" s="196">
        <v>0</v>
      </c>
      <c r="F5190" s="196">
        <v>0</v>
      </c>
      <c r="G5190" s="196">
        <v>-50900</v>
      </c>
    </row>
    <row r="5191" spans="1:7" x14ac:dyDescent="0.3">
      <c r="A5191" s="198">
        <v>1036461485</v>
      </c>
      <c r="B5191" s="192" t="s">
        <v>3548</v>
      </c>
      <c r="C5191" s="196">
        <v>-50900</v>
      </c>
      <c r="D5191" s="196">
        <v>0</v>
      </c>
      <c r="E5191" s="196">
        <v>0</v>
      </c>
      <c r="F5191" s="196">
        <v>0</v>
      </c>
      <c r="G5191" s="196">
        <v>-50900</v>
      </c>
    </row>
    <row r="5192" spans="1:7" x14ac:dyDescent="0.3">
      <c r="A5192" s="198">
        <v>1035017772</v>
      </c>
      <c r="B5192" s="192" t="s">
        <v>3549</v>
      </c>
      <c r="C5192" s="196">
        <v>-50900</v>
      </c>
      <c r="D5192" s="196">
        <v>0</v>
      </c>
      <c r="E5192" s="196">
        <v>0</v>
      </c>
      <c r="F5192" s="196">
        <v>0</v>
      </c>
      <c r="G5192" s="196">
        <v>-50900</v>
      </c>
    </row>
    <row r="5193" spans="1:7" x14ac:dyDescent="0.3">
      <c r="A5193" s="198">
        <v>1035011239</v>
      </c>
      <c r="B5193" s="192" t="s">
        <v>3550</v>
      </c>
      <c r="C5193" s="196">
        <v>-50900</v>
      </c>
      <c r="D5193" s="196">
        <v>0</v>
      </c>
      <c r="E5193" s="196">
        <v>0</v>
      </c>
      <c r="F5193" s="196">
        <v>0</v>
      </c>
      <c r="G5193" s="196">
        <v>-50900</v>
      </c>
    </row>
    <row r="5194" spans="1:7" x14ac:dyDescent="0.3">
      <c r="A5194" s="198">
        <v>1035021327</v>
      </c>
      <c r="B5194" s="192" t="s">
        <v>3551</v>
      </c>
      <c r="C5194" s="196">
        <v>-57200</v>
      </c>
      <c r="D5194" s="196">
        <v>0</v>
      </c>
      <c r="E5194" s="196">
        <v>0</v>
      </c>
      <c r="F5194" s="196">
        <v>0</v>
      </c>
      <c r="G5194" s="196">
        <v>-57200</v>
      </c>
    </row>
    <row r="5195" spans="1:7" x14ac:dyDescent="0.3">
      <c r="A5195" s="198">
        <v>1035018862</v>
      </c>
      <c r="B5195" s="192" t="s">
        <v>3552</v>
      </c>
      <c r="C5195" s="196">
        <v>-50900</v>
      </c>
      <c r="D5195" s="196">
        <v>0</v>
      </c>
      <c r="E5195" s="196">
        <v>0</v>
      </c>
      <c r="F5195" s="196">
        <v>0</v>
      </c>
      <c r="G5195" s="196">
        <v>-50900</v>
      </c>
    </row>
    <row r="5196" spans="1:7" x14ac:dyDescent="0.3">
      <c r="A5196" s="198">
        <v>32229858</v>
      </c>
      <c r="B5196" s="192" t="s">
        <v>3553</v>
      </c>
      <c r="C5196" s="196">
        <v>-50900</v>
      </c>
      <c r="D5196" s="196">
        <v>0</v>
      </c>
      <c r="E5196" s="196">
        <v>0</v>
      </c>
      <c r="F5196" s="196">
        <v>0</v>
      </c>
      <c r="G5196" s="196">
        <v>-50900</v>
      </c>
    </row>
    <row r="5197" spans="1:7" x14ac:dyDescent="0.3">
      <c r="A5197" s="198">
        <v>1023558886</v>
      </c>
      <c r="B5197" s="192" t="s">
        <v>3554</v>
      </c>
      <c r="C5197" s="196">
        <v>-41400</v>
      </c>
      <c r="D5197" s="196">
        <v>0</v>
      </c>
      <c r="E5197" s="196">
        <v>0</v>
      </c>
      <c r="F5197" s="196">
        <v>0</v>
      </c>
      <c r="G5197" s="196">
        <v>-41400</v>
      </c>
    </row>
    <row r="5198" spans="1:7" x14ac:dyDescent="0.3">
      <c r="A5198" s="198">
        <v>1027803129</v>
      </c>
      <c r="B5198" s="192" t="s">
        <v>3555</v>
      </c>
      <c r="C5198" s="196">
        <v>-319000</v>
      </c>
      <c r="D5198" s="196">
        <v>0</v>
      </c>
      <c r="E5198" s="196">
        <v>0</v>
      </c>
      <c r="F5198" s="196">
        <v>0</v>
      </c>
      <c r="G5198" s="196">
        <v>-319000</v>
      </c>
    </row>
    <row r="5199" spans="1:7" x14ac:dyDescent="0.3">
      <c r="A5199" s="198">
        <v>1152470089</v>
      </c>
      <c r="B5199" s="192" t="s">
        <v>3556</v>
      </c>
      <c r="C5199" s="196">
        <v>-50900</v>
      </c>
      <c r="D5199" s="196">
        <v>0</v>
      </c>
      <c r="E5199" s="196">
        <v>0</v>
      </c>
      <c r="F5199" s="196">
        <v>0</v>
      </c>
      <c r="G5199" s="196">
        <v>-50900</v>
      </c>
    </row>
    <row r="5200" spans="1:7" x14ac:dyDescent="0.3">
      <c r="A5200" s="198">
        <v>1039460986</v>
      </c>
      <c r="B5200" s="192" t="s">
        <v>3557</v>
      </c>
      <c r="C5200" s="196">
        <v>-94800</v>
      </c>
      <c r="D5200" s="196">
        <v>0</v>
      </c>
      <c r="E5200" s="196">
        <v>0</v>
      </c>
      <c r="F5200" s="196">
        <v>0</v>
      </c>
      <c r="G5200" s="196">
        <v>-94800</v>
      </c>
    </row>
    <row r="5201" spans="1:7" x14ac:dyDescent="0.3">
      <c r="A5201" s="198">
        <v>1035024478</v>
      </c>
      <c r="B5201" s="192" t="s">
        <v>3558</v>
      </c>
      <c r="C5201" s="196">
        <v>-47400</v>
      </c>
      <c r="D5201" s="196">
        <v>0</v>
      </c>
      <c r="E5201" s="196">
        <v>0</v>
      </c>
      <c r="F5201" s="196">
        <v>0</v>
      </c>
      <c r="G5201" s="196">
        <v>-47400</v>
      </c>
    </row>
    <row r="5202" spans="1:7" x14ac:dyDescent="0.3">
      <c r="A5202" s="198">
        <v>1035003121</v>
      </c>
      <c r="B5202" s="192" t="s">
        <v>3559</v>
      </c>
      <c r="C5202" s="196">
        <v>-50900</v>
      </c>
      <c r="D5202" s="196">
        <v>0</v>
      </c>
      <c r="E5202" s="196">
        <v>0</v>
      </c>
      <c r="F5202" s="196">
        <v>0</v>
      </c>
      <c r="G5202" s="196">
        <v>-50900</v>
      </c>
    </row>
    <row r="5203" spans="1:7" x14ac:dyDescent="0.3">
      <c r="A5203" s="198">
        <v>1035008792</v>
      </c>
      <c r="B5203" s="192" t="s">
        <v>3560</v>
      </c>
      <c r="C5203" s="196">
        <v>-48000</v>
      </c>
      <c r="D5203" s="196">
        <v>0</v>
      </c>
      <c r="E5203" s="196">
        <v>0</v>
      </c>
      <c r="F5203" s="196">
        <v>0</v>
      </c>
      <c r="G5203" s="196">
        <v>-48000</v>
      </c>
    </row>
    <row r="5204" spans="1:7" x14ac:dyDescent="0.3">
      <c r="A5204" s="198">
        <v>1023544037</v>
      </c>
      <c r="B5204" s="192" t="s">
        <v>593</v>
      </c>
      <c r="C5204" s="196">
        <v>0</v>
      </c>
      <c r="D5204" s="196">
        <v>0</v>
      </c>
      <c r="E5204" s="196">
        <v>50900</v>
      </c>
      <c r="F5204" s="196">
        <v>-50900</v>
      </c>
      <c r="G5204" s="196">
        <v>-50900</v>
      </c>
    </row>
    <row r="5205" spans="1:7" x14ac:dyDescent="0.3">
      <c r="A5205" s="198">
        <v>659919602</v>
      </c>
      <c r="B5205" s="192" t="s">
        <v>3561</v>
      </c>
      <c r="C5205" s="196">
        <v>-110000</v>
      </c>
      <c r="D5205" s="196">
        <v>0</v>
      </c>
      <c r="E5205" s="196">
        <v>0</v>
      </c>
      <c r="F5205" s="196">
        <v>0</v>
      </c>
      <c r="G5205" s="196">
        <v>-110000</v>
      </c>
    </row>
    <row r="5206" spans="1:7" x14ac:dyDescent="0.3">
      <c r="A5206" s="198">
        <v>43841021</v>
      </c>
      <c r="B5206" s="192" t="s">
        <v>3562</v>
      </c>
      <c r="C5206" s="196">
        <v>-297000</v>
      </c>
      <c r="D5206" s="196">
        <v>0</v>
      </c>
      <c r="E5206" s="196">
        <v>0</v>
      </c>
      <c r="F5206" s="196">
        <v>0</v>
      </c>
      <c r="G5206" s="196">
        <v>-297000</v>
      </c>
    </row>
    <row r="5207" spans="1:7" x14ac:dyDescent="0.3">
      <c r="A5207" s="198">
        <v>79145094</v>
      </c>
      <c r="B5207" s="192" t="s">
        <v>3563</v>
      </c>
      <c r="C5207" s="196">
        <v>-57200</v>
      </c>
      <c r="D5207" s="196">
        <v>0</v>
      </c>
      <c r="E5207" s="196">
        <v>0</v>
      </c>
      <c r="F5207" s="196">
        <v>0</v>
      </c>
      <c r="G5207" s="196">
        <v>-57200</v>
      </c>
    </row>
    <row r="5208" spans="1:7" x14ac:dyDescent="0.3">
      <c r="A5208" s="198">
        <v>1036694975</v>
      </c>
      <c r="B5208" s="192" t="s">
        <v>3564</v>
      </c>
      <c r="C5208" s="196">
        <v>-25000</v>
      </c>
      <c r="D5208" s="196">
        <v>0</v>
      </c>
      <c r="E5208" s="196">
        <v>0</v>
      </c>
      <c r="F5208" s="196">
        <v>0</v>
      </c>
      <c r="G5208" s="196">
        <v>-25000</v>
      </c>
    </row>
    <row r="5209" spans="1:7" x14ac:dyDescent="0.3">
      <c r="A5209" s="198">
        <v>6384531</v>
      </c>
      <c r="B5209" s="192" t="s">
        <v>594</v>
      </c>
      <c r="C5209" s="196">
        <v>-594001</v>
      </c>
      <c r="D5209" s="196">
        <v>0</v>
      </c>
      <c r="E5209" s="196">
        <v>319000</v>
      </c>
      <c r="F5209" s="196">
        <v>-319000</v>
      </c>
      <c r="G5209" s="196">
        <v>-913001</v>
      </c>
    </row>
    <row r="5210" spans="1:7" x14ac:dyDescent="0.3">
      <c r="A5210" s="198">
        <v>52256742</v>
      </c>
      <c r="B5210" s="192" t="s">
        <v>3565</v>
      </c>
      <c r="C5210" s="196">
        <v>-50900</v>
      </c>
      <c r="D5210" s="196">
        <v>0</v>
      </c>
      <c r="E5210" s="196">
        <v>0</v>
      </c>
      <c r="F5210" s="196">
        <v>0</v>
      </c>
      <c r="G5210" s="196">
        <v>-50900</v>
      </c>
    </row>
    <row r="5211" spans="1:7" x14ac:dyDescent="0.3">
      <c r="A5211" s="198">
        <v>65761089</v>
      </c>
      <c r="B5211" s="192" t="s">
        <v>3566</v>
      </c>
      <c r="C5211" s="196">
        <v>-50900</v>
      </c>
      <c r="D5211" s="196">
        <v>0</v>
      </c>
      <c r="E5211" s="196">
        <v>0</v>
      </c>
      <c r="F5211" s="196">
        <v>0</v>
      </c>
      <c r="G5211" s="196">
        <v>-50900</v>
      </c>
    </row>
    <row r="5212" spans="1:7" x14ac:dyDescent="0.3">
      <c r="A5212" s="198">
        <v>1131209403</v>
      </c>
      <c r="B5212" s="192" t="s">
        <v>3567</v>
      </c>
      <c r="C5212" s="196">
        <v>-340000</v>
      </c>
      <c r="D5212" s="196">
        <v>0</v>
      </c>
      <c r="E5212" s="196">
        <v>0</v>
      </c>
      <c r="F5212" s="196">
        <v>0</v>
      </c>
      <c r="G5212" s="196">
        <v>-340000</v>
      </c>
    </row>
    <row r="5213" spans="1:7" x14ac:dyDescent="0.3">
      <c r="A5213" s="198">
        <v>1036462548</v>
      </c>
      <c r="B5213" s="192" t="s">
        <v>3568</v>
      </c>
      <c r="C5213" s="196">
        <v>-340000</v>
      </c>
      <c r="D5213" s="196">
        <v>0</v>
      </c>
      <c r="E5213" s="196">
        <v>0</v>
      </c>
      <c r="F5213" s="196">
        <v>0</v>
      </c>
      <c r="G5213" s="196">
        <v>-340000</v>
      </c>
    </row>
    <row r="5214" spans="1:7" x14ac:dyDescent="0.3">
      <c r="A5214" s="198">
        <v>1126644202</v>
      </c>
      <c r="B5214" s="192" t="s">
        <v>596</v>
      </c>
      <c r="C5214" s="196">
        <v>-47400</v>
      </c>
      <c r="D5214" s="196">
        <v>0</v>
      </c>
      <c r="E5214" s="196">
        <v>50900</v>
      </c>
      <c r="F5214" s="196">
        <v>-50900</v>
      </c>
      <c r="G5214" s="196">
        <v>-98300</v>
      </c>
    </row>
    <row r="5215" spans="1:7" x14ac:dyDescent="0.3">
      <c r="A5215" s="198">
        <v>71384528</v>
      </c>
      <c r="B5215" s="192" t="s">
        <v>3569</v>
      </c>
      <c r="C5215" s="196">
        <v>-50900</v>
      </c>
      <c r="D5215" s="196">
        <v>0</v>
      </c>
      <c r="E5215" s="196">
        <v>0</v>
      </c>
      <c r="F5215" s="196">
        <v>0</v>
      </c>
      <c r="G5215" s="196">
        <v>-50900</v>
      </c>
    </row>
    <row r="5216" spans="1:7" x14ac:dyDescent="0.3">
      <c r="A5216" s="198">
        <v>1128266034</v>
      </c>
      <c r="B5216" s="192" t="s">
        <v>3570</v>
      </c>
      <c r="C5216" s="196">
        <v>-297000</v>
      </c>
      <c r="D5216" s="196">
        <v>0</v>
      </c>
      <c r="E5216" s="196">
        <v>0</v>
      </c>
      <c r="F5216" s="196">
        <v>0</v>
      </c>
      <c r="G5216" s="196">
        <v>-297000</v>
      </c>
    </row>
    <row r="5217" spans="1:7" x14ac:dyDescent="0.3">
      <c r="A5217" s="192" t="s">
        <v>3571</v>
      </c>
      <c r="B5217" s="192" t="s">
        <v>3572</v>
      </c>
      <c r="C5217" s="196">
        <v>-162000</v>
      </c>
      <c r="D5217" s="196">
        <v>0</v>
      </c>
      <c r="E5217" s="196">
        <v>0</v>
      </c>
      <c r="F5217" s="196">
        <v>0</v>
      </c>
      <c r="G5217" s="196">
        <v>-162000</v>
      </c>
    </row>
    <row r="5218" spans="1:7" x14ac:dyDescent="0.3">
      <c r="A5218" s="198">
        <v>1152189737</v>
      </c>
      <c r="B5218" s="192" t="s">
        <v>3573</v>
      </c>
      <c r="C5218" s="196">
        <v>-101800</v>
      </c>
      <c r="D5218" s="196">
        <v>0</v>
      </c>
      <c r="E5218" s="196">
        <v>0</v>
      </c>
      <c r="F5218" s="196">
        <v>0</v>
      </c>
      <c r="G5218" s="196">
        <v>-101800</v>
      </c>
    </row>
    <row r="5219" spans="1:7" x14ac:dyDescent="0.3">
      <c r="A5219" s="198">
        <v>21526273</v>
      </c>
      <c r="B5219" s="192" t="s">
        <v>597</v>
      </c>
      <c r="C5219" s="196">
        <v>0</v>
      </c>
      <c r="D5219" s="196">
        <v>0</v>
      </c>
      <c r="E5219" s="196">
        <v>49000</v>
      </c>
      <c r="F5219" s="196">
        <v>-49000</v>
      </c>
      <c r="G5219" s="196">
        <v>-49000</v>
      </c>
    </row>
    <row r="5220" spans="1:7" x14ac:dyDescent="0.3">
      <c r="A5220" s="198">
        <v>43973898</v>
      </c>
      <c r="B5220" s="192" t="s">
        <v>3574</v>
      </c>
      <c r="C5220" s="196">
        <v>-50900</v>
      </c>
      <c r="D5220" s="196">
        <v>0</v>
      </c>
      <c r="E5220" s="196">
        <v>0</v>
      </c>
      <c r="F5220" s="196">
        <v>0</v>
      </c>
      <c r="G5220" s="196">
        <v>-50900</v>
      </c>
    </row>
    <row r="5221" spans="1:7" x14ac:dyDescent="0.3">
      <c r="A5221" s="198">
        <v>1065584306</v>
      </c>
      <c r="B5221" s="192" t="s">
        <v>2388</v>
      </c>
      <c r="C5221" s="196">
        <v>-47000</v>
      </c>
      <c r="D5221" s="196">
        <v>0</v>
      </c>
      <c r="E5221" s="196">
        <v>0</v>
      </c>
      <c r="F5221" s="196">
        <v>0</v>
      </c>
      <c r="G5221" s="196">
        <v>-47000</v>
      </c>
    </row>
    <row r="5222" spans="1:7" x14ac:dyDescent="0.3">
      <c r="A5222" s="198">
        <v>1056303529</v>
      </c>
      <c r="B5222" s="192" t="s">
        <v>3575</v>
      </c>
      <c r="C5222" s="196">
        <v>-38400</v>
      </c>
      <c r="D5222" s="196">
        <v>0</v>
      </c>
      <c r="E5222" s="196">
        <v>0</v>
      </c>
      <c r="F5222" s="196">
        <v>0</v>
      </c>
      <c r="G5222" s="196">
        <v>-38400</v>
      </c>
    </row>
    <row r="5223" spans="1:7" x14ac:dyDescent="0.3">
      <c r="A5223" s="198">
        <v>1037596910</v>
      </c>
      <c r="B5223" s="192" t="s">
        <v>3576</v>
      </c>
      <c r="C5223" s="196">
        <v>-219200</v>
      </c>
      <c r="D5223" s="196">
        <v>0</v>
      </c>
      <c r="E5223" s="196">
        <v>0</v>
      </c>
      <c r="F5223" s="196">
        <v>0</v>
      </c>
      <c r="G5223" s="196">
        <v>-219200</v>
      </c>
    </row>
    <row r="5224" spans="1:7" x14ac:dyDescent="0.3">
      <c r="A5224" s="198">
        <v>1085932775</v>
      </c>
      <c r="B5224" s="192" t="s">
        <v>3577</v>
      </c>
      <c r="C5224" s="196">
        <v>-100000</v>
      </c>
      <c r="D5224" s="196">
        <v>0</v>
      </c>
      <c r="E5224" s="196">
        <v>0</v>
      </c>
      <c r="F5224" s="196">
        <v>0</v>
      </c>
      <c r="G5224" s="196">
        <v>-100000</v>
      </c>
    </row>
    <row r="5225" spans="1:7" x14ac:dyDescent="0.3">
      <c r="A5225" s="198">
        <v>1017205067</v>
      </c>
      <c r="B5225" s="192" t="s">
        <v>3578</v>
      </c>
      <c r="C5225" s="196">
        <v>-101800</v>
      </c>
      <c r="D5225" s="196">
        <v>0</v>
      </c>
      <c r="E5225" s="196">
        <v>0</v>
      </c>
      <c r="F5225" s="196">
        <v>0</v>
      </c>
      <c r="G5225" s="196">
        <v>-101800</v>
      </c>
    </row>
    <row r="5226" spans="1:7" x14ac:dyDescent="0.3">
      <c r="A5226" s="198">
        <v>585738213</v>
      </c>
      <c r="B5226" s="192" t="s">
        <v>3579</v>
      </c>
      <c r="C5226" s="196">
        <v>-297000</v>
      </c>
      <c r="D5226" s="196">
        <v>0</v>
      </c>
      <c r="E5226" s="196">
        <v>0</v>
      </c>
      <c r="F5226" s="196">
        <v>0</v>
      </c>
      <c r="G5226" s="196">
        <v>-297000</v>
      </c>
    </row>
    <row r="5227" spans="1:7" x14ac:dyDescent="0.3">
      <c r="A5227" s="198">
        <v>1007676061</v>
      </c>
      <c r="B5227" s="192" t="s">
        <v>3580</v>
      </c>
      <c r="C5227" s="196">
        <v>-110000</v>
      </c>
      <c r="D5227" s="196">
        <v>0</v>
      </c>
      <c r="E5227" s="196">
        <v>0</v>
      </c>
      <c r="F5227" s="196">
        <v>0</v>
      </c>
      <c r="G5227" s="196">
        <v>-110000</v>
      </c>
    </row>
    <row r="5228" spans="1:7" x14ac:dyDescent="0.3">
      <c r="A5228" s="198">
        <v>3525158</v>
      </c>
      <c r="B5228" s="192" t="s">
        <v>598</v>
      </c>
      <c r="C5228" s="196">
        <v>0</v>
      </c>
      <c r="D5228" s="196">
        <v>0</v>
      </c>
      <c r="E5228" s="196">
        <v>297000</v>
      </c>
      <c r="F5228" s="196">
        <v>-297000</v>
      </c>
      <c r="G5228" s="196">
        <v>-297000</v>
      </c>
    </row>
    <row r="5229" spans="1:7" x14ac:dyDescent="0.3">
      <c r="A5229" s="198">
        <v>1053846661</v>
      </c>
      <c r="B5229" s="192" t="s">
        <v>3581</v>
      </c>
      <c r="C5229" s="196">
        <v>-165000</v>
      </c>
      <c r="D5229" s="196">
        <v>0</v>
      </c>
      <c r="E5229" s="196">
        <v>0</v>
      </c>
      <c r="F5229" s="196">
        <v>0</v>
      </c>
      <c r="G5229" s="196">
        <v>-165000</v>
      </c>
    </row>
    <row r="5230" spans="1:7" x14ac:dyDescent="0.3">
      <c r="A5230" s="192" t="s">
        <v>3582</v>
      </c>
      <c r="B5230" s="192" t="s">
        <v>3583</v>
      </c>
      <c r="C5230" s="196">
        <v>-481000</v>
      </c>
      <c r="D5230" s="196">
        <v>0</v>
      </c>
      <c r="E5230" s="196">
        <v>0</v>
      </c>
      <c r="F5230" s="196">
        <v>0</v>
      </c>
      <c r="G5230" s="196">
        <v>-481000</v>
      </c>
    </row>
    <row r="5231" spans="1:7" x14ac:dyDescent="0.3">
      <c r="A5231" s="198">
        <v>71746458</v>
      </c>
      <c r="B5231" s="192" t="s">
        <v>3584</v>
      </c>
      <c r="C5231" s="196">
        <v>-98300</v>
      </c>
      <c r="D5231" s="196">
        <v>0</v>
      </c>
      <c r="E5231" s="196">
        <v>0</v>
      </c>
      <c r="F5231" s="196">
        <v>0</v>
      </c>
      <c r="G5231" s="196">
        <v>-98300</v>
      </c>
    </row>
    <row r="5232" spans="1:7" x14ac:dyDescent="0.3">
      <c r="A5232" s="198">
        <v>1002878844</v>
      </c>
      <c r="B5232" s="192" t="s">
        <v>3585</v>
      </c>
      <c r="C5232" s="196">
        <v>-110000</v>
      </c>
      <c r="D5232" s="196">
        <v>0</v>
      </c>
      <c r="E5232" s="196">
        <v>0</v>
      </c>
      <c r="F5232" s="196">
        <v>0</v>
      </c>
      <c r="G5232" s="196">
        <v>-110000</v>
      </c>
    </row>
    <row r="5233" spans="1:7" x14ac:dyDescent="0.3">
      <c r="A5233" s="198">
        <v>1192464308</v>
      </c>
      <c r="B5233" s="192" t="s">
        <v>3586</v>
      </c>
      <c r="C5233" s="196">
        <v>-50900</v>
      </c>
      <c r="D5233" s="196">
        <v>0</v>
      </c>
      <c r="E5233" s="196">
        <v>0</v>
      </c>
      <c r="F5233" s="196">
        <v>0</v>
      </c>
      <c r="G5233" s="196">
        <v>-50900</v>
      </c>
    </row>
    <row r="5234" spans="1:7" x14ac:dyDescent="0.3">
      <c r="A5234" s="198">
        <v>1036338040</v>
      </c>
      <c r="B5234" s="192" t="s">
        <v>599</v>
      </c>
      <c r="C5234" s="196">
        <v>0</v>
      </c>
      <c r="D5234" s="196">
        <v>0</v>
      </c>
      <c r="E5234" s="196">
        <v>50900</v>
      </c>
      <c r="F5234" s="196">
        <v>-50900</v>
      </c>
      <c r="G5234" s="196">
        <v>-50900</v>
      </c>
    </row>
    <row r="5235" spans="1:7" x14ac:dyDescent="0.3">
      <c r="A5235" s="198">
        <v>1036966731</v>
      </c>
      <c r="B5235" s="192" t="s">
        <v>3587</v>
      </c>
      <c r="C5235" s="196">
        <v>-165000</v>
      </c>
      <c r="D5235" s="196">
        <v>0</v>
      </c>
      <c r="E5235" s="196">
        <v>0</v>
      </c>
      <c r="F5235" s="196">
        <v>0</v>
      </c>
      <c r="G5235" s="196">
        <v>-165000</v>
      </c>
    </row>
    <row r="5236" spans="1:7" x14ac:dyDescent="0.3">
      <c r="A5236" s="198">
        <v>1037592695</v>
      </c>
      <c r="B5236" s="192" t="s">
        <v>3588</v>
      </c>
      <c r="C5236" s="196">
        <v>-50900</v>
      </c>
      <c r="D5236" s="196">
        <v>0</v>
      </c>
      <c r="E5236" s="196">
        <v>0</v>
      </c>
      <c r="F5236" s="196">
        <v>0</v>
      </c>
      <c r="G5236" s="196">
        <v>-50900</v>
      </c>
    </row>
    <row r="5237" spans="1:7" x14ac:dyDescent="0.3">
      <c r="A5237" s="198">
        <v>1037593876</v>
      </c>
      <c r="B5237" s="192" t="s">
        <v>3589</v>
      </c>
      <c r="C5237" s="196">
        <v>-29700</v>
      </c>
      <c r="D5237" s="196">
        <v>0</v>
      </c>
      <c r="E5237" s="196">
        <v>0</v>
      </c>
      <c r="F5237" s="196">
        <v>0</v>
      </c>
      <c r="G5237" s="196">
        <v>-29700</v>
      </c>
    </row>
    <row r="5238" spans="1:7" x14ac:dyDescent="0.3">
      <c r="A5238" s="198">
        <v>1015276894</v>
      </c>
      <c r="B5238" s="192" t="s">
        <v>3590</v>
      </c>
      <c r="C5238" s="196">
        <v>-50900</v>
      </c>
      <c r="D5238" s="196">
        <v>0</v>
      </c>
      <c r="E5238" s="196">
        <v>0</v>
      </c>
      <c r="F5238" s="196">
        <v>0</v>
      </c>
      <c r="G5238" s="196">
        <v>-50900</v>
      </c>
    </row>
    <row r="5239" spans="1:7" x14ac:dyDescent="0.3">
      <c r="A5239" s="198">
        <v>1037615783</v>
      </c>
      <c r="B5239" s="192" t="s">
        <v>601</v>
      </c>
      <c r="C5239" s="196">
        <v>0</v>
      </c>
      <c r="D5239" s="196">
        <v>0</v>
      </c>
      <c r="E5239" s="196">
        <v>50900</v>
      </c>
      <c r="F5239" s="196">
        <v>-50900</v>
      </c>
      <c r="G5239" s="196">
        <v>-50900</v>
      </c>
    </row>
    <row r="5240" spans="1:7" x14ac:dyDescent="0.3">
      <c r="A5240" s="198">
        <v>1037639251</v>
      </c>
      <c r="B5240" s="192" t="s">
        <v>602</v>
      </c>
      <c r="C5240" s="196">
        <v>0</v>
      </c>
      <c r="D5240" s="196">
        <v>0</v>
      </c>
      <c r="E5240" s="196">
        <v>50900</v>
      </c>
      <c r="F5240" s="196">
        <v>-50900</v>
      </c>
      <c r="G5240" s="196">
        <v>-50900</v>
      </c>
    </row>
    <row r="5241" spans="1:7" x14ac:dyDescent="0.3">
      <c r="A5241" s="198">
        <v>1021802291</v>
      </c>
      <c r="B5241" s="192" t="s">
        <v>3591</v>
      </c>
      <c r="C5241" s="196">
        <v>-50900</v>
      </c>
      <c r="D5241" s="196">
        <v>0</v>
      </c>
      <c r="E5241" s="196">
        <v>0</v>
      </c>
      <c r="F5241" s="196">
        <v>0</v>
      </c>
      <c r="G5241" s="196">
        <v>-50900</v>
      </c>
    </row>
    <row r="5242" spans="1:7" x14ac:dyDescent="0.3">
      <c r="A5242" s="198">
        <v>1037599802</v>
      </c>
      <c r="B5242" s="192" t="s">
        <v>3592</v>
      </c>
      <c r="C5242" s="196">
        <v>-60800</v>
      </c>
      <c r="D5242" s="196">
        <v>0</v>
      </c>
      <c r="E5242" s="196">
        <v>0</v>
      </c>
      <c r="F5242" s="196">
        <v>0</v>
      </c>
      <c r="G5242" s="196">
        <v>-60800</v>
      </c>
    </row>
    <row r="5243" spans="1:7" x14ac:dyDescent="0.3">
      <c r="A5243" s="198">
        <v>1010062278</v>
      </c>
      <c r="B5243" s="192" t="s">
        <v>3593</v>
      </c>
      <c r="C5243" s="196">
        <v>-297000</v>
      </c>
      <c r="D5243" s="196">
        <v>0</v>
      </c>
      <c r="E5243" s="196">
        <v>0</v>
      </c>
      <c r="F5243" s="196">
        <v>0</v>
      </c>
      <c r="G5243" s="196">
        <v>-297000</v>
      </c>
    </row>
    <row r="5244" spans="1:7" x14ac:dyDescent="0.3">
      <c r="A5244" s="198">
        <v>1214726060</v>
      </c>
      <c r="B5244" s="192" t="s">
        <v>3594</v>
      </c>
      <c r="C5244" s="196">
        <v>-297000</v>
      </c>
      <c r="D5244" s="196">
        <v>0</v>
      </c>
      <c r="E5244" s="196">
        <v>0</v>
      </c>
      <c r="F5244" s="196">
        <v>0</v>
      </c>
      <c r="G5244" s="196">
        <v>-297000</v>
      </c>
    </row>
    <row r="5245" spans="1:7" x14ac:dyDescent="0.3">
      <c r="A5245" s="198">
        <v>1152190205</v>
      </c>
      <c r="B5245" s="192" t="s">
        <v>603</v>
      </c>
      <c r="C5245" s="196">
        <v>0</v>
      </c>
      <c r="D5245" s="196">
        <v>0</v>
      </c>
      <c r="E5245" s="196">
        <v>148500</v>
      </c>
      <c r="F5245" s="196">
        <v>-148500</v>
      </c>
      <c r="G5245" s="196">
        <v>-148500</v>
      </c>
    </row>
    <row r="5246" spans="1:7" x14ac:dyDescent="0.3">
      <c r="A5246" s="198">
        <v>1037636402</v>
      </c>
      <c r="B5246" s="192" t="s">
        <v>3595</v>
      </c>
      <c r="C5246" s="196">
        <v>-152700</v>
      </c>
      <c r="D5246" s="196">
        <v>0</v>
      </c>
      <c r="E5246" s="196">
        <v>0</v>
      </c>
      <c r="F5246" s="196">
        <v>0</v>
      </c>
      <c r="G5246" s="196">
        <v>-152700</v>
      </c>
    </row>
    <row r="5247" spans="1:7" x14ac:dyDescent="0.3">
      <c r="A5247" s="198">
        <v>1017269235</v>
      </c>
      <c r="B5247" s="192" t="s">
        <v>3596</v>
      </c>
      <c r="C5247" s="196">
        <v>-27500</v>
      </c>
      <c r="D5247" s="196">
        <v>0</v>
      </c>
      <c r="E5247" s="196">
        <v>0</v>
      </c>
      <c r="F5247" s="196">
        <v>0</v>
      </c>
      <c r="G5247" s="196">
        <v>-27500</v>
      </c>
    </row>
    <row r="5248" spans="1:7" x14ac:dyDescent="0.3">
      <c r="A5248" s="198">
        <v>1035876767</v>
      </c>
      <c r="B5248" s="192" t="s">
        <v>3597</v>
      </c>
      <c r="C5248" s="196">
        <v>-38400</v>
      </c>
      <c r="D5248" s="196">
        <v>0</v>
      </c>
      <c r="E5248" s="196">
        <v>0</v>
      </c>
      <c r="F5248" s="196">
        <v>0</v>
      </c>
      <c r="G5248" s="196">
        <v>-38400</v>
      </c>
    </row>
    <row r="5249" spans="1:7" x14ac:dyDescent="0.3">
      <c r="A5249" s="198">
        <v>1152442789</v>
      </c>
      <c r="B5249" s="192" t="s">
        <v>3598</v>
      </c>
      <c r="C5249" s="196">
        <v>-38400</v>
      </c>
      <c r="D5249" s="196">
        <v>0</v>
      </c>
      <c r="E5249" s="196">
        <v>0</v>
      </c>
      <c r="F5249" s="196">
        <v>0</v>
      </c>
      <c r="G5249" s="196">
        <v>-38400</v>
      </c>
    </row>
    <row r="5250" spans="1:7" x14ac:dyDescent="0.3">
      <c r="A5250" s="198">
        <v>1214741564</v>
      </c>
      <c r="B5250" s="192" t="s">
        <v>3599</v>
      </c>
      <c r="C5250" s="196">
        <v>-47000</v>
      </c>
      <c r="D5250" s="196">
        <v>0</v>
      </c>
      <c r="E5250" s="196">
        <v>0</v>
      </c>
      <c r="F5250" s="196">
        <v>0</v>
      </c>
      <c r="G5250" s="196">
        <v>-47000</v>
      </c>
    </row>
    <row r="5251" spans="1:7" x14ac:dyDescent="0.3">
      <c r="A5251" s="198">
        <v>1037635767</v>
      </c>
      <c r="B5251" s="192" t="s">
        <v>3600</v>
      </c>
      <c r="C5251" s="196">
        <v>-50900</v>
      </c>
      <c r="D5251" s="196">
        <v>0</v>
      </c>
      <c r="E5251" s="196">
        <v>0</v>
      </c>
      <c r="F5251" s="196">
        <v>0</v>
      </c>
      <c r="G5251" s="196">
        <v>-50900</v>
      </c>
    </row>
    <row r="5252" spans="1:7" x14ac:dyDescent="0.3">
      <c r="A5252" s="198">
        <v>2279463</v>
      </c>
      <c r="B5252" s="192" t="s">
        <v>605</v>
      </c>
      <c r="C5252" s="196">
        <v>0</v>
      </c>
      <c r="D5252" s="196">
        <v>0</v>
      </c>
      <c r="E5252" s="196">
        <v>297000</v>
      </c>
      <c r="F5252" s="196">
        <v>-297000</v>
      </c>
      <c r="G5252" s="196">
        <v>-297000</v>
      </c>
    </row>
    <row r="5253" spans="1:7" x14ac:dyDescent="0.3">
      <c r="A5253" s="198">
        <v>50868654</v>
      </c>
      <c r="B5253" s="192" t="s">
        <v>3601</v>
      </c>
      <c r="C5253" s="196">
        <v>-319000</v>
      </c>
      <c r="D5253" s="196">
        <v>0</v>
      </c>
      <c r="E5253" s="196">
        <v>0</v>
      </c>
      <c r="F5253" s="196">
        <v>0</v>
      </c>
      <c r="G5253" s="196">
        <v>-319000</v>
      </c>
    </row>
    <row r="5254" spans="1:7" x14ac:dyDescent="0.3">
      <c r="A5254" s="192" t="s">
        <v>3602</v>
      </c>
      <c r="B5254" s="192" t="s">
        <v>3603</v>
      </c>
      <c r="C5254" s="196">
        <v>-270000</v>
      </c>
      <c r="D5254" s="196">
        <v>0</v>
      </c>
      <c r="E5254" s="196">
        <v>0</v>
      </c>
      <c r="F5254" s="196">
        <v>0</v>
      </c>
      <c r="G5254" s="196">
        <v>-270000</v>
      </c>
    </row>
    <row r="5255" spans="1:7" x14ac:dyDescent="0.3">
      <c r="A5255" s="198">
        <v>1023564978</v>
      </c>
      <c r="B5255" s="192" t="s">
        <v>3604</v>
      </c>
      <c r="C5255" s="196">
        <v>-38400</v>
      </c>
      <c r="D5255" s="196">
        <v>0</v>
      </c>
      <c r="E5255" s="196">
        <v>0</v>
      </c>
      <c r="F5255" s="196">
        <v>0</v>
      </c>
      <c r="G5255" s="196">
        <v>-38400</v>
      </c>
    </row>
    <row r="5256" spans="1:7" x14ac:dyDescent="0.3">
      <c r="A5256" s="198">
        <v>71495596</v>
      </c>
      <c r="B5256" s="192" t="s">
        <v>3605</v>
      </c>
      <c r="C5256" s="196">
        <v>-297000</v>
      </c>
      <c r="D5256" s="196">
        <v>0</v>
      </c>
      <c r="E5256" s="196">
        <v>0</v>
      </c>
      <c r="F5256" s="196">
        <v>0</v>
      </c>
      <c r="G5256" s="196">
        <v>-297000</v>
      </c>
    </row>
    <row r="5257" spans="1:7" x14ac:dyDescent="0.3">
      <c r="A5257" s="198">
        <v>1022008897</v>
      </c>
      <c r="B5257" s="192" t="s">
        <v>3606</v>
      </c>
      <c r="C5257" s="196">
        <v>-50900</v>
      </c>
      <c r="D5257" s="196">
        <v>0</v>
      </c>
      <c r="E5257" s="196">
        <v>0</v>
      </c>
      <c r="F5257" s="196">
        <v>0</v>
      </c>
      <c r="G5257" s="196">
        <v>-50900</v>
      </c>
    </row>
    <row r="5258" spans="1:7" x14ac:dyDescent="0.3">
      <c r="A5258" s="198">
        <v>71905003</v>
      </c>
      <c r="B5258" s="192" t="s">
        <v>607</v>
      </c>
      <c r="C5258" s="196">
        <v>0</v>
      </c>
      <c r="D5258" s="196">
        <v>0</v>
      </c>
      <c r="E5258" s="196">
        <v>114400</v>
      </c>
      <c r="F5258" s="196">
        <v>-114400</v>
      </c>
      <c r="G5258" s="196">
        <v>-114400</v>
      </c>
    </row>
    <row r="5259" spans="1:7" x14ac:dyDescent="0.3">
      <c r="A5259" s="198">
        <v>1021933603</v>
      </c>
      <c r="B5259" s="192" t="s">
        <v>3607</v>
      </c>
      <c r="C5259" s="196">
        <v>-50900</v>
      </c>
      <c r="D5259" s="196">
        <v>0</v>
      </c>
      <c r="E5259" s="196">
        <v>0</v>
      </c>
      <c r="F5259" s="196">
        <v>0</v>
      </c>
      <c r="G5259" s="196">
        <v>-50900</v>
      </c>
    </row>
    <row r="5260" spans="1:7" x14ac:dyDescent="0.3">
      <c r="A5260" s="198">
        <v>1035026587</v>
      </c>
      <c r="B5260" s="192" t="s">
        <v>3608</v>
      </c>
      <c r="C5260" s="196">
        <v>-50900</v>
      </c>
      <c r="D5260" s="196">
        <v>0</v>
      </c>
      <c r="E5260" s="196">
        <v>0</v>
      </c>
      <c r="F5260" s="196">
        <v>0</v>
      </c>
      <c r="G5260" s="196">
        <v>-50900</v>
      </c>
    </row>
    <row r="5261" spans="1:7" x14ac:dyDescent="0.3">
      <c r="A5261" s="198">
        <v>1035005912</v>
      </c>
      <c r="B5261" s="192" t="s">
        <v>2144</v>
      </c>
      <c r="C5261" s="196">
        <v>-47400</v>
      </c>
      <c r="D5261" s="196">
        <v>0</v>
      </c>
      <c r="E5261" s="196">
        <v>0</v>
      </c>
      <c r="F5261" s="196">
        <v>0</v>
      </c>
      <c r="G5261" s="196">
        <v>-47400</v>
      </c>
    </row>
    <row r="5262" spans="1:7" x14ac:dyDescent="0.3">
      <c r="A5262" s="198">
        <v>1035017897</v>
      </c>
      <c r="B5262" s="192" t="s">
        <v>3609</v>
      </c>
      <c r="C5262" s="196">
        <v>-57200</v>
      </c>
      <c r="D5262" s="196">
        <v>0</v>
      </c>
      <c r="E5262" s="196">
        <v>0</v>
      </c>
      <c r="F5262" s="196">
        <v>0</v>
      </c>
      <c r="G5262" s="196">
        <v>-57200</v>
      </c>
    </row>
    <row r="5263" spans="1:7" x14ac:dyDescent="0.3">
      <c r="A5263" s="198">
        <v>1003404715</v>
      </c>
      <c r="B5263" s="192" t="s">
        <v>3610</v>
      </c>
      <c r="C5263" s="196">
        <v>-319000</v>
      </c>
      <c r="D5263" s="196">
        <v>0</v>
      </c>
      <c r="E5263" s="196">
        <v>0</v>
      </c>
      <c r="F5263" s="196">
        <v>0</v>
      </c>
      <c r="G5263" s="196">
        <v>-319000</v>
      </c>
    </row>
    <row r="5264" spans="1:7" x14ac:dyDescent="0.3">
      <c r="A5264" s="198">
        <v>1757482821</v>
      </c>
      <c r="B5264" s="192" t="s">
        <v>3611</v>
      </c>
      <c r="C5264" s="196">
        <v>-50900</v>
      </c>
      <c r="D5264" s="196">
        <v>0</v>
      </c>
      <c r="E5264" s="196">
        <v>0</v>
      </c>
      <c r="F5264" s="196">
        <v>0</v>
      </c>
      <c r="G5264" s="196">
        <v>-50900</v>
      </c>
    </row>
    <row r="5265" spans="1:7" x14ac:dyDescent="0.3">
      <c r="A5265" s="198">
        <v>1035005777</v>
      </c>
      <c r="B5265" s="192" t="s">
        <v>3612</v>
      </c>
      <c r="C5265" s="196">
        <v>-50900</v>
      </c>
      <c r="D5265" s="196">
        <v>0</v>
      </c>
      <c r="E5265" s="196">
        <v>0</v>
      </c>
      <c r="F5265" s="196">
        <v>0</v>
      </c>
      <c r="G5265" s="196">
        <v>-50900</v>
      </c>
    </row>
    <row r="5266" spans="1:7" x14ac:dyDescent="0.3">
      <c r="A5266" s="198">
        <v>584092732</v>
      </c>
      <c r="B5266" s="192" t="s">
        <v>3613</v>
      </c>
      <c r="C5266" s="196">
        <v>-110000</v>
      </c>
      <c r="D5266" s="196">
        <v>0</v>
      </c>
      <c r="E5266" s="196">
        <v>0</v>
      </c>
      <c r="F5266" s="196">
        <v>0</v>
      </c>
      <c r="G5266" s="196">
        <v>-110000</v>
      </c>
    </row>
    <row r="5267" spans="1:7" x14ac:dyDescent="0.3">
      <c r="A5267" s="198">
        <v>1036657796</v>
      </c>
      <c r="B5267" s="192" t="s">
        <v>3614</v>
      </c>
      <c r="C5267" s="196">
        <v>-110000</v>
      </c>
      <c r="D5267" s="196">
        <v>0</v>
      </c>
      <c r="E5267" s="196">
        <v>0</v>
      </c>
      <c r="F5267" s="196">
        <v>0</v>
      </c>
      <c r="G5267" s="196">
        <v>-110000</v>
      </c>
    </row>
    <row r="5268" spans="1:7" x14ac:dyDescent="0.3">
      <c r="A5268" s="198">
        <v>1193518654</v>
      </c>
      <c r="B5268" s="192" t="s">
        <v>3615</v>
      </c>
      <c r="C5268" s="196">
        <v>-54200</v>
      </c>
      <c r="D5268" s="196">
        <v>0</v>
      </c>
      <c r="E5268" s="196">
        <v>0</v>
      </c>
      <c r="F5268" s="196">
        <v>0</v>
      </c>
      <c r="G5268" s="196">
        <v>-54200</v>
      </c>
    </row>
    <row r="5269" spans="1:7" x14ac:dyDescent="0.3">
      <c r="A5269" s="198">
        <v>70812037</v>
      </c>
      <c r="B5269" s="192" t="s">
        <v>3616</v>
      </c>
      <c r="C5269" s="196">
        <v>-57200</v>
      </c>
      <c r="D5269" s="196">
        <v>0</v>
      </c>
      <c r="E5269" s="196">
        <v>0</v>
      </c>
      <c r="F5269" s="196">
        <v>0</v>
      </c>
      <c r="G5269" s="196">
        <v>-57200</v>
      </c>
    </row>
    <row r="5270" spans="1:7" x14ac:dyDescent="0.3">
      <c r="A5270" s="198">
        <v>1152441460</v>
      </c>
      <c r="B5270" s="192" t="s">
        <v>3617</v>
      </c>
      <c r="C5270" s="196">
        <v>-50900</v>
      </c>
      <c r="D5270" s="196">
        <v>0</v>
      </c>
      <c r="E5270" s="196">
        <v>0</v>
      </c>
      <c r="F5270" s="196">
        <v>0</v>
      </c>
      <c r="G5270" s="196">
        <v>-50900</v>
      </c>
    </row>
    <row r="5271" spans="1:7" x14ac:dyDescent="0.3">
      <c r="A5271" s="198">
        <v>15442720</v>
      </c>
      <c r="B5271" s="192" t="s">
        <v>609</v>
      </c>
      <c r="C5271" s="196">
        <v>0</v>
      </c>
      <c r="D5271" s="196">
        <v>0</v>
      </c>
      <c r="E5271" s="196">
        <v>50900</v>
      </c>
      <c r="F5271" s="196">
        <v>-50900</v>
      </c>
      <c r="G5271" s="196">
        <v>-50900</v>
      </c>
    </row>
    <row r="5272" spans="1:7" x14ac:dyDescent="0.3">
      <c r="A5272" s="198">
        <v>43463957</v>
      </c>
      <c r="B5272" s="192" t="s">
        <v>3618</v>
      </c>
      <c r="C5272" s="196">
        <v>-50900</v>
      </c>
      <c r="D5272" s="196">
        <v>0</v>
      </c>
      <c r="E5272" s="196">
        <v>0</v>
      </c>
      <c r="F5272" s="196">
        <v>0</v>
      </c>
      <c r="G5272" s="196">
        <v>-50900</v>
      </c>
    </row>
    <row r="5273" spans="1:7" x14ac:dyDescent="0.3">
      <c r="A5273" s="198">
        <v>24471570</v>
      </c>
      <c r="B5273" s="192" t="s">
        <v>3619</v>
      </c>
      <c r="C5273" s="196">
        <v>-319000</v>
      </c>
      <c r="D5273" s="196">
        <v>0</v>
      </c>
      <c r="E5273" s="196">
        <v>0</v>
      </c>
      <c r="F5273" s="196">
        <v>0</v>
      </c>
      <c r="G5273" s="196">
        <v>-319000</v>
      </c>
    </row>
    <row r="5274" spans="1:7" x14ac:dyDescent="0.3">
      <c r="A5274" s="198">
        <v>7803771</v>
      </c>
      <c r="B5274" s="192" t="s">
        <v>610</v>
      </c>
      <c r="C5274" s="196">
        <v>0</v>
      </c>
      <c r="D5274" s="196">
        <v>0</v>
      </c>
      <c r="E5274" s="196">
        <v>46100</v>
      </c>
      <c r="F5274" s="196">
        <v>-46100</v>
      </c>
      <c r="G5274" s="196">
        <v>-46100</v>
      </c>
    </row>
    <row r="5275" spans="1:7" x14ac:dyDescent="0.3">
      <c r="A5275" s="198">
        <v>396165</v>
      </c>
      <c r="B5275" s="192" t="s">
        <v>3620</v>
      </c>
      <c r="C5275" s="196">
        <v>-50900</v>
      </c>
      <c r="D5275" s="196">
        <v>0</v>
      </c>
      <c r="E5275" s="196">
        <v>0</v>
      </c>
      <c r="F5275" s="196">
        <v>0</v>
      </c>
      <c r="G5275" s="196">
        <v>-50900</v>
      </c>
    </row>
    <row r="5276" spans="1:7" x14ac:dyDescent="0.3">
      <c r="A5276" s="192" t="s">
        <v>611</v>
      </c>
      <c r="B5276" s="192" t="s">
        <v>612</v>
      </c>
      <c r="C5276" s="196">
        <v>-119000</v>
      </c>
      <c r="D5276" s="196">
        <v>0</v>
      </c>
      <c r="E5276" s="196">
        <v>0</v>
      </c>
      <c r="F5276" s="196">
        <v>0</v>
      </c>
      <c r="G5276" s="196">
        <v>-119000</v>
      </c>
    </row>
    <row r="5277" spans="1:7" x14ac:dyDescent="0.3">
      <c r="A5277" s="198">
        <v>169290607</v>
      </c>
      <c r="B5277" s="192" t="s">
        <v>613</v>
      </c>
      <c r="C5277" s="196">
        <v>0</v>
      </c>
      <c r="D5277" s="196">
        <v>0</v>
      </c>
      <c r="E5277" s="196">
        <v>297000</v>
      </c>
      <c r="F5277" s="196">
        <v>-297000</v>
      </c>
      <c r="G5277" s="196">
        <v>-297000</v>
      </c>
    </row>
    <row r="5278" spans="1:7" x14ac:dyDescent="0.3">
      <c r="A5278" s="198">
        <v>44000436</v>
      </c>
      <c r="B5278" s="192" t="s">
        <v>3621</v>
      </c>
      <c r="C5278" s="196">
        <v>-47400</v>
      </c>
      <c r="D5278" s="196">
        <v>0</v>
      </c>
      <c r="E5278" s="196">
        <v>0</v>
      </c>
      <c r="F5278" s="196">
        <v>0</v>
      </c>
      <c r="G5278" s="196">
        <v>-47400</v>
      </c>
    </row>
    <row r="5279" spans="1:7" x14ac:dyDescent="0.3">
      <c r="A5279" s="198">
        <v>42780702</v>
      </c>
      <c r="B5279" s="192" t="s">
        <v>3622</v>
      </c>
      <c r="C5279" s="196">
        <v>-38400</v>
      </c>
      <c r="D5279" s="196">
        <v>0</v>
      </c>
      <c r="E5279" s="196">
        <v>0</v>
      </c>
      <c r="F5279" s="196">
        <v>0</v>
      </c>
      <c r="G5279" s="196">
        <v>-38400</v>
      </c>
    </row>
    <row r="5280" spans="1:7" x14ac:dyDescent="0.3">
      <c r="A5280" s="198">
        <v>32456438</v>
      </c>
      <c r="B5280" s="192" t="s">
        <v>3623</v>
      </c>
      <c r="C5280" s="196">
        <v>-290000</v>
      </c>
      <c r="D5280" s="196">
        <v>0</v>
      </c>
      <c r="E5280" s="196">
        <v>0</v>
      </c>
      <c r="F5280" s="196">
        <v>0</v>
      </c>
      <c r="G5280" s="196">
        <v>-290000</v>
      </c>
    </row>
    <row r="5281" spans="1:7" x14ac:dyDescent="0.3">
      <c r="A5281" s="198">
        <v>21393200</v>
      </c>
      <c r="B5281" s="192" t="s">
        <v>614</v>
      </c>
      <c r="C5281" s="196">
        <v>-41400</v>
      </c>
      <c r="D5281" s="196">
        <v>0</v>
      </c>
      <c r="E5281" s="196">
        <v>0</v>
      </c>
      <c r="F5281" s="196">
        <v>0</v>
      </c>
      <c r="G5281" s="196">
        <v>-41400</v>
      </c>
    </row>
    <row r="5282" spans="1:7" x14ac:dyDescent="0.3">
      <c r="A5282" s="198">
        <v>30060361</v>
      </c>
      <c r="B5282" s="192" t="s">
        <v>3624</v>
      </c>
      <c r="C5282" s="196">
        <v>-319000</v>
      </c>
      <c r="D5282" s="196">
        <v>0</v>
      </c>
      <c r="E5282" s="196">
        <v>0</v>
      </c>
      <c r="F5282" s="196">
        <v>0</v>
      </c>
      <c r="G5282" s="196">
        <v>-319000</v>
      </c>
    </row>
    <row r="5283" spans="1:7" x14ac:dyDescent="0.3">
      <c r="A5283" s="198">
        <v>1020454560</v>
      </c>
      <c r="B5283" s="192" t="s">
        <v>3625</v>
      </c>
      <c r="C5283" s="196">
        <v>-37000</v>
      </c>
      <c r="D5283" s="196">
        <v>0</v>
      </c>
      <c r="E5283" s="196">
        <v>0</v>
      </c>
      <c r="F5283" s="196">
        <v>0</v>
      </c>
      <c r="G5283" s="196">
        <v>-37000</v>
      </c>
    </row>
    <row r="5284" spans="1:7" x14ac:dyDescent="0.3">
      <c r="A5284" s="198">
        <v>43912481</v>
      </c>
      <c r="B5284" s="192" t="s">
        <v>615</v>
      </c>
      <c r="C5284" s="196">
        <v>0</v>
      </c>
      <c r="D5284" s="196">
        <v>0</v>
      </c>
      <c r="E5284" s="196">
        <v>50900</v>
      </c>
      <c r="F5284" s="196">
        <v>-50900</v>
      </c>
      <c r="G5284" s="196">
        <v>-50900</v>
      </c>
    </row>
    <row r="5285" spans="1:7" x14ac:dyDescent="0.3">
      <c r="A5285" s="198">
        <v>5035581</v>
      </c>
      <c r="B5285" s="192" t="s">
        <v>616</v>
      </c>
      <c r="C5285" s="196">
        <v>0</v>
      </c>
      <c r="D5285" s="196">
        <v>0</v>
      </c>
      <c r="E5285" s="196">
        <v>290000</v>
      </c>
      <c r="F5285" s="196">
        <v>-290000</v>
      </c>
      <c r="G5285" s="196">
        <v>-290000</v>
      </c>
    </row>
    <row r="5286" spans="1:7" x14ac:dyDescent="0.3">
      <c r="A5286" s="198">
        <v>1035026508</v>
      </c>
      <c r="B5286" s="192" t="s">
        <v>3626</v>
      </c>
      <c r="C5286" s="196">
        <v>-50900</v>
      </c>
      <c r="D5286" s="196">
        <v>0</v>
      </c>
      <c r="E5286" s="196">
        <v>0</v>
      </c>
      <c r="F5286" s="196">
        <v>0</v>
      </c>
      <c r="G5286" s="196">
        <v>-50900</v>
      </c>
    </row>
    <row r="5287" spans="1:7" x14ac:dyDescent="0.3">
      <c r="A5287" s="198">
        <v>1011521042</v>
      </c>
      <c r="B5287" s="192" t="s">
        <v>3627</v>
      </c>
      <c r="C5287" s="196">
        <v>-50900</v>
      </c>
      <c r="D5287" s="196">
        <v>0</v>
      </c>
      <c r="E5287" s="196">
        <v>0</v>
      </c>
      <c r="F5287" s="196">
        <v>0</v>
      </c>
      <c r="G5287" s="196">
        <v>-50900</v>
      </c>
    </row>
    <row r="5288" spans="1:7" x14ac:dyDescent="0.3">
      <c r="A5288" s="198">
        <v>1035026594</v>
      </c>
      <c r="B5288" s="192" t="s">
        <v>3628</v>
      </c>
      <c r="C5288" s="196">
        <v>-50900</v>
      </c>
      <c r="D5288" s="196">
        <v>0</v>
      </c>
      <c r="E5288" s="196">
        <v>0</v>
      </c>
      <c r="F5288" s="196">
        <v>0</v>
      </c>
      <c r="G5288" s="196">
        <v>-50900</v>
      </c>
    </row>
    <row r="5289" spans="1:7" x14ac:dyDescent="0.3">
      <c r="A5289" s="198">
        <v>71263921</v>
      </c>
      <c r="B5289" s="192" t="s">
        <v>3629</v>
      </c>
      <c r="C5289" s="196">
        <v>-47400</v>
      </c>
      <c r="D5289" s="196">
        <v>0</v>
      </c>
      <c r="E5289" s="196">
        <v>0</v>
      </c>
      <c r="F5289" s="196">
        <v>0</v>
      </c>
      <c r="G5289" s="196">
        <v>-47400</v>
      </c>
    </row>
    <row r="5290" spans="1:7" x14ac:dyDescent="0.3">
      <c r="A5290" s="198">
        <v>1036523092</v>
      </c>
      <c r="B5290" s="192" t="s">
        <v>3630</v>
      </c>
      <c r="C5290" s="196">
        <v>-50900</v>
      </c>
      <c r="D5290" s="196">
        <v>0</v>
      </c>
      <c r="E5290" s="196">
        <v>0</v>
      </c>
      <c r="F5290" s="196">
        <v>0</v>
      </c>
      <c r="G5290" s="196">
        <v>-50900</v>
      </c>
    </row>
    <row r="5291" spans="1:7" x14ac:dyDescent="0.3">
      <c r="A5291" s="198">
        <v>1193535091</v>
      </c>
      <c r="B5291" s="192" t="s">
        <v>3631</v>
      </c>
      <c r="C5291" s="196">
        <v>-50900</v>
      </c>
      <c r="D5291" s="196">
        <v>0</v>
      </c>
      <c r="E5291" s="196">
        <v>0</v>
      </c>
      <c r="F5291" s="196">
        <v>0</v>
      </c>
      <c r="G5291" s="196">
        <v>-50900</v>
      </c>
    </row>
    <row r="5292" spans="1:7" x14ac:dyDescent="0.3">
      <c r="A5292" s="198">
        <v>1040184401</v>
      </c>
      <c r="B5292" s="192" t="s">
        <v>3632</v>
      </c>
      <c r="C5292" s="196">
        <v>-50900</v>
      </c>
      <c r="D5292" s="196">
        <v>0</v>
      </c>
      <c r="E5292" s="196">
        <v>0</v>
      </c>
      <c r="F5292" s="196">
        <v>0</v>
      </c>
      <c r="G5292" s="196">
        <v>-50900</v>
      </c>
    </row>
    <row r="5293" spans="1:7" x14ac:dyDescent="0.3">
      <c r="A5293" s="198">
        <v>1017940420</v>
      </c>
      <c r="B5293" s="192" t="s">
        <v>617</v>
      </c>
      <c r="C5293" s="196">
        <v>0</v>
      </c>
      <c r="D5293" s="196">
        <v>0</v>
      </c>
      <c r="E5293" s="196">
        <v>297000</v>
      </c>
      <c r="F5293" s="196">
        <v>-297000</v>
      </c>
      <c r="G5293" s="196">
        <v>-297000</v>
      </c>
    </row>
    <row r="5294" spans="1:7" x14ac:dyDescent="0.3">
      <c r="A5294" s="198">
        <v>1035023658</v>
      </c>
      <c r="B5294" s="192" t="s">
        <v>3633</v>
      </c>
      <c r="C5294" s="196">
        <v>-340000</v>
      </c>
      <c r="D5294" s="196">
        <v>0</v>
      </c>
      <c r="E5294" s="196">
        <v>0</v>
      </c>
      <c r="F5294" s="196">
        <v>0</v>
      </c>
      <c r="G5294" s="196">
        <v>-340000</v>
      </c>
    </row>
    <row r="5295" spans="1:7" x14ac:dyDescent="0.3">
      <c r="A5295" s="198">
        <v>1238939930</v>
      </c>
      <c r="B5295" s="192" t="s">
        <v>3634</v>
      </c>
      <c r="C5295" s="196">
        <v>-149200</v>
      </c>
      <c r="D5295" s="196">
        <v>0</v>
      </c>
      <c r="E5295" s="196">
        <v>0</v>
      </c>
      <c r="F5295" s="196">
        <v>0</v>
      </c>
      <c r="G5295" s="196">
        <v>-149200</v>
      </c>
    </row>
    <row r="5296" spans="1:7" x14ac:dyDescent="0.3">
      <c r="A5296" s="198">
        <v>1054988007</v>
      </c>
      <c r="B5296" s="192" t="s">
        <v>618</v>
      </c>
      <c r="C5296" s="196">
        <v>0</v>
      </c>
      <c r="D5296" s="196">
        <v>0</v>
      </c>
      <c r="E5296" s="196">
        <v>297000</v>
      </c>
      <c r="F5296" s="196">
        <v>-297000</v>
      </c>
      <c r="G5296" s="196">
        <v>-297000</v>
      </c>
    </row>
    <row r="5297" spans="1:7" x14ac:dyDescent="0.3">
      <c r="A5297" s="198">
        <v>1020401806</v>
      </c>
      <c r="B5297" s="192" t="s">
        <v>3635</v>
      </c>
      <c r="C5297" s="196">
        <v>-38400</v>
      </c>
      <c r="D5297" s="196">
        <v>0</v>
      </c>
      <c r="E5297" s="196">
        <v>0</v>
      </c>
      <c r="F5297" s="196">
        <v>0</v>
      </c>
      <c r="G5297" s="196">
        <v>-38400</v>
      </c>
    </row>
    <row r="5298" spans="1:7" x14ac:dyDescent="0.3">
      <c r="A5298" s="198">
        <v>1020302602</v>
      </c>
      <c r="B5298" s="192" t="s">
        <v>3636</v>
      </c>
      <c r="C5298" s="196">
        <v>-50900</v>
      </c>
      <c r="D5298" s="196">
        <v>0</v>
      </c>
      <c r="E5298" s="196">
        <v>0</v>
      </c>
      <c r="F5298" s="196">
        <v>0</v>
      </c>
      <c r="G5298" s="196">
        <v>-50900</v>
      </c>
    </row>
    <row r="5299" spans="1:7" x14ac:dyDescent="0.3">
      <c r="A5299" s="198">
        <v>1083894021</v>
      </c>
      <c r="B5299" s="192" t="s">
        <v>3637</v>
      </c>
      <c r="C5299" s="196">
        <v>-110000</v>
      </c>
      <c r="D5299" s="196">
        <v>0</v>
      </c>
      <c r="E5299" s="196">
        <v>0</v>
      </c>
      <c r="F5299" s="196">
        <v>0</v>
      </c>
      <c r="G5299" s="196">
        <v>-110000</v>
      </c>
    </row>
    <row r="5300" spans="1:7" x14ac:dyDescent="0.3">
      <c r="A5300" s="198">
        <v>1034999146</v>
      </c>
      <c r="B5300" s="192" t="s">
        <v>3638</v>
      </c>
      <c r="C5300" s="196">
        <v>-50900</v>
      </c>
      <c r="D5300" s="196">
        <v>0</v>
      </c>
      <c r="E5300" s="196">
        <v>0</v>
      </c>
      <c r="F5300" s="196">
        <v>0</v>
      </c>
      <c r="G5300" s="196">
        <v>-50900</v>
      </c>
    </row>
    <row r="5301" spans="1:7" x14ac:dyDescent="0.3">
      <c r="A5301" s="192" t="s">
        <v>619</v>
      </c>
      <c r="B5301" s="192" t="s">
        <v>620</v>
      </c>
      <c r="C5301" s="196">
        <v>0</v>
      </c>
      <c r="D5301" s="196">
        <v>0</v>
      </c>
      <c r="E5301" s="196">
        <v>207900</v>
      </c>
      <c r="F5301" s="196">
        <v>-207900</v>
      </c>
      <c r="G5301" s="196">
        <v>-207900</v>
      </c>
    </row>
    <row r="5302" spans="1:7" x14ac:dyDescent="0.3">
      <c r="A5302" s="198">
        <v>1362925</v>
      </c>
      <c r="B5302" s="192" t="s">
        <v>620</v>
      </c>
      <c r="C5302" s="196">
        <v>-162000</v>
      </c>
      <c r="D5302" s="196">
        <v>0</v>
      </c>
      <c r="E5302" s="196">
        <v>0</v>
      </c>
      <c r="F5302" s="196">
        <v>0</v>
      </c>
      <c r="G5302" s="196">
        <v>-162000</v>
      </c>
    </row>
    <row r="5303" spans="1:7" x14ac:dyDescent="0.3">
      <c r="A5303" s="192" t="s">
        <v>3639</v>
      </c>
      <c r="B5303" s="192" t="s">
        <v>3640</v>
      </c>
      <c r="C5303" s="196">
        <v>-33400</v>
      </c>
      <c r="D5303" s="196">
        <v>0</v>
      </c>
      <c r="E5303" s="196">
        <v>0</v>
      </c>
      <c r="F5303" s="196">
        <v>0</v>
      </c>
      <c r="G5303" s="196">
        <v>-33400</v>
      </c>
    </row>
    <row r="5304" spans="1:7" x14ac:dyDescent="0.3">
      <c r="A5304" s="198">
        <v>71825662</v>
      </c>
      <c r="B5304" s="192" t="s">
        <v>3641</v>
      </c>
      <c r="C5304" s="196">
        <v>-101800</v>
      </c>
      <c r="D5304" s="196">
        <v>0</v>
      </c>
      <c r="E5304" s="196">
        <v>0</v>
      </c>
      <c r="F5304" s="196">
        <v>0</v>
      </c>
      <c r="G5304" s="196">
        <v>-101800</v>
      </c>
    </row>
    <row r="5305" spans="1:7" x14ac:dyDescent="0.3">
      <c r="A5305" s="192" t="s">
        <v>3642</v>
      </c>
      <c r="B5305" s="192" t="s">
        <v>3643</v>
      </c>
      <c r="C5305" s="196">
        <v>-162000</v>
      </c>
      <c r="D5305" s="196">
        <v>0</v>
      </c>
      <c r="E5305" s="196">
        <v>0</v>
      </c>
      <c r="F5305" s="196">
        <v>0</v>
      </c>
      <c r="G5305" s="196">
        <v>-162000</v>
      </c>
    </row>
    <row r="5306" spans="1:7" x14ac:dyDescent="0.3">
      <c r="A5306" s="198">
        <v>79297424</v>
      </c>
      <c r="B5306" s="192" t="s">
        <v>621</v>
      </c>
      <c r="C5306" s="196">
        <v>0</v>
      </c>
      <c r="D5306" s="196">
        <v>0</v>
      </c>
      <c r="E5306" s="196">
        <v>162000</v>
      </c>
      <c r="F5306" s="196">
        <v>-162000</v>
      </c>
      <c r="G5306" s="196">
        <v>-162000</v>
      </c>
    </row>
    <row r="5307" spans="1:7" x14ac:dyDescent="0.3">
      <c r="A5307" s="198">
        <v>900483177</v>
      </c>
      <c r="B5307" s="192" t="s">
        <v>3644</v>
      </c>
      <c r="C5307" s="196">
        <v>-580000</v>
      </c>
      <c r="D5307" s="196">
        <v>0</v>
      </c>
      <c r="E5307" s="196">
        <v>0</v>
      </c>
      <c r="F5307" s="196">
        <v>0</v>
      </c>
      <c r="G5307" s="196">
        <v>-580000</v>
      </c>
    </row>
    <row r="5308" spans="1:7" x14ac:dyDescent="0.3">
      <c r="A5308" s="198">
        <v>8078099</v>
      </c>
      <c r="B5308" s="192" t="s">
        <v>3645</v>
      </c>
      <c r="C5308" s="196">
        <v>-162000</v>
      </c>
      <c r="D5308" s="196">
        <v>0</v>
      </c>
      <c r="E5308" s="196">
        <v>0</v>
      </c>
      <c r="F5308" s="196">
        <v>0</v>
      </c>
      <c r="G5308" s="196">
        <v>-162000</v>
      </c>
    </row>
    <row r="5309" spans="1:7" x14ac:dyDescent="0.3">
      <c r="A5309" s="198">
        <v>1019998542</v>
      </c>
      <c r="B5309" s="192" t="s">
        <v>622</v>
      </c>
      <c r="C5309" s="196">
        <v>0</v>
      </c>
      <c r="D5309" s="196">
        <v>0</v>
      </c>
      <c r="E5309" s="196">
        <v>50900</v>
      </c>
      <c r="F5309" s="196">
        <v>-50900</v>
      </c>
      <c r="G5309" s="196">
        <v>-50900</v>
      </c>
    </row>
    <row r="5310" spans="1:7" x14ac:dyDescent="0.3">
      <c r="A5310" s="198">
        <v>98665143</v>
      </c>
      <c r="B5310" s="192" t="s">
        <v>3646</v>
      </c>
      <c r="C5310" s="196">
        <v>-189000</v>
      </c>
      <c r="D5310" s="196">
        <v>0</v>
      </c>
      <c r="E5310" s="196">
        <v>0</v>
      </c>
      <c r="F5310" s="196">
        <v>0</v>
      </c>
      <c r="G5310" s="196">
        <v>-189000</v>
      </c>
    </row>
    <row r="5311" spans="1:7" x14ac:dyDescent="0.3">
      <c r="A5311" s="198">
        <v>15501814</v>
      </c>
      <c r="B5311" s="192" t="s">
        <v>3647</v>
      </c>
      <c r="C5311" s="196">
        <v>-340000</v>
      </c>
      <c r="D5311" s="196">
        <v>0</v>
      </c>
      <c r="E5311" s="196">
        <v>0</v>
      </c>
      <c r="F5311" s="196">
        <v>0</v>
      </c>
      <c r="G5311" s="196">
        <v>-340000</v>
      </c>
    </row>
    <row r="5312" spans="1:7" x14ac:dyDescent="0.3">
      <c r="A5312" s="198">
        <v>1018272783</v>
      </c>
      <c r="B5312" s="192" t="s">
        <v>3648</v>
      </c>
      <c r="C5312" s="196">
        <v>-340000</v>
      </c>
      <c r="D5312" s="196">
        <v>0</v>
      </c>
      <c r="E5312" s="196">
        <v>0</v>
      </c>
      <c r="F5312" s="196">
        <v>0</v>
      </c>
      <c r="G5312" s="196">
        <v>-340000</v>
      </c>
    </row>
    <row r="5313" spans="1:7" x14ac:dyDescent="0.3">
      <c r="A5313" s="198">
        <v>15540337</v>
      </c>
      <c r="B5313" s="192" t="s">
        <v>3649</v>
      </c>
      <c r="C5313" s="196">
        <v>-47400</v>
      </c>
      <c r="D5313" s="196">
        <v>0</v>
      </c>
      <c r="E5313" s="196">
        <v>0</v>
      </c>
      <c r="F5313" s="196">
        <v>0</v>
      </c>
      <c r="G5313" s="196">
        <v>-47400</v>
      </c>
    </row>
    <row r="5314" spans="1:7" x14ac:dyDescent="0.3">
      <c r="A5314" s="198">
        <v>98579439</v>
      </c>
      <c r="B5314" s="192" t="s">
        <v>623</v>
      </c>
      <c r="C5314" s="196">
        <v>0</v>
      </c>
      <c r="D5314" s="196">
        <v>0</v>
      </c>
      <c r="E5314" s="196">
        <v>50900</v>
      </c>
      <c r="F5314" s="196">
        <v>-50900</v>
      </c>
      <c r="G5314" s="196">
        <v>-50900</v>
      </c>
    </row>
    <row r="5315" spans="1:7" x14ac:dyDescent="0.3">
      <c r="A5315" s="198">
        <v>71786174</v>
      </c>
      <c r="B5315" s="192" t="s">
        <v>624</v>
      </c>
      <c r="C5315" s="196">
        <v>0</v>
      </c>
      <c r="D5315" s="196">
        <v>0</v>
      </c>
      <c r="E5315" s="196">
        <v>50900</v>
      </c>
      <c r="F5315" s="196">
        <v>-50900</v>
      </c>
      <c r="G5315" s="196">
        <v>-50900</v>
      </c>
    </row>
    <row r="5316" spans="1:7" x14ac:dyDescent="0.3">
      <c r="A5316" s="198">
        <v>456436</v>
      </c>
      <c r="B5316" s="192" t="s">
        <v>3650</v>
      </c>
      <c r="C5316" s="196">
        <v>-152700</v>
      </c>
      <c r="D5316" s="196">
        <v>0</v>
      </c>
      <c r="E5316" s="196">
        <v>0</v>
      </c>
      <c r="F5316" s="196">
        <v>0</v>
      </c>
      <c r="G5316" s="196">
        <v>-152700</v>
      </c>
    </row>
    <row r="5317" spans="1:7" x14ac:dyDescent="0.3">
      <c r="A5317" s="198">
        <v>8222619</v>
      </c>
      <c r="B5317" s="192" t="s">
        <v>3651</v>
      </c>
      <c r="C5317" s="196">
        <v>-57200</v>
      </c>
      <c r="D5317" s="196">
        <v>0</v>
      </c>
      <c r="E5317" s="196">
        <v>0</v>
      </c>
      <c r="F5317" s="196">
        <v>0</v>
      </c>
      <c r="G5317" s="196">
        <v>-57200</v>
      </c>
    </row>
    <row r="5318" spans="1:7" x14ac:dyDescent="0.3">
      <c r="A5318" s="198">
        <v>1032409844</v>
      </c>
      <c r="B5318" s="192" t="s">
        <v>3652</v>
      </c>
      <c r="C5318" s="196">
        <v>-43900</v>
      </c>
      <c r="D5318" s="196">
        <v>0</v>
      </c>
      <c r="E5318" s="196">
        <v>0</v>
      </c>
      <c r="F5318" s="196">
        <v>0</v>
      </c>
      <c r="G5318" s="196">
        <v>-43900</v>
      </c>
    </row>
    <row r="5319" spans="1:7" x14ac:dyDescent="0.3">
      <c r="A5319" s="198">
        <v>4426450</v>
      </c>
      <c r="B5319" s="192" t="s">
        <v>3653</v>
      </c>
      <c r="C5319" s="196">
        <v>-50900</v>
      </c>
      <c r="D5319" s="196">
        <v>0</v>
      </c>
      <c r="E5319" s="196">
        <v>0</v>
      </c>
      <c r="F5319" s="196">
        <v>0</v>
      </c>
      <c r="G5319" s="196">
        <v>-50900</v>
      </c>
    </row>
    <row r="5320" spans="1:7" x14ac:dyDescent="0.3">
      <c r="A5320" s="198">
        <v>70557674</v>
      </c>
      <c r="B5320" s="192" t="s">
        <v>3654</v>
      </c>
      <c r="C5320" s="196">
        <v>-57200</v>
      </c>
      <c r="D5320" s="196">
        <v>0</v>
      </c>
      <c r="E5320" s="196">
        <v>0</v>
      </c>
      <c r="F5320" s="196">
        <v>0</v>
      </c>
      <c r="G5320" s="196">
        <v>-57200</v>
      </c>
    </row>
    <row r="5321" spans="1:7" x14ac:dyDescent="0.3">
      <c r="A5321" s="198">
        <v>76315880</v>
      </c>
      <c r="B5321" s="192" t="s">
        <v>3655</v>
      </c>
      <c r="C5321" s="196">
        <v>-50900</v>
      </c>
      <c r="D5321" s="196">
        <v>0</v>
      </c>
      <c r="E5321" s="196">
        <v>0</v>
      </c>
      <c r="F5321" s="196">
        <v>0</v>
      </c>
      <c r="G5321" s="196">
        <v>-50900</v>
      </c>
    </row>
    <row r="5322" spans="1:7" x14ac:dyDescent="0.3">
      <c r="A5322" s="198">
        <v>1050960</v>
      </c>
      <c r="B5322" s="192" t="s">
        <v>3656</v>
      </c>
      <c r="C5322" s="196">
        <v>-50900</v>
      </c>
      <c r="D5322" s="196">
        <v>0</v>
      </c>
      <c r="E5322" s="196">
        <v>0</v>
      </c>
      <c r="F5322" s="196">
        <v>0</v>
      </c>
      <c r="G5322" s="196">
        <v>-50900</v>
      </c>
    </row>
    <row r="5323" spans="1:7" x14ac:dyDescent="0.3">
      <c r="A5323" s="198">
        <v>71668464</v>
      </c>
      <c r="B5323" s="192" t="s">
        <v>625</v>
      </c>
      <c r="C5323" s="196">
        <v>-20000</v>
      </c>
      <c r="D5323" s="196">
        <v>0</v>
      </c>
      <c r="E5323" s="196">
        <v>20000</v>
      </c>
      <c r="F5323" s="196">
        <v>-20000</v>
      </c>
      <c r="G5323" s="196">
        <v>-40000</v>
      </c>
    </row>
    <row r="5324" spans="1:7" x14ac:dyDescent="0.3">
      <c r="A5324" s="198">
        <v>4406540</v>
      </c>
      <c r="B5324" s="192" t="s">
        <v>3657</v>
      </c>
      <c r="C5324" s="196">
        <v>-73200</v>
      </c>
      <c r="D5324" s="196">
        <v>0</v>
      </c>
      <c r="E5324" s="196">
        <v>0</v>
      </c>
      <c r="F5324" s="196">
        <v>0</v>
      </c>
      <c r="G5324" s="196">
        <v>-73200</v>
      </c>
    </row>
    <row r="5325" spans="1:7" x14ac:dyDescent="0.3">
      <c r="A5325" s="198">
        <v>17174107</v>
      </c>
      <c r="B5325" s="192" t="s">
        <v>3658</v>
      </c>
      <c r="C5325" s="196">
        <v>-57200</v>
      </c>
      <c r="D5325" s="196">
        <v>0</v>
      </c>
      <c r="E5325" s="196">
        <v>0</v>
      </c>
      <c r="F5325" s="196">
        <v>0</v>
      </c>
      <c r="G5325" s="196">
        <v>-57200</v>
      </c>
    </row>
    <row r="5326" spans="1:7" x14ac:dyDescent="0.3">
      <c r="A5326" s="198">
        <v>3303923</v>
      </c>
      <c r="B5326" s="192" t="s">
        <v>2145</v>
      </c>
      <c r="C5326" s="196">
        <v>-57200</v>
      </c>
      <c r="D5326" s="196">
        <v>0</v>
      </c>
      <c r="E5326" s="196">
        <v>0</v>
      </c>
      <c r="F5326" s="196">
        <v>0</v>
      </c>
      <c r="G5326" s="196">
        <v>-57200</v>
      </c>
    </row>
    <row r="5327" spans="1:7" x14ac:dyDescent="0.3">
      <c r="A5327" s="198">
        <v>13883107</v>
      </c>
      <c r="B5327" s="192" t="s">
        <v>3659</v>
      </c>
      <c r="C5327" s="196">
        <v>-46400</v>
      </c>
      <c r="D5327" s="196">
        <v>0</v>
      </c>
      <c r="E5327" s="196">
        <v>0</v>
      </c>
      <c r="F5327" s="196">
        <v>0</v>
      </c>
      <c r="G5327" s="196">
        <v>-46400</v>
      </c>
    </row>
    <row r="5328" spans="1:7" x14ac:dyDescent="0.3">
      <c r="A5328" s="198">
        <v>86043259</v>
      </c>
      <c r="B5328" s="192" t="s">
        <v>3660</v>
      </c>
      <c r="C5328" s="196">
        <v>-162000</v>
      </c>
      <c r="D5328" s="196">
        <v>0</v>
      </c>
      <c r="E5328" s="196">
        <v>0</v>
      </c>
      <c r="F5328" s="196">
        <v>0</v>
      </c>
      <c r="G5328" s="196">
        <v>-162000</v>
      </c>
    </row>
    <row r="5329" spans="1:7" x14ac:dyDescent="0.3">
      <c r="A5329" s="198">
        <v>26707595</v>
      </c>
      <c r="B5329" s="192" t="s">
        <v>119</v>
      </c>
      <c r="C5329" s="196">
        <v>-110000</v>
      </c>
      <c r="D5329" s="196">
        <v>0</v>
      </c>
      <c r="E5329" s="196">
        <v>0</v>
      </c>
      <c r="F5329" s="196">
        <v>0</v>
      </c>
      <c r="G5329" s="196">
        <v>-110000</v>
      </c>
    </row>
    <row r="5330" spans="1:7" x14ac:dyDescent="0.3">
      <c r="A5330" s="198">
        <v>43017558</v>
      </c>
      <c r="B5330" s="192" t="s">
        <v>626</v>
      </c>
      <c r="C5330" s="196">
        <v>0</v>
      </c>
      <c r="D5330" s="196">
        <v>0</v>
      </c>
      <c r="E5330" s="196">
        <v>297000</v>
      </c>
      <c r="F5330" s="196">
        <v>-297000</v>
      </c>
      <c r="G5330" s="196">
        <v>-297000</v>
      </c>
    </row>
    <row r="5331" spans="1:7" x14ac:dyDescent="0.3">
      <c r="A5331" s="198">
        <v>21419400</v>
      </c>
      <c r="B5331" s="192" t="s">
        <v>627</v>
      </c>
      <c r="C5331" s="196">
        <v>0</v>
      </c>
      <c r="D5331" s="196">
        <v>0</v>
      </c>
      <c r="E5331" s="196">
        <v>50900</v>
      </c>
      <c r="F5331" s="196">
        <v>-50900</v>
      </c>
      <c r="G5331" s="196">
        <v>-50900</v>
      </c>
    </row>
    <row r="5332" spans="1:7" x14ac:dyDescent="0.3">
      <c r="A5332" s="198">
        <v>46646207</v>
      </c>
      <c r="B5332" s="192" t="s">
        <v>628</v>
      </c>
      <c r="C5332" s="196">
        <v>0</v>
      </c>
      <c r="D5332" s="196">
        <v>0</v>
      </c>
      <c r="E5332" s="196">
        <v>54200</v>
      </c>
      <c r="F5332" s="196">
        <v>-54200</v>
      </c>
      <c r="G5332" s="196">
        <v>-54200</v>
      </c>
    </row>
    <row r="5333" spans="1:7" x14ac:dyDescent="0.3">
      <c r="A5333" s="198">
        <v>1036423080</v>
      </c>
      <c r="B5333" s="192" t="s">
        <v>3661</v>
      </c>
      <c r="C5333" s="196">
        <v>-57200</v>
      </c>
      <c r="D5333" s="196">
        <v>0</v>
      </c>
      <c r="E5333" s="196">
        <v>0</v>
      </c>
      <c r="F5333" s="196">
        <v>0</v>
      </c>
      <c r="G5333" s="196">
        <v>-57200</v>
      </c>
    </row>
    <row r="5334" spans="1:7" x14ac:dyDescent="0.3">
      <c r="A5334" s="198">
        <v>1022008851</v>
      </c>
      <c r="B5334" s="192" t="s">
        <v>629</v>
      </c>
      <c r="C5334" s="196">
        <v>0</v>
      </c>
      <c r="D5334" s="196">
        <v>0</v>
      </c>
      <c r="E5334" s="196">
        <v>50900</v>
      </c>
      <c r="F5334" s="196">
        <v>-50900</v>
      </c>
      <c r="G5334" s="196">
        <v>-50900</v>
      </c>
    </row>
    <row r="5335" spans="1:7" x14ac:dyDescent="0.3">
      <c r="A5335" s="198">
        <v>1125228176</v>
      </c>
      <c r="B5335" s="192" t="s">
        <v>3662</v>
      </c>
      <c r="C5335" s="196">
        <v>-108400</v>
      </c>
      <c r="D5335" s="196">
        <v>0</v>
      </c>
      <c r="E5335" s="196">
        <v>0</v>
      </c>
      <c r="F5335" s="196">
        <v>0</v>
      </c>
      <c r="G5335" s="196">
        <v>-108400</v>
      </c>
    </row>
    <row r="5336" spans="1:7" x14ac:dyDescent="0.3">
      <c r="A5336" s="198">
        <v>53030816</v>
      </c>
      <c r="B5336" s="192" t="s">
        <v>630</v>
      </c>
      <c r="C5336" s="196">
        <v>0</v>
      </c>
      <c r="D5336" s="196">
        <v>0</v>
      </c>
      <c r="E5336" s="196">
        <v>319000</v>
      </c>
      <c r="F5336" s="196">
        <v>-319000</v>
      </c>
      <c r="G5336" s="196">
        <v>-319000</v>
      </c>
    </row>
    <row r="5337" spans="1:7" x14ac:dyDescent="0.3">
      <c r="A5337" s="198">
        <v>1035003257</v>
      </c>
      <c r="B5337" s="192" t="s">
        <v>3663</v>
      </c>
      <c r="C5337" s="196">
        <v>-47000</v>
      </c>
      <c r="D5337" s="196">
        <v>0</v>
      </c>
      <c r="E5337" s="196">
        <v>0</v>
      </c>
      <c r="F5337" s="196">
        <v>0</v>
      </c>
      <c r="G5337" s="196">
        <v>-47000</v>
      </c>
    </row>
    <row r="5338" spans="1:7" x14ac:dyDescent="0.3">
      <c r="A5338" s="198">
        <v>600935</v>
      </c>
      <c r="B5338" s="192" t="s">
        <v>3664</v>
      </c>
      <c r="C5338" s="196">
        <v>-319000</v>
      </c>
      <c r="D5338" s="196">
        <v>0</v>
      </c>
      <c r="E5338" s="196">
        <v>0</v>
      </c>
      <c r="F5338" s="196">
        <v>0</v>
      </c>
      <c r="G5338" s="196">
        <v>-319000</v>
      </c>
    </row>
    <row r="5339" spans="1:7" x14ac:dyDescent="0.3">
      <c r="A5339" s="198">
        <v>70105315</v>
      </c>
      <c r="B5339" s="192" t="s">
        <v>3665</v>
      </c>
      <c r="C5339" s="196">
        <v>-297000</v>
      </c>
      <c r="D5339" s="196">
        <v>0</v>
      </c>
      <c r="E5339" s="196">
        <v>0</v>
      </c>
      <c r="F5339" s="196">
        <v>0</v>
      </c>
      <c r="G5339" s="196">
        <v>-297000</v>
      </c>
    </row>
    <row r="5340" spans="1:7" x14ac:dyDescent="0.3">
      <c r="A5340" s="198">
        <v>11518926</v>
      </c>
      <c r="B5340" s="192" t="s">
        <v>3666</v>
      </c>
      <c r="C5340" s="196">
        <v>-50900</v>
      </c>
      <c r="D5340" s="196">
        <v>0</v>
      </c>
      <c r="E5340" s="196">
        <v>0</v>
      </c>
      <c r="F5340" s="196">
        <v>0</v>
      </c>
      <c r="G5340" s="196">
        <v>-50900</v>
      </c>
    </row>
    <row r="5341" spans="1:7" x14ac:dyDescent="0.3">
      <c r="A5341" s="198">
        <v>70548379</v>
      </c>
      <c r="B5341" s="192" t="s">
        <v>3667</v>
      </c>
      <c r="C5341" s="196">
        <v>-114400</v>
      </c>
      <c r="D5341" s="196">
        <v>0</v>
      </c>
      <c r="E5341" s="196">
        <v>0</v>
      </c>
      <c r="F5341" s="196">
        <v>0</v>
      </c>
      <c r="G5341" s="196">
        <v>-114400</v>
      </c>
    </row>
    <row r="5342" spans="1:7" x14ac:dyDescent="0.3">
      <c r="A5342" s="198">
        <v>1018402354</v>
      </c>
      <c r="B5342" s="192" t="s">
        <v>632</v>
      </c>
      <c r="C5342" s="196">
        <v>0</v>
      </c>
      <c r="D5342" s="196">
        <v>0</v>
      </c>
      <c r="E5342" s="196">
        <v>297000</v>
      </c>
      <c r="F5342" s="196">
        <v>-297000</v>
      </c>
      <c r="G5342" s="196">
        <v>-297000</v>
      </c>
    </row>
    <row r="5343" spans="1:7" x14ac:dyDescent="0.3">
      <c r="A5343" s="198">
        <v>79943829</v>
      </c>
      <c r="B5343" s="192" t="s">
        <v>3668</v>
      </c>
      <c r="C5343" s="196">
        <v>-30000</v>
      </c>
      <c r="D5343" s="196">
        <v>0</v>
      </c>
      <c r="E5343" s="196">
        <v>0</v>
      </c>
      <c r="F5343" s="196">
        <v>0</v>
      </c>
      <c r="G5343" s="196">
        <v>-30000</v>
      </c>
    </row>
    <row r="5344" spans="1:7" x14ac:dyDescent="0.3">
      <c r="A5344" s="198">
        <v>70556603</v>
      </c>
      <c r="B5344" s="192" t="s">
        <v>3669</v>
      </c>
      <c r="C5344" s="196">
        <v>-57200</v>
      </c>
      <c r="D5344" s="196">
        <v>0</v>
      </c>
      <c r="E5344" s="196">
        <v>0</v>
      </c>
      <c r="F5344" s="196">
        <v>0</v>
      </c>
      <c r="G5344" s="196">
        <v>-57200</v>
      </c>
    </row>
    <row r="5345" spans="1:7" x14ac:dyDescent="0.3">
      <c r="A5345" s="198">
        <v>98454158</v>
      </c>
      <c r="B5345" s="192" t="s">
        <v>3670</v>
      </c>
      <c r="C5345" s="196">
        <v>-35000</v>
      </c>
      <c r="D5345" s="196">
        <v>0</v>
      </c>
      <c r="E5345" s="196">
        <v>0</v>
      </c>
      <c r="F5345" s="196">
        <v>0</v>
      </c>
      <c r="G5345" s="196">
        <v>-35000</v>
      </c>
    </row>
    <row r="5346" spans="1:7" x14ac:dyDescent="0.3">
      <c r="A5346" s="198">
        <v>10068815</v>
      </c>
      <c r="B5346" s="192" t="s">
        <v>3671</v>
      </c>
      <c r="C5346" s="196">
        <v>-114400</v>
      </c>
      <c r="D5346" s="196">
        <v>0</v>
      </c>
      <c r="E5346" s="196">
        <v>0</v>
      </c>
      <c r="F5346" s="196">
        <v>0</v>
      </c>
      <c r="G5346" s="196">
        <v>-114400</v>
      </c>
    </row>
    <row r="5347" spans="1:7" x14ac:dyDescent="0.3">
      <c r="A5347" s="198">
        <v>1035026369</v>
      </c>
      <c r="B5347" s="192" t="s">
        <v>634</v>
      </c>
      <c r="C5347" s="196">
        <v>0</v>
      </c>
      <c r="D5347" s="196">
        <v>0</v>
      </c>
      <c r="E5347" s="196">
        <v>35000</v>
      </c>
      <c r="F5347" s="196">
        <v>-35000</v>
      </c>
      <c r="G5347" s="196">
        <v>-35000</v>
      </c>
    </row>
    <row r="5348" spans="1:7" x14ac:dyDescent="0.3">
      <c r="A5348" s="198">
        <v>1239489947</v>
      </c>
      <c r="B5348" s="192" t="s">
        <v>635</v>
      </c>
      <c r="C5348" s="196">
        <v>0</v>
      </c>
      <c r="D5348" s="196">
        <v>0</v>
      </c>
      <c r="E5348" s="196">
        <v>49000</v>
      </c>
      <c r="F5348" s="196">
        <v>-49000</v>
      </c>
      <c r="G5348" s="196">
        <v>-49000</v>
      </c>
    </row>
    <row r="5349" spans="1:7" x14ac:dyDescent="0.3">
      <c r="A5349" s="198">
        <v>7322618</v>
      </c>
      <c r="B5349" s="192" t="s">
        <v>3672</v>
      </c>
      <c r="C5349" s="196">
        <v>-33400</v>
      </c>
      <c r="D5349" s="196">
        <v>0</v>
      </c>
      <c r="E5349" s="196">
        <v>0</v>
      </c>
      <c r="F5349" s="196">
        <v>0</v>
      </c>
      <c r="G5349" s="196">
        <v>-33400</v>
      </c>
    </row>
    <row r="5350" spans="1:7" x14ac:dyDescent="0.3">
      <c r="A5350" s="198">
        <v>1022008574</v>
      </c>
      <c r="B5350" s="192" t="s">
        <v>3673</v>
      </c>
      <c r="C5350" s="196">
        <v>-50900</v>
      </c>
      <c r="D5350" s="196">
        <v>0</v>
      </c>
      <c r="E5350" s="196">
        <v>0</v>
      </c>
      <c r="F5350" s="196">
        <v>0</v>
      </c>
      <c r="G5350" s="196">
        <v>-50900</v>
      </c>
    </row>
    <row r="5351" spans="1:7" x14ac:dyDescent="0.3">
      <c r="A5351" s="198">
        <v>32221025</v>
      </c>
      <c r="B5351" s="192" t="s">
        <v>636</v>
      </c>
      <c r="C5351" s="196">
        <v>0</v>
      </c>
      <c r="D5351" s="196">
        <v>0</v>
      </c>
      <c r="E5351" s="196">
        <v>297000</v>
      </c>
      <c r="F5351" s="196">
        <v>-297000</v>
      </c>
      <c r="G5351" s="196">
        <v>-297000</v>
      </c>
    </row>
    <row r="5352" spans="1:7" x14ac:dyDescent="0.3">
      <c r="A5352" s="198">
        <v>80105683</v>
      </c>
      <c r="B5352" s="192" t="s">
        <v>3674</v>
      </c>
      <c r="C5352" s="196">
        <v>-50900</v>
      </c>
      <c r="D5352" s="196">
        <v>0</v>
      </c>
      <c r="E5352" s="196">
        <v>0</v>
      </c>
      <c r="F5352" s="196">
        <v>0</v>
      </c>
      <c r="G5352" s="196">
        <v>-50900</v>
      </c>
    </row>
    <row r="5353" spans="1:7" x14ac:dyDescent="0.3">
      <c r="A5353" s="192" t="s">
        <v>3675</v>
      </c>
      <c r="B5353" s="192" t="s">
        <v>3676</v>
      </c>
      <c r="C5353" s="196">
        <v>-297000</v>
      </c>
      <c r="D5353" s="196">
        <v>0</v>
      </c>
      <c r="E5353" s="196">
        <v>0</v>
      </c>
      <c r="F5353" s="196">
        <v>0</v>
      </c>
      <c r="G5353" s="196">
        <v>-297000</v>
      </c>
    </row>
    <row r="5354" spans="1:7" x14ac:dyDescent="0.3">
      <c r="A5354" s="198">
        <v>11440447</v>
      </c>
      <c r="B5354" s="192" t="s">
        <v>3677</v>
      </c>
      <c r="C5354" s="196">
        <v>-101800</v>
      </c>
      <c r="D5354" s="196">
        <v>0</v>
      </c>
      <c r="E5354" s="196">
        <v>0</v>
      </c>
      <c r="F5354" s="196">
        <v>0</v>
      </c>
      <c r="G5354" s="196">
        <v>-101800</v>
      </c>
    </row>
    <row r="5355" spans="1:7" x14ac:dyDescent="0.3">
      <c r="A5355" s="198">
        <v>15908596</v>
      </c>
      <c r="B5355" s="192" t="s">
        <v>3678</v>
      </c>
      <c r="C5355" s="196">
        <v>-50900</v>
      </c>
      <c r="D5355" s="196">
        <v>0</v>
      </c>
      <c r="E5355" s="196">
        <v>0</v>
      </c>
      <c r="F5355" s="196">
        <v>0</v>
      </c>
      <c r="G5355" s="196">
        <v>-50900</v>
      </c>
    </row>
    <row r="5356" spans="1:7" x14ac:dyDescent="0.3">
      <c r="A5356" s="198">
        <v>592653976</v>
      </c>
      <c r="B5356" s="192" t="s">
        <v>3679</v>
      </c>
      <c r="C5356" s="196">
        <v>-297000</v>
      </c>
      <c r="D5356" s="196">
        <v>0</v>
      </c>
      <c r="E5356" s="196">
        <v>0</v>
      </c>
      <c r="F5356" s="196">
        <v>0</v>
      </c>
      <c r="G5356" s="196">
        <v>-297000</v>
      </c>
    </row>
    <row r="5357" spans="1:7" x14ac:dyDescent="0.3">
      <c r="A5357" s="198">
        <v>71778039</v>
      </c>
      <c r="B5357" s="192" t="s">
        <v>3680</v>
      </c>
      <c r="C5357" s="196">
        <v>-270000</v>
      </c>
      <c r="D5357" s="196">
        <v>0</v>
      </c>
      <c r="E5357" s="196">
        <v>0</v>
      </c>
      <c r="F5357" s="196">
        <v>0</v>
      </c>
      <c r="G5357" s="196">
        <v>-270000</v>
      </c>
    </row>
    <row r="5358" spans="1:7" x14ac:dyDescent="0.3">
      <c r="A5358" s="198">
        <v>71756087</v>
      </c>
      <c r="B5358" s="192" t="s">
        <v>3681</v>
      </c>
      <c r="C5358" s="196">
        <v>-50900</v>
      </c>
      <c r="D5358" s="196">
        <v>0</v>
      </c>
      <c r="E5358" s="196">
        <v>0</v>
      </c>
      <c r="F5358" s="196">
        <v>0</v>
      </c>
      <c r="G5358" s="196">
        <v>-50900</v>
      </c>
    </row>
    <row r="5359" spans="1:7" x14ac:dyDescent="0.3">
      <c r="A5359" s="198">
        <v>79532253</v>
      </c>
      <c r="B5359" s="192" t="s">
        <v>637</v>
      </c>
      <c r="C5359" s="196">
        <v>-162000</v>
      </c>
      <c r="D5359" s="196">
        <v>0</v>
      </c>
      <c r="E5359" s="196">
        <v>0</v>
      </c>
      <c r="F5359" s="196">
        <v>0</v>
      </c>
      <c r="G5359" s="196">
        <v>-162000</v>
      </c>
    </row>
    <row r="5360" spans="1:7" x14ac:dyDescent="0.3">
      <c r="A5360" s="198">
        <v>683445507</v>
      </c>
      <c r="B5360" s="192" t="s">
        <v>3682</v>
      </c>
      <c r="C5360" s="196">
        <v>-297000</v>
      </c>
      <c r="D5360" s="196">
        <v>0</v>
      </c>
      <c r="E5360" s="196">
        <v>0</v>
      </c>
      <c r="F5360" s="196">
        <v>0</v>
      </c>
      <c r="G5360" s="196">
        <v>-297000</v>
      </c>
    </row>
    <row r="5361" spans="1:7" x14ac:dyDescent="0.3">
      <c r="A5361" s="198">
        <v>14895481</v>
      </c>
      <c r="B5361" s="192" t="s">
        <v>638</v>
      </c>
      <c r="C5361" s="196">
        <v>0</v>
      </c>
      <c r="D5361" s="196">
        <v>0</v>
      </c>
      <c r="E5361" s="196">
        <v>165000</v>
      </c>
      <c r="F5361" s="196">
        <v>-165000</v>
      </c>
      <c r="G5361" s="196">
        <v>-165000</v>
      </c>
    </row>
    <row r="5362" spans="1:7" x14ac:dyDescent="0.3">
      <c r="A5362" s="198">
        <v>70081767</v>
      </c>
      <c r="B5362" s="192" t="s">
        <v>3683</v>
      </c>
      <c r="C5362" s="196">
        <v>-297000</v>
      </c>
      <c r="D5362" s="196">
        <v>0</v>
      </c>
      <c r="E5362" s="196">
        <v>0</v>
      </c>
      <c r="F5362" s="196">
        <v>0</v>
      </c>
      <c r="G5362" s="196">
        <v>-297000</v>
      </c>
    </row>
    <row r="5363" spans="1:7" x14ac:dyDescent="0.3">
      <c r="A5363" s="198">
        <v>1038267216</v>
      </c>
      <c r="B5363" s="192" t="s">
        <v>3684</v>
      </c>
      <c r="C5363" s="196">
        <v>-50900</v>
      </c>
      <c r="D5363" s="196">
        <v>0</v>
      </c>
      <c r="E5363" s="196">
        <v>0</v>
      </c>
      <c r="F5363" s="196">
        <v>0</v>
      </c>
      <c r="G5363" s="196">
        <v>-50900</v>
      </c>
    </row>
    <row r="5364" spans="1:7" x14ac:dyDescent="0.3">
      <c r="A5364" s="198">
        <v>1035027301</v>
      </c>
      <c r="B5364" s="192" t="s">
        <v>3685</v>
      </c>
      <c r="C5364" s="196">
        <v>-50900</v>
      </c>
      <c r="D5364" s="196">
        <v>0</v>
      </c>
      <c r="E5364" s="196">
        <v>0</v>
      </c>
      <c r="F5364" s="196">
        <v>0</v>
      </c>
      <c r="G5364" s="196">
        <v>-50900</v>
      </c>
    </row>
    <row r="5365" spans="1:7" x14ac:dyDescent="0.3">
      <c r="A5365" s="198">
        <v>1013463486</v>
      </c>
      <c r="B5365" s="192" t="s">
        <v>639</v>
      </c>
      <c r="C5365" s="196">
        <v>0</v>
      </c>
      <c r="D5365" s="196">
        <v>0</v>
      </c>
      <c r="E5365" s="196">
        <v>50900</v>
      </c>
      <c r="F5365" s="196">
        <v>-50900</v>
      </c>
      <c r="G5365" s="196">
        <v>-50900</v>
      </c>
    </row>
    <row r="5366" spans="1:7" x14ac:dyDescent="0.3">
      <c r="A5366" s="198">
        <v>71378935</v>
      </c>
      <c r="B5366" s="192" t="s">
        <v>3686</v>
      </c>
      <c r="C5366" s="196">
        <v>-25100</v>
      </c>
      <c r="D5366" s="196">
        <v>0</v>
      </c>
      <c r="E5366" s="196">
        <v>0</v>
      </c>
      <c r="F5366" s="196">
        <v>0</v>
      </c>
      <c r="G5366" s="196">
        <v>-25100</v>
      </c>
    </row>
    <row r="5367" spans="1:7" x14ac:dyDescent="0.3">
      <c r="A5367" s="198">
        <v>98546918</v>
      </c>
      <c r="B5367" s="192" t="s">
        <v>640</v>
      </c>
      <c r="C5367" s="196">
        <v>0</v>
      </c>
      <c r="D5367" s="196">
        <v>0</v>
      </c>
      <c r="E5367" s="196">
        <v>50900</v>
      </c>
      <c r="F5367" s="196">
        <v>-50900</v>
      </c>
      <c r="G5367" s="196">
        <v>-50900</v>
      </c>
    </row>
    <row r="5368" spans="1:7" x14ac:dyDescent="0.3">
      <c r="A5368" s="198">
        <v>1017156928</v>
      </c>
      <c r="B5368" s="192" t="s">
        <v>641</v>
      </c>
      <c r="C5368" s="196">
        <v>0</v>
      </c>
      <c r="D5368" s="196">
        <v>0</v>
      </c>
      <c r="E5368" s="196">
        <v>50900</v>
      </c>
      <c r="F5368" s="196">
        <v>-50900</v>
      </c>
      <c r="G5368" s="196">
        <v>-50900</v>
      </c>
    </row>
    <row r="5369" spans="1:7" x14ac:dyDescent="0.3">
      <c r="A5369" s="198">
        <v>1035023516</v>
      </c>
      <c r="B5369" s="192" t="s">
        <v>3687</v>
      </c>
      <c r="C5369" s="196">
        <v>-50900</v>
      </c>
      <c r="D5369" s="196">
        <v>0</v>
      </c>
      <c r="E5369" s="196">
        <v>0</v>
      </c>
      <c r="F5369" s="196">
        <v>0</v>
      </c>
      <c r="G5369" s="196">
        <v>-50900</v>
      </c>
    </row>
    <row r="5370" spans="1:7" x14ac:dyDescent="0.3">
      <c r="A5370" s="198">
        <v>1125681179</v>
      </c>
      <c r="B5370" s="192" t="s">
        <v>3688</v>
      </c>
      <c r="C5370" s="196">
        <v>-50900</v>
      </c>
      <c r="D5370" s="196">
        <v>0</v>
      </c>
      <c r="E5370" s="196">
        <v>0</v>
      </c>
      <c r="F5370" s="196">
        <v>0</v>
      </c>
      <c r="G5370" s="196">
        <v>-50900</v>
      </c>
    </row>
    <row r="5371" spans="1:7" x14ac:dyDescent="0.3">
      <c r="A5371" s="198">
        <v>1013009908</v>
      </c>
      <c r="B5371" s="192" t="s">
        <v>643</v>
      </c>
      <c r="C5371" s="196">
        <v>0</v>
      </c>
      <c r="D5371" s="196">
        <v>0</v>
      </c>
      <c r="E5371" s="196">
        <v>32925</v>
      </c>
      <c r="F5371" s="196">
        <v>-32925</v>
      </c>
      <c r="G5371" s="196">
        <v>-32925</v>
      </c>
    </row>
    <row r="5372" spans="1:7" x14ac:dyDescent="0.3">
      <c r="A5372" s="198">
        <v>1035011166</v>
      </c>
      <c r="B5372" s="192" t="s">
        <v>3689</v>
      </c>
      <c r="C5372" s="196">
        <v>-50900</v>
      </c>
      <c r="D5372" s="196">
        <v>0</v>
      </c>
      <c r="E5372" s="196">
        <v>0</v>
      </c>
      <c r="F5372" s="196">
        <v>0</v>
      </c>
      <c r="G5372" s="196">
        <v>-50900</v>
      </c>
    </row>
    <row r="5373" spans="1:7" x14ac:dyDescent="0.3">
      <c r="A5373" s="192" t="s">
        <v>3690</v>
      </c>
      <c r="B5373" s="192" t="s">
        <v>3691</v>
      </c>
      <c r="C5373" s="196">
        <v>-270000</v>
      </c>
      <c r="D5373" s="196">
        <v>0</v>
      </c>
      <c r="E5373" s="196">
        <v>0</v>
      </c>
      <c r="F5373" s="196">
        <v>0</v>
      </c>
      <c r="G5373" s="196">
        <v>-270000</v>
      </c>
    </row>
    <row r="5374" spans="1:7" x14ac:dyDescent="0.3">
      <c r="A5374" s="198">
        <v>1035026262</v>
      </c>
      <c r="B5374" s="192" t="s">
        <v>3692</v>
      </c>
      <c r="C5374" s="196">
        <v>-50900</v>
      </c>
      <c r="D5374" s="196">
        <v>0</v>
      </c>
      <c r="E5374" s="196">
        <v>0</v>
      </c>
      <c r="F5374" s="196">
        <v>0</v>
      </c>
      <c r="G5374" s="196">
        <v>-50900</v>
      </c>
    </row>
    <row r="5375" spans="1:7" x14ac:dyDescent="0.3">
      <c r="A5375" s="198">
        <v>1092853942</v>
      </c>
      <c r="B5375" s="192" t="s">
        <v>3693</v>
      </c>
      <c r="C5375" s="196">
        <v>-41400</v>
      </c>
      <c r="D5375" s="196">
        <v>0</v>
      </c>
      <c r="E5375" s="196">
        <v>0</v>
      </c>
      <c r="F5375" s="196">
        <v>0</v>
      </c>
      <c r="G5375" s="196">
        <v>-41400</v>
      </c>
    </row>
    <row r="5376" spans="1:7" x14ac:dyDescent="0.3">
      <c r="A5376" s="198">
        <v>32407449</v>
      </c>
      <c r="B5376" s="192" t="s">
        <v>3694</v>
      </c>
      <c r="C5376" s="196">
        <v>-297000</v>
      </c>
      <c r="D5376" s="196">
        <v>0</v>
      </c>
      <c r="E5376" s="196">
        <v>0</v>
      </c>
      <c r="F5376" s="196">
        <v>0</v>
      </c>
      <c r="G5376" s="196">
        <v>-297000</v>
      </c>
    </row>
    <row r="5377" spans="1:7" x14ac:dyDescent="0.3">
      <c r="A5377" s="198">
        <v>1031950960</v>
      </c>
      <c r="B5377" s="192" t="s">
        <v>3695</v>
      </c>
      <c r="C5377" s="196">
        <v>-680000</v>
      </c>
      <c r="D5377" s="196">
        <v>0</v>
      </c>
      <c r="E5377" s="196">
        <v>0</v>
      </c>
      <c r="F5377" s="196">
        <v>0</v>
      </c>
      <c r="G5377" s="196">
        <v>-680000</v>
      </c>
    </row>
    <row r="5378" spans="1:7" x14ac:dyDescent="0.3">
      <c r="A5378" s="198">
        <v>1020240945</v>
      </c>
      <c r="B5378" s="192" t="s">
        <v>3696</v>
      </c>
      <c r="C5378" s="196">
        <v>-101800</v>
      </c>
      <c r="D5378" s="196">
        <v>0</v>
      </c>
      <c r="E5378" s="196">
        <v>0</v>
      </c>
      <c r="F5378" s="196">
        <v>0</v>
      </c>
      <c r="G5378" s="196">
        <v>-101800</v>
      </c>
    </row>
    <row r="5379" spans="1:7" x14ac:dyDescent="0.3">
      <c r="A5379" s="198">
        <v>1072653611</v>
      </c>
      <c r="B5379" s="192" t="s">
        <v>3697</v>
      </c>
      <c r="C5379" s="196">
        <v>-50900</v>
      </c>
      <c r="D5379" s="196">
        <v>0</v>
      </c>
      <c r="E5379" s="196">
        <v>0</v>
      </c>
      <c r="F5379" s="196">
        <v>0</v>
      </c>
      <c r="G5379" s="196">
        <v>-50900</v>
      </c>
    </row>
    <row r="5380" spans="1:7" x14ac:dyDescent="0.3">
      <c r="A5380" s="198">
        <v>1195216996</v>
      </c>
      <c r="B5380" s="192" t="s">
        <v>644</v>
      </c>
      <c r="C5380" s="196">
        <v>0</v>
      </c>
      <c r="D5380" s="196">
        <v>0</v>
      </c>
      <c r="E5380" s="196">
        <v>50900</v>
      </c>
      <c r="F5380" s="196">
        <v>-50900</v>
      </c>
      <c r="G5380" s="196">
        <v>-50900</v>
      </c>
    </row>
    <row r="5381" spans="1:7" x14ac:dyDescent="0.3">
      <c r="A5381" s="198">
        <v>1077723450</v>
      </c>
      <c r="B5381" s="192" t="s">
        <v>3698</v>
      </c>
      <c r="C5381" s="196">
        <v>-50900</v>
      </c>
      <c r="D5381" s="196">
        <v>0</v>
      </c>
      <c r="E5381" s="196">
        <v>0</v>
      </c>
      <c r="F5381" s="196">
        <v>0</v>
      </c>
      <c r="G5381" s="196">
        <v>-50900</v>
      </c>
    </row>
    <row r="5382" spans="1:7" x14ac:dyDescent="0.3">
      <c r="A5382" s="198">
        <v>22234502</v>
      </c>
      <c r="B5382" s="192" t="s">
        <v>3699</v>
      </c>
      <c r="C5382" s="196">
        <v>-297000</v>
      </c>
      <c r="D5382" s="196">
        <v>0</v>
      </c>
      <c r="E5382" s="196">
        <v>0</v>
      </c>
      <c r="F5382" s="196">
        <v>0</v>
      </c>
      <c r="G5382" s="196">
        <v>-297000</v>
      </c>
    </row>
    <row r="5383" spans="1:7" x14ac:dyDescent="0.3">
      <c r="A5383" s="198">
        <v>1035018790</v>
      </c>
      <c r="B5383" s="192" t="s">
        <v>3700</v>
      </c>
      <c r="C5383" s="196">
        <v>-340000</v>
      </c>
      <c r="D5383" s="196">
        <v>0</v>
      </c>
      <c r="E5383" s="196">
        <v>0</v>
      </c>
      <c r="F5383" s="196">
        <v>0</v>
      </c>
      <c r="G5383" s="196">
        <v>-340000</v>
      </c>
    </row>
    <row r="5384" spans="1:7" x14ac:dyDescent="0.3">
      <c r="A5384" s="198">
        <v>1033204430</v>
      </c>
      <c r="B5384" s="192" t="s">
        <v>3701</v>
      </c>
      <c r="C5384" s="196">
        <v>-47400</v>
      </c>
      <c r="D5384" s="196">
        <v>0</v>
      </c>
      <c r="E5384" s="196">
        <v>0</v>
      </c>
      <c r="F5384" s="196">
        <v>0</v>
      </c>
      <c r="G5384" s="196">
        <v>-47400</v>
      </c>
    </row>
    <row r="5385" spans="1:7" x14ac:dyDescent="0.3">
      <c r="A5385" s="198">
        <v>1035011944</v>
      </c>
      <c r="B5385" s="192" t="s">
        <v>3702</v>
      </c>
      <c r="C5385" s="196">
        <v>-43900</v>
      </c>
      <c r="D5385" s="196">
        <v>0</v>
      </c>
      <c r="E5385" s="196">
        <v>0</v>
      </c>
      <c r="F5385" s="196">
        <v>0</v>
      </c>
      <c r="G5385" s="196">
        <v>-43900</v>
      </c>
    </row>
    <row r="5386" spans="1:7" x14ac:dyDescent="0.3">
      <c r="A5386" s="198">
        <v>1017263730</v>
      </c>
      <c r="B5386" s="192" t="s">
        <v>3703</v>
      </c>
      <c r="C5386" s="196">
        <v>-43900</v>
      </c>
      <c r="D5386" s="196">
        <v>0</v>
      </c>
      <c r="E5386" s="196">
        <v>0</v>
      </c>
      <c r="F5386" s="196">
        <v>0</v>
      </c>
      <c r="G5386" s="196">
        <v>-43900</v>
      </c>
    </row>
    <row r="5387" spans="1:7" x14ac:dyDescent="0.3">
      <c r="A5387" s="198">
        <v>1034990759</v>
      </c>
      <c r="B5387" s="192" t="s">
        <v>645</v>
      </c>
      <c r="C5387" s="196">
        <v>0</v>
      </c>
      <c r="D5387" s="196">
        <v>0</v>
      </c>
      <c r="E5387" s="196">
        <v>76800</v>
      </c>
      <c r="F5387" s="196">
        <v>-76800</v>
      </c>
      <c r="G5387" s="196">
        <v>-76800</v>
      </c>
    </row>
    <row r="5388" spans="1:7" x14ac:dyDescent="0.3">
      <c r="A5388" s="198">
        <v>1035026743</v>
      </c>
      <c r="B5388" s="192" t="s">
        <v>646</v>
      </c>
      <c r="C5388" s="196">
        <v>-60000</v>
      </c>
      <c r="D5388" s="196">
        <v>0</v>
      </c>
      <c r="E5388" s="196">
        <v>25000</v>
      </c>
      <c r="F5388" s="196">
        <v>-25000</v>
      </c>
      <c r="G5388" s="196">
        <v>-85000</v>
      </c>
    </row>
    <row r="5389" spans="1:7" x14ac:dyDescent="0.3">
      <c r="A5389" s="198">
        <v>1020242625</v>
      </c>
      <c r="B5389" s="192" t="s">
        <v>3704</v>
      </c>
      <c r="C5389" s="196">
        <v>-50900</v>
      </c>
      <c r="D5389" s="196">
        <v>0</v>
      </c>
      <c r="E5389" s="196">
        <v>0</v>
      </c>
      <c r="F5389" s="196">
        <v>0</v>
      </c>
      <c r="G5389" s="196">
        <v>-50900</v>
      </c>
    </row>
    <row r="5390" spans="1:7" x14ac:dyDescent="0.3">
      <c r="A5390" s="198">
        <v>1038145317</v>
      </c>
      <c r="B5390" s="192" t="s">
        <v>3705</v>
      </c>
      <c r="C5390" s="196">
        <v>-57200</v>
      </c>
      <c r="D5390" s="196">
        <v>0</v>
      </c>
      <c r="E5390" s="196">
        <v>0</v>
      </c>
      <c r="F5390" s="196">
        <v>0</v>
      </c>
      <c r="G5390" s="196">
        <v>-57200</v>
      </c>
    </row>
    <row r="5391" spans="1:7" x14ac:dyDescent="0.3">
      <c r="A5391" s="198">
        <v>39267617</v>
      </c>
      <c r="B5391" s="192" t="s">
        <v>3706</v>
      </c>
      <c r="C5391" s="196">
        <v>-297000</v>
      </c>
      <c r="D5391" s="196">
        <v>0</v>
      </c>
      <c r="E5391" s="196">
        <v>0</v>
      </c>
      <c r="F5391" s="196">
        <v>0</v>
      </c>
      <c r="G5391" s="196">
        <v>-297000</v>
      </c>
    </row>
    <row r="5392" spans="1:7" x14ac:dyDescent="0.3">
      <c r="A5392" s="198">
        <v>1035023422</v>
      </c>
      <c r="B5392" s="192" t="s">
        <v>3707</v>
      </c>
      <c r="C5392" s="196">
        <v>-54200</v>
      </c>
      <c r="D5392" s="196">
        <v>0</v>
      </c>
      <c r="E5392" s="196">
        <v>0</v>
      </c>
      <c r="F5392" s="196">
        <v>0</v>
      </c>
      <c r="G5392" s="196">
        <v>-54200</v>
      </c>
    </row>
    <row r="5393" spans="1:7" x14ac:dyDescent="0.3">
      <c r="A5393" s="192" t="s">
        <v>3708</v>
      </c>
      <c r="B5393" s="192" t="s">
        <v>3709</v>
      </c>
      <c r="C5393" s="196">
        <v>-297000</v>
      </c>
      <c r="D5393" s="196">
        <v>0</v>
      </c>
      <c r="E5393" s="196">
        <v>0</v>
      </c>
      <c r="F5393" s="196">
        <v>0</v>
      </c>
      <c r="G5393" s="196">
        <v>-297000</v>
      </c>
    </row>
    <row r="5394" spans="1:7" x14ac:dyDescent="0.3">
      <c r="A5394" s="198">
        <v>1028443012</v>
      </c>
      <c r="B5394" s="192" t="s">
        <v>3710</v>
      </c>
      <c r="C5394" s="196">
        <v>-207900</v>
      </c>
      <c r="D5394" s="196">
        <v>0</v>
      </c>
      <c r="E5394" s="196">
        <v>0</v>
      </c>
      <c r="F5394" s="196">
        <v>0</v>
      </c>
      <c r="G5394" s="196">
        <v>-207900</v>
      </c>
    </row>
    <row r="5395" spans="1:7" x14ac:dyDescent="0.3">
      <c r="A5395" s="198">
        <v>1034995343</v>
      </c>
      <c r="B5395" s="192" t="s">
        <v>3711</v>
      </c>
      <c r="C5395" s="196">
        <v>-50900</v>
      </c>
      <c r="D5395" s="196">
        <v>0</v>
      </c>
      <c r="E5395" s="196">
        <v>0</v>
      </c>
      <c r="F5395" s="196">
        <v>0</v>
      </c>
      <c r="G5395" s="196">
        <v>-50900</v>
      </c>
    </row>
    <row r="5396" spans="1:7" x14ac:dyDescent="0.3">
      <c r="A5396" s="198">
        <v>1035018846</v>
      </c>
      <c r="B5396" s="192" t="s">
        <v>3712</v>
      </c>
      <c r="C5396" s="196">
        <v>-50900</v>
      </c>
      <c r="D5396" s="196">
        <v>0</v>
      </c>
      <c r="E5396" s="196">
        <v>0</v>
      </c>
      <c r="F5396" s="196">
        <v>0</v>
      </c>
      <c r="G5396" s="196">
        <v>-50900</v>
      </c>
    </row>
    <row r="5397" spans="1:7" x14ac:dyDescent="0.3">
      <c r="A5397" s="198">
        <v>592632914</v>
      </c>
      <c r="B5397" s="192" t="s">
        <v>3713</v>
      </c>
      <c r="C5397" s="196">
        <v>-110000</v>
      </c>
      <c r="D5397" s="196">
        <v>0</v>
      </c>
      <c r="E5397" s="196">
        <v>0</v>
      </c>
      <c r="F5397" s="196">
        <v>0</v>
      </c>
      <c r="G5397" s="196">
        <v>-110000</v>
      </c>
    </row>
    <row r="5398" spans="1:7" x14ac:dyDescent="0.3">
      <c r="A5398" s="198">
        <v>1035006278</v>
      </c>
      <c r="B5398" s="192" t="s">
        <v>3714</v>
      </c>
      <c r="C5398" s="196">
        <v>-45500</v>
      </c>
      <c r="D5398" s="196">
        <v>0</v>
      </c>
      <c r="E5398" s="196">
        <v>0</v>
      </c>
      <c r="F5398" s="196">
        <v>0</v>
      </c>
      <c r="G5398" s="196">
        <v>-45500</v>
      </c>
    </row>
    <row r="5399" spans="1:7" x14ac:dyDescent="0.3">
      <c r="A5399" s="198">
        <v>1192470894</v>
      </c>
      <c r="B5399" s="192" t="s">
        <v>3715</v>
      </c>
      <c r="C5399" s="196">
        <v>-50900</v>
      </c>
      <c r="D5399" s="196">
        <v>0</v>
      </c>
      <c r="E5399" s="196">
        <v>0</v>
      </c>
      <c r="F5399" s="196">
        <v>0</v>
      </c>
      <c r="G5399" s="196">
        <v>-50900</v>
      </c>
    </row>
    <row r="5400" spans="1:7" x14ac:dyDescent="0.3">
      <c r="A5400" s="198">
        <v>1035018986</v>
      </c>
      <c r="B5400" s="192" t="s">
        <v>3716</v>
      </c>
      <c r="C5400" s="196">
        <v>-50900</v>
      </c>
      <c r="D5400" s="196">
        <v>0</v>
      </c>
      <c r="E5400" s="196">
        <v>0</v>
      </c>
      <c r="F5400" s="196">
        <v>0</v>
      </c>
      <c r="G5400" s="196">
        <v>-50900</v>
      </c>
    </row>
    <row r="5401" spans="1:7" x14ac:dyDescent="0.3">
      <c r="A5401" s="198">
        <v>588100</v>
      </c>
      <c r="B5401" s="192" t="s">
        <v>3717</v>
      </c>
      <c r="C5401" s="196">
        <v>-50900</v>
      </c>
      <c r="D5401" s="196">
        <v>0</v>
      </c>
      <c r="E5401" s="196">
        <v>0</v>
      </c>
      <c r="F5401" s="196">
        <v>0</v>
      </c>
      <c r="G5401" s="196">
        <v>-50900</v>
      </c>
    </row>
    <row r="5402" spans="1:7" x14ac:dyDescent="0.3">
      <c r="A5402" s="198">
        <v>1035026784</v>
      </c>
      <c r="B5402" s="192" t="s">
        <v>3718</v>
      </c>
      <c r="C5402" s="196">
        <v>-50900</v>
      </c>
      <c r="D5402" s="196">
        <v>0</v>
      </c>
      <c r="E5402" s="196">
        <v>0</v>
      </c>
      <c r="F5402" s="196">
        <v>0</v>
      </c>
      <c r="G5402" s="196">
        <v>-50900</v>
      </c>
    </row>
    <row r="5403" spans="1:7" x14ac:dyDescent="0.3">
      <c r="A5403" s="198">
        <v>1223303088</v>
      </c>
      <c r="B5403" s="192" t="s">
        <v>3719</v>
      </c>
      <c r="C5403" s="196">
        <v>-50900</v>
      </c>
      <c r="D5403" s="196">
        <v>0</v>
      </c>
      <c r="E5403" s="196">
        <v>0</v>
      </c>
      <c r="F5403" s="196">
        <v>0</v>
      </c>
      <c r="G5403" s="196">
        <v>-50900</v>
      </c>
    </row>
    <row r="5404" spans="1:7" x14ac:dyDescent="0.3">
      <c r="A5404" s="198">
        <v>1123895982</v>
      </c>
      <c r="B5404" s="192" t="s">
        <v>3720</v>
      </c>
      <c r="C5404" s="196">
        <v>-47400</v>
      </c>
      <c r="D5404" s="196">
        <v>0</v>
      </c>
      <c r="E5404" s="196">
        <v>0</v>
      </c>
      <c r="F5404" s="196">
        <v>0</v>
      </c>
      <c r="G5404" s="196">
        <v>-47400</v>
      </c>
    </row>
    <row r="5405" spans="1:7" x14ac:dyDescent="0.3">
      <c r="A5405" s="198">
        <v>1238940135</v>
      </c>
      <c r="B5405" s="192" t="s">
        <v>3721</v>
      </c>
      <c r="C5405" s="196">
        <v>-50900</v>
      </c>
      <c r="D5405" s="196">
        <v>0</v>
      </c>
      <c r="E5405" s="196">
        <v>0</v>
      </c>
      <c r="F5405" s="196">
        <v>0</v>
      </c>
      <c r="G5405" s="196">
        <v>-50900</v>
      </c>
    </row>
    <row r="5406" spans="1:7" x14ac:dyDescent="0.3">
      <c r="A5406" s="198">
        <v>31854752</v>
      </c>
      <c r="B5406" s="192" t="s">
        <v>3722</v>
      </c>
      <c r="C5406" s="196">
        <v>-64000</v>
      </c>
      <c r="D5406" s="196">
        <v>0</v>
      </c>
      <c r="E5406" s="196">
        <v>0</v>
      </c>
      <c r="F5406" s="196">
        <v>0</v>
      </c>
      <c r="G5406" s="196">
        <v>-64000</v>
      </c>
    </row>
    <row r="5407" spans="1:7" x14ac:dyDescent="0.3">
      <c r="A5407" s="198">
        <v>7351167</v>
      </c>
      <c r="B5407" s="192" t="s">
        <v>3723</v>
      </c>
      <c r="C5407" s="196">
        <v>-33400</v>
      </c>
      <c r="D5407" s="196">
        <v>0</v>
      </c>
      <c r="E5407" s="196">
        <v>0</v>
      </c>
      <c r="F5407" s="196">
        <v>0</v>
      </c>
      <c r="G5407" s="196">
        <v>-33400</v>
      </c>
    </row>
    <row r="5408" spans="1:7" x14ac:dyDescent="0.3">
      <c r="A5408" s="198">
        <v>163311401</v>
      </c>
      <c r="B5408" s="192" t="s">
        <v>3724</v>
      </c>
      <c r="C5408" s="196">
        <v>-270000</v>
      </c>
      <c r="D5408" s="196">
        <v>0</v>
      </c>
      <c r="E5408" s="196">
        <v>0</v>
      </c>
      <c r="F5408" s="196">
        <v>0</v>
      </c>
      <c r="G5408" s="196">
        <v>-270000</v>
      </c>
    </row>
    <row r="5409" spans="1:7" x14ac:dyDescent="0.3">
      <c r="A5409" s="192" t="s">
        <v>3725</v>
      </c>
      <c r="B5409" s="192" t="s">
        <v>3726</v>
      </c>
      <c r="C5409" s="196">
        <v>-110000</v>
      </c>
      <c r="D5409" s="196">
        <v>0</v>
      </c>
      <c r="E5409" s="196">
        <v>0</v>
      </c>
      <c r="F5409" s="196">
        <v>0</v>
      </c>
      <c r="G5409" s="196">
        <v>-110000</v>
      </c>
    </row>
    <row r="5410" spans="1:7" x14ac:dyDescent="0.3">
      <c r="A5410" s="192" t="s">
        <v>3727</v>
      </c>
      <c r="B5410" s="192" t="s">
        <v>3728</v>
      </c>
      <c r="C5410" s="196">
        <v>-297000</v>
      </c>
      <c r="D5410" s="196">
        <v>0</v>
      </c>
      <c r="E5410" s="196">
        <v>0</v>
      </c>
      <c r="F5410" s="196">
        <v>0</v>
      </c>
      <c r="G5410" s="196">
        <v>-297000</v>
      </c>
    </row>
    <row r="5411" spans="1:7" x14ac:dyDescent="0.3">
      <c r="A5411" s="198">
        <v>1142948064</v>
      </c>
      <c r="B5411" s="192" t="s">
        <v>3729</v>
      </c>
      <c r="C5411" s="196">
        <v>-110000</v>
      </c>
      <c r="D5411" s="196">
        <v>0</v>
      </c>
      <c r="E5411" s="196">
        <v>0</v>
      </c>
      <c r="F5411" s="196">
        <v>0</v>
      </c>
      <c r="G5411" s="196">
        <v>-110000</v>
      </c>
    </row>
    <row r="5412" spans="1:7" x14ac:dyDescent="0.3">
      <c r="A5412" s="198">
        <v>1015837</v>
      </c>
      <c r="B5412" s="192" t="s">
        <v>3730</v>
      </c>
      <c r="C5412" s="196">
        <v>-46400</v>
      </c>
      <c r="D5412" s="196">
        <v>0</v>
      </c>
      <c r="E5412" s="196">
        <v>0</v>
      </c>
      <c r="F5412" s="196">
        <v>0</v>
      </c>
      <c r="G5412" s="196">
        <v>-46400</v>
      </c>
    </row>
    <row r="5413" spans="1:7" x14ac:dyDescent="0.3">
      <c r="A5413" s="198">
        <v>649454354</v>
      </c>
      <c r="B5413" s="192" t="s">
        <v>3731</v>
      </c>
      <c r="C5413" s="196">
        <v>-270000</v>
      </c>
      <c r="D5413" s="196">
        <v>0</v>
      </c>
      <c r="E5413" s="196">
        <v>0</v>
      </c>
      <c r="F5413" s="196">
        <v>0</v>
      </c>
      <c r="G5413" s="196">
        <v>-270000</v>
      </c>
    </row>
    <row r="5414" spans="1:7" x14ac:dyDescent="0.3">
      <c r="A5414" s="198">
        <v>677607505</v>
      </c>
      <c r="B5414" s="192" t="s">
        <v>3732</v>
      </c>
      <c r="C5414" s="196">
        <v>-297000</v>
      </c>
      <c r="D5414" s="196">
        <v>0</v>
      </c>
      <c r="E5414" s="196">
        <v>0</v>
      </c>
      <c r="F5414" s="196">
        <v>0</v>
      </c>
      <c r="G5414" s="196">
        <v>-297000</v>
      </c>
    </row>
    <row r="5415" spans="1:7" x14ac:dyDescent="0.3">
      <c r="A5415" s="192" t="s">
        <v>3733</v>
      </c>
      <c r="B5415" s="192" t="s">
        <v>3734</v>
      </c>
      <c r="C5415" s="196">
        <v>-162000</v>
      </c>
      <c r="D5415" s="196">
        <v>0</v>
      </c>
      <c r="E5415" s="196">
        <v>0</v>
      </c>
      <c r="F5415" s="196">
        <v>0</v>
      </c>
      <c r="G5415" s="196">
        <v>-162000</v>
      </c>
    </row>
    <row r="5416" spans="1:7" x14ac:dyDescent="0.3">
      <c r="A5416" s="198">
        <v>1020478525</v>
      </c>
      <c r="B5416" s="192" t="s">
        <v>3735</v>
      </c>
      <c r="C5416" s="196">
        <v>-220000</v>
      </c>
      <c r="D5416" s="196">
        <v>0</v>
      </c>
      <c r="E5416" s="196">
        <v>0</v>
      </c>
      <c r="F5416" s="196">
        <v>0</v>
      </c>
      <c r="G5416" s="196">
        <v>-220000</v>
      </c>
    </row>
    <row r="5417" spans="1:7" x14ac:dyDescent="0.3">
      <c r="A5417" s="198">
        <v>1000137044</v>
      </c>
      <c r="B5417" s="192" t="s">
        <v>648</v>
      </c>
      <c r="C5417" s="196">
        <v>-110000</v>
      </c>
      <c r="D5417" s="196">
        <v>0</v>
      </c>
      <c r="E5417" s="196">
        <v>0</v>
      </c>
      <c r="F5417" s="196">
        <v>0</v>
      </c>
      <c r="G5417" s="196">
        <v>-110000</v>
      </c>
    </row>
    <row r="5418" spans="1:7" x14ac:dyDescent="0.3">
      <c r="A5418" s="198">
        <v>1102874540</v>
      </c>
      <c r="B5418" s="192" t="s">
        <v>3736</v>
      </c>
      <c r="C5418" s="196">
        <v>-275000</v>
      </c>
      <c r="D5418" s="196">
        <v>0</v>
      </c>
      <c r="E5418" s="196">
        <v>0</v>
      </c>
      <c r="F5418" s="196">
        <v>0</v>
      </c>
      <c r="G5418" s="196">
        <v>-275000</v>
      </c>
    </row>
    <row r="5419" spans="1:7" x14ac:dyDescent="0.3">
      <c r="A5419" s="198">
        <v>1037660939</v>
      </c>
      <c r="B5419" s="192" t="s">
        <v>3737</v>
      </c>
      <c r="C5419" s="196">
        <v>-50900</v>
      </c>
      <c r="D5419" s="196">
        <v>0</v>
      </c>
      <c r="E5419" s="196">
        <v>0</v>
      </c>
      <c r="F5419" s="196">
        <v>0</v>
      </c>
      <c r="G5419" s="196">
        <v>-50900</v>
      </c>
    </row>
    <row r="5420" spans="1:7" x14ac:dyDescent="0.3">
      <c r="A5420" s="198">
        <v>647019950</v>
      </c>
      <c r="B5420" s="192" t="s">
        <v>3738</v>
      </c>
      <c r="C5420" s="196">
        <v>-50900</v>
      </c>
      <c r="D5420" s="196">
        <v>0</v>
      </c>
      <c r="E5420" s="196">
        <v>0</v>
      </c>
      <c r="F5420" s="196">
        <v>0</v>
      </c>
      <c r="G5420" s="196">
        <v>-50900</v>
      </c>
    </row>
    <row r="5421" spans="1:7" x14ac:dyDescent="0.3">
      <c r="A5421" s="198">
        <v>12962343</v>
      </c>
      <c r="B5421" s="192" t="s">
        <v>649</v>
      </c>
      <c r="C5421" s="196">
        <v>-638000</v>
      </c>
      <c r="D5421" s="196">
        <v>0</v>
      </c>
      <c r="E5421" s="196">
        <v>140000</v>
      </c>
      <c r="F5421" s="196">
        <v>-140000</v>
      </c>
      <c r="G5421" s="196">
        <v>-778000</v>
      </c>
    </row>
    <row r="5422" spans="1:7" x14ac:dyDescent="0.3">
      <c r="A5422" s="198">
        <v>71673060</v>
      </c>
      <c r="B5422" s="192" t="s">
        <v>650</v>
      </c>
      <c r="C5422" s="196">
        <v>0</v>
      </c>
      <c r="D5422" s="196">
        <v>0</v>
      </c>
      <c r="E5422" s="196">
        <v>25000</v>
      </c>
      <c r="F5422" s="196">
        <v>-25000</v>
      </c>
      <c r="G5422" s="196">
        <v>-25000</v>
      </c>
    </row>
    <row r="5423" spans="1:7" x14ac:dyDescent="0.3">
      <c r="A5423" s="198">
        <v>80418788</v>
      </c>
      <c r="B5423" s="192" t="s">
        <v>3739</v>
      </c>
      <c r="C5423" s="196">
        <v>-50900</v>
      </c>
      <c r="D5423" s="196">
        <v>0</v>
      </c>
      <c r="E5423" s="196">
        <v>0</v>
      </c>
      <c r="F5423" s="196">
        <v>0</v>
      </c>
      <c r="G5423" s="196">
        <v>-50900</v>
      </c>
    </row>
    <row r="5424" spans="1:7" x14ac:dyDescent="0.3">
      <c r="A5424" s="198">
        <v>79542252</v>
      </c>
      <c r="B5424" s="192" t="s">
        <v>651</v>
      </c>
      <c r="C5424" s="196">
        <v>-82800</v>
      </c>
      <c r="D5424" s="196">
        <v>0</v>
      </c>
      <c r="E5424" s="196">
        <v>41400</v>
      </c>
      <c r="F5424" s="196">
        <v>-41400</v>
      </c>
      <c r="G5424" s="196">
        <v>-124200</v>
      </c>
    </row>
    <row r="5425" spans="1:7" x14ac:dyDescent="0.3">
      <c r="A5425" s="198">
        <v>3549932</v>
      </c>
      <c r="B5425" s="192" t="s">
        <v>3740</v>
      </c>
      <c r="C5425" s="196">
        <v>-609000</v>
      </c>
      <c r="D5425" s="196">
        <v>0</v>
      </c>
      <c r="E5425" s="196">
        <v>0</v>
      </c>
      <c r="F5425" s="196">
        <v>0</v>
      </c>
      <c r="G5425" s="196">
        <v>-609000</v>
      </c>
    </row>
    <row r="5426" spans="1:7" x14ac:dyDescent="0.3">
      <c r="A5426" s="198">
        <v>1085261892</v>
      </c>
      <c r="B5426" s="192" t="s">
        <v>3741</v>
      </c>
      <c r="C5426" s="196">
        <v>-47400</v>
      </c>
      <c r="D5426" s="196">
        <v>0</v>
      </c>
      <c r="E5426" s="196">
        <v>0</v>
      </c>
      <c r="F5426" s="196">
        <v>0</v>
      </c>
      <c r="G5426" s="196">
        <v>-47400</v>
      </c>
    </row>
    <row r="5427" spans="1:7" x14ac:dyDescent="0.3">
      <c r="A5427" s="192" t="s">
        <v>3742</v>
      </c>
      <c r="B5427" s="192" t="s">
        <v>3743</v>
      </c>
      <c r="C5427" s="196">
        <v>-270000</v>
      </c>
      <c r="D5427" s="196">
        <v>0</v>
      </c>
      <c r="E5427" s="196">
        <v>0</v>
      </c>
      <c r="F5427" s="196">
        <v>0</v>
      </c>
      <c r="G5427" s="196">
        <v>-270000</v>
      </c>
    </row>
    <row r="5428" spans="1:7" x14ac:dyDescent="0.3">
      <c r="A5428" s="198">
        <v>8164912</v>
      </c>
      <c r="B5428" s="192" t="s">
        <v>653</v>
      </c>
      <c r="C5428" s="196">
        <v>0</v>
      </c>
      <c r="D5428" s="196">
        <v>0</v>
      </c>
      <c r="E5428" s="196">
        <v>54200</v>
      </c>
      <c r="F5428" s="196">
        <v>-54200</v>
      </c>
      <c r="G5428" s="196">
        <v>-54200</v>
      </c>
    </row>
    <row r="5429" spans="1:7" x14ac:dyDescent="0.3">
      <c r="A5429" s="198">
        <v>698849</v>
      </c>
      <c r="B5429" s="192" t="s">
        <v>3744</v>
      </c>
      <c r="C5429" s="196">
        <v>-50900</v>
      </c>
      <c r="D5429" s="196">
        <v>0</v>
      </c>
      <c r="E5429" s="196">
        <v>0</v>
      </c>
      <c r="F5429" s="196">
        <v>0</v>
      </c>
      <c r="G5429" s="196">
        <v>-50900</v>
      </c>
    </row>
    <row r="5430" spans="1:7" x14ac:dyDescent="0.3">
      <c r="A5430" s="198">
        <v>70071136</v>
      </c>
      <c r="B5430" s="192" t="s">
        <v>655</v>
      </c>
      <c r="C5430" s="196">
        <v>-146000</v>
      </c>
      <c r="D5430" s="196">
        <v>0</v>
      </c>
      <c r="E5430" s="196">
        <v>38000</v>
      </c>
      <c r="F5430" s="196">
        <v>-38000</v>
      </c>
      <c r="G5430" s="196">
        <v>-184000</v>
      </c>
    </row>
    <row r="5431" spans="1:7" x14ac:dyDescent="0.3">
      <c r="A5431" s="198">
        <v>1097391975</v>
      </c>
      <c r="B5431" s="192" t="s">
        <v>3745</v>
      </c>
      <c r="C5431" s="196">
        <v>-119000</v>
      </c>
      <c r="D5431" s="196">
        <v>0</v>
      </c>
      <c r="E5431" s="196">
        <v>0</v>
      </c>
      <c r="F5431" s="196">
        <v>0</v>
      </c>
      <c r="G5431" s="196">
        <v>-119000</v>
      </c>
    </row>
    <row r="5432" spans="1:7" x14ac:dyDescent="0.3">
      <c r="A5432" s="198">
        <v>23913858</v>
      </c>
      <c r="B5432" s="192" t="s">
        <v>3746</v>
      </c>
      <c r="C5432" s="196">
        <v>-50900</v>
      </c>
      <c r="D5432" s="196">
        <v>0</v>
      </c>
      <c r="E5432" s="196">
        <v>0</v>
      </c>
      <c r="F5432" s="196">
        <v>0</v>
      </c>
      <c r="G5432" s="196">
        <v>-50900</v>
      </c>
    </row>
    <row r="5433" spans="1:7" x14ac:dyDescent="0.3">
      <c r="A5433" s="198">
        <v>43542545</v>
      </c>
      <c r="B5433" s="192" t="s">
        <v>3747</v>
      </c>
      <c r="C5433" s="196">
        <v>-38400</v>
      </c>
      <c r="D5433" s="196">
        <v>0</v>
      </c>
      <c r="E5433" s="196">
        <v>0</v>
      </c>
      <c r="F5433" s="196">
        <v>0</v>
      </c>
      <c r="G5433" s="196">
        <v>-38400</v>
      </c>
    </row>
    <row r="5434" spans="1:7" x14ac:dyDescent="0.3">
      <c r="A5434" s="198">
        <v>93410718</v>
      </c>
      <c r="B5434" s="192" t="s">
        <v>3748</v>
      </c>
      <c r="C5434" s="196">
        <v>-50900</v>
      </c>
      <c r="D5434" s="196">
        <v>0</v>
      </c>
      <c r="E5434" s="196">
        <v>0</v>
      </c>
      <c r="F5434" s="196">
        <v>0</v>
      </c>
      <c r="G5434" s="196">
        <v>-50900</v>
      </c>
    </row>
    <row r="5435" spans="1:7" x14ac:dyDescent="0.3">
      <c r="A5435" s="198">
        <v>1017130065</v>
      </c>
      <c r="B5435" s="192" t="s">
        <v>3749</v>
      </c>
      <c r="C5435" s="196">
        <v>-43900</v>
      </c>
      <c r="D5435" s="196">
        <v>0</v>
      </c>
      <c r="E5435" s="196">
        <v>0</v>
      </c>
      <c r="F5435" s="196">
        <v>0</v>
      </c>
      <c r="G5435" s="196">
        <v>-43900</v>
      </c>
    </row>
    <row r="5436" spans="1:7" x14ac:dyDescent="0.3">
      <c r="A5436" s="198">
        <v>43488995</v>
      </c>
      <c r="B5436" s="192" t="s">
        <v>3750</v>
      </c>
      <c r="C5436" s="196">
        <v>-297000</v>
      </c>
      <c r="D5436" s="196">
        <v>0</v>
      </c>
      <c r="E5436" s="196">
        <v>0</v>
      </c>
      <c r="F5436" s="196">
        <v>0</v>
      </c>
      <c r="G5436" s="196">
        <v>-297000</v>
      </c>
    </row>
    <row r="5437" spans="1:7" x14ac:dyDescent="0.3">
      <c r="A5437" s="198">
        <v>21978728</v>
      </c>
      <c r="B5437" s="192" t="s">
        <v>3751</v>
      </c>
      <c r="C5437" s="196">
        <v>-50900</v>
      </c>
      <c r="D5437" s="196">
        <v>0</v>
      </c>
      <c r="E5437" s="196">
        <v>0</v>
      </c>
      <c r="F5437" s="196">
        <v>0</v>
      </c>
      <c r="G5437" s="196">
        <v>-50900</v>
      </c>
    </row>
    <row r="5438" spans="1:7" x14ac:dyDescent="0.3">
      <c r="A5438" s="198">
        <v>43904363</v>
      </c>
      <c r="B5438" s="192" t="s">
        <v>657</v>
      </c>
      <c r="C5438" s="196">
        <v>0</v>
      </c>
      <c r="D5438" s="196">
        <v>0</v>
      </c>
      <c r="E5438" s="196">
        <v>297000</v>
      </c>
      <c r="F5438" s="196">
        <v>-297000</v>
      </c>
      <c r="G5438" s="196">
        <v>-297000</v>
      </c>
    </row>
    <row r="5439" spans="1:7" x14ac:dyDescent="0.3">
      <c r="A5439" s="198">
        <v>39265873</v>
      </c>
      <c r="B5439" s="192" t="s">
        <v>3752</v>
      </c>
      <c r="C5439" s="196">
        <v>-297000</v>
      </c>
      <c r="D5439" s="196">
        <v>0</v>
      </c>
      <c r="E5439" s="196">
        <v>0</v>
      </c>
      <c r="F5439" s="196">
        <v>0</v>
      </c>
      <c r="G5439" s="196">
        <v>-297000</v>
      </c>
    </row>
    <row r="5440" spans="1:7" x14ac:dyDescent="0.3">
      <c r="A5440" s="198">
        <v>39182426</v>
      </c>
      <c r="B5440" s="192" t="s">
        <v>3753</v>
      </c>
      <c r="C5440" s="196">
        <v>-50900</v>
      </c>
      <c r="D5440" s="196">
        <v>0</v>
      </c>
      <c r="E5440" s="196">
        <v>0</v>
      </c>
      <c r="F5440" s="196">
        <v>0</v>
      </c>
      <c r="G5440" s="196">
        <v>-50900</v>
      </c>
    </row>
    <row r="5441" spans="1:7" x14ac:dyDescent="0.3">
      <c r="A5441" s="198">
        <v>43022261</v>
      </c>
      <c r="B5441" s="192" t="s">
        <v>3754</v>
      </c>
      <c r="C5441" s="196">
        <v>-223300</v>
      </c>
      <c r="D5441" s="196">
        <v>0</v>
      </c>
      <c r="E5441" s="196">
        <v>0</v>
      </c>
      <c r="F5441" s="196">
        <v>0</v>
      </c>
      <c r="G5441" s="196">
        <v>-223300</v>
      </c>
    </row>
    <row r="5442" spans="1:7" x14ac:dyDescent="0.3">
      <c r="A5442" s="198">
        <v>26756189</v>
      </c>
      <c r="B5442" s="192" t="s">
        <v>3755</v>
      </c>
      <c r="C5442" s="196">
        <v>-41400</v>
      </c>
      <c r="D5442" s="196">
        <v>0</v>
      </c>
      <c r="E5442" s="196">
        <v>0</v>
      </c>
      <c r="F5442" s="196">
        <v>0</v>
      </c>
      <c r="G5442" s="196">
        <v>-41400</v>
      </c>
    </row>
    <row r="5443" spans="1:7" x14ac:dyDescent="0.3">
      <c r="A5443" s="198">
        <v>43491432</v>
      </c>
      <c r="B5443" s="192" t="s">
        <v>3756</v>
      </c>
      <c r="C5443" s="196">
        <v>-189000</v>
      </c>
      <c r="D5443" s="196">
        <v>0</v>
      </c>
      <c r="E5443" s="196">
        <v>0</v>
      </c>
      <c r="F5443" s="196">
        <v>0</v>
      </c>
      <c r="G5443" s="196">
        <v>-189000</v>
      </c>
    </row>
    <row r="5444" spans="1:7" x14ac:dyDescent="0.3">
      <c r="A5444" s="198">
        <v>29856431</v>
      </c>
      <c r="B5444" s="192" t="s">
        <v>659</v>
      </c>
      <c r="C5444" s="196">
        <v>0</v>
      </c>
      <c r="D5444" s="196">
        <v>0</v>
      </c>
      <c r="E5444" s="196">
        <v>57200</v>
      </c>
      <c r="F5444" s="196">
        <v>-57200</v>
      </c>
      <c r="G5444" s="196">
        <v>-57200</v>
      </c>
    </row>
    <row r="5445" spans="1:7" x14ac:dyDescent="0.3">
      <c r="A5445" s="198">
        <v>1043977083</v>
      </c>
      <c r="B5445" s="192" t="s">
        <v>660</v>
      </c>
      <c r="C5445" s="196">
        <v>0</v>
      </c>
      <c r="D5445" s="196">
        <v>0</v>
      </c>
      <c r="E5445" s="196">
        <v>319000</v>
      </c>
      <c r="F5445" s="196">
        <v>-319000</v>
      </c>
      <c r="G5445" s="196">
        <v>-319000</v>
      </c>
    </row>
    <row r="5446" spans="1:7" x14ac:dyDescent="0.3">
      <c r="A5446" s="198">
        <v>71784033</v>
      </c>
      <c r="B5446" s="192" t="s">
        <v>661</v>
      </c>
      <c r="C5446" s="196">
        <v>0</v>
      </c>
      <c r="D5446" s="196">
        <v>0</v>
      </c>
      <c r="E5446" s="196">
        <v>50900</v>
      </c>
      <c r="F5446" s="196">
        <v>-50900</v>
      </c>
      <c r="G5446" s="196">
        <v>-50900</v>
      </c>
    </row>
    <row r="5447" spans="1:7" x14ac:dyDescent="0.3">
      <c r="A5447" s="198">
        <v>31867399</v>
      </c>
      <c r="B5447" s="192" t="s">
        <v>3757</v>
      </c>
      <c r="C5447" s="196">
        <v>-247000</v>
      </c>
      <c r="D5447" s="196">
        <v>0</v>
      </c>
      <c r="E5447" s="196">
        <v>0</v>
      </c>
      <c r="F5447" s="196">
        <v>0</v>
      </c>
      <c r="G5447" s="196">
        <v>-247000</v>
      </c>
    </row>
    <row r="5448" spans="1:7" x14ac:dyDescent="0.3">
      <c r="A5448" s="198">
        <v>65496748</v>
      </c>
      <c r="B5448" s="192" t="s">
        <v>2391</v>
      </c>
      <c r="C5448" s="196">
        <v>-41400</v>
      </c>
      <c r="D5448" s="196">
        <v>0</v>
      </c>
      <c r="E5448" s="196">
        <v>0</v>
      </c>
      <c r="F5448" s="196">
        <v>0</v>
      </c>
      <c r="G5448" s="196">
        <v>-41400</v>
      </c>
    </row>
    <row r="5449" spans="1:7" x14ac:dyDescent="0.3">
      <c r="A5449" s="198">
        <v>42789578</v>
      </c>
      <c r="B5449" s="192" t="s">
        <v>3758</v>
      </c>
      <c r="C5449" s="196">
        <v>-47400</v>
      </c>
      <c r="D5449" s="196">
        <v>0</v>
      </c>
      <c r="E5449" s="196">
        <v>0</v>
      </c>
      <c r="F5449" s="196">
        <v>0</v>
      </c>
      <c r="G5449" s="196">
        <v>-47400</v>
      </c>
    </row>
    <row r="5450" spans="1:7" x14ac:dyDescent="0.3">
      <c r="A5450" s="198">
        <v>42980989</v>
      </c>
      <c r="B5450" s="192" t="s">
        <v>3759</v>
      </c>
      <c r="C5450" s="196">
        <v>-114400</v>
      </c>
      <c r="D5450" s="196">
        <v>0</v>
      </c>
      <c r="E5450" s="196">
        <v>0</v>
      </c>
      <c r="F5450" s="196">
        <v>0</v>
      </c>
      <c r="G5450" s="196">
        <v>-114400</v>
      </c>
    </row>
    <row r="5451" spans="1:7" x14ac:dyDescent="0.3">
      <c r="A5451" s="198">
        <v>43440595</v>
      </c>
      <c r="B5451" s="192" t="s">
        <v>662</v>
      </c>
      <c r="C5451" s="196">
        <v>0</v>
      </c>
      <c r="D5451" s="196">
        <v>0</v>
      </c>
      <c r="E5451" s="196">
        <v>247000</v>
      </c>
      <c r="F5451" s="196">
        <v>-247000</v>
      </c>
      <c r="G5451" s="196">
        <v>-247000</v>
      </c>
    </row>
    <row r="5452" spans="1:7" x14ac:dyDescent="0.3">
      <c r="A5452" s="198">
        <v>42873703</v>
      </c>
      <c r="B5452" s="192" t="s">
        <v>3760</v>
      </c>
      <c r="C5452" s="196">
        <v>-594000</v>
      </c>
      <c r="D5452" s="196">
        <v>0</v>
      </c>
      <c r="E5452" s="196">
        <v>0</v>
      </c>
      <c r="F5452" s="196">
        <v>0</v>
      </c>
      <c r="G5452" s="196">
        <v>-594000</v>
      </c>
    </row>
    <row r="5453" spans="1:7" x14ac:dyDescent="0.3">
      <c r="A5453" s="198">
        <v>43031721</v>
      </c>
      <c r="B5453" s="192" t="s">
        <v>3761</v>
      </c>
      <c r="C5453" s="196">
        <v>-101800</v>
      </c>
      <c r="D5453" s="196">
        <v>0</v>
      </c>
      <c r="E5453" s="196">
        <v>0</v>
      </c>
      <c r="F5453" s="196">
        <v>0</v>
      </c>
      <c r="G5453" s="196">
        <v>-101800</v>
      </c>
    </row>
    <row r="5454" spans="1:7" x14ac:dyDescent="0.3">
      <c r="A5454" s="198">
        <v>32526466</v>
      </c>
      <c r="B5454" s="192" t="s">
        <v>3762</v>
      </c>
      <c r="C5454" s="196">
        <v>-36000</v>
      </c>
      <c r="D5454" s="196">
        <v>0</v>
      </c>
      <c r="E5454" s="196">
        <v>0</v>
      </c>
      <c r="F5454" s="196">
        <v>0</v>
      </c>
      <c r="G5454" s="196">
        <v>-36000</v>
      </c>
    </row>
    <row r="5455" spans="1:7" x14ac:dyDescent="0.3">
      <c r="A5455" s="198">
        <v>21709423</v>
      </c>
      <c r="B5455" s="192" t="s">
        <v>3763</v>
      </c>
      <c r="C5455" s="196">
        <v>-297000</v>
      </c>
      <c r="D5455" s="196">
        <v>0</v>
      </c>
      <c r="E5455" s="196">
        <v>0</v>
      </c>
      <c r="F5455" s="196">
        <v>0</v>
      </c>
      <c r="G5455" s="196">
        <v>-297000</v>
      </c>
    </row>
    <row r="5456" spans="1:7" x14ac:dyDescent="0.3">
      <c r="A5456" s="198">
        <v>55151152</v>
      </c>
      <c r="B5456" s="192" t="s">
        <v>3764</v>
      </c>
      <c r="C5456" s="196">
        <v>-223300</v>
      </c>
      <c r="D5456" s="196">
        <v>0</v>
      </c>
      <c r="E5456" s="196">
        <v>0</v>
      </c>
      <c r="F5456" s="196">
        <v>0</v>
      </c>
      <c r="G5456" s="196">
        <v>-223300</v>
      </c>
    </row>
    <row r="5457" spans="1:7" x14ac:dyDescent="0.3">
      <c r="A5457" s="198">
        <v>32015972</v>
      </c>
      <c r="B5457" s="192" t="s">
        <v>663</v>
      </c>
      <c r="C5457" s="196">
        <v>-50900</v>
      </c>
      <c r="D5457" s="196">
        <v>0</v>
      </c>
      <c r="E5457" s="196">
        <v>0</v>
      </c>
      <c r="F5457" s="196">
        <v>0</v>
      </c>
      <c r="G5457" s="196">
        <v>-50900</v>
      </c>
    </row>
    <row r="5458" spans="1:7" x14ac:dyDescent="0.3">
      <c r="A5458" s="198">
        <v>32425690</v>
      </c>
      <c r="B5458" s="192" t="s">
        <v>3765</v>
      </c>
      <c r="C5458" s="196">
        <v>-290000</v>
      </c>
      <c r="D5458" s="196">
        <v>0</v>
      </c>
      <c r="E5458" s="196">
        <v>0</v>
      </c>
      <c r="F5458" s="196">
        <v>0</v>
      </c>
      <c r="G5458" s="196">
        <v>-290000</v>
      </c>
    </row>
    <row r="5459" spans="1:7" x14ac:dyDescent="0.3">
      <c r="A5459" s="198">
        <v>37834074</v>
      </c>
      <c r="B5459" s="192" t="s">
        <v>664</v>
      </c>
      <c r="C5459" s="196">
        <v>0</v>
      </c>
      <c r="D5459" s="196">
        <v>0</v>
      </c>
      <c r="E5459" s="196">
        <v>50900</v>
      </c>
      <c r="F5459" s="196">
        <v>-50900</v>
      </c>
      <c r="G5459" s="196">
        <v>-50900</v>
      </c>
    </row>
    <row r="5460" spans="1:7" x14ac:dyDescent="0.3">
      <c r="A5460" s="198">
        <v>43510687</v>
      </c>
      <c r="B5460" s="192" t="s">
        <v>3766</v>
      </c>
      <c r="C5460" s="196">
        <v>-98300</v>
      </c>
      <c r="D5460" s="196">
        <v>0</v>
      </c>
      <c r="E5460" s="196">
        <v>0</v>
      </c>
      <c r="F5460" s="196">
        <v>0</v>
      </c>
      <c r="G5460" s="196">
        <v>-98300</v>
      </c>
    </row>
    <row r="5461" spans="1:7" x14ac:dyDescent="0.3">
      <c r="A5461" s="198">
        <v>49739650</v>
      </c>
      <c r="B5461" s="192" t="s">
        <v>3767</v>
      </c>
      <c r="C5461" s="196">
        <v>-25100</v>
      </c>
      <c r="D5461" s="196">
        <v>0</v>
      </c>
      <c r="E5461" s="196">
        <v>0</v>
      </c>
      <c r="F5461" s="196">
        <v>0</v>
      </c>
      <c r="G5461" s="196">
        <v>-25100</v>
      </c>
    </row>
    <row r="5462" spans="1:7" x14ac:dyDescent="0.3">
      <c r="A5462" s="198">
        <v>37220432</v>
      </c>
      <c r="B5462" s="192" t="s">
        <v>3768</v>
      </c>
      <c r="C5462" s="196">
        <v>-270000</v>
      </c>
      <c r="D5462" s="196">
        <v>0</v>
      </c>
      <c r="E5462" s="196">
        <v>0</v>
      </c>
      <c r="F5462" s="196">
        <v>0</v>
      </c>
      <c r="G5462" s="196">
        <v>-270000</v>
      </c>
    </row>
    <row r="5463" spans="1:7" x14ac:dyDescent="0.3">
      <c r="A5463" s="198">
        <v>43795031</v>
      </c>
      <c r="B5463" s="192" t="s">
        <v>3769</v>
      </c>
      <c r="C5463" s="196">
        <v>-47000</v>
      </c>
      <c r="D5463" s="196">
        <v>0</v>
      </c>
      <c r="E5463" s="196">
        <v>0</v>
      </c>
      <c r="F5463" s="196">
        <v>0</v>
      </c>
      <c r="G5463" s="196">
        <v>-47000</v>
      </c>
    </row>
    <row r="5464" spans="1:7" x14ac:dyDescent="0.3">
      <c r="A5464" s="198">
        <v>21577069</v>
      </c>
      <c r="B5464" s="192" t="s">
        <v>3770</v>
      </c>
      <c r="C5464" s="196">
        <v>-94800</v>
      </c>
      <c r="D5464" s="196">
        <v>0</v>
      </c>
      <c r="E5464" s="196">
        <v>0</v>
      </c>
      <c r="F5464" s="196">
        <v>0</v>
      </c>
      <c r="G5464" s="196">
        <v>-94800</v>
      </c>
    </row>
    <row r="5465" spans="1:7" x14ac:dyDescent="0.3">
      <c r="A5465" s="198">
        <v>42878529</v>
      </c>
      <c r="B5465" s="192" t="s">
        <v>3771</v>
      </c>
      <c r="C5465" s="196">
        <v>-38400</v>
      </c>
      <c r="D5465" s="196">
        <v>0</v>
      </c>
      <c r="E5465" s="196">
        <v>0</v>
      </c>
      <c r="F5465" s="196">
        <v>0</v>
      </c>
      <c r="G5465" s="196">
        <v>-38400</v>
      </c>
    </row>
    <row r="5466" spans="1:7" x14ac:dyDescent="0.3">
      <c r="A5466" s="198">
        <v>51555699</v>
      </c>
      <c r="B5466" s="192" t="s">
        <v>665</v>
      </c>
      <c r="C5466" s="196">
        <v>-50200</v>
      </c>
      <c r="D5466" s="196">
        <v>0</v>
      </c>
      <c r="E5466" s="196">
        <v>25100</v>
      </c>
      <c r="F5466" s="196">
        <v>-25100</v>
      </c>
      <c r="G5466" s="196">
        <v>-75300</v>
      </c>
    </row>
    <row r="5467" spans="1:7" x14ac:dyDescent="0.3">
      <c r="A5467" s="198">
        <v>43518518</v>
      </c>
      <c r="B5467" s="192" t="s">
        <v>3772</v>
      </c>
      <c r="C5467" s="196">
        <v>-54200</v>
      </c>
      <c r="D5467" s="196">
        <v>0</v>
      </c>
      <c r="E5467" s="196">
        <v>0</v>
      </c>
      <c r="F5467" s="196">
        <v>0</v>
      </c>
      <c r="G5467" s="196">
        <v>-54200</v>
      </c>
    </row>
    <row r="5468" spans="1:7" x14ac:dyDescent="0.3">
      <c r="A5468" s="198">
        <v>42770862</v>
      </c>
      <c r="B5468" s="192" t="s">
        <v>3773</v>
      </c>
      <c r="C5468" s="196">
        <v>-41400</v>
      </c>
      <c r="D5468" s="196">
        <v>0</v>
      </c>
      <c r="E5468" s="196">
        <v>0</v>
      </c>
      <c r="F5468" s="196">
        <v>0</v>
      </c>
      <c r="G5468" s="196">
        <v>-41400</v>
      </c>
    </row>
    <row r="5469" spans="1:7" x14ac:dyDescent="0.3">
      <c r="A5469" s="198">
        <v>22391612</v>
      </c>
      <c r="B5469" s="192" t="s">
        <v>3774</v>
      </c>
      <c r="C5469" s="196">
        <v>-82800</v>
      </c>
      <c r="D5469" s="196">
        <v>0</v>
      </c>
      <c r="E5469" s="196">
        <v>0</v>
      </c>
      <c r="F5469" s="196">
        <v>0</v>
      </c>
      <c r="G5469" s="196">
        <v>-82800</v>
      </c>
    </row>
    <row r="5470" spans="1:7" x14ac:dyDescent="0.3">
      <c r="A5470" s="198">
        <v>37825638</v>
      </c>
      <c r="B5470" s="192" t="s">
        <v>666</v>
      </c>
      <c r="C5470" s="196">
        <v>-319000</v>
      </c>
      <c r="D5470" s="196">
        <v>0</v>
      </c>
      <c r="E5470" s="196">
        <v>0</v>
      </c>
      <c r="F5470" s="196">
        <v>0</v>
      </c>
      <c r="G5470" s="196">
        <v>-319000</v>
      </c>
    </row>
    <row r="5471" spans="1:7" x14ac:dyDescent="0.3">
      <c r="A5471" s="198">
        <v>32075418</v>
      </c>
      <c r="B5471" s="192" t="s">
        <v>3775</v>
      </c>
      <c r="C5471" s="196">
        <v>-50900</v>
      </c>
      <c r="D5471" s="196">
        <v>0</v>
      </c>
      <c r="E5471" s="196">
        <v>0</v>
      </c>
      <c r="F5471" s="196">
        <v>0</v>
      </c>
      <c r="G5471" s="196">
        <v>-50900</v>
      </c>
    </row>
    <row r="5472" spans="1:7" x14ac:dyDescent="0.3">
      <c r="A5472" s="198">
        <v>39268931</v>
      </c>
      <c r="B5472" s="192" t="s">
        <v>667</v>
      </c>
      <c r="C5472" s="196">
        <v>0</v>
      </c>
      <c r="D5472" s="196">
        <v>0</v>
      </c>
      <c r="E5472" s="196">
        <v>50900</v>
      </c>
      <c r="F5472" s="196">
        <v>-50900</v>
      </c>
      <c r="G5472" s="196">
        <v>-50900</v>
      </c>
    </row>
    <row r="5473" spans="1:7" x14ac:dyDescent="0.3">
      <c r="A5473" s="198">
        <v>43557742</v>
      </c>
      <c r="B5473" s="192" t="s">
        <v>668</v>
      </c>
      <c r="C5473" s="196">
        <v>-50900</v>
      </c>
      <c r="D5473" s="196">
        <v>0</v>
      </c>
      <c r="E5473" s="196">
        <v>50900</v>
      </c>
      <c r="F5473" s="196">
        <v>-50900</v>
      </c>
      <c r="G5473" s="196">
        <v>-101800</v>
      </c>
    </row>
    <row r="5474" spans="1:7" x14ac:dyDescent="0.3">
      <c r="A5474" s="198">
        <v>42892901</v>
      </c>
      <c r="B5474" s="192" t="s">
        <v>3776</v>
      </c>
      <c r="C5474" s="196">
        <v>-50900</v>
      </c>
      <c r="D5474" s="196">
        <v>0</v>
      </c>
      <c r="E5474" s="196">
        <v>0</v>
      </c>
      <c r="F5474" s="196">
        <v>0</v>
      </c>
      <c r="G5474" s="196">
        <v>-50900</v>
      </c>
    </row>
    <row r="5475" spans="1:7" x14ac:dyDescent="0.3">
      <c r="A5475" s="198">
        <v>32320269</v>
      </c>
      <c r="B5475" s="192" t="s">
        <v>3777</v>
      </c>
      <c r="C5475" s="196">
        <v>-41400</v>
      </c>
      <c r="D5475" s="196">
        <v>0</v>
      </c>
      <c r="E5475" s="196">
        <v>0</v>
      </c>
      <c r="F5475" s="196">
        <v>0</v>
      </c>
      <c r="G5475" s="196">
        <v>-41400</v>
      </c>
    </row>
    <row r="5476" spans="1:7" x14ac:dyDescent="0.3">
      <c r="A5476" s="198">
        <v>42876811</v>
      </c>
      <c r="B5476" s="192" t="s">
        <v>671</v>
      </c>
      <c r="C5476" s="196">
        <v>-319000</v>
      </c>
      <c r="D5476" s="196">
        <v>0</v>
      </c>
      <c r="E5476" s="196">
        <v>0</v>
      </c>
      <c r="F5476" s="196">
        <v>0</v>
      </c>
      <c r="G5476" s="196">
        <v>-319000</v>
      </c>
    </row>
    <row r="5477" spans="1:7" x14ac:dyDescent="0.3">
      <c r="A5477" s="198">
        <v>42976318</v>
      </c>
      <c r="B5477" s="192" t="s">
        <v>3778</v>
      </c>
      <c r="C5477" s="196">
        <v>-50900</v>
      </c>
      <c r="D5477" s="196">
        <v>0</v>
      </c>
      <c r="E5477" s="196">
        <v>0</v>
      </c>
      <c r="F5477" s="196">
        <v>0</v>
      </c>
      <c r="G5477" s="196">
        <v>-50900</v>
      </c>
    </row>
    <row r="5478" spans="1:7" x14ac:dyDescent="0.3">
      <c r="A5478" s="198">
        <v>51702430</v>
      </c>
      <c r="B5478" s="192" t="s">
        <v>672</v>
      </c>
      <c r="C5478" s="196">
        <v>0</v>
      </c>
      <c r="D5478" s="196">
        <v>296999</v>
      </c>
      <c r="E5478" s="196">
        <v>504900</v>
      </c>
      <c r="F5478" s="196">
        <v>-207901</v>
      </c>
      <c r="G5478" s="196">
        <v>-207901</v>
      </c>
    </row>
    <row r="5479" spans="1:7" x14ac:dyDescent="0.3">
      <c r="A5479" s="198">
        <v>1128416656</v>
      </c>
      <c r="B5479" s="192" t="s">
        <v>3779</v>
      </c>
      <c r="C5479" s="196">
        <v>-616000</v>
      </c>
      <c r="D5479" s="196">
        <v>0</v>
      </c>
      <c r="E5479" s="196">
        <v>0</v>
      </c>
      <c r="F5479" s="196">
        <v>0</v>
      </c>
      <c r="G5479" s="196">
        <v>-616000</v>
      </c>
    </row>
    <row r="5480" spans="1:7" x14ac:dyDescent="0.3">
      <c r="A5480" s="198">
        <v>21552860</v>
      </c>
      <c r="B5480" s="192" t="s">
        <v>3780</v>
      </c>
      <c r="C5480" s="196">
        <v>-50900</v>
      </c>
      <c r="D5480" s="196">
        <v>0</v>
      </c>
      <c r="E5480" s="196">
        <v>0</v>
      </c>
      <c r="F5480" s="196">
        <v>0</v>
      </c>
      <c r="G5480" s="196">
        <v>-50900</v>
      </c>
    </row>
    <row r="5481" spans="1:7" x14ac:dyDescent="0.3">
      <c r="A5481" s="198">
        <v>39176586</v>
      </c>
      <c r="B5481" s="192" t="s">
        <v>3781</v>
      </c>
      <c r="C5481" s="196">
        <v>-50900</v>
      </c>
      <c r="D5481" s="196">
        <v>0</v>
      </c>
      <c r="E5481" s="196">
        <v>0</v>
      </c>
      <c r="F5481" s="196">
        <v>0</v>
      </c>
      <c r="G5481" s="196">
        <v>-50900</v>
      </c>
    </row>
    <row r="5482" spans="1:7" x14ac:dyDescent="0.3">
      <c r="A5482" s="198">
        <v>43576291</v>
      </c>
      <c r="B5482" s="192" t="s">
        <v>3782</v>
      </c>
      <c r="C5482" s="196">
        <v>-47400</v>
      </c>
      <c r="D5482" s="196">
        <v>0</v>
      </c>
      <c r="E5482" s="196">
        <v>0</v>
      </c>
      <c r="F5482" s="196">
        <v>0</v>
      </c>
      <c r="G5482" s="196">
        <v>-47400</v>
      </c>
    </row>
    <row r="5483" spans="1:7" x14ac:dyDescent="0.3">
      <c r="A5483" s="198">
        <v>43543356</v>
      </c>
      <c r="B5483" s="192" t="s">
        <v>3783</v>
      </c>
      <c r="C5483" s="196">
        <v>-380000</v>
      </c>
      <c r="D5483" s="196">
        <v>0</v>
      </c>
      <c r="E5483" s="196">
        <v>0</v>
      </c>
      <c r="F5483" s="196">
        <v>0</v>
      </c>
      <c r="G5483" s="196">
        <v>-380000</v>
      </c>
    </row>
    <row r="5484" spans="1:7" x14ac:dyDescent="0.3">
      <c r="A5484" s="198">
        <v>42759526</v>
      </c>
      <c r="B5484" s="192" t="s">
        <v>3784</v>
      </c>
      <c r="C5484" s="196">
        <v>-50900</v>
      </c>
      <c r="D5484" s="196">
        <v>0</v>
      </c>
      <c r="E5484" s="196">
        <v>0</v>
      </c>
      <c r="F5484" s="196">
        <v>0</v>
      </c>
      <c r="G5484" s="196">
        <v>-50900</v>
      </c>
    </row>
    <row r="5485" spans="1:7" x14ac:dyDescent="0.3">
      <c r="A5485" s="198">
        <v>43002844</v>
      </c>
      <c r="B5485" s="192" t="s">
        <v>3785</v>
      </c>
      <c r="C5485" s="196">
        <v>-50900</v>
      </c>
      <c r="D5485" s="196">
        <v>0</v>
      </c>
      <c r="E5485" s="196">
        <v>0</v>
      </c>
      <c r="F5485" s="196">
        <v>0</v>
      </c>
      <c r="G5485" s="196">
        <v>-50900</v>
      </c>
    </row>
    <row r="5486" spans="1:7" x14ac:dyDescent="0.3">
      <c r="A5486" s="198">
        <v>43530091</v>
      </c>
      <c r="B5486" s="192" t="s">
        <v>673</v>
      </c>
      <c r="C5486" s="196">
        <v>0</v>
      </c>
      <c r="D5486" s="196">
        <v>0</v>
      </c>
      <c r="E5486" s="196">
        <v>50900</v>
      </c>
      <c r="F5486" s="196">
        <v>-50900</v>
      </c>
      <c r="G5486" s="196">
        <v>-50900</v>
      </c>
    </row>
    <row r="5487" spans="1:7" x14ac:dyDescent="0.3">
      <c r="A5487" s="198">
        <v>42894494</v>
      </c>
      <c r="B5487" s="192" t="s">
        <v>3786</v>
      </c>
      <c r="C5487" s="196">
        <v>-47000</v>
      </c>
      <c r="D5487" s="196">
        <v>0</v>
      </c>
      <c r="E5487" s="196">
        <v>0</v>
      </c>
      <c r="F5487" s="196">
        <v>0</v>
      </c>
      <c r="G5487" s="196">
        <v>-47000</v>
      </c>
    </row>
    <row r="5488" spans="1:7" x14ac:dyDescent="0.3">
      <c r="A5488" s="198">
        <v>43461242</v>
      </c>
      <c r="B5488" s="192" t="s">
        <v>674</v>
      </c>
      <c r="C5488" s="196">
        <v>0</v>
      </c>
      <c r="D5488" s="196">
        <v>0</v>
      </c>
      <c r="E5488" s="196">
        <v>50900</v>
      </c>
      <c r="F5488" s="196">
        <v>-50900</v>
      </c>
      <c r="G5488" s="196">
        <v>-50900</v>
      </c>
    </row>
    <row r="5489" spans="1:7" x14ac:dyDescent="0.3">
      <c r="A5489" s="198">
        <v>43587906</v>
      </c>
      <c r="B5489" s="192" t="s">
        <v>3787</v>
      </c>
      <c r="C5489" s="196">
        <v>-47400</v>
      </c>
      <c r="D5489" s="196">
        <v>0</v>
      </c>
      <c r="E5489" s="196">
        <v>0</v>
      </c>
      <c r="F5489" s="196">
        <v>0</v>
      </c>
      <c r="G5489" s="196">
        <v>-47400</v>
      </c>
    </row>
    <row r="5490" spans="1:7" x14ac:dyDescent="0.3">
      <c r="A5490" s="198">
        <v>43013346</v>
      </c>
      <c r="B5490" s="192" t="s">
        <v>3788</v>
      </c>
      <c r="C5490" s="196">
        <v>-270000</v>
      </c>
      <c r="D5490" s="196">
        <v>0</v>
      </c>
      <c r="E5490" s="196">
        <v>0</v>
      </c>
      <c r="F5490" s="196">
        <v>0</v>
      </c>
      <c r="G5490" s="196">
        <v>-270000</v>
      </c>
    </row>
    <row r="5491" spans="1:7" x14ac:dyDescent="0.3">
      <c r="A5491" s="198">
        <v>42753637</v>
      </c>
      <c r="B5491" s="192" t="s">
        <v>3789</v>
      </c>
      <c r="C5491" s="196">
        <v>-57200</v>
      </c>
      <c r="D5491" s="196">
        <v>0</v>
      </c>
      <c r="E5491" s="196">
        <v>0</v>
      </c>
      <c r="F5491" s="196">
        <v>0</v>
      </c>
      <c r="G5491" s="196">
        <v>-57200</v>
      </c>
    </row>
    <row r="5492" spans="1:7" x14ac:dyDescent="0.3">
      <c r="A5492" s="198">
        <v>32507994</v>
      </c>
      <c r="B5492" s="192" t="s">
        <v>3790</v>
      </c>
      <c r="C5492" s="196">
        <v>-319000</v>
      </c>
      <c r="D5492" s="196">
        <v>0</v>
      </c>
      <c r="E5492" s="196">
        <v>0</v>
      </c>
      <c r="F5492" s="196">
        <v>0</v>
      </c>
      <c r="G5492" s="196">
        <v>-319000</v>
      </c>
    </row>
    <row r="5493" spans="1:7" x14ac:dyDescent="0.3">
      <c r="A5493" s="198">
        <v>43741927</v>
      </c>
      <c r="B5493" s="192" t="s">
        <v>675</v>
      </c>
      <c r="C5493" s="196">
        <v>-50900</v>
      </c>
      <c r="D5493" s="196">
        <v>0</v>
      </c>
      <c r="E5493" s="196">
        <v>50900</v>
      </c>
      <c r="F5493" s="196">
        <v>-50900</v>
      </c>
      <c r="G5493" s="196">
        <v>-101800</v>
      </c>
    </row>
    <row r="5494" spans="1:7" x14ac:dyDescent="0.3">
      <c r="A5494" s="198">
        <v>43037375</v>
      </c>
      <c r="B5494" s="192" t="s">
        <v>3791</v>
      </c>
      <c r="C5494" s="196">
        <v>-152700</v>
      </c>
      <c r="D5494" s="196">
        <v>0</v>
      </c>
      <c r="E5494" s="196">
        <v>0</v>
      </c>
      <c r="F5494" s="196">
        <v>0</v>
      </c>
      <c r="G5494" s="196">
        <v>-152700</v>
      </c>
    </row>
    <row r="5495" spans="1:7" x14ac:dyDescent="0.3">
      <c r="A5495" s="198">
        <v>52440264</v>
      </c>
      <c r="B5495" s="192" t="s">
        <v>3792</v>
      </c>
      <c r="C5495" s="196">
        <v>-319000</v>
      </c>
      <c r="D5495" s="196">
        <v>0</v>
      </c>
      <c r="E5495" s="196">
        <v>0</v>
      </c>
      <c r="F5495" s="196">
        <v>0</v>
      </c>
      <c r="G5495" s="196">
        <v>-319000</v>
      </c>
    </row>
    <row r="5496" spans="1:7" x14ac:dyDescent="0.3">
      <c r="A5496" s="198">
        <v>1035027827</v>
      </c>
      <c r="B5496" s="192" t="s">
        <v>3793</v>
      </c>
      <c r="C5496" s="196">
        <v>-50900</v>
      </c>
      <c r="D5496" s="196">
        <v>0</v>
      </c>
      <c r="E5496" s="196">
        <v>0</v>
      </c>
      <c r="F5496" s="196">
        <v>0</v>
      </c>
      <c r="G5496" s="196">
        <v>-50900</v>
      </c>
    </row>
    <row r="5497" spans="1:7" x14ac:dyDescent="0.3">
      <c r="A5497" s="198">
        <v>42967469</v>
      </c>
      <c r="B5497" s="192" t="s">
        <v>3794</v>
      </c>
      <c r="C5497" s="196">
        <v>-50900</v>
      </c>
      <c r="D5497" s="196">
        <v>0</v>
      </c>
      <c r="E5497" s="196">
        <v>0</v>
      </c>
      <c r="F5497" s="196">
        <v>0</v>
      </c>
      <c r="G5497" s="196">
        <v>-50900</v>
      </c>
    </row>
    <row r="5498" spans="1:7" x14ac:dyDescent="0.3">
      <c r="A5498" s="198">
        <v>1095844253</v>
      </c>
      <c r="B5498" s="192" t="s">
        <v>676</v>
      </c>
      <c r="C5498" s="196">
        <v>0</v>
      </c>
      <c r="D5498" s="196">
        <v>0</v>
      </c>
      <c r="E5498" s="196">
        <v>50900</v>
      </c>
      <c r="F5498" s="196">
        <v>-50900</v>
      </c>
      <c r="G5498" s="196">
        <v>-50900</v>
      </c>
    </row>
    <row r="5499" spans="1:7" x14ac:dyDescent="0.3">
      <c r="A5499" s="198">
        <v>22583134</v>
      </c>
      <c r="B5499" s="192" t="s">
        <v>677</v>
      </c>
      <c r="C5499" s="196">
        <v>0</v>
      </c>
      <c r="D5499" s="196">
        <v>0</v>
      </c>
      <c r="E5499" s="196">
        <v>50900</v>
      </c>
      <c r="F5499" s="196">
        <v>-50900</v>
      </c>
      <c r="G5499" s="196">
        <v>-50900</v>
      </c>
    </row>
    <row r="5500" spans="1:7" x14ac:dyDescent="0.3">
      <c r="A5500" s="198">
        <v>1036458965</v>
      </c>
      <c r="B5500" s="192" t="s">
        <v>3795</v>
      </c>
      <c r="C5500" s="196">
        <v>-50900</v>
      </c>
      <c r="D5500" s="196">
        <v>0</v>
      </c>
      <c r="E5500" s="196">
        <v>0</v>
      </c>
      <c r="F5500" s="196">
        <v>0</v>
      </c>
      <c r="G5500" s="196">
        <v>-50900</v>
      </c>
    </row>
    <row r="5501" spans="1:7" x14ac:dyDescent="0.3">
      <c r="A5501" s="198">
        <v>1036462713</v>
      </c>
      <c r="B5501" s="192" t="s">
        <v>3796</v>
      </c>
      <c r="C5501" s="196">
        <v>-50900</v>
      </c>
      <c r="D5501" s="196">
        <v>0</v>
      </c>
      <c r="E5501" s="196">
        <v>0</v>
      </c>
      <c r="F5501" s="196">
        <v>0</v>
      </c>
      <c r="G5501" s="196">
        <v>-50900</v>
      </c>
    </row>
    <row r="5502" spans="1:7" x14ac:dyDescent="0.3">
      <c r="A5502" s="198">
        <v>8143996</v>
      </c>
      <c r="B5502" s="192" t="s">
        <v>3797</v>
      </c>
      <c r="C5502" s="196">
        <v>-297000</v>
      </c>
      <c r="D5502" s="196">
        <v>0</v>
      </c>
      <c r="E5502" s="196">
        <v>0</v>
      </c>
      <c r="F5502" s="196">
        <v>0</v>
      </c>
      <c r="G5502" s="196">
        <v>-297000</v>
      </c>
    </row>
    <row r="5503" spans="1:7" x14ac:dyDescent="0.3">
      <c r="A5503" s="198">
        <v>1007409281</v>
      </c>
      <c r="B5503" s="192" t="s">
        <v>3798</v>
      </c>
      <c r="C5503" s="196">
        <v>-110000</v>
      </c>
      <c r="D5503" s="196">
        <v>0</v>
      </c>
      <c r="E5503" s="196">
        <v>0</v>
      </c>
      <c r="F5503" s="196">
        <v>0</v>
      </c>
      <c r="G5503" s="196">
        <v>-110000</v>
      </c>
    </row>
    <row r="5504" spans="1:7" x14ac:dyDescent="0.3">
      <c r="A5504" s="198">
        <v>1035017195</v>
      </c>
      <c r="B5504" s="192" t="s">
        <v>3799</v>
      </c>
      <c r="C5504" s="196">
        <v>-50900</v>
      </c>
      <c r="D5504" s="196">
        <v>0</v>
      </c>
      <c r="E5504" s="196">
        <v>0</v>
      </c>
      <c r="F5504" s="196">
        <v>0</v>
      </c>
      <c r="G5504" s="196">
        <v>-50900</v>
      </c>
    </row>
    <row r="5505" spans="1:7" x14ac:dyDescent="0.3">
      <c r="A5505" s="198">
        <v>1035007942</v>
      </c>
      <c r="B5505" s="192" t="s">
        <v>679</v>
      </c>
      <c r="C5505" s="196">
        <v>0</v>
      </c>
      <c r="D5505" s="196">
        <v>0</v>
      </c>
      <c r="E5505" s="196">
        <v>50900</v>
      </c>
      <c r="F5505" s="196">
        <v>-50900</v>
      </c>
      <c r="G5505" s="196">
        <v>-50900</v>
      </c>
    </row>
    <row r="5506" spans="1:7" x14ac:dyDescent="0.3">
      <c r="A5506" s="198">
        <v>1035015878</v>
      </c>
      <c r="B5506" s="192" t="s">
        <v>680</v>
      </c>
      <c r="C5506" s="196">
        <v>-50901</v>
      </c>
      <c r="D5506" s="196">
        <v>0</v>
      </c>
      <c r="E5506" s="196">
        <v>0</v>
      </c>
      <c r="F5506" s="196">
        <v>0</v>
      </c>
      <c r="G5506" s="196">
        <v>-50901</v>
      </c>
    </row>
    <row r="5507" spans="1:7" x14ac:dyDescent="0.3">
      <c r="A5507" s="198">
        <v>1035021879</v>
      </c>
      <c r="B5507" s="192" t="s">
        <v>3800</v>
      </c>
      <c r="C5507" s="196">
        <v>-50900</v>
      </c>
      <c r="D5507" s="196">
        <v>0</v>
      </c>
      <c r="E5507" s="196">
        <v>0</v>
      </c>
      <c r="F5507" s="196">
        <v>0</v>
      </c>
      <c r="G5507" s="196">
        <v>-50900</v>
      </c>
    </row>
    <row r="5508" spans="1:7" x14ac:dyDescent="0.3">
      <c r="A5508" s="198">
        <v>1035012880</v>
      </c>
      <c r="B5508" s="192" t="s">
        <v>681</v>
      </c>
      <c r="C5508" s="196">
        <v>0</v>
      </c>
      <c r="D5508" s="196">
        <v>0</v>
      </c>
      <c r="E5508" s="196">
        <v>45000</v>
      </c>
      <c r="F5508" s="196">
        <v>-45000</v>
      </c>
      <c r="G5508" s="196">
        <v>-45000</v>
      </c>
    </row>
    <row r="5509" spans="1:7" x14ac:dyDescent="0.3">
      <c r="A5509" s="198">
        <v>1033204641</v>
      </c>
      <c r="B5509" s="192" t="s">
        <v>3801</v>
      </c>
      <c r="C5509" s="196">
        <v>-98300</v>
      </c>
      <c r="D5509" s="196">
        <v>0</v>
      </c>
      <c r="E5509" s="196">
        <v>0</v>
      </c>
      <c r="F5509" s="196">
        <v>0</v>
      </c>
      <c r="G5509" s="196">
        <v>-98300</v>
      </c>
    </row>
    <row r="5510" spans="1:7" x14ac:dyDescent="0.3">
      <c r="A5510" s="198">
        <v>1016917644</v>
      </c>
      <c r="B5510" s="192" t="s">
        <v>682</v>
      </c>
      <c r="C5510" s="196">
        <v>0</v>
      </c>
      <c r="D5510" s="196">
        <v>0</v>
      </c>
      <c r="E5510" s="196">
        <v>32925</v>
      </c>
      <c r="F5510" s="196">
        <v>-32925</v>
      </c>
      <c r="G5510" s="196">
        <v>-32925</v>
      </c>
    </row>
    <row r="5511" spans="1:7" x14ac:dyDescent="0.3">
      <c r="A5511" s="198">
        <v>1035025226</v>
      </c>
      <c r="B5511" s="192" t="s">
        <v>3802</v>
      </c>
      <c r="C5511" s="196">
        <v>-50900</v>
      </c>
      <c r="D5511" s="196">
        <v>0</v>
      </c>
      <c r="E5511" s="196">
        <v>0</v>
      </c>
      <c r="F5511" s="196">
        <v>0</v>
      </c>
      <c r="G5511" s="196">
        <v>-50900</v>
      </c>
    </row>
    <row r="5512" spans="1:7" x14ac:dyDescent="0.3">
      <c r="A5512" s="198">
        <v>1035027275</v>
      </c>
      <c r="B5512" s="192" t="s">
        <v>3803</v>
      </c>
      <c r="C5512" s="196">
        <v>-340000</v>
      </c>
      <c r="D5512" s="196">
        <v>0</v>
      </c>
      <c r="E5512" s="196">
        <v>0</v>
      </c>
      <c r="F5512" s="196">
        <v>0</v>
      </c>
      <c r="G5512" s="196">
        <v>-340000</v>
      </c>
    </row>
    <row r="5513" spans="1:7" x14ac:dyDescent="0.3">
      <c r="A5513" s="198">
        <v>1035013815</v>
      </c>
      <c r="B5513" s="192" t="s">
        <v>3804</v>
      </c>
      <c r="C5513" s="196">
        <v>-50900</v>
      </c>
      <c r="D5513" s="196">
        <v>0</v>
      </c>
      <c r="E5513" s="196">
        <v>0</v>
      </c>
      <c r="F5513" s="196">
        <v>0</v>
      </c>
      <c r="G5513" s="196">
        <v>-50900</v>
      </c>
    </row>
    <row r="5514" spans="1:7" x14ac:dyDescent="0.3">
      <c r="A5514" s="198">
        <v>1039462548</v>
      </c>
      <c r="B5514" s="192" t="s">
        <v>3805</v>
      </c>
      <c r="C5514" s="196">
        <v>-130000</v>
      </c>
      <c r="D5514" s="196">
        <v>0</v>
      </c>
      <c r="E5514" s="196">
        <v>0</v>
      </c>
      <c r="F5514" s="196">
        <v>0</v>
      </c>
      <c r="G5514" s="196">
        <v>-130000</v>
      </c>
    </row>
    <row r="5515" spans="1:7" x14ac:dyDescent="0.3">
      <c r="A5515" s="198">
        <v>71610995</v>
      </c>
      <c r="B5515" s="192" t="s">
        <v>3806</v>
      </c>
      <c r="C5515" s="196">
        <v>-54200</v>
      </c>
      <c r="D5515" s="196">
        <v>0</v>
      </c>
      <c r="E5515" s="196">
        <v>0</v>
      </c>
      <c r="F5515" s="196">
        <v>0</v>
      </c>
      <c r="G5515" s="196">
        <v>-54200</v>
      </c>
    </row>
    <row r="5516" spans="1:7" x14ac:dyDescent="0.3">
      <c r="A5516" s="198">
        <v>891327</v>
      </c>
      <c r="B5516" s="192" t="s">
        <v>684</v>
      </c>
      <c r="C5516" s="196">
        <v>-213100</v>
      </c>
      <c r="D5516" s="196">
        <v>0</v>
      </c>
      <c r="E5516" s="196">
        <v>54200</v>
      </c>
      <c r="F5516" s="196">
        <v>-54200</v>
      </c>
      <c r="G5516" s="196">
        <v>-267300</v>
      </c>
    </row>
    <row r="5517" spans="1:7" x14ac:dyDescent="0.3">
      <c r="A5517" s="198">
        <v>1035016236</v>
      </c>
      <c r="B5517" s="192" t="s">
        <v>3807</v>
      </c>
      <c r="C5517" s="196">
        <v>-207900</v>
      </c>
      <c r="D5517" s="196">
        <v>0</v>
      </c>
      <c r="E5517" s="196">
        <v>0</v>
      </c>
      <c r="F5517" s="196">
        <v>0</v>
      </c>
      <c r="G5517" s="196">
        <v>-207900</v>
      </c>
    </row>
    <row r="5518" spans="1:7" x14ac:dyDescent="0.3">
      <c r="A5518" s="198">
        <v>3454032</v>
      </c>
      <c r="B5518" s="192" t="s">
        <v>685</v>
      </c>
      <c r="C5518" s="196">
        <v>0</v>
      </c>
      <c r="D5518" s="196">
        <v>0</v>
      </c>
      <c r="E5518" s="196">
        <v>114400</v>
      </c>
      <c r="F5518" s="196">
        <v>-114400</v>
      </c>
      <c r="G5518" s="196">
        <v>-114400</v>
      </c>
    </row>
    <row r="5519" spans="1:7" x14ac:dyDescent="0.3">
      <c r="A5519" s="198">
        <v>8269412</v>
      </c>
      <c r="B5519" s="192" t="s">
        <v>3808</v>
      </c>
      <c r="C5519" s="196">
        <v>-88000</v>
      </c>
      <c r="D5519" s="196">
        <v>0</v>
      </c>
      <c r="E5519" s="196">
        <v>0</v>
      </c>
      <c r="F5519" s="196">
        <v>0</v>
      </c>
      <c r="G5519" s="196">
        <v>-88000</v>
      </c>
    </row>
    <row r="5520" spans="1:7" x14ac:dyDescent="0.3">
      <c r="A5520" s="198">
        <v>3566307</v>
      </c>
      <c r="B5520" s="192" t="s">
        <v>686</v>
      </c>
      <c r="C5520" s="196">
        <v>0</v>
      </c>
      <c r="D5520" s="196">
        <v>0</v>
      </c>
      <c r="E5520" s="196">
        <v>50900</v>
      </c>
      <c r="F5520" s="196">
        <v>-50900</v>
      </c>
      <c r="G5520" s="196">
        <v>-50900</v>
      </c>
    </row>
    <row r="5521" spans="1:7" x14ac:dyDescent="0.3">
      <c r="A5521" s="198">
        <v>3345147</v>
      </c>
      <c r="B5521" s="192" t="s">
        <v>688</v>
      </c>
      <c r="C5521" s="196">
        <v>-92200</v>
      </c>
      <c r="D5521" s="196">
        <v>0</v>
      </c>
      <c r="E5521" s="196">
        <v>92200</v>
      </c>
      <c r="F5521" s="196">
        <v>-92200</v>
      </c>
      <c r="G5521" s="196">
        <v>-184400</v>
      </c>
    </row>
    <row r="5522" spans="1:7" x14ac:dyDescent="0.3">
      <c r="A5522" s="198">
        <v>70050475</v>
      </c>
      <c r="B5522" s="192" t="s">
        <v>3809</v>
      </c>
      <c r="C5522" s="196">
        <v>-50900</v>
      </c>
      <c r="D5522" s="196">
        <v>0</v>
      </c>
      <c r="E5522" s="196">
        <v>0</v>
      </c>
      <c r="F5522" s="196">
        <v>0</v>
      </c>
      <c r="G5522" s="196">
        <v>-50900</v>
      </c>
    </row>
    <row r="5523" spans="1:7" x14ac:dyDescent="0.3">
      <c r="A5523" s="198">
        <v>71376311</v>
      </c>
      <c r="B5523" s="192" t="s">
        <v>689</v>
      </c>
      <c r="C5523" s="196">
        <v>0</v>
      </c>
      <c r="D5523" s="196">
        <v>0</v>
      </c>
      <c r="E5523" s="196">
        <v>57200</v>
      </c>
      <c r="F5523" s="196">
        <v>-57200</v>
      </c>
      <c r="G5523" s="196">
        <v>-57200</v>
      </c>
    </row>
    <row r="5524" spans="1:7" x14ac:dyDescent="0.3">
      <c r="A5524" s="198">
        <v>15364885</v>
      </c>
      <c r="B5524" s="192" t="s">
        <v>3810</v>
      </c>
      <c r="C5524" s="196">
        <v>-54200</v>
      </c>
      <c r="D5524" s="196">
        <v>0</v>
      </c>
      <c r="E5524" s="196">
        <v>0</v>
      </c>
      <c r="F5524" s="196">
        <v>0</v>
      </c>
      <c r="G5524" s="196">
        <v>-54200</v>
      </c>
    </row>
    <row r="5525" spans="1:7" x14ac:dyDescent="0.3">
      <c r="A5525" s="198">
        <v>15346058</v>
      </c>
      <c r="B5525" s="192" t="s">
        <v>3811</v>
      </c>
      <c r="C5525" s="196">
        <v>-616000</v>
      </c>
      <c r="D5525" s="196">
        <v>0</v>
      </c>
      <c r="E5525" s="196">
        <v>0</v>
      </c>
      <c r="F5525" s="196">
        <v>0</v>
      </c>
      <c r="G5525" s="196">
        <v>-616000</v>
      </c>
    </row>
    <row r="5526" spans="1:7" x14ac:dyDescent="0.3">
      <c r="A5526" s="198">
        <v>94507027</v>
      </c>
      <c r="B5526" s="192" t="s">
        <v>3812</v>
      </c>
      <c r="C5526" s="196">
        <v>-297000</v>
      </c>
      <c r="D5526" s="196">
        <v>0</v>
      </c>
      <c r="E5526" s="196">
        <v>0</v>
      </c>
      <c r="F5526" s="196">
        <v>0</v>
      </c>
      <c r="G5526" s="196">
        <v>-297000</v>
      </c>
    </row>
    <row r="5527" spans="1:7" x14ac:dyDescent="0.3">
      <c r="A5527" s="198">
        <v>76319057</v>
      </c>
      <c r="B5527" s="192" t="s">
        <v>3813</v>
      </c>
      <c r="C5527" s="196">
        <v>-57200</v>
      </c>
      <c r="D5527" s="196">
        <v>0</v>
      </c>
      <c r="E5527" s="196">
        <v>0</v>
      </c>
      <c r="F5527" s="196">
        <v>0</v>
      </c>
      <c r="G5527" s="196">
        <v>-57200</v>
      </c>
    </row>
    <row r="5528" spans="1:7" x14ac:dyDescent="0.3">
      <c r="A5528" s="198">
        <v>98452426</v>
      </c>
      <c r="B5528" s="192" t="s">
        <v>3814</v>
      </c>
      <c r="C5528" s="196">
        <v>-290000</v>
      </c>
      <c r="D5528" s="196">
        <v>0</v>
      </c>
      <c r="E5528" s="196">
        <v>0</v>
      </c>
      <c r="F5528" s="196">
        <v>0</v>
      </c>
      <c r="G5528" s="196">
        <v>-290000</v>
      </c>
    </row>
    <row r="5529" spans="1:7" x14ac:dyDescent="0.3">
      <c r="A5529" s="198">
        <v>70075690</v>
      </c>
      <c r="B5529" s="192" t="s">
        <v>3815</v>
      </c>
      <c r="C5529" s="196">
        <v>-57200</v>
      </c>
      <c r="D5529" s="196">
        <v>0</v>
      </c>
      <c r="E5529" s="196">
        <v>0</v>
      </c>
      <c r="F5529" s="196">
        <v>0</v>
      </c>
      <c r="G5529" s="196">
        <v>-57200</v>
      </c>
    </row>
    <row r="5530" spans="1:7" x14ac:dyDescent="0.3">
      <c r="A5530" s="198">
        <v>98772551</v>
      </c>
      <c r="B5530" s="192" t="s">
        <v>3816</v>
      </c>
      <c r="C5530" s="196">
        <v>-98300</v>
      </c>
      <c r="D5530" s="196">
        <v>0</v>
      </c>
      <c r="E5530" s="196">
        <v>0</v>
      </c>
      <c r="F5530" s="196">
        <v>0</v>
      </c>
      <c r="G5530" s="196">
        <v>-98300</v>
      </c>
    </row>
    <row r="5531" spans="1:7" x14ac:dyDescent="0.3">
      <c r="A5531" s="198">
        <v>3481171</v>
      </c>
      <c r="B5531" s="192" t="s">
        <v>691</v>
      </c>
      <c r="C5531" s="196">
        <v>0</v>
      </c>
      <c r="D5531" s="196">
        <v>0</v>
      </c>
      <c r="E5531" s="196">
        <v>50900</v>
      </c>
      <c r="F5531" s="196">
        <v>-50900</v>
      </c>
      <c r="G5531" s="196">
        <v>-50900</v>
      </c>
    </row>
    <row r="5532" spans="1:7" x14ac:dyDescent="0.3">
      <c r="A5532" s="198">
        <v>70082717</v>
      </c>
      <c r="B5532" s="192" t="s">
        <v>3817</v>
      </c>
      <c r="C5532" s="196">
        <v>-50900</v>
      </c>
      <c r="D5532" s="196">
        <v>0</v>
      </c>
      <c r="E5532" s="196">
        <v>0</v>
      </c>
      <c r="F5532" s="196">
        <v>0</v>
      </c>
      <c r="G5532" s="196">
        <v>-50900</v>
      </c>
    </row>
    <row r="5533" spans="1:7" x14ac:dyDescent="0.3">
      <c r="A5533" s="198">
        <v>15886882</v>
      </c>
      <c r="B5533" s="192" t="s">
        <v>3818</v>
      </c>
      <c r="C5533" s="196">
        <v>-57200</v>
      </c>
      <c r="D5533" s="196">
        <v>0</v>
      </c>
      <c r="E5533" s="196">
        <v>0</v>
      </c>
      <c r="F5533" s="196">
        <v>0</v>
      </c>
      <c r="G5533" s="196">
        <v>-57200</v>
      </c>
    </row>
    <row r="5534" spans="1:7" x14ac:dyDescent="0.3">
      <c r="A5534" s="198">
        <v>15400440</v>
      </c>
      <c r="B5534" s="192" t="s">
        <v>3819</v>
      </c>
      <c r="C5534" s="196">
        <v>-171600</v>
      </c>
      <c r="D5534" s="196">
        <v>0</v>
      </c>
      <c r="E5534" s="196">
        <v>0</v>
      </c>
      <c r="F5534" s="196">
        <v>0</v>
      </c>
      <c r="G5534" s="196">
        <v>-171600</v>
      </c>
    </row>
    <row r="5535" spans="1:7" x14ac:dyDescent="0.3">
      <c r="A5535" s="198">
        <v>98538641</v>
      </c>
      <c r="B5535" s="192" t="s">
        <v>3820</v>
      </c>
      <c r="C5535" s="196">
        <v>-149200</v>
      </c>
      <c r="D5535" s="196">
        <v>0</v>
      </c>
      <c r="E5535" s="196">
        <v>0</v>
      </c>
      <c r="F5535" s="196">
        <v>0</v>
      </c>
      <c r="G5535" s="196">
        <v>-149200</v>
      </c>
    </row>
    <row r="5536" spans="1:7" x14ac:dyDescent="0.3">
      <c r="A5536" s="198">
        <v>6098064</v>
      </c>
      <c r="B5536" s="192" t="s">
        <v>3821</v>
      </c>
      <c r="C5536" s="196">
        <v>-297000</v>
      </c>
      <c r="D5536" s="196">
        <v>0</v>
      </c>
      <c r="E5536" s="196">
        <v>0</v>
      </c>
      <c r="F5536" s="196">
        <v>0</v>
      </c>
      <c r="G5536" s="196">
        <v>-297000</v>
      </c>
    </row>
    <row r="5537" spans="1:7" x14ac:dyDescent="0.3">
      <c r="A5537" s="198">
        <v>98492988</v>
      </c>
      <c r="B5537" s="192" t="s">
        <v>694</v>
      </c>
      <c r="C5537" s="196">
        <v>0</v>
      </c>
      <c r="D5537" s="196">
        <v>0</v>
      </c>
      <c r="E5537" s="196">
        <v>223300</v>
      </c>
      <c r="F5537" s="196">
        <v>-223300</v>
      </c>
      <c r="G5537" s="196">
        <v>-223300</v>
      </c>
    </row>
    <row r="5538" spans="1:7" x14ac:dyDescent="0.3">
      <c r="A5538" s="198">
        <v>79375093</v>
      </c>
      <c r="B5538" s="192" t="s">
        <v>695</v>
      </c>
      <c r="C5538" s="196">
        <v>0</v>
      </c>
      <c r="D5538" s="196">
        <v>0</v>
      </c>
      <c r="E5538" s="196">
        <v>319000</v>
      </c>
      <c r="F5538" s="196">
        <v>-319000</v>
      </c>
      <c r="G5538" s="196">
        <v>-319000</v>
      </c>
    </row>
    <row r="5539" spans="1:7" x14ac:dyDescent="0.3">
      <c r="A5539" s="198">
        <v>565404868</v>
      </c>
      <c r="B5539" s="192" t="s">
        <v>3822</v>
      </c>
      <c r="C5539" s="196">
        <v>-110000</v>
      </c>
      <c r="D5539" s="196">
        <v>0</v>
      </c>
      <c r="E5539" s="196">
        <v>0</v>
      </c>
      <c r="F5539" s="196">
        <v>0</v>
      </c>
      <c r="G5539" s="196">
        <v>-110000</v>
      </c>
    </row>
    <row r="5540" spans="1:7" x14ac:dyDescent="0.3">
      <c r="A5540" s="198">
        <v>1152703316</v>
      </c>
      <c r="B5540" s="192" t="s">
        <v>3823</v>
      </c>
      <c r="C5540" s="196">
        <v>-150000</v>
      </c>
      <c r="D5540" s="196">
        <v>0</v>
      </c>
      <c r="E5540" s="196">
        <v>0</v>
      </c>
      <c r="F5540" s="196">
        <v>0</v>
      </c>
      <c r="G5540" s="196">
        <v>-150000</v>
      </c>
    </row>
    <row r="5541" spans="1:7" x14ac:dyDescent="0.3">
      <c r="A5541" s="192" t="s">
        <v>3824</v>
      </c>
      <c r="B5541" s="192" t="s">
        <v>3825</v>
      </c>
      <c r="C5541" s="196">
        <v>-50900</v>
      </c>
      <c r="D5541" s="196">
        <v>0</v>
      </c>
      <c r="E5541" s="196">
        <v>0</v>
      </c>
      <c r="F5541" s="196">
        <v>0</v>
      </c>
      <c r="G5541" s="196">
        <v>-50900</v>
      </c>
    </row>
    <row r="5542" spans="1:7" x14ac:dyDescent="0.3">
      <c r="A5542" s="198">
        <v>1124083152</v>
      </c>
      <c r="B5542" s="192" t="s">
        <v>3826</v>
      </c>
      <c r="C5542" s="196">
        <v>-50900</v>
      </c>
      <c r="D5542" s="196">
        <v>0</v>
      </c>
      <c r="E5542" s="196">
        <v>0</v>
      </c>
      <c r="F5542" s="196">
        <v>0</v>
      </c>
      <c r="G5542" s="196">
        <v>-50900</v>
      </c>
    </row>
    <row r="5543" spans="1:7" x14ac:dyDescent="0.3">
      <c r="A5543" s="198">
        <v>1078100683</v>
      </c>
      <c r="B5543" s="192" t="s">
        <v>3827</v>
      </c>
      <c r="C5543" s="196">
        <v>-340000</v>
      </c>
      <c r="D5543" s="196">
        <v>0</v>
      </c>
      <c r="E5543" s="196">
        <v>0</v>
      </c>
      <c r="F5543" s="196">
        <v>0</v>
      </c>
      <c r="G5543" s="196">
        <v>-340000</v>
      </c>
    </row>
    <row r="5544" spans="1:7" x14ac:dyDescent="0.3">
      <c r="A5544" s="198">
        <v>1015196243</v>
      </c>
      <c r="B5544" s="192" t="s">
        <v>698</v>
      </c>
      <c r="C5544" s="196">
        <v>0</v>
      </c>
      <c r="D5544" s="196">
        <v>0</v>
      </c>
      <c r="E5544" s="196">
        <v>50900</v>
      </c>
      <c r="F5544" s="196">
        <v>-50900</v>
      </c>
      <c r="G5544" s="196">
        <v>-50900</v>
      </c>
    </row>
    <row r="5545" spans="1:7" x14ac:dyDescent="0.3">
      <c r="A5545" s="198">
        <v>1222704337</v>
      </c>
      <c r="B5545" s="192" t="s">
        <v>3828</v>
      </c>
      <c r="C5545" s="196">
        <v>-50900</v>
      </c>
      <c r="D5545" s="196">
        <v>0</v>
      </c>
      <c r="E5545" s="196">
        <v>0</v>
      </c>
      <c r="F5545" s="196">
        <v>0</v>
      </c>
      <c r="G5545" s="196">
        <v>-50900</v>
      </c>
    </row>
    <row r="5546" spans="1:7" x14ac:dyDescent="0.3">
      <c r="A5546" s="198">
        <v>1031941047</v>
      </c>
      <c r="B5546" s="192" t="s">
        <v>3829</v>
      </c>
      <c r="C5546" s="196">
        <v>-207900</v>
      </c>
      <c r="D5546" s="196">
        <v>0</v>
      </c>
      <c r="E5546" s="196">
        <v>0</v>
      </c>
      <c r="F5546" s="196">
        <v>0</v>
      </c>
      <c r="G5546" s="196">
        <v>-207900</v>
      </c>
    </row>
    <row r="5547" spans="1:7" x14ac:dyDescent="0.3">
      <c r="A5547" s="198">
        <v>1035983839</v>
      </c>
      <c r="B5547" s="192" t="s">
        <v>3830</v>
      </c>
      <c r="C5547" s="196">
        <v>-41400</v>
      </c>
      <c r="D5547" s="196">
        <v>0</v>
      </c>
      <c r="E5547" s="196">
        <v>0</v>
      </c>
      <c r="F5547" s="196">
        <v>0</v>
      </c>
      <c r="G5547" s="196">
        <v>-41400</v>
      </c>
    </row>
    <row r="5548" spans="1:7" x14ac:dyDescent="0.3">
      <c r="A5548" s="198">
        <v>93412091</v>
      </c>
      <c r="B5548" s="192" t="s">
        <v>3831</v>
      </c>
      <c r="C5548" s="196">
        <v>-36600</v>
      </c>
      <c r="D5548" s="196">
        <v>0</v>
      </c>
      <c r="E5548" s="196">
        <v>0</v>
      </c>
      <c r="F5548" s="196">
        <v>0</v>
      </c>
      <c r="G5548" s="196">
        <v>-36600</v>
      </c>
    </row>
    <row r="5549" spans="1:7" x14ac:dyDescent="0.3">
      <c r="A5549" s="198">
        <v>1036640663</v>
      </c>
      <c r="B5549" s="192" t="s">
        <v>3832</v>
      </c>
      <c r="C5549" s="196">
        <v>-35000</v>
      </c>
      <c r="D5549" s="196">
        <v>0</v>
      </c>
      <c r="E5549" s="196">
        <v>0</v>
      </c>
      <c r="F5549" s="196">
        <v>0</v>
      </c>
      <c r="G5549" s="196">
        <v>-35000</v>
      </c>
    </row>
    <row r="5550" spans="1:7" x14ac:dyDescent="0.3">
      <c r="A5550" s="198">
        <v>1037603999</v>
      </c>
      <c r="B5550" s="192" t="s">
        <v>3833</v>
      </c>
      <c r="C5550" s="196">
        <v>-50900</v>
      </c>
      <c r="D5550" s="196">
        <v>0</v>
      </c>
      <c r="E5550" s="196">
        <v>0</v>
      </c>
      <c r="F5550" s="196">
        <v>0</v>
      </c>
      <c r="G5550" s="196">
        <v>-50900</v>
      </c>
    </row>
    <row r="5551" spans="1:7" x14ac:dyDescent="0.3">
      <c r="A5551" s="192" t="s">
        <v>3834</v>
      </c>
      <c r="B5551" s="192" t="s">
        <v>3835</v>
      </c>
      <c r="C5551" s="196">
        <v>-75000</v>
      </c>
      <c r="D5551" s="196">
        <v>0</v>
      </c>
      <c r="E5551" s="196">
        <v>0</v>
      </c>
      <c r="F5551" s="196">
        <v>0</v>
      </c>
      <c r="G5551" s="196">
        <v>-75000</v>
      </c>
    </row>
    <row r="5552" spans="1:7" x14ac:dyDescent="0.3">
      <c r="A5552" s="192" t="s">
        <v>699</v>
      </c>
      <c r="B5552" s="192" t="s">
        <v>700</v>
      </c>
      <c r="C5552" s="196">
        <v>0</v>
      </c>
      <c r="D5552" s="196">
        <v>0</v>
      </c>
      <c r="E5552" s="196">
        <v>297000</v>
      </c>
      <c r="F5552" s="196">
        <v>-297000</v>
      </c>
      <c r="G5552" s="196">
        <v>-297000</v>
      </c>
    </row>
    <row r="5553" spans="1:7" x14ac:dyDescent="0.3">
      <c r="A5553" s="198">
        <v>1017185563</v>
      </c>
      <c r="B5553" s="192" t="s">
        <v>701</v>
      </c>
      <c r="C5553" s="196">
        <v>0</v>
      </c>
      <c r="D5553" s="196">
        <v>0</v>
      </c>
      <c r="E5553" s="196">
        <v>54200</v>
      </c>
      <c r="F5553" s="196">
        <v>-54200</v>
      </c>
      <c r="G5553" s="196">
        <v>-54200</v>
      </c>
    </row>
    <row r="5554" spans="1:7" x14ac:dyDescent="0.3">
      <c r="A5554" s="192" t="s">
        <v>3836</v>
      </c>
      <c r="B5554" s="192" t="s">
        <v>3837</v>
      </c>
      <c r="C5554" s="196">
        <v>-270000</v>
      </c>
      <c r="D5554" s="196">
        <v>0</v>
      </c>
      <c r="E5554" s="196">
        <v>0</v>
      </c>
      <c r="F5554" s="196">
        <v>0</v>
      </c>
      <c r="G5554" s="196">
        <v>-270000</v>
      </c>
    </row>
    <row r="5555" spans="1:7" x14ac:dyDescent="0.3">
      <c r="A5555" s="198">
        <v>1023749895</v>
      </c>
      <c r="B5555" s="192" t="s">
        <v>3838</v>
      </c>
      <c r="C5555" s="196">
        <v>-297000</v>
      </c>
      <c r="D5555" s="196">
        <v>0</v>
      </c>
      <c r="E5555" s="196">
        <v>0</v>
      </c>
      <c r="F5555" s="196">
        <v>0</v>
      </c>
      <c r="G5555" s="196">
        <v>-297000</v>
      </c>
    </row>
    <row r="5556" spans="1:7" x14ac:dyDescent="0.3">
      <c r="A5556" s="198">
        <v>70097927</v>
      </c>
      <c r="B5556" s="192" t="s">
        <v>3839</v>
      </c>
      <c r="C5556" s="196">
        <v>-52700</v>
      </c>
      <c r="D5556" s="196">
        <v>0</v>
      </c>
      <c r="E5556" s="196">
        <v>0</v>
      </c>
      <c r="F5556" s="196">
        <v>0</v>
      </c>
      <c r="G5556" s="196">
        <v>-52700</v>
      </c>
    </row>
    <row r="5557" spans="1:7" x14ac:dyDescent="0.3">
      <c r="A5557" s="198">
        <v>8305031</v>
      </c>
      <c r="B5557" s="192" t="s">
        <v>3840</v>
      </c>
      <c r="C5557" s="196">
        <v>-40000</v>
      </c>
      <c r="D5557" s="196">
        <v>0</v>
      </c>
      <c r="E5557" s="196">
        <v>0</v>
      </c>
      <c r="F5557" s="196">
        <v>0</v>
      </c>
      <c r="G5557" s="196">
        <v>-40000</v>
      </c>
    </row>
    <row r="5558" spans="1:7" x14ac:dyDescent="0.3">
      <c r="A5558" s="198">
        <v>91266082</v>
      </c>
      <c r="B5558" s="192" t="s">
        <v>702</v>
      </c>
      <c r="C5558" s="196">
        <v>0</v>
      </c>
      <c r="D5558" s="196">
        <v>0</v>
      </c>
      <c r="E5558" s="196">
        <v>297000</v>
      </c>
      <c r="F5558" s="196">
        <v>-297000</v>
      </c>
      <c r="G5558" s="196">
        <v>-297000</v>
      </c>
    </row>
    <row r="5559" spans="1:7" x14ac:dyDescent="0.3">
      <c r="A5559" s="198">
        <v>70055687</v>
      </c>
      <c r="B5559" s="192" t="s">
        <v>703</v>
      </c>
      <c r="C5559" s="196">
        <v>-57200</v>
      </c>
      <c r="D5559" s="196">
        <v>0</v>
      </c>
      <c r="E5559" s="196">
        <v>57200</v>
      </c>
      <c r="F5559" s="196">
        <v>-57200</v>
      </c>
      <c r="G5559" s="196">
        <v>-114400</v>
      </c>
    </row>
    <row r="5560" spans="1:7" x14ac:dyDescent="0.3">
      <c r="A5560" s="198">
        <v>15455291</v>
      </c>
      <c r="B5560" s="192" t="s">
        <v>3841</v>
      </c>
      <c r="C5560" s="196">
        <v>-297000</v>
      </c>
      <c r="D5560" s="196">
        <v>0</v>
      </c>
      <c r="E5560" s="196">
        <v>0</v>
      </c>
      <c r="F5560" s="196">
        <v>0</v>
      </c>
      <c r="G5560" s="196">
        <v>-297000</v>
      </c>
    </row>
    <row r="5561" spans="1:7" x14ac:dyDescent="0.3">
      <c r="A5561" s="198">
        <v>8293924</v>
      </c>
      <c r="B5561" s="192" t="s">
        <v>3842</v>
      </c>
      <c r="C5561" s="196">
        <v>-297000</v>
      </c>
      <c r="D5561" s="196">
        <v>0</v>
      </c>
      <c r="E5561" s="196">
        <v>0</v>
      </c>
      <c r="F5561" s="196">
        <v>0</v>
      </c>
      <c r="G5561" s="196">
        <v>-297000</v>
      </c>
    </row>
    <row r="5562" spans="1:7" x14ac:dyDescent="0.3">
      <c r="A5562" s="198">
        <v>1021945023</v>
      </c>
      <c r="B5562" s="192" t="s">
        <v>3843</v>
      </c>
      <c r="C5562" s="196">
        <v>-50900</v>
      </c>
      <c r="D5562" s="196">
        <v>0</v>
      </c>
      <c r="E5562" s="196">
        <v>0</v>
      </c>
      <c r="F5562" s="196">
        <v>0</v>
      </c>
      <c r="G5562" s="196">
        <v>-50900</v>
      </c>
    </row>
    <row r="5563" spans="1:7" x14ac:dyDescent="0.3">
      <c r="A5563" s="198">
        <v>1013467220</v>
      </c>
      <c r="B5563" s="192" t="s">
        <v>3844</v>
      </c>
      <c r="C5563" s="196">
        <v>-41400</v>
      </c>
      <c r="D5563" s="196">
        <v>0</v>
      </c>
      <c r="E5563" s="196">
        <v>0</v>
      </c>
      <c r="F5563" s="196">
        <v>0</v>
      </c>
      <c r="G5563" s="196">
        <v>-41400</v>
      </c>
    </row>
    <row r="5564" spans="1:7" x14ac:dyDescent="0.3">
      <c r="A5564" s="198">
        <v>1027743455</v>
      </c>
      <c r="B5564" s="192" t="s">
        <v>3845</v>
      </c>
      <c r="C5564" s="196">
        <v>-54200</v>
      </c>
      <c r="D5564" s="196">
        <v>0</v>
      </c>
      <c r="E5564" s="196">
        <v>0</v>
      </c>
      <c r="F5564" s="196">
        <v>0</v>
      </c>
      <c r="G5564" s="196">
        <v>-54200</v>
      </c>
    </row>
    <row r="5565" spans="1:7" x14ac:dyDescent="0.3">
      <c r="A5565" s="198">
        <v>1036462532</v>
      </c>
      <c r="B5565" s="192" t="s">
        <v>3846</v>
      </c>
      <c r="C5565" s="196">
        <v>-50900</v>
      </c>
      <c r="D5565" s="196">
        <v>0</v>
      </c>
      <c r="E5565" s="196">
        <v>0</v>
      </c>
      <c r="F5565" s="196">
        <v>0</v>
      </c>
      <c r="G5565" s="196">
        <v>-50900</v>
      </c>
    </row>
    <row r="5566" spans="1:7" x14ac:dyDescent="0.3">
      <c r="A5566" s="198">
        <v>1033272167</v>
      </c>
      <c r="B5566" s="192" t="s">
        <v>3847</v>
      </c>
      <c r="C5566" s="196">
        <v>-54200</v>
      </c>
      <c r="D5566" s="196">
        <v>0</v>
      </c>
      <c r="E5566" s="196">
        <v>0</v>
      </c>
      <c r="F5566" s="196">
        <v>0</v>
      </c>
      <c r="G5566" s="196">
        <v>-54200</v>
      </c>
    </row>
    <row r="5567" spans="1:7" x14ac:dyDescent="0.3">
      <c r="A5567" s="198">
        <v>1035014709</v>
      </c>
      <c r="B5567" s="192" t="s">
        <v>3848</v>
      </c>
      <c r="C5567" s="196">
        <v>-50900</v>
      </c>
      <c r="D5567" s="196">
        <v>0</v>
      </c>
      <c r="E5567" s="196">
        <v>0</v>
      </c>
      <c r="F5567" s="196">
        <v>0</v>
      </c>
      <c r="G5567" s="196">
        <v>-50900</v>
      </c>
    </row>
    <row r="5568" spans="1:7" x14ac:dyDescent="0.3">
      <c r="A5568" s="198">
        <v>1035026493</v>
      </c>
      <c r="B5568" s="192" t="s">
        <v>3849</v>
      </c>
      <c r="C5568" s="196">
        <v>-50900</v>
      </c>
      <c r="D5568" s="196">
        <v>0</v>
      </c>
      <c r="E5568" s="196">
        <v>0</v>
      </c>
      <c r="F5568" s="196">
        <v>0</v>
      </c>
      <c r="G5568" s="196">
        <v>-50900</v>
      </c>
    </row>
    <row r="5569" spans="1:7" x14ac:dyDescent="0.3">
      <c r="A5569" s="198">
        <v>1220473915</v>
      </c>
      <c r="B5569" s="192" t="s">
        <v>3850</v>
      </c>
      <c r="C5569" s="196">
        <v>-50900</v>
      </c>
      <c r="D5569" s="196">
        <v>0</v>
      </c>
      <c r="E5569" s="196">
        <v>0</v>
      </c>
      <c r="F5569" s="196">
        <v>0</v>
      </c>
      <c r="G5569" s="196">
        <v>-50900</v>
      </c>
    </row>
    <row r="5570" spans="1:7" x14ac:dyDescent="0.3">
      <c r="A5570" s="198">
        <v>1035026073</v>
      </c>
      <c r="B5570" s="192" t="s">
        <v>3851</v>
      </c>
      <c r="C5570" s="196">
        <v>-50900</v>
      </c>
      <c r="D5570" s="196">
        <v>0</v>
      </c>
      <c r="E5570" s="196">
        <v>0</v>
      </c>
      <c r="F5570" s="196">
        <v>0</v>
      </c>
      <c r="G5570" s="196">
        <v>-50900</v>
      </c>
    </row>
    <row r="5571" spans="1:7" x14ac:dyDescent="0.3">
      <c r="A5571" s="198">
        <v>1035024695</v>
      </c>
      <c r="B5571" s="192" t="s">
        <v>704</v>
      </c>
      <c r="C5571" s="196">
        <v>0</v>
      </c>
      <c r="D5571" s="196">
        <v>0</v>
      </c>
      <c r="E5571" s="196">
        <v>50900</v>
      </c>
      <c r="F5571" s="196">
        <v>-50900</v>
      </c>
      <c r="G5571" s="196">
        <v>-50900</v>
      </c>
    </row>
    <row r="5572" spans="1:7" x14ac:dyDescent="0.3">
      <c r="A5572" s="198">
        <v>1035017609</v>
      </c>
      <c r="B5572" s="192" t="s">
        <v>705</v>
      </c>
      <c r="C5572" s="196">
        <v>0</v>
      </c>
      <c r="D5572" s="196">
        <v>0</v>
      </c>
      <c r="E5572" s="196">
        <v>50900</v>
      </c>
      <c r="F5572" s="196">
        <v>-50900</v>
      </c>
      <c r="G5572" s="196">
        <v>-50900</v>
      </c>
    </row>
    <row r="5573" spans="1:7" x14ac:dyDescent="0.3">
      <c r="A5573" s="198">
        <v>1026164698</v>
      </c>
      <c r="B5573" s="192" t="s">
        <v>3852</v>
      </c>
      <c r="C5573" s="196">
        <v>-270000</v>
      </c>
      <c r="D5573" s="196">
        <v>0</v>
      </c>
      <c r="E5573" s="196">
        <v>0</v>
      </c>
      <c r="F5573" s="196">
        <v>0</v>
      </c>
      <c r="G5573" s="196">
        <v>-270000</v>
      </c>
    </row>
    <row r="5574" spans="1:7" x14ac:dyDescent="0.3">
      <c r="A5574" s="198">
        <v>1127356522</v>
      </c>
      <c r="B5574" s="192" t="s">
        <v>706</v>
      </c>
      <c r="C5574" s="196">
        <v>-110000</v>
      </c>
      <c r="D5574" s="196">
        <v>0</v>
      </c>
      <c r="E5574" s="196">
        <v>165000</v>
      </c>
      <c r="F5574" s="196">
        <v>-165000</v>
      </c>
      <c r="G5574" s="196">
        <v>-275000</v>
      </c>
    </row>
    <row r="5575" spans="1:7" x14ac:dyDescent="0.3">
      <c r="A5575" s="198">
        <v>84073109</v>
      </c>
      <c r="B5575" s="192" t="s">
        <v>3853</v>
      </c>
      <c r="C5575" s="196">
        <v>-50900</v>
      </c>
      <c r="D5575" s="196">
        <v>0</v>
      </c>
      <c r="E5575" s="196">
        <v>0</v>
      </c>
      <c r="F5575" s="196">
        <v>0</v>
      </c>
      <c r="G5575" s="196">
        <v>-50900</v>
      </c>
    </row>
    <row r="5576" spans="1:7" x14ac:dyDescent="0.3">
      <c r="A5576" s="198">
        <v>71411224</v>
      </c>
      <c r="B5576" s="192" t="s">
        <v>3854</v>
      </c>
      <c r="C5576" s="196">
        <v>-50900</v>
      </c>
      <c r="D5576" s="196">
        <v>0</v>
      </c>
      <c r="E5576" s="196">
        <v>0</v>
      </c>
      <c r="F5576" s="196">
        <v>0</v>
      </c>
      <c r="G5576" s="196">
        <v>-50900</v>
      </c>
    </row>
    <row r="5577" spans="1:7" x14ac:dyDescent="0.3">
      <c r="A5577" s="198">
        <v>71260455</v>
      </c>
      <c r="B5577" s="192" t="s">
        <v>707</v>
      </c>
      <c r="C5577" s="196">
        <v>0</v>
      </c>
      <c r="D5577" s="196">
        <v>0</v>
      </c>
      <c r="E5577" s="196">
        <v>41400</v>
      </c>
      <c r="F5577" s="196">
        <v>-41400</v>
      </c>
      <c r="G5577" s="196">
        <v>-41400</v>
      </c>
    </row>
    <row r="5578" spans="1:7" x14ac:dyDescent="0.3">
      <c r="A5578" s="198">
        <v>1043302454</v>
      </c>
      <c r="B5578" s="192" t="s">
        <v>708</v>
      </c>
      <c r="C5578" s="196">
        <v>-1</v>
      </c>
      <c r="D5578" s="196">
        <v>0</v>
      </c>
      <c r="E5578" s="196">
        <v>0</v>
      </c>
      <c r="F5578" s="196">
        <v>0</v>
      </c>
      <c r="G5578" s="196">
        <v>-1</v>
      </c>
    </row>
    <row r="5579" spans="1:7" x14ac:dyDescent="0.3">
      <c r="A5579" s="192" t="s">
        <v>709</v>
      </c>
      <c r="B5579" s="192" t="s">
        <v>710</v>
      </c>
      <c r="C5579" s="196">
        <v>-319000</v>
      </c>
      <c r="D5579" s="196">
        <v>0</v>
      </c>
      <c r="E5579" s="196">
        <v>0</v>
      </c>
      <c r="F5579" s="196">
        <v>0</v>
      </c>
      <c r="G5579" s="196">
        <v>-319000</v>
      </c>
    </row>
    <row r="5580" spans="1:7" x14ac:dyDescent="0.3">
      <c r="A5580" s="198">
        <v>6450606</v>
      </c>
      <c r="B5580" s="192" t="s">
        <v>711</v>
      </c>
      <c r="C5580" s="196">
        <v>0</v>
      </c>
      <c r="D5580" s="196">
        <v>0</v>
      </c>
      <c r="E5580" s="196">
        <v>380000</v>
      </c>
      <c r="F5580" s="196">
        <v>-380000</v>
      </c>
      <c r="G5580" s="196">
        <v>-380000</v>
      </c>
    </row>
    <row r="5581" spans="1:7" x14ac:dyDescent="0.3">
      <c r="A5581" s="198">
        <v>1105393</v>
      </c>
      <c r="B5581" s="192" t="s">
        <v>3855</v>
      </c>
      <c r="C5581" s="196">
        <v>-50900</v>
      </c>
      <c r="D5581" s="196">
        <v>0</v>
      </c>
      <c r="E5581" s="196">
        <v>0</v>
      </c>
      <c r="F5581" s="196">
        <v>0</v>
      </c>
      <c r="G5581" s="196">
        <v>-50900</v>
      </c>
    </row>
    <row r="5582" spans="1:7" x14ac:dyDescent="0.3">
      <c r="A5582" s="198">
        <v>26611263</v>
      </c>
      <c r="B5582" s="192" t="s">
        <v>3856</v>
      </c>
      <c r="C5582" s="196">
        <v>-223300</v>
      </c>
      <c r="D5582" s="196">
        <v>0</v>
      </c>
      <c r="E5582" s="196">
        <v>0</v>
      </c>
      <c r="F5582" s="196">
        <v>0</v>
      </c>
      <c r="G5582" s="196">
        <v>-223300</v>
      </c>
    </row>
    <row r="5583" spans="1:7" x14ac:dyDescent="0.3">
      <c r="A5583" s="198">
        <v>24466294</v>
      </c>
      <c r="B5583" s="192" t="s">
        <v>3857</v>
      </c>
      <c r="C5583" s="196">
        <v>-542300</v>
      </c>
      <c r="D5583" s="196">
        <v>0</v>
      </c>
      <c r="E5583" s="196">
        <v>0</v>
      </c>
      <c r="F5583" s="196">
        <v>0</v>
      </c>
      <c r="G5583" s="196">
        <v>-542300</v>
      </c>
    </row>
    <row r="5584" spans="1:7" x14ac:dyDescent="0.3">
      <c r="A5584" s="198">
        <v>79055413</v>
      </c>
      <c r="B5584" s="192" t="s">
        <v>3858</v>
      </c>
      <c r="C5584" s="196">
        <v>-114400</v>
      </c>
      <c r="D5584" s="196">
        <v>0</v>
      </c>
      <c r="E5584" s="196">
        <v>0</v>
      </c>
      <c r="F5584" s="196">
        <v>0</v>
      </c>
      <c r="G5584" s="196">
        <v>-114400</v>
      </c>
    </row>
    <row r="5585" spans="1:7" x14ac:dyDescent="0.3">
      <c r="A5585" s="198">
        <v>1152472141</v>
      </c>
      <c r="B5585" s="192" t="s">
        <v>3859</v>
      </c>
      <c r="C5585" s="196">
        <v>-50900</v>
      </c>
      <c r="D5585" s="196">
        <v>0</v>
      </c>
      <c r="E5585" s="196">
        <v>0</v>
      </c>
      <c r="F5585" s="196">
        <v>0</v>
      </c>
      <c r="G5585" s="196">
        <v>-50900</v>
      </c>
    </row>
    <row r="5586" spans="1:7" x14ac:dyDescent="0.3">
      <c r="A5586" s="198">
        <v>71490498</v>
      </c>
      <c r="B5586" s="192" t="s">
        <v>3860</v>
      </c>
      <c r="C5586" s="196">
        <v>-587900</v>
      </c>
      <c r="D5586" s="196">
        <v>0</v>
      </c>
      <c r="E5586" s="196">
        <v>0</v>
      </c>
      <c r="F5586" s="196">
        <v>0</v>
      </c>
      <c r="G5586" s="196">
        <v>-587900</v>
      </c>
    </row>
    <row r="5587" spans="1:7" x14ac:dyDescent="0.3">
      <c r="A5587" s="198">
        <v>98516291</v>
      </c>
      <c r="B5587" s="192" t="s">
        <v>3861</v>
      </c>
      <c r="C5587" s="196">
        <v>-57200</v>
      </c>
      <c r="D5587" s="196">
        <v>0</v>
      </c>
      <c r="E5587" s="196">
        <v>0</v>
      </c>
      <c r="F5587" s="196">
        <v>0</v>
      </c>
      <c r="G5587" s="196">
        <v>-57200</v>
      </c>
    </row>
    <row r="5588" spans="1:7" x14ac:dyDescent="0.3">
      <c r="A5588" s="198">
        <v>71721332</v>
      </c>
      <c r="B5588" s="192" t="s">
        <v>3862</v>
      </c>
      <c r="C5588" s="196">
        <v>-47400</v>
      </c>
      <c r="D5588" s="196">
        <v>0</v>
      </c>
      <c r="E5588" s="196">
        <v>0</v>
      </c>
      <c r="F5588" s="196">
        <v>0</v>
      </c>
      <c r="G5588" s="196">
        <v>-47400</v>
      </c>
    </row>
    <row r="5589" spans="1:7" x14ac:dyDescent="0.3">
      <c r="A5589" s="198">
        <v>70905100</v>
      </c>
      <c r="B5589" s="192" t="s">
        <v>3863</v>
      </c>
      <c r="C5589" s="196">
        <v>-528000</v>
      </c>
      <c r="D5589" s="196">
        <v>0</v>
      </c>
      <c r="E5589" s="196">
        <v>0</v>
      </c>
      <c r="F5589" s="196">
        <v>0</v>
      </c>
      <c r="G5589" s="196">
        <v>-528000</v>
      </c>
    </row>
    <row r="5590" spans="1:7" x14ac:dyDescent="0.3">
      <c r="A5590" s="198">
        <v>52129735</v>
      </c>
      <c r="B5590" s="192" t="s">
        <v>3864</v>
      </c>
      <c r="C5590" s="196">
        <v>-34600</v>
      </c>
      <c r="D5590" s="196">
        <v>0</v>
      </c>
      <c r="E5590" s="196">
        <v>0</v>
      </c>
      <c r="F5590" s="196">
        <v>0</v>
      </c>
      <c r="G5590" s="196">
        <v>-34600</v>
      </c>
    </row>
    <row r="5591" spans="1:7" x14ac:dyDescent="0.3">
      <c r="A5591" s="198">
        <v>7537104</v>
      </c>
      <c r="B5591" s="192" t="s">
        <v>712</v>
      </c>
      <c r="C5591" s="196">
        <v>0</v>
      </c>
      <c r="D5591" s="196">
        <v>0</v>
      </c>
      <c r="E5591" s="196">
        <v>297000</v>
      </c>
      <c r="F5591" s="196">
        <v>-297000</v>
      </c>
      <c r="G5591" s="196">
        <v>-297000</v>
      </c>
    </row>
    <row r="5592" spans="1:7" x14ac:dyDescent="0.3">
      <c r="A5592" s="198">
        <v>531014</v>
      </c>
      <c r="B5592" s="192" t="s">
        <v>3865</v>
      </c>
      <c r="C5592" s="196">
        <v>-101800</v>
      </c>
      <c r="D5592" s="196">
        <v>0</v>
      </c>
      <c r="E5592" s="196">
        <v>0</v>
      </c>
      <c r="F5592" s="196">
        <v>0</v>
      </c>
      <c r="G5592" s="196">
        <v>-101800</v>
      </c>
    </row>
    <row r="5593" spans="1:7" x14ac:dyDescent="0.3">
      <c r="A5593" s="198">
        <v>32528012</v>
      </c>
      <c r="B5593" s="192" t="s">
        <v>3866</v>
      </c>
      <c r="C5593" s="196">
        <v>-57200</v>
      </c>
      <c r="D5593" s="196">
        <v>0</v>
      </c>
      <c r="E5593" s="196">
        <v>0</v>
      </c>
      <c r="F5593" s="196">
        <v>0</v>
      </c>
      <c r="G5593" s="196">
        <v>-57200</v>
      </c>
    </row>
    <row r="5594" spans="1:7" x14ac:dyDescent="0.3">
      <c r="A5594" s="198">
        <v>43483377</v>
      </c>
      <c r="B5594" s="192" t="s">
        <v>3867</v>
      </c>
      <c r="C5594" s="196">
        <v>-297000</v>
      </c>
      <c r="D5594" s="196">
        <v>0</v>
      </c>
      <c r="E5594" s="196">
        <v>0</v>
      </c>
      <c r="F5594" s="196">
        <v>0</v>
      </c>
      <c r="G5594" s="196">
        <v>-297000</v>
      </c>
    </row>
    <row r="5595" spans="1:7" x14ac:dyDescent="0.3">
      <c r="A5595" s="198">
        <v>52416753</v>
      </c>
      <c r="B5595" s="192" t="s">
        <v>3868</v>
      </c>
      <c r="C5595" s="196">
        <v>-41400</v>
      </c>
      <c r="D5595" s="196">
        <v>0</v>
      </c>
      <c r="E5595" s="196">
        <v>0</v>
      </c>
      <c r="F5595" s="196">
        <v>0</v>
      </c>
      <c r="G5595" s="196">
        <v>-41400</v>
      </c>
    </row>
    <row r="5596" spans="1:7" x14ac:dyDescent="0.3">
      <c r="A5596" s="198">
        <v>1085277857</v>
      </c>
      <c r="B5596" s="192" t="s">
        <v>3869</v>
      </c>
      <c r="C5596" s="196">
        <v>-47400</v>
      </c>
      <c r="D5596" s="196">
        <v>0</v>
      </c>
      <c r="E5596" s="196">
        <v>0</v>
      </c>
      <c r="F5596" s="196">
        <v>0</v>
      </c>
      <c r="G5596" s="196">
        <v>-47400</v>
      </c>
    </row>
    <row r="5597" spans="1:7" x14ac:dyDescent="0.3">
      <c r="A5597" s="198">
        <v>1057467552</v>
      </c>
      <c r="B5597" s="192" t="s">
        <v>3870</v>
      </c>
      <c r="C5597" s="196">
        <v>-297000</v>
      </c>
      <c r="D5597" s="196">
        <v>0</v>
      </c>
      <c r="E5597" s="196">
        <v>0</v>
      </c>
      <c r="F5597" s="196">
        <v>0</v>
      </c>
      <c r="G5597" s="196">
        <v>-297000</v>
      </c>
    </row>
    <row r="5598" spans="1:7" x14ac:dyDescent="0.3">
      <c r="A5598" s="198">
        <v>1130612589</v>
      </c>
      <c r="B5598" s="192" t="s">
        <v>3871</v>
      </c>
      <c r="C5598" s="196">
        <v>-297000</v>
      </c>
      <c r="D5598" s="196">
        <v>0</v>
      </c>
      <c r="E5598" s="196">
        <v>0</v>
      </c>
      <c r="F5598" s="196">
        <v>0</v>
      </c>
      <c r="G5598" s="196">
        <v>-297000</v>
      </c>
    </row>
    <row r="5599" spans="1:7" x14ac:dyDescent="0.3">
      <c r="A5599" s="198">
        <v>3322554</v>
      </c>
      <c r="B5599" s="192" t="s">
        <v>3872</v>
      </c>
      <c r="C5599" s="196">
        <v>-290000</v>
      </c>
      <c r="D5599" s="196">
        <v>0</v>
      </c>
      <c r="E5599" s="196">
        <v>0</v>
      </c>
      <c r="F5599" s="196">
        <v>0</v>
      </c>
      <c r="G5599" s="196">
        <v>-290000</v>
      </c>
    </row>
    <row r="5600" spans="1:7" x14ac:dyDescent="0.3">
      <c r="A5600" s="198">
        <v>70554046</v>
      </c>
      <c r="B5600" s="192" t="s">
        <v>3873</v>
      </c>
      <c r="C5600" s="196">
        <v>-113600</v>
      </c>
      <c r="D5600" s="196">
        <v>0</v>
      </c>
      <c r="E5600" s="196">
        <v>0</v>
      </c>
      <c r="F5600" s="196">
        <v>0</v>
      </c>
      <c r="G5600" s="196">
        <v>-113600</v>
      </c>
    </row>
    <row r="5601" spans="1:7" x14ac:dyDescent="0.3">
      <c r="A5601" s="192" t="s">
        <v>3874</v>
      </c>
      <c r="B5601" s="192" t="s">
        <v>3875</v>
      </c>
      <c r="C5601" s="196">
        <v>-380000</v>
      </c>
      <c r="D5601" s="196">
        <v>0</v>
      </c>
      <c r="E5601" s="196">
        <v>0</v>
      </c>
      <c r="F5601" s="196">
        <v>0</v>
      </c>
      <c r="G5601" s="196">
        <v>-380000</v>
      </c>
    </row>
    <row r="5602" spans="1:7" x14ac:dyDescent="0.3">
      <c r="A5602" s="198">
        <v>43085422</v>
      </c>
      <c r="B5602" s="192" t="s">
        <v>714</v>
      </c>
      <c r="C5602" s="196">
        <v>-47400</v>
      </c>
      <c r="D5602" s="196">
        <v>0</v>
      </c>
      <c r="E5602" s="196">
        <v>0</v>
      </c>
      <c r="F5602" s="196">
        <v>0</v>
      </c>
      <c r="G5602" s="196">
        <v>-47400</v>
      </c>
    </row>
    <row r="5603" spans="1:7" x14ac:dyDescent="0.3">
      <c r="A5603" s="198">
        <v>1046827</v>
      </c>
      <c r="B5603" s="192" t="s">
        <v>3876</v>
      </c>
      <c r="C5603" s="196">
        <v>-297000</v>
      </c>
      <c r="D5603" s="196">
        <v>0</v>
      </c>
      <c r="E5603" s="196">
        <v>0</v>
      </c>
      <c r="F5603" s="196">
        <v>0</v>
      </c>
      <c r="G5603" s="196">
        <v>-297000</v>
      </c>
    </row>
    <row r="5604" spans="1:7" x14ac:dyDescent="0.3">
      <c r="A5604" s="198">
        <v>43013919</v>
      </c>
      <c r="B5604" s="192" t="s">
        <v>3877</v>
      </c>
      <c r="C5604" s="196">
        <v>-50900</v>
      </c>
      <c r="D5604" s="196">
        <v>0</v>
      </c>
      <c r="E5604" s="196">
        <v>0</v>
      </c>
      <c r="F5604" s="196">
        <v>0</v>
      </c>
      <c r="G5604" s="196">
        <v>-50900</v>
      </c>
    </row>
    <row r="5605" spans="1:7" x14ac:dyDescent="0.3">
      <c r="A5605" s="198">
        <v>913684</v>
      </c>
      <c r="B5605" s="192" t="s">
        <v>3878</v>
      </c>
      <c r="C5605" s="196">
        <v>-50900</v>
      </c>
      <c r="D5605" s="196">
        <v>0</v>
      </c>
      <c r="E5605" s="196">
        <v>0</v>
      </c>
      <c r="F5605" s="196">
        <v>0</v>
      </c>
      <c r="G5605" s="196">
        <v>-50900</v>
      </c>
    </row>
    <row r="5606" spans="1:7" x14ac:dyDescent="0.3">
      <c r="A5606" s="198">
        <v>501488</v>
      </c>
      <c r="B5606" s="192" t="s">
        <v>716</v>
      </c>
      <c r="C5606" s="196">
        <v>0</v>
      </c>
      <c r="D5606" s="196">
        <v>0</v>
      </c>
      <c r="E5606" s="196">
        <v>50900</v>
      </c>
      <c r="F5606" s="196">
        <v>-50900</v>
      </c>
      <c r="G5606" s="196">
        <v>-50900</v>
      </c>
    </row>
    <row r="5607" spans="1:7" x14ac:dyDescent="0.3">
      <c r="A5607" s="198">
        <v>56085805</v>
      </c>
      <c r="B5607" s="192" t="s">
        <v>3879</v>
      </c>
      <c r="C5607" s="196">
        <v>-50900</v>
      </c>
      <c r="D5607" s="196">
        <v>0</v>
      </c>
      <c r="E5607" s="196">
        <v>0</v>
      </c>
      <c r="F5607" s="196">
        <v>0</v>
      </c>
      <c r="G5607" s="196">
        <v>-50900</v>
      </c>
    </row>
    <row r="5608" spans="1:7" x14ac:dyDescent="0.3">
      <c r="A5608" s="198">
        <v>144538538</v>
      </c>
      <c r="B5608" s="192" t="s">
        <v>3880</v>
      </c>
      <c r="C5608" s="196">
        <v>-297000</v>
      </c>
      <c r="D5608" s="196">
        <v>0</v>
      </c>
      <c r="E5608" s="196">
        <v>0</v>
      </c>
      <c r="F5608" s="196">
        <v>0</v>
      </c>
      <c r="G5608" s="196">
        <v>-297000</v>
      </c>
    </row>
    <row r="5609" spans="1:7" x14ac:dyDescent="0.3">
      <c r="A5609" s="192" t="s">
        <v>3881</v>
      </c>
      <c r="B5609" s="192" t="s">
        <v>3882</v>
      </c>
      <c r="C5609" s="196">
        <v>-162000</v>
      </c>
      <c r="D5609" s="196">
        <v>0</v>
      </c>
      <c r="E5609" s="196">
        <v>0</v>
      </c>
      <c r="F5609" s="196">
        <v>0</v>
      </c>
      <c r="G5609" s="196">
        <v>-162000</v>
      </c>
    </row>
    <row r="5610" spans="1:7" x14ac:dyDescent="0.3">
      <c r="A5610" s="192" t="s">
        <v>3883</v>
      </c>
      <c r="B5610" s="192" t="s">
        <v>3884</v>
      </c>
      <c r="C5610" s="196">
        <v>-297000</v>
      </c>
      <c r="D5610" s="196">
        <v>0</v>
      </c>
      <c r="E5610" s="196">
        <v>0</v>
      </c>
      <c r="F5610" s="196">
        <v>0</v>
      </c>
      <c r="G5610" s="196">
        <v>-297000</v>
      </c>
    </row>
    <row r="5611" spans="1:7" x14ac:dyDescent="0.3">
      <c r="A5611" s="198">
        <v>1067894591</v>
      </c>
      <c r="B5611" s="192" t="s">
        <v>3885</v>
      </c>
      <c r="C5611" s="196">
        <v>-50900</v>
      </c>
      <c r="D5611" s="196">
        <v>0</v>
      </c>
      <c r="E5611" s="196">
        <v>0</v>
      </c>
      <c r="F5611" s="196">
        <v>0</v>
      </c>
      <c r="G5611" s="196">
        <v>-50900</v>
      </c>
    </row>
    <row r="5612" spans="1:7" x14ac:dyDescent="0.3">
      <c r="A5612" s="198">
        <v>39310209</v>
      </c>
      <c r="B5612" s="192" t="s">
        <v>123</v>
      </c>
      <c r="C5612" s="196">
        <v>-89100</v>
      </c>
      <c r="D5612" s="196">
        <v>0</v>
      </c>
      <c r="E5612" s="196">
        <v>0</v>
      </c>
      <c r="F5612" s="196">
        <v>0</v>
      </c>
      <c r="G5612" s="196">
        <v>-89100</v>
      </c>
    </row>
    <row r="5613" spans="1:7" x14ac:dyDescent="0.3">
      <c r="A5613" s="198">
        <v>40762949</v>
      </c>
      <c r="B5613" s="192" t="s">
        <v>3886</v>
      </c>
      <c r="C5613" s="196">
        <v>-290000</v>
      </c>
      <c r="D5613" s="196">
        <v>0</v>
      </c>
      <c r="E5613" s="196">
        <v>0</v>
      </c>
      <c r="F5613" s="196">
        <v>0</v>
      </c>
      <c r="G5613" s="196">
        <v>-290000</v>
      </c>
    </row>
    <row r="5614" spans="1:7" x14ac:dyDescent="0.3">
      <c r="A5614" s="198">
        <v>21375517</v>
      </c>
      <c r="B5614" s="192" t="s">
        <v>3887</v>
      </c>
      <c r="C5614" s="196">
        <v>-50900</v>
      </c>
      <c r="D5614" s="196">
        <v>0</v>
      </c>
      <c r="E5614" s="196">
        <v>0</v>
      </c>
      <c r="F5614" s="196">
        <v>0</v>
      </c>
      <c r="G5614" s="196">
        <v>-50900</v>
      </c>
    </row>
    <row r="5615" spans="1:7" x14ac:dyDescent="0.3">
      <c r="A5615" s="198">
        <v>43986015</v>
      </c>
      <c r="B5615" s="192" t="s">
        <v>3888</v>
      </c>
      <c r="C5615" s="196">
        <v>-35000</v>
      </c>
      <c r="D5615" s="196">
        <v>0</v>
      </c>
      <c r="E5615" s="196">
        <v>0</v>
      </c>
      <c r="F5615" s="196">
        <v>0</v>
      </c>
      <c r="G5615" s="196">
        <v>-35000</v>
      </c>
    </row>
    <row r="5616" spans="1:7" x14ac:dyDescent="0.3">
      <c r="A5616" s="198">
        <v>901133049</v>
      </c>
      <c r="B5616" s="192" t="s">
        <v>718</v>
      </c>
      <c r="C5616" s="196">
        <v>0</v>
      </c>
      <c r="D5616" s="196">
        <v>0</v>
      </c>
      <c r="E5616" s="196">
        <v>297000</v>
      </c>
      <c r="F5616" s="196">
        <v>-297000</v>
      </c>
      <c r="G5616" s="196">
        <v>-297000</v>
      </c>
    </row>
    <row r="5617" spans="1:7" x14ac:dyDescent="0.3">
      <c r="A5617" s="198">
        <v>8000850</v>
      </c>
      <c r="B5617" s="192" t="s">
        <v>719</v>
      </c>
      <c r="C5617" s="196">
        <v>0</v>
      </c>
      <c r="D5617" s="196">
        <v>0</v>
      </c>
      <c r="E5617" s="196">
        <v>162000</v>
      </c>
      <c r="F5617" s="196">
        <v>-162000</v>
      </c>
      <c r="G5617" s="196">
        <v>-162000</v>
      </c>
    </row>
    <row r="5618" spans="1:7" x14ac:dyDescent="0.3">
      <c r="A5618" s="198">
        <v>36693584</v>
      </c>
      <c r="B5618" s="192" t="s">
        <v>3889</v>
      </c>
      <c r="C5618" s="196">
        <v>-50900</v>
      </c>
      <c r="D5618" s="196">
        <v>0</v>
      </c>
      <c r="E5618" s="196">
        <v>0</v>
      </c>
      <c r="F5618" s="196">
        <v>0</v>
      </c>
      <c r="G5618" s="196">
        <v>-50900</v>
      </c>
    </row>
    <row r="5619" spans="1:7" x14ac:dyDescent="0.3">
      <c r="A5619" s="198">
        <v>39676051</v>
      </c>
      <c r="B5619" s="192" t="s">
        <v>720</v>
      </c>
      <c r="C5619" s="196">
        <v>0</v>
      </c>
      <c r="D5619" s="196">
        <v>0</v>
      </c>
      <c r="E5619" s="196">
        <v>165000</v>
      </c>
      <c r="F5619" s="196">
        <v>-165000</v>
      </c>
      <c r="G5619" s="196">
        <v>-165000</v>
      </c>
    </row>
    <row r="5620" spans="1:7" x14ac:dyDescent="0.3">
      <c r="A5620" s="198">
        <v>32754871</v>
      </c>
      <c r="B5620" s="192" t="s">
        <v>721</v>
      </c>
      <c r="C5620" s="196">
        <v>-162000</v>
      </c>
      <c r="D5620" s="196">
        <v>0</v>
      </c>
      <c r="E5620" s="196">
        <v>0</v>
      </c>
      <c r="F5620" s="196">
        <v>0</v>
      </c>
      <c r="G5620" s="196">
        <v>-162000</v>
      </c>
    </row>
    <row r="5621" spans="1:7" x14ac:dyDescent="0.3">
      <c r="A5621" s="198">
        <v>1030573381</v>
      </c>
      <c r="B5621" s="192" t="s">
        <v>3890</v>
      </c>
      <c r="C5621" s="196">
        <v>-92800</v>
      </c>
      <c r="D5621" s="196">
        <v>0</v>
      </c>
      <c r="E5621" s="196">
        <v>0</v>
      </c>
      <c r="F5621" s="196">
        <v>0</v>
      </c>
      <c r="G5621" s="196">
        <v>-92800</v>
      </c>
    </row>
    <row r="5622" spans="1:7" x14ac:dyDescent="0.3">
      <c r="A5622" s="198">
        <v>890981217</v>
      </c>
      <c r="B5622" s="192" t="s">
        <v>3891</v>
      </c>
      <c r="C5622" s="196">
        <v>-207900</v>
      </c>
      <c r="D5622" s="196">
        <v>0</v>
      </c>
      <c r="E5622" s="196">
        <v>0</v>
      </c>
      <c r="F5622" s="196">
        <v>0</v>
      </c>
      <c r="G5622" s="196">
        <v>-207900</v>
      </c>
    </row>
    <row r="5623" spans="1:7" x14ac:dyDescent="0.3">
      <c r="A5623" s="198">
        <v>70196823</v>
      </c>
      <c r="B5623" s="192" t="s">
        <v>723</v>
      </c>
      <c r="C5623" s="196">
        <v>0</v>
      </c>
      <c r="D5623" s="196">
        <v>0</v>
      </c>
      <c r="E5623" s="196">
        <v>420000</v>
      </c>
      <c r="F5623" s="196">
        <v>-420000</v>
      </c>
      <c r="G5623" s="196">
        <v>-420000</v>
      </c>
    </row>
    <row r="5624" spans="1:7" x14ac:dyDescent="0.3">
      <c r="A5624" s="192" t="s">
        <v>3892</v>
      </c>
      <c r="B5624" s="192" t="s">
        <v>3893</v>
      </c>
      <c r="C5624" s="196">
        <v>-297000</v>
      </c>
      <c r="D5624" s="196">
        <v>0</v>
      </c>
      <c r="E5624" s="196">
        <v>0</v>
      </c>
      <c r="F5624" s="196">
        <v>0</v>
      </c>
      <c r="G5624" s="196">
        <v>-297000</v>
      </c>
    </row>
    <row r="5625" spans="1:7" x14ac:dyDescent="0.3">
      <c r="A5625" s="198">
        <v>43722531</v>
      </c>
      <c r="B5625" s="192" t="s">
        <v>3894</v>
      </c>
      <c r="C5625" s="196">
        <v>-50900</v>
      </c>
      <c r="D5625" s="196">
        <v>0</v>
      </c>
      <c r="E5625" s="196">
        <v>0</v>
      </c>
      <c r="F5625" s="196">
        <v>0</v>
      </c>
      <c r="G5625" s="196">
        <v>-50900</v>
      </c>
    </row>
    <row r="5626" spans="1:7" x14ac:dyDescent="0.3">
      <c r="A5626" s="198">
        <v>755225</v>
      </c>
      <c r="B5626" s="192" t="s">
        <v>3895</v>
      </c>
      <c r="C5626" s="196">
        <v>-50900</v>
      </c>
      <c r="D5626" s="196">
        <v>0</v>
      </c>
      <c r="E5626" s="196">
        <v>0</v>
      </c>
      <c r="F5626" s="196">
        <v>0</v>
      </c>
      <c r="G5626" s="196">
        <v>-50900</v>
      </c>
    </row>
    <row r="5627" spans="1:7" x14ac:dyDescent="0.3">
      <c r="A5627" s="198">
        <v>1035018699</v>
      </c>
      <c r="B5627" s="192" t="s">
        <v>3896</v>
      </c>
      <c r="C5627" s="196">
        <v>-46400</v>
      </c>
      <c r="D5627" s="196">
        <v>0</v>
      </c>
      <c r="E5627" s="196">
        <v>0</v>
      </c>
      <c r="F5627" s="196">
        <v>0</v>
      </c>
      <c r="G5627" s="196">
        <v>-46400</v>
      </c>
    </row>
    <row r="5628" spans="1:7" x14ac:dyDescent="0.3">
      <c r="A5628" s="198">
        <v>1233932497</v>
      </c>
      <c r="B5628" s="192" t="s">
        <v>724</v>
      </c>
      <c r="C5628" s="196">
        <v>-41400</v>
      </c>
      <c r="D5628" s="196">
        <v>0</v>
      </c>
      <c r="E5628" s="196">
        <v>0</v>
      </c>
      <c r="F5628" s="196">
        <v>0</v>
      </c>
      <c r="G5628" s="196">
        <v>-41400</v>
      </c>
    </row>
    <row r="5629" spans="1:7" x14ac:dyDescent="0.3">
      <c r="A5629" s="198">
        <v>1025907924</v>
      </c>
      <c r="B5629" s="192" t="s">
        <v>3897</v>
      </c>
      <c r="C5629" s="196">
        <v>-50900</v>
      </c>
      <c r="D5629" s="196">
        <v>0</v>
      </c>
      <c r="E5629" s="196">
        <v>0</v>
      </c>
      <c r="F5629" s="196">
        <v>0</v>
      </c>
      <c r="G5629" s="196">
        <v>-50900</v>
      </c>
    </row>
    <row r="5630" spans="1:7" x14ac:dyDescent="0.3">
      <c r="A5630" s="198">
        <v>1037238519</v>
      </c>
      <c r="B5630" s="192" t="s">
        <v>3898</v>
      </c>
      <c r="C5630" s="196">
        <v>-57200</v>
      </c>
      <c r="D5630" s="196">
        <v>0</v>
      </c>
      <c r="E5630" s="196">
        <v>0</v>
      </c>
      <c r="F5630" s="196">
        <v>0</v>
      </c>
      <c r="G5630" s="196">
        <v>-57200</v>
      </c>
    </row>
    <row r="5631" spans="1:7" x14ac:dyDescent="0.3">
      <c r="A5631" s="198">
        <v>1037238811</v>
      </c>
      <c r="B5631" s="192" t="s">
        <v>2395</v>
      </c>
      <c r="C5631" s="196">
        <v>-340000</v>
      </c>
      <c r="D5631" s="196">
        <v>0</v>
      </c>
      <c r="E5631" s="196">
        <v>0</v>
      </c>
      <c r="F5631" s="196">
        <v>0</v>
      </c>
      <c r="G5631" s="196">
        <v>-340000</v>
      </c>
    </row>
    <row r="5632" spans="1:7" x14ac:dyDescent="0.3">
      <c r="A5632" s="198">
        <v>1020236793</v>
      </c>
      <c r="B5632" s="192" t="s">
        <v>3899</v>
      </c>
      <c r="C5632" s="196">
        <v>-46400</v>
      </c>
      <c r="D5632" s="196">
        <v>0</v>
      </c>
      <c r="E5632" s="196">
        <v>0</v>
      </c>
      <c r="F5632" s="196">
        <v>0</v>
      </c>
      <c r="G5632" s="196">
        <v>-46400</v>
      </c>
    </row>
    <row r="5633" spans="1:7" x14ac:dyDescent="0.3">
      <c r="A5633" s="198">
        <v>1014896093</v>
      </c>
      <c r="B5633" s="192" t="s">
        <v>3900</v>
      </c>
      <c r="C5633" s="196">
        <v>-50900</v>
      </c>
      <c r="D5633" s="196">
        <v>0</v>
      </c>
      <c r="E5633" s="196">
        <v>0</v>
      </c>
      <c r="F5633" s="196">
        <v>0</v>
      </c>
      <c r="G5633" s="196">
        <v>-50900</v>
      </c>
    </row>
    <row r="5634" spans="1:7" x14ac:dyDescent="0.3">
      <c r="A5634" s="198">
        <v>1000532810</v>
      </c>
      <c r="B5634" s="192" t="s">
        <v>3901</v>
      </c>
      <c r="C5634" s="196">
        <v>-30000</v>
      </c>
      <c r="D5634" s="196">
        <v>0</v>
      </c>
      <c r="E5634" s="196">
        <v>0</v>
      </c>
      <c r="F5634" s="196">
        <v>0</v>
      </c>
      <c r="G5634" s="196">
        <v>-30000</v>
      </c>
    </row>
    <row r="5635" spans="1:7" x14ac:dyDescent="0.3">
      <c r="A5635" s="198">
        <v>1023542035</v>
      </c>
      <c r="B5635" s="192" t="s">
        <v>725</v>
      </c>
      <c r="C5635" s="196">
        <v>0</v>
      </c>
      <c r="D5635" s="196">
        <v>0</v>
      </c>
      <c r="E5635" s="196">
        <v>47000</v>
      </c>
      <c r="F5635" s="196">
        <v>-47000</v>
      </c>
      <c r="G5635" s="196">
        <v>-47000</v>
      </c>
    </row>
    <row r="5636" spans="1:7" x14ac:dyDescent="0.3">
      <c r="A5636" s="198">
        <v>1110612332</v>
      </c>
      <c r="B5636" s="192" t="s">
        <v>726</v>
      </c>
      <c r="C5636" s="196">
        <v>0</v>
      </c>
      <c r="D5636" s="196">
        <v>0</v>
      </c>
      <c r="E5636" s="196">
        <v>49000</v>
      </c>
      <c r="F5636" s="196">
        <v>-49000</v>
      </c>
      <c r="G5636" s="196">
        <v>-49000</v>
      </c>
    </row>
    <row r="5637" spans="1:7" x14ac:dyDescent="0.3">
      <c r="A5637" s="198">
        <v>1036462142</v>
      </c>
      <c r="B5637" s="192" t="s">
        <v>3902</v>
      </c>
      <c r="C5637" s="196">
        <v>-34800</v>
      </c>
      <c r="D5637" s="196">
        <v>0</v>
      </c>
      <c r="E5637" s="196">
        <v>0</v>
      </c>
      <c r="F5637" s="196">
        <v>0</v>
      </c>
      <c r="G5637" s="196">
        <v>-34800</v>
      </c>
    </row>
    <row r="5638" spans="1:7" x14ac:dyDescent="0.3">
      <c r="A5638" s="198">
        <v>1038868245</v>
      </c>
      <c r="B5638" s="192" t="s">
        <v>3903</v>
      </c>
      <c r="C5638" s="196">
        <v>-57200</v>
      </c>
      <c r="D5638" s="196">
        <v>0</v>
      </c>
      <c r="E5638" s="196">
        <v>0</v>
      </c>
      <c r="F5638" s="196">
        <v>0</v>
      </c>
      <c r="G5638" s="196">
        <v>-57200</v>
      </c>
    </row>
    <row r="5639" spans="1:7" x14ac:dyDescent="0.3">
      <c r="A5639" s="198">
        <v>1035008801</v>
      </c>
      <c r="B5639" s="192" t="s">
        <v>3904</v>
      </c>
      <c r="C5639" s="196">
        <v>-50900</v>
      </c>
      <c r="D5639" s="196">
        <v>0</v>
      </c>
      <c r="E5639" s="196">
        <v>0</v>
      </c>
      <c r="F5639" s="196">
        <v>0</v>
      </c>
      <c r="G5639" s="196">
        <v>-50900</v>
      </c>
    </row>
    <row r="5640" spans="1:7" x14ac:dyDescent="0.3">
      <c r="A5640" s="198">
        <v>43274763</v>
      </c>
      <c r="B5640" s="192" t="s">
        <v>3905</v>
      </c>
      <c r="C5640" s="196">
        <v>-101800</v>
      </c>
      <c r="D5640" s="196">
        <v>0</v>
      </c>
      <c r="E5640" s="196">
        <v>0</v>
      </c>
      <c r="F5640" s="196">
        <v>0</v>
      </c>
      <c r="G5640" s="196">
        <v>-101800</v>
      </c>
    </row>
    <row r="5641" spans="1:7" x14ac:dyDescent="0.3">
      <c r="A5641" s="198">
        <v>32447962</v>
      </c>
      <c r="B5641" s="192" t="s">
        <v>727</v>
      </c>
      <c r="C5641" s="196">
        <v>-50900</v>
      </c>
      <c r="D5641" s="196">
        <v>0</v>
      </c>
      <c r="E5641" s="196">
        <v>0</v>
      </c>
      <c r="F5641" s="196">
        <v>0</v>
      </c>
      <c r="G5641" s="196">
        <v>-50900</v>
      </c>
    </row>
    <row r="5642" spans="1:7" x14ac:dyDescent="0.3">
      <c r="A5642" s="198">
        <v>43720765</v>
      </c>
      <c r="B5642" s="192" t="s">
        <v>3906</v>
      </c>
      <c r="C5642" s="196">
        <v>-50900</v>
      </c>
      <c r="D5642" s="196">
        <v>0</v>
      </c>
      <c r="E5642" s="196">
        <v>0</v>
      </c>
      <c r="F5642" s="196">
        <v>0</v>
      </c>
      <c r="G5642" s="196">
        <v>-50900</v>
      </c>
    </row>
    <row r="5643" spans="1:7" x14ac:dyDescent="0.3">
      <c r="A5643" s="198">
        <v>1017236584</v>
      </c>
      <c r="B5643" s="192" t="s">
        <v>728</v>
      </c>
      <c r="C5643" s="196">
        <v>0</v>
      </c>
      <c r="D5643" s="196">
        <v>0</v>
      </c>
      <c r="E5643" s="196">
        <v>50900</v>
      </c>
      <c r="F5643" s="196">
        <v>-50900</v>
      </c>
      <c r="G5643" s="196">
        <v>-50900</v>
      </c>
    </row>
    <row r="5644" spans="1:7" x14ac:dyDescent="0.3">
      <c r="A5644" s="198">
        <v>43639623</v>
      </c>
      <c r="B5644" s="192" t="s">
        <v>3907</v>
      </c>
      <c r="C5644" s="196">
        <v>-50900</v>
      </c>
      <c r="D5644" s="196">
        <v>0</v>
      </c>
      <c r="E5644" s="196">
        <v>0</v>
      </c>
      <c r="F5644" s="196">
        <v>0</v>
      </c>
      <c r="G5644" s="196">
        <v>-50900</v>
      </c>
    </row>
    <row r="5645" spans="1:7" x14ac:dyDescent="0.3">
      <c r="A5645" s="198">
        <v>43875299</v>
      </c>
      <c r="B5645" s="192" t="s">
        <v>3908</v>
      </c>
      <c r="C5645" s="196">
        <v>-50900</v>
      </c>
      <c r="D5645" s="196">
        <v>0</v>
      </c>
      <c r="E5645" s="196">
        <v>0</v>
      </c>
      <c r="F5645" s="196">
        <v>0</v>
      </c>
      <c r="G5645" s="196">
        <v>-50900</v>
      </c>
    </row>
    <row r="5646" spans="1:7" x14ac:dyDescent="0.3">
      <c r="A5646" s="198">
        <v>43160206</v>
      </c>
      <c r="B5646" s="192" t="s">
        <v>3909</v>
      </c>
      <c r="C5646" s="196">
        <v>-50900</v>
      </c>
      <c r="D5646" s="196">
        <v>0</v>
      </c>
      <c r="E5646" s="196">
        <v>0</v>
      </c>
      <c r="F5646" s="196">
        <v>0</v>
      </c>
      <c r="G5646" s="196">
        <v>-50900</v>
      </c>
    </row>
    <row r="5647" spans="1:7" x14ac:dyDescent="0.3">
      <c r="A5647" s="198">
        <v>43684250</v>
      </c>
      <c r="B5647" s="192" t="s">
        <v>3910</v>
      </c>
      <c r="C5647" s="196">
        <v>-50900</v>
      </c>
      <c r="D5647" s="196">
        <v>0</v>
      </c>
      <c r="E5647" s="196">
        <v>0</v>
      </c>
      <c r="F5647" s="196">
        <v>0</v>
      </c>
      <c r="G5647" s="196">
        <v>-50900</v>
      </c>
    </row>
    <row r="5648" spans="1:7" x14ac:dyDescent="0.3">
      <c r="A5648" s="198">
        <v>30277848</v>
      </c>
      <c r="B5648" s="192" t="s">
        <v>3911</v>
      </c>
      <c r="C5648" s="196">
        <v>-47400</v>
      </c>
      <c r="D5648" s="196">
        <v>0</v>
      </c>
      <c r="E5648" s="196">
        <v>0</v>
      </c>
      <c r="F5648" s="196">
        <v>0</v>
      </c>
      <c r="G5648" s="196">
        <v>-47400</v>
      </c>
    </row>
    <row r="5649" spans="1:7" x14ac:dyDescent="0.3">
      <c r="A5649" s="198">
        <v>43879462</v>
      </c>
      <c r="B5649" s="192" t="s">
        <v>3912</v>
      </c>
      <c r="C5649" s="196">
        <v>-259800</v>
      </c>
      <c r="D5649" s="196">
        <v>0</v>
      </c>
      <c r="E5649" s="196">
        <v>0</v>
      </c>
      <c r="F5649" s="196">
        <v>0</v>
      </c>
      <c r="G5649" s="196">
        <v>-259800</v>
      </c>
    </row>
    <row r="5650" spans="1:7" x14ac:dyDescent="0.3">
      <c r="A5650" s="198">
        <v>43265775</v>
      </c>
      <c r="B5650" s="192" t="s">
        <v>3913</v>
      </c>
      <c r="C5650" s="196">
        <v>-35000</v>
      </c>
      <c r="D5650" s="196">
        <v>0</v>
      </c>
      <c r="E5650" s="196">
        <v>0</v>
      </c>
      <c r="F5650" s="196">
        <v>0</v>
      </c>
      <c r="G5650" s="196">
        <v>-35000</v>
      </c>
    </row>
    <row r="5651" spans="1:7" x14ac:dyDescent="0.3">
      <c r="A5651" s="198">
        <v>1036670166</v>
      </c>
      <c r="B5651" s="192" t="s">
        <v>3914</v>
      </c>
      <c r="C5651" s="196">
        <v>-38400</v>
      </c>
      <c r="D5651" s="196">
        <v>0</v>
      </c>
      <c r="E5651" s="196">
        <v>0</v>
      </c>
      <c r="F5651" s="196">
        <v>0</v>
      </c>
      <c r="G5651" s="196">
        <v>-38400</v>
      </c>
    </row>
    <row r="5652" spans="1:7" x14ac:dyDescent="0.3">
      <c r="A5652" s="198">
        <v>43254232</v>
      </c>
      <c r="B5652" s="192" t="s">
        <v>730</v>
      </c>
      <c r="C5652" s="196">
        <v>0</v>
      </c>
      <c r="D5652" s="196">
        <v>0</v>
      </c>
      <c r="E5652" s="196">
        <v>50900</v>
      </c>
      <c r="F5652" s="196">
        <v>-50900</v>
      </c>
      <c r="G5652" s="196">
        <v>-50900</v>
      </c>
    </row>
    <row r="5653" spans="1:7" x14ac:dyDescent="0.3">
      <c r="A5653" s="198">
        <v>1128281560</v>
      </c>
      <c r="B5653" s="192" t="s">
        <v>3915</v>
      </c>
      <c r="C5653" s="196">
        <v>-47000</v>
      </c>
      <c r="D5653" s="196">
        <v>0</v>
      </c>
      <c r="E5653" s="196">
        <v>0</v>
      </c>
      <c r="F5653" s="196">
        <v>0</v>
      </c>
      <c r="G5653" s="196">
        <v>-47000</v>
      </c>
    </row>
    <row r="5654" spans="1:7" x14ac:dyDescent="0.3">
      <c r="A5654" s="198">
        <v>1036626437</v>
      </c>
      <c r="B5654" s="192" t="s">
        <v>3916</v>
      </c>
      <c r="C5654" s="196">
        <v>-101800</v>
      </c>
      <c r="D5654" s="196">
        <v>0</v>
      </c>
      <c r="E5654" s="196">
        <v>0</v>
      </c>
      <c r="F5654" s="196">
        <v>0</v>
      </c>
      <c r="G5654" s="196">
        <v>-101800</v>
      </c>
    </row>
    <row r="5655" spans="1:7" x14ac:dyDescent="0.3">
      <c r="A5655" s="198">
        <v>43151848</v>
      </c>
      <c r="B5655" s="192" t="s">
        <v>3917</v>
      </c>
      <c r="C5655" s="196">
        <v>-94800</v>
      </c>
      <c r="D5655" s="196">
        <v>0</v>
      </c>
      <c r="E5655" s="196">
        <v>0</v>
      </c>
      <c r="F5655" s="196">
        <v>0</v>
      </c>
      <c r="G5655" s="196">
        <v>-94800</v>
      </c>
    </row>
    <row r="5656" spans="1:7" x14ac:dyDescent="0.3">
      <c r="A5656" s="198">
        <v>43866392</v>
      </c>
      <c r="B5656" s="192" t="s">
        <v>3918</v>
      </c>
      <c r="C5656" s="196">
        <v>-30000</v>
      </c>
      <c r="D5656" s="196">
        <v>0</v>
      </c>
      <c r="E5656" s="196">
        <v>0</v>
      </c>
      <c r="F5656" s="196">
        <v>0</v>
      </c>
      <c r="G5656" s="196">
        <v>-30000</v>
      </c>
    </row>
    <row r="5657" spans="1:7" x14ac:dyDescent="0.3">
      <c r="A5657" s="198">
        <v>1001367191</v>
      </c>
      <c r="B5657" s="192" t="s">
        <v>3919</v>
      </c>
      <c r="C5657" s="196">
        <v>-150900</v>
      </c>
      <c r="D5657" s="196">
        <v>0</v>
      </c>
      <c r="E5657" s="196">
        <v>0</v>
      </c>
      <c r="F5657" s="196">
        <v>0</v>
      </c>
      <c r="G5657" s="196">
        <v>-150900</v>
      </c>
    </row>
    <row r="5658" spans="1:7" x14ac:dyDescent="0.3">
      <c r="A5658" s="198">
        <v>32108212</v>
      </c>
      <c r="B5658" s="192" t="s">
        <v>3920</v>
      </c>
      <c r="C5658" s="196">
        <v>-49000</v>
      </c>
      <c r="D5658" s="196">
        <v>0</v>
      </c>
      <c r="E5658" s="196">
        <v>0</v>
      </c>
      <c r="F5658" s="196">
        <v>0</v>
      </c>
      <c r="G5658" s="196">
        <v>-49000</v>
      </c>
    </row>
    <row r="5659" spans="1:7" x14ac:dyDescent="0.3">
      <c r="A5659" s="198">
        <v>43468449</v>
      </c>
      <c r="B5659" s="192" t="s">
        <v>3921</v>
      </c>
      <c r="C5659" s="196">
        <v>-50900</v>
      </c>
      <c r="D5659" s="196">
        <v>0</v>
      </c>
      <c r="E5659" s="196">
        <v>0</v>
      </c>
      <c r="F5659" s="196">
        <v>0</v>
      </c>
      <c r="G5659" s="196">
        <v>-50900</v>
      </c>
    </row>
    <row r="5660" spans="1:7" x14ac:dyDescent="0.3">
      <c r="A5660" s="198">
        <v>1011513430</v>
      </c>
      <c r="B5660" s="192" t="s">
        <v>3922</v>
      </c>
      <c r="C5660" s="196">
        <v>-45000</v>
      </c>
      <c r="D5660" s="196">
        <v>0</v>
      </c>
      <c r="E5660" s="196">
        <v>0</v>
      </c>
      <c r="F5660" s="196">
        <v>0</v>
      </c>
      <c r="G5660" s="196">
        <v>-45000</v>
      </c>
    </row>
    <row r="5661" spans="1:7" x14ac:dyDescent="0.3">
      <c r="A5661" s="198">
        <v>1026156862</v>
      </c>
      <c r="B5661" s="192" t="s">
        <v>3923</v>
      </c>
      <c r="C5661" s="196">
        <v>-46400</v>
      </c>
      <c r="D5661" s="196">
        <v>0</v>
      </c>
      <c r="E5661" s="196">
        <v>0</v>
      </c>
      <c r="F5661" s="196">
        <v>0</v>
      </c>
      <c r="G5661" s="196">
        <v>-46400</v>
      </c>
    </row>
    <row r="5662" spans="1:7" x14ac:dyDescent="0.3">
      <c r="A5662" s="198">
        <v>41406418</v>
      </c>
      <c r="B5662" s="192" t="s">
        <v>732</v>
      </c>
      <c r="C5662" s="196">
        <v>0</v>
      </c>
      <c r="D5662" s="196">
        <v>0</v>
      </c>
      <c r="E5662" s="196">
        <v>57200</v>
      </c>
      <c r="F5662" s="196">
        <v>-57200</v>
      </c>
      <c r="G5662" s="196">
        <v>-57200</v>
      </c>
    </row>
    <row r="5663" spans="1:7" x14ac:dyDescent="0.3">
      <c r="A5663" s="198">
        <v>1193575354</v>
      </c>
      <c r="B5663" s="192" t="s">
        <v>733</v>
      </c>
      <c r="C5663" s="196">
        <v>0</v>
      </c>
      <c r="D5663" s="196">
        <v>0</v>
      </c>
      <c r="E5663" s="196">
        <v>29700</v>
      </c>
      <c r="F5663" s="196">
        <v>-29700</v>
      </c>
      <c r="G5663" s="196">
        <v>-29700</v>
      </c>
    </row>
    <row r="5664" spans="1:7" x14ac:dyDescent="0.3">
      <c r="A5664" s="198">
        <v>1034997097</v>
      </c>
      <c r="B5664" s="192" t="s">
        <v>3924</v>
      </c>
      <c r="C5664" s="196">
        <v>-50900</v>
      </c>
      <c r="D5664" s="196">
        <v>0</v>
      </c>
      <c r="E5664" s="196">
        <v>0</v>
      </c>
      <c r="F5664" s="196">
        <v>0</v>
      </c>
      <c r="G5664" s="196">
        <v>-50900</v>
      </c>
    </row>
    <row r="5665" spans="1:7" x14ac:dyDescent="0.3">
      <c r="A5665" s="198">
        <v>1000873302</v>
      </c>
      <c r="B5665" s="192" t="s">
        <v>3925</v>
      </c>
      <c r="C5665" s="196">
        <v>-57200</v>
      </c>
      <c r="D5665" s="196">
        <v>0</v>
      </c>
      <c r="E5665" s="196">
        <v>0</v>
      </c>
      <c r="F5665" s="196">
        <v>0</v>
      </c>
      <c r="G5665" s="196">
        <v>-57200</v>
      </c>
    </row>
    <row r="5666" spans="1:7" x14ac:dyDescent="0.3">
      <c r="A5666" s="198">
        <v>1035022593</v>
      </c>
      <c r="B5666" s="192" t="s">
        <v>3926</v>
      </c>
      <c r="C5666" s="196">
        <v>-50900</v>
      </c>
      <c r="D5666" s="196">
        <v>0</v>
      </c>
      <c r="E5666" s="196">
        <v>0</v>
      </c>
      <c r="F5666" s="196">
        <v>0</v>
      </c>
      <c r="G5666" s="196">
        <v>-50900</v>
      </c>
    </row>
    <row r="5667" spans="1:7" x14ac:dyDescent="0.3">
      <c r="A5667" s="198">
        <v>1000410594</v>
      </c>
      <c r="B5667" s="192" t="s">
        <v>3927</v>
      </c>
      <c r="C5667" s="196">
        <v>-50900</v>
      </c>
      <c r="D5667" s="196">
        <v>0</v>
      </c>
      <c r="E5667" s="196">
        <v>0</v>
      </c>
      <c r="F5667" s="196">
        <v>0</v>
      </c>
      <c r="G5667" s="196">
        <v>-50900</v>
      </c>
    </row>
    <row r="5668" spans="1:7" x14ac:dyDescent="0.3">
      <c r="A5668" s="198">
        <v>1001367618</v>
      </c>
      <c r="B5668" s="192" t="s">
        <v>3928</v>
      </c>
      <c r="C5668" s="196">
        <v>-50900</v>
      </c>
      <c r="D5668" s="196">
        <v>0</v>
      </c>
      <c r="E5668" s="196">
        <v>0</v>
      </c>
      <c r="F5668" s="196">
        <v>0</v>
      </c>
      <c r="G5668" s="196">
        <v>-50900</v>
      </c>
    </row>
    <row r="5669" spans="1:7" x14ac:dyDescent="0.3">
      <c r="A5669" s="198">
        <v>1035010622</v>
      </c>
      <c r="B5669" s="192" t="s">
        <v>3929</v>
      </c>
      <c r="C5669" s="196">
        <v>-50900</v>
      </c>
      <c r="D5669" s="196">
        <v>0</v>
      </c>
      <c r="E5669" s="196">
        <v>0</v>
      </c>
      <c r="F5669" s="196">
        <v>0</v>
      </c>
      <c r="G5669" s="196">
        <v>-50900</v>
      </c>
    </row>
    <row r="5670" spans="1:7" x14ac:dyDescent="0.3">
      <c r="A5670" s="198">
        <v>1036453769</v>
      </c>
      <c r="B5670" s="192" t="s">
        <v>3930</v>
      </c>
      <c r="C5670" s="196">
        <v>-50900</v>
      </c>
      <c r="D5670" s="196">
        <v>0</v>
      </c>
      <c r="E5670" s="196">
        <v>0</v>
      </c>
      <c r="F5670" s="196">
        <v>0</v>
      </c>
      <c r="G5670" s="196">
        <v>-50900</v>
      </c>
    </row>
    <row r="5671" spans="1:7" x14ac:dyDescent="0.3">
      <c r="A5671" s="198">
        <v>1022003413</v>
      </c>
      <c r="B5671" s="192" t="s">
        <v>3931</v>
      </c>
      <c r="C5671" s="196">
        <v>-49000</v>
      </c>
      <c r="D5671" s="196">
        <v>0</v>
      </c>
      <c r="E5671" s="196">
        <v>0</v>
      </c>
      <c r="F5671" s="196">
        <v>0</v>
      </c>
      <c r="G5671" s="196">
        <v>-49000</v>
      </c>
    </row>
    <row r="5672" spans="1:7" x14ac:dyDescent="0.3">
      <c r="A5672" s="198">
        <v>1035017027</v>
      </c>
      <c r="B5672" s="192" t="s">
        <v>3932</v>
      </c>
      <c r="C5672" s="196">
        <v>-41400</v>
      </c>
      <c r="D5672" s="196">
        <v>0</v>
      </c>
      <c r="E5672" s="196">
        <v>0</v>
      </c>
      <c r="F5672" s="196">
        <v>0</v>
      </c>
      <c r="G5672" s="196">
        <v>-41400</v>
      </c>
    </row>
    <row r="5673" spans="1:7" x14ac:dyDescent="0.3">
      <c r="A5673" s="198">
        <v>1018467838</v>
      </c>
      <c r="B5673" s="192" t="s">
        <v>3933</v>
      </c>
      <c r="C5673" s="196">
        <v>-50900</v>
      </c>
      <c r="D5673" s="196">
        <v>0</v>
      </c>
      <c r="E5673" s="196">
        <v>0</v>
      </c>
      <c r="F5673" s="196">
        <v>0</v>
      </c>
      <c r="G5673" s="196">
        <v>-50900</v>
      </c>
    </row>
    <row r="5674" spans="1:7" x14ac:dyDescent="0.3">
      <c r="A5674" s="198">
        <v>1019904225</v>
      </c>
      <c r="B5674" s="192" t="s">
        <v>735</v>
      </c>
      <c r="C5674" s="196">
        <v>0</v>
      </c>
      <c r="D5674" s="196">
        <v>0</v>
      </c>
      <c r="E5674" s="196">
        <v>46400</v>
      </c>
      <c r="F5674" s="196">
        <v>-46400</v>
      </c>
      <c r="G5674" s="196">
        <v>-46400</v>
      </c>
    </row>
    <row r="5675" spans="1:7" x14ac:dyDescent="0.3">
      <c r="A5675" s="198">
        <v>1025074993</v>
      </c>
      <c r="B5675" s="192" t="s">
        <v>3934</v>
      </c>
      <c r="C5675" s="196">
        <v>-148500</v>
      </c>
      <c r="D5675" s="196">
        <v>0</v>
      </c>
      <c r="E5675" s="196">
        <v>0</v>
      </c>
      <c r="F5675" s="196">
        <v>0</v>
      </c>
      <c r="G5675" s="196">
        <v>-148500</v>
      </c>
    </row>
    <row r="5676" spans="1:7" x14ac:dyDescent="0.3">
      <c r="A5676" s="198">
        <v>1027661607</v>
      </c>
      <c r="B5676" s="192" t="s">
        <v>736</v>
      </c>
      <c r="C5676" s="196">
        <v>0</v>
      </c>
      <c r="D5676" s="196">
        <v>0</v>
      </c>
      <c r="E5676" s="196">
        <v>57200</v>
      </c>
      <c r="F5676" s="196">
        <v>-57200</v>
      </c>
      <c r="G5676" s="196">
        <v>-57200</v>
      </c>
    </row>
    <row r="5677" spans="1:7" x14ac:dyDescent="0.3">
      <c r="A5677" s="198">
        <v>1034994511</v>
      </c>
      <c r="B5677" s="192" t="s">
        <v>737</v>
      </c>
      <c r="C5677" s="196">
        <v>0</v>
      </c>
      <c r="D5677" s="196">
        <v>0</v>
      </c>
      <c r="E5677" s="196">
        <v>50900</v>
      </c>
      <c r="F5677" s="196">
        <v>-50900</v>
      </c>
      <c r="G5677" s="196">
        <v>-50900</v>
      </c>
    </row>
    <row r="5678" spans="1:7" x14ac:dyDescent="0.3">
      <c r="A5678" s="198">
        <v>1036363883</v>
      </c>
      <c r="B5678" s="192" t="s">
        <v>3935</v>
      </c>
      <c r="C5678" s="196">
        <v>-297000</v>
      </c>
      <c r="D5678" s="196">
        <v>0</v>
      </c>
      <c r="E5678" s="196">
        <v>0</v>
      </c>
      <c r="F5678" s="196">
        <v>0</v>
      </c>
      <c r="G5678" s="196">
        <v>-297000</v>
      </c>
    </row>
    <row r="5679" spans="1:7" x14ac:dyDescent="0.3">
      <c r="A5679" s="198">
        <v>1000697542</v>
      </c>
      <c r="B5679" s="192" t="s">
        <v>3936</v>
      </c>
      <c r="C5679" s="196">
        <v>-47400</v>
      </c>
      <c r="D5679" s="196">
        <v>0</v>
      </c>
      <c r="E5679" s="196">
        <v>0</v>
      </c>
      <c r="F5679" s="196">
        <v>0</v>
      </c>
      <c r="G5679" s="196">
        <v>-47400</v>
      </c>
    </row>
    <row r="5680" spans="1:7" x14ac:dyDescent="0.3">
      <c r="A5680" s="198">
        <v>1041229365</v>
      </c>
      <c r="B5680" s="192" t="s">
        <v>3937</v>
      </c>
      <c r="C5680" s="196">
        <v>-54200</v>
      </c>
      <c r="D5680" s="196">
        <v>0</v>
      </c>
      <c r="E5680" s="196">
        <v>0</v>
      </c>
      <c r="F5680" s="196">
        <v>0</v>
      </c>
      <c r="G5680" s="196">
        <v>-54200</v>
      </c>
    </row>
    <row r="5681" spans="1:7" x14ac:dyDescent="0.3">
      <c r="A5681" s="198">
        <v>1034995286</v>
      </c>
      <c r="B5681" s="192" t="s">
        <v>738</v>
      </c>
      <c r="C5681" s="196">
        <v>0</v>
      </c>
      <c r="D5681" s="196">
        <v>0</v>
      </c>
      <c r="E5681" s="196">
        <v>50900</v>
      </c>
      <c r="F5681" s="196">
        <v>-50900</v>
      </c>
      <c r="G5681" s="196">
        <v>-50900</v>
      </c>
    </row>
    <row r="5682" spans="1:7" x14ac:dyDescent="0.3">
      <c r="A5682" s="198">
        <v>1192466272</v>
      </c>
      <c r="B5682" s="192" t="s">
        <v>3938</v>
      </c>
      <c r="C5682" s="196">
        <v>-50900</v>
      </c>
      <c r="D5682" s="196">
        <v>0</v>
      </c>
      <c r="E5682" s="196">
        <v>0</v>
      </c>
      <c r="F5682" s="196">
        <v>0</v>
      </c>
      <c r="G5682" s="196">
        <v>-50900</v>
      </c>
    </row>
    <row r="5683" spans="1:7" x14ac:dyDescent="0.3">
      <c r="A5683" s="198">
        <v>1035026868</v>
      </c>
      <c r="B5683" s="192" t="s">
        <v>739</v>
      </c>
      <c r="C5683" s="196">
        <v>0</v>
      </c>
      <c r="D5683" s="196">
        <v>0</v>
      </c>
      <c r="E5683" s="196">
        <v>50900</v>
      </c>
      <c r="F5683" s="196">
        <v>-50900</v>
      </c>
      <c r="G5683" s="196">
        <v>-50900</v>
      </c>
    </row>
    <row r="5684" spans="1:7" x14ac:dyDescent="0.3">
      <c r="A5684" s="198">
        <v>1037651781</v>
      </c>
      <c r="B5684" s="192" t="s">
        <v>3939</v>
      </c>
      <c r="C5684" s="196">
        <v>-165000</v>
      </c>
      <c r="D5684" s="196">
        <v>0</v>
      </c>
      <c r="E5684" s="196">
        <v>0</v>
      </c>
      <c r="F5684" s="196">
        <v>0</v>
      </c>
      <c r="G5684" s="196">
        <v>-165000</v>
      </c>
    </row>
    <row r="5685" spans="1:7" x14ac:dyDescent="0.3">
      <c r="A5685" s="198">
        <v>1001016812</v>
      </c>
      <c r="B5685" s="192" t="s">
        <v>740</v>
      </c>
      <c r="C5685" s="196">
        <v>-110000</v>
      </c>
      <c r="D5685" s="196">
        <v>0</v>
      </c>
      <c r="E5685" s="196">
        <v>0</v>
      </c>
      <c r="F5685" s="196">
        <v>0</v>
      </c>
      <c r="G5685" s="196">
        <v>-110000</v>
      </c>
    </row>
    <row r="5686" spans="1:7" x14ac:dyDescent="0.3">
      <c r="A5686" s="198">
        <v>1239491260</v>
      </c>
      <c r="B5686" s="192" t="s">
        <v>741</v>
      </c>
      <c r="C5686" s="196">
        <v>0</v>
      </c>
      <c r="D5686" s="196">
        <v>0</v>
      </c>
      <c r="E5686" s="196">
        <v>50900</v>
      </c>
      <c r="F5686" s="196">
        <v>-50900</v>
      </c>
      <c r="G5686" s="196">
        <v>-50900</v>
      </c>
    </row>
    <row r="5687" spans="1:7" x14ac:dyDescent="0.3">
      <c r="A5687" s="198">
        <v>443987</v>
      </c>
      <c r="B5687" s="192" t="s">
        <v>3940</v>
      </c>
      <c r="C5687" s="196">
        <v>-50900</v>
      </c>
      <c r="D5687" s="196">
        <v>0</v>
      </c>
      <c r="E5687" s="196">
        <v>0</v>
      </c>
      <c r="F5687" s="196">
        <v>0</v>
      </c>
      <c r="G5687" s="196">
        <v>-50900</v>
      </c>
    </row>
    <row r="5688" spans="1:7" x14ac:dyDescent="0.3">
      <c r="A5688" s="198">
        <v>1086419461</v>
      </c>
      <c r="B5688" s="192" t="s">
        <v>3941</v>
      </c>
      <c r="C5688" s="196">
        <v>-50900</v>
      </c>
      <c r="D5688" s="196">
        <v>0</v>
      </c>
      <c r="E5688" s="196">
        <v>0</v>
      </c>
      <c r="F5688" s="196">
        <v>0</v>
      </c>
      <c r="G5688" s="196">
        <v>-50900</v>
      </c>
    </row>
    <row r="5689" spans="1:7" x14ac:dyDescent="0.3">
      <c r="A5689" s="198">
        <v>1141721217</v>
      </c>
      <c r="B5689" s="192" t="s">
        <v>3942</v>
      </c>
      <c r="C5689" s="196">
        <v>-300900</v>
      </c>
      <c r="D5689" s="196">
        <v>0</v>
      </c>
      <c r="E5689" s="196">
        <v>0</v>
      </c>
      <c r="F5689" s="196">
        <v>0</v>
      </c>
      <c r="G5689" s="196">
        <v>-300900</v>
      </c>
    </row>
    <row r="5690" spans="1:7" x14ac:dyDescent="0.3">
      <c r="A5690" s="198">
        <v>1238940651</v>
      </c>
      <c r="B5690" s="192" t="s">
        <v>742</v>
      </c>
      <c r="C5690" s="196">
        <v>0</v>
      </c>
      <c r="D5690" s="196">
        <v>0</v>
      </c>
      <c r="E5690" s="196">
        <v>50900</v>
      </c>
      <c r="F5690" s="196">
        <v>-50900</v>
      </c>
      <c r="G5690" s="196">
        <v>-50900</v>
      </c>
    </row>
    <row r="5691" spans="1:7" x14ac:dyDescent="0.3">
      <c r="A5691" s="198">
        <v>1020324376</v>
      </c>
      <c r="B5691" s="192" t="s">
        <v>3943</v>
      </c>
      <c r="C5691" s="196">
        <v>-50900</v>
      </c>
      <c r="D5691" s="196">
        <v>0</v>
      </c>
      <c r="E5691" s="196">
        <v>0</v>
      </c>
      <c r="F5691" s="196">
        <v>0</v>
      </c>
      <c r="G5691" s="196">
        <v>-50900</v>
      </c>
    </row>
    <row r="5692" spans="1:7" x14ac:dyDescent="0.3">
      <c r="A5692" s="198">
        <v>1018257871</v>
      </c>
      <c r="B5692" s="192" t="s">
        <v>3944</v>
      </c>
      <c r="C5692" s="196">
        <v>-207900</v>
      </c>
      <c r="D5692" s="196">
        <v>0</v>
      </c>
      <c r="E5692" s="196">
        <v>0</v>
      </c>
      <c r="F5692" s="196">
        <v>0</v>
      </c>
      <c r="G5692" s="196">
        <v>-207900</v>
      </c>
    </row>
    <row r="5693" spans="1:7" x14ac:dyDescent="0.3">
      <c r="A5693" s="198">
        <v>1127950995</v>
      </c>
      <c r="B5693" s="192" t="s">
        <v>3945</v>
      </c>
      <c r="C5693" s="196">
        <v>-50900</v>
      </c>
      <c r="D5693" s="196">
        <v>0</v>
      </c>
      <c r="E5693" s="196">
        <v>0</v>
      </c>
      <c r="F5693" s="196">
        <v>0</v>
      </c>
      <c r="G5693" s="196">
        <v>-50900</v>
      </c>
    </row>
    <row r="5694" spans="1:7" x14ac:dyDescent="0.3">
      <c r="A5694" s="198">
        <v>1023553972</v>
      </c>
      <c r="B5694" s="192" t="s">
        <v>3946</v>
      </c>
      <c r="C5694" s="196">
        <v>-50900</v>
      </c>
      <c r="D5694" s="196">
        <v>0</v>
      </c>
      <c r="E5694" s="196">
        <v>0</v>
      </c>
      <c r="F5694" s="196">
        <v>0</v>
      </c>
      <c r="G5694" s="196">
        <v>-50900</v>
      </c>
    </row>
    <row r="5695" spans="1:7" x14ac:dyDescent="0.3">
      <c r="A5695" s="198">
        <v>1020313851</v>
      </c>
      <c r="B5695" s="192" t="s">
        <v>3947</v>
      </c>
      <c r="C5695" s="196">
        <v>-50900</v>
      </c>
      <c r="D5695" s="196">
        <v>0</v>
      </c>
      <c r="E5695" s="196">
        <v>0</v>
      </c>
      <c r="F5695" s="196">
        <v>0</v>
      </c>
      <c r="G5695" s="196">
        <v>-50900</v>
      </c>
    </row>
    <row r="5696" spans="1:7" x14ac:dyDescent="0.3">
      <c r="A5696" s="198">
        <v>1000515751</v>
      </c>
      <c r="B5696" s="192" t="s">
        <v>743</v>
      </c>
      <c r="C5696" s="196">
        <v>0</v>
      </c>
      <c r="D5696" s="196">
        <v>0</v>
      </c>
      <c r="E5696" s="196">
        <v>297000</v>
      </c>
      <c r="F5696" s="196">
        <v>-297000</v>
      </c>
      <c r="G5696" s="196">
        <v>-297000</v>
      </c>
    </row>
    <row r="5697" spans="1:7" x14ac:dyDescent="0.3">
      <c r="A5697" s="198">
        <v>1035024123</v>
      </c>
      <c r="B5697" s="192" t="s">
        <v>3948</v>
      </c>
      <c r="C5697" s="196">
        <v>-50900</v>
      </c>
      <c r="D5697" s="196">
        <v>0</v>
      </c>
      <c r="E5697" s="196">
        <v>0</v>
      </c>
      <c r="F5697" s="196">
        <v>0</v>
      </c>
      <c r="G5697" s="196">
        <v>-50900</v>
      </c>
    </row>
    <row r="5698" spans="1:7" x14ac:dyDescent="0.3">
      <c r="A5698" s="198">
        <v>1020241357</v>
      </c>
      <c r="B5698" s="192" t="s">
        <v>3949</v>
      </c>
      <c r="C5698" s="196">
        <v>-88000</v>
      </c>
      <c r="D5698" s="196">
        <v>0</v>
      </c>
      <c r="E5698" s="196">
        <v>0</v>
      </c>
      <c r="F5698" s="196">
        <v>0</v>
      </c>
      <c r="G5698" s="196">
        <v>-88000</v>
      </c>
    </row>
    <row r="5699" spans="1:7" x14ac:dyDescent="0.3">
      <c r="A5699" s="198">
        <v>1020128374</v>
      </c>
      <c r="B5699" s="192" t="s">
        <v>3950</v>
      </c>
      <c r="C5699" s="196">
        <v>-150000</v>
      </c>
      <c r="D5699" s="196">
        <v>0</v>
      </c>
      <c r="E5699" s="196">
        <v>0</v>
      </c>
      <c r="F5699" s="196">
        <v>0</v>
      </c>
      <c r="G5699" s="196">
        <v>-150000</v>
      </c>
    </row>
    <row r="5700" spans="1:7" x14ac:dyDescent="0.3">
      <c r="A5700" s="198">
        <v>1022008466</v>
      </c>
      <c r="B5700" s="192" t="s">
        <v>744</v>
      </c>
      <c r="C5700" s="196">
        <v>0</v>
      </c>
      <c r="D5700" s="196">
        <v>0</v>
      </c>
      <c r="E5700" s="196">
        <v>50900</v>
      </c>
      <c r="F5700" s="196">
        <v>-50900</v>
      </c>
      <c r="G5700" s="196">
        <v>-50900</v>
      </c>
    </row>
    <row r="5701" spans="1:7" x14ac:dyDescent="0.3">
      <c r="A5701" s="192" t="s">
        <v>3951</v>
      </c>
      <c r="B5701" s="192" t="s">
        <v>3952</v>
      </c>
      <c r="C5701" s="196">
        <v>-935000</v>
      </c>
      <c r="D5701" s="196">
        <v>0</v>
      </c>
      <c r="E5701" s="196">
        <v>0</v>
      </c>
      <c r="F5701" s="196">
        <v>0</v>
      </c>
      <c r="G5701" s="196">
        <v>-935000</v>
      </c>
    </row>
    <row r="5702" spans="1:7" x14ac:dyDescent="0.3">
      <c r="A5702" s="198">
        <v>1025766107</v>
      </c>
      <c r="B5702" s="192" t="s">
        <v>745</v>
      </c>
      <c r="C5702" s="196">
        <v>0</v>
      </c>
      <c r="D5702" s="196">
        <v>0</v>
      </c>
      <c r="E5702" s="196">
        <v>569000</v>
      </c>
      <c r="F5702" s="196">
        <v>-569000</v>
      </c>
      <c r="G5702" s="196">
        <v>-569000</v>
      </c>
    </row>
    <row r="5703" spans="1:7" x14ac:dyDescent="0.3">
      <c r="A5703" s="198">
        <v>1035025237</v>
      </c>
      <c r="B5703" s="192" t="s">
        <v>3953</v>
      </c>
      <c r="C5703" s="196">
        <v>-50900</v>
      </c>
      <c r="D5703" s="196">
        <v>0</v>
      </c>
      <c r="E5703" s="196">
        <v>0</v>
      </c>
      <c r="F5703" s="196">
        <v>0</v>
      </c>
      <c r="G5703" s="196">
        <v>-50900</v>
      </c>
    </row>
    <row r="5704" spans="1:7" x14ac:dyDescent="0.3">
      <c r="A5704" s="198">
        <v>1036461978</v>
      </c>
      <c r="B5704" s="192" t="s">
        <v>3954</v>
      </c>
      <c r="C5704" s="196">
        <v>-50900</v>
      </c>
      <c r="D5704" s="196">
        <v>0</v>
      </c>
      <c r="E5704" s="196">
        <v>0</v>
      </c>
      <c r="F5704" s="196">
        <v>0</v>
      </c>
      <c r="G5704" s="196">
        <v>-50900</v>
      </c>
    </row>
    <row r="5705" spans="1:7" x14ac:dyDescent="0.3">
      <c r="A5705" s="198">
        <v>581953444</v>
      </c>
      <c r="B5705" s="192" t="s">
        <v>3955</v>
      </c>
      <c r="C5705" s="196">
        <v>-319000</v>
      </c>
      <c r="D5705" s="196">
        <v>0</v>
      </c>
      <c r="E5705" s="196">
        <v>0</v>
      </c>
      <c r="F5705" s="196">
        <v>0</v>
      </c>
      <c r="G5705" s="196">
        <v>-319000</v>
      </c>
    </row>
    <row r="5706" spans="1:7" x14ac:dyDescent="0.3">
      <c r="A5706" s="198">
        <v>1017940141</v>
      </c>
      <c r="B5706" s="192" t="s">
        <v>3956</v>
      </c>
      <c r="C5706" s="196">
        <v>-50900</v>
      </c>
      <c r="D5706" s="196">
        <v>0</v>
      </c>
      <c r="E5706" s="196">
        <v>0</v>
      </c>
      <c r="F5706" s="196">
        <v>0</v>
      </c>
      <c r="G5706" s="196">
        <v>-50900</v>
      </c>
    </row>
    <row r="5707" spans="1:7" x14ac:dyDescent="0.3">
      <c r="A5707" s="198">
        <v>1035020649</v>
      </c>
      <c r="B5707" s="192" t="s">
        <v>3957</v>
      </c>
      <c r="C5707" s="196">
        <v>-32900</v>
      </c>
      <c r="D5707" s="196">
        <v>0</v>
      </c>
      <c r="E5707" s="196">
        <v>0</v>
      </c>
      <c r="F5707" s="196">
        <v>0</v>
      </c>
      <c r="G5707" s="196">
        <v>-32900</v>
      </c>
    </row>
    <row r="5708" spans="1:7" x14ac:dyDescent="0.3">
      <c r="A5708" s="198">
        <v>1023668500</v>
      </c>
      <c r="B5708" s="192" t="s">
        <v>3958</v>
      </c>
      <c r="C5708" s="196">
        <v>-340000</v>
      </c>
      <c r="D5708" s="196">
        <v>0</v>
      </c>
      <c r="E5708" s="196">
        <v>0</v>
      </c>
      <c r="F5708" s="196">
        <v>0</v>
      </c>
      <c r="G5708" s="196">
        <v>-340000</v>
      </c>
    </row>
    <row r="5709" spans="1:7" x14ac:dyDescent="0.3">
      <c r="A5709" s="198">
        <v>1066529764</v>
      </c>
      <c r="B5709" s="192" t="s">
        <v>3959</v>
      </c>
      <c r="C5709" s="196">
        <v>-297000</v>
      </c>
      <c r="D5709" s="196">
        <v>0</v>
      </c>
      <c r="E5709" s="196">
        <v>0</v>
      </c>
      <c r="F5709" s="196">
        <v>0</v>
      </c>
      <c r="G5709" s="196">
        <v>-297000</v>
      </c>
    </row>
    <row r="5710" spans="1:7" x14ac:dyDescent="0.3">
      <c r="A5710" s="198">
        <v>70547733</v>
      </c>
      <c r="B5710" s="192" t="s">
        <v>3960</v>
      </c>
      <c r="C5710" s="196">
        <v>-27800</v>
      </c>
      <c r="D5710" s="196">
        <v>0</v>
      </c>
      <c r="E5710" s="196">
        <v>0</v>
      </c>
      <c r="F5710" s="196">
        <v>0</v>
      </c>
      <c r="G5710" s="196">
        <v>-27800</v>
      </c>
    </row>
    <row r="5711" spans="1:7" x14ac:dyDescent="0.3">
      <c r="A5711" s="198">
        <v>71667482</v>
      </c>
      <c r="B5711" s="192" t="s">
        <v>3961</v>
      </c>
      <c r="C5711" s="196">
        <v>-165000</v>
      </c>
      <c r="D5711" s="196">
        <v>0</v>
      </c>
      <c r="E5711" s="196">
        <v>0</v>
      </c>
      <c r="F5711" s="196">
        <v>0</v>
      </c>
      <c r="G5711" s="196">
        <v>-165000</v>
      </c>
    </row>
    <row r="5712" spans="1:7" x14ac:dyDescent="0.3">
      <c r="A5712" s="198">
        <v>3474496</v>
      </c>
      <c r="B5712" s="192" t="s">
        <v>3962</v>
      </c>
      <c r="C5712" s="196">
        <v>-35000</v>
      </c>
      <c r="D5712" s="196">
        <v>0</v>
      </c>
      <c r="E5712" s="196">
        <v>0</v>
      </c>
      <c r="F5712" s="196">
        <v>0</v>
      </c>
      <c r="G5712" s="196">
        <v>-35000</v>
      </c>
    </row>
    <row r="5713" spans="1:7" x14ac:dyDescent="0.3">
      <c r="A5713" s="198">
        <v>71738535</v>
      </c>
      <c r="B5713" s="192" t="s">
        <v>747</v>
      </c>
      <c r="C5713" s="196">
        <v>0</v>
      </c>
      <c r="D5713" s="196">
        <v>0</v>
      </c>
      <c r="E5713" s="196">
        <v>50900</v>
      </c>
      <c r="F5713" s="196">
        <v>-50900</v>
      </c>
      <c r="G5713" s="196">
        <v>-50900</v>
      </c>
    </row>
    <row r="5714" spans="1:7" x14ac:dyDescent="0.3">
      <c r="A5714" s="198">
        <v>94492082</v>
      </c>
      <c r="B5714" s="192" t="s">
        <v>3963</v>
      </c>
      <c r="C5714" s="196">
        <v>-49000</v>
      </c>
      <c r="D5714" s="196">
        <v>0</v>
      </c>
      <c r="E5714" s="196">
        <v>0</v>
      </c>
      <c r="F5714" s="196">
        <v>0</v>
      </c>
      <c r="G5714" s="196">
        <v>-49000</v>
      </c>
    </row>
    <row r="5715" spans="1:7" x14ac:dyDescent="0.3">
      <c r="A5715" s="198">
        <v>70103211</v>
      </c>
      <c r="B5715" s="192" t="s">
        <v>3964</v>
      </c>
      <c r="C5715" s="196">
        <v>-41400</v>
      </c>
      <c r="D5715" s="196">
        <v>0</v>
      </c>
      <c r="E5715" s="196">
        <v>0</v>
      </c>
      <c r="F5715" s="196">
        <v>0</v>
      </c>
      <c r="G5715" s="196">
        <v>-41400</v>
      </c>
    </row>
    <row r="5716" spans="1:7" x14ac:dyDescent="0.3">
      <c r="A5716" s="198">
        <v>9862563</v>
      </c>
      <c r="B5716" s="192" t="s">
        <v>3965</v>
      </c>
      <c r="C5716" s="196">
        <v>-297000</v>
      </c>
      <c r="D5716" s="196">
        <v>0</v>
      </c>
      <c r="E5716" s="196">
        <v>0</v>
      </c>
      <c r="F5716" s="196">
        <v>0</v>
      </c>
      <c r="G5716" s="196">
        <v>-297000</v>
      </c>
    </row>
    <row r="5717" spans="1:7" x14ac:dyDescent="0.3">
      <c r="A5717" s="198">
        <v>1152441736</v>
      </c>
      <c r="B5717" s="192" t="s">
        <v>3966</v>
      </c>
      <c r="C5717" s="196">
        <v>-41400</v>
      </c>
      <c r="D5717" s="196">
        <v>0</v>
      </c>
      <c r="E5717" s="196">
        <v>0</v>
      </c>
      <c r="F5717" s="196">
        <v>0</v>
      </c>
      <c r="G5717" s="196">
        <v>-41400</v>
      </c>
    </row>
    <row r="5718" spans="1:7" x14ac:dyDescent="0.3">
      <c r="A5718" s="198">
        <v>53098400</v>
      </c>
      <c r="B5718" s="192" t="s">
        <v>3967</v>
      </c>
      <c r="C5718" s="196">
        <v>-42000</v>
      </c>
      <c r="D5718" s="196">
        <v>0</v>
      </c>
      <c r="E5718" s="196">
        <v>0</v>
      </c>
      <c r="F5718" s="196">
        <v>0</v>
      </c>
      <c r="G5718" s="196">
        <v>-42000</v>
      </c>
    </row>
    <row r="5719" spans="1:7" x14ac:dyDescent="0.3">
      <c r="A5719" s="198">
        <v>1098644575</v>
      </c>
      <c r="B5719" s="192" t="s">
        <v>748</v>
      </c>
      <c r="C5719" s="196">
        <v>-50900</v>
      </c>
      <c r="D5719" s="196">
        <v>0</v>
      </c>
      <c r="E5719" s="196">
        <v>0</v>
      </c>
      <c r="F5719" s="196">
        <v>0</v>
      </c>
      <c r="G5719" s="196">
        <v>-50900</v>
      </c>
    </row>
    <row r="5720" spans="1:7" x14ac:dyDescent="0.3">
      <c r="A5720" s="198">
        <v>43581122</v>
      </c>
      <c r="B5720" s="192" t="s">
        <v>3968</v>
      </c>
      <c r="C5720" s="196">
        <v>-35000</v>
      </c>
      <c r="D5720" s="196">
        <v>0</v>
      </c>
      <c r="E5720" s="196">
        <v>0</v>
      </c>
      <c r="F5720" s="196">
        <v>0</v>
      </c>
      <c r="G5720" s="196">
        <v>-35000</v>
      </c>
    </row>
    <row r="5721" spans="1:7" x14ac:dyDescent="0.3">
      <c r="A5721" s="192" t="s">
        <v>3969</v>
      </c>
      <c r="B5721" s="192" t="s">
        <v>3970</v>
      </c>
      <c r="C5721" s="196">
        <v>-110000</v>
      </c>
      <c r="D5721" s="196">
        <v>0</v>
      </c>
      <c r="E5721" s="196">
        <v>0</v>
      </c>
      <c r="F5721" s="196">
        <v>0</v>
      </c>
      <c r="G5721" s="196">
        <v>-110000</v>
      </c>
    </row>
    <row r="5722" spans="1:7" x14ac:dyDescent="0.3">
      <c r="A5722" s="198">
        <v>673975408</v>
      </c>
      <c r="B5722" s="192" t="s">
        <v>3971</v>
      </c>
      <c r="C5722" s="196">
        <v>-297000</v>
      </c>
      <c r="D5722" s="196">
        <v>0</v>
      </c>
      <c r="E5722" s="196">
        <v>0</v>
      </c>
      <c r="F5722" s="196">
        <v>0</v>
      </c>
      <c r="G5722" s="196">
        <v>-297000</v>
      </c>
    </row>
    <row r="5723" spans="1:7" x14ac:dyDescent="0.3">
      <c r="A5723" s="198">
        <v>1035000391</v>
      </c>
      <c r="B5723" s="192" t="s">
        <v>3972</v>
      </c>
      <c r="C5723" s="196">
        <v>-50900</v>
      </c>
      <c r="D5723" s="196">
        <v>0</v>
      </c>
      <c r="E5723" s="196">
        <v>0</v>
      </c>
      <c r="F5723" s="196">
        <v>0</v>
      </c>
      <c r="G5723" s="196">
        <v>-50900</v>
      </c>
    </row>
    <row r="5724" spans="1:7" x14ac:dyDescent="0.3">
      <c r="A5724" s="198">
        <v>1220474960</v>
      </c>
      <c r="B5724" s="192" t="s">
        <v>3973</v>
      </c>
      <c r="C5724" s="196">
        <v>-50900</v>
      </c>
      <c r="D5724" s="196">
        <v>0</v>
      </c>
      <c r="E5724" s="196">
        <v>0</v>
      </c>
      <c r="F5724" s="196">
        <v>0</v>
      </c>
      <c r="G5724" s="196">
        <v>-50900</v>
      </c>
    </row>
    <row r="5725" spans="1:7" x14ac:dyDescent="0.3">
      <c r="A5725" s="198">
        <v>1232834479</v>
      </c>
      <c r="B5725" s="192" t="s">
        <v>3974</v>
      </c>
      <c r="C5725" s="196">
        <v>-50900</v>
      </c>
      <c r="D5725" s="196">
        <v>0</v>
      </c>
      <c r="E5725" s="196">
        <v>0</v>
      </c>
      <c r="F5725" s="196">
        <v>0</v>
      </c>
      <c r="G5725" s="196">
        <v>-50900</v>
      </c>
    </row>
    <row r="5726" spans="1:7" x14ac:dyDescent="0.3">
      <c r="A5726" s="198">
        <v>1022008430</v>
      </c>
      <c r="B5726" s="192" t="s">
        <v>3975</v>
      </c>
      <c r="C5726" s="196">
        <v>-50900</v>
      </c>
      <c r="D5726" s="196">
        <v>0</v>
      </c>
      <c r="E5726" s="196">
        <v>0</v>
      </c>
      <c r="F5726" s="196">
        <v>0</v>
      </c>
      <c r="G5726" s="196">
        <v>-50900</v>
      </c>
    </row>
    <row r="5727" spans="1:7" x14ac:dyDescent="0.3">
      <c r="A5727" s="198">
        <v>1020315375</v>
      </c>
      <c r="B5727" s="192" t="s">
        <v>3976</v>
      </c>
      <c r="C5727" s="196">
        <v>-50900</v>
      </c>
      <c r="D5727" s="196">
        <v>0</v>
      </c>
      <c r="E5727" s="196">
        <v>0</v>
      </c>
      <c r="F5727" s="196">
        <v>0</v>
      </c>
      <c r="G5727" s="196">
        <v>-50900</v>
      </c>
    </row>
    <row r="5728" spans="1:7" x14ac:dyDescent="0.3">
      <c r="A5728" s="198">
        <v>1039464748</v>
      </c>
      <c r="B5728" s="192" t="s">
        <v>3977</v>
      </c>
      <c r="C5728" s="196">
        <v>-47400</v>
      </c>
      <c r="D5728" s="196">
        <v>0</v>
      </c>
      <c r="E5728" s="196">
        <v>0</v>
      </c>
      <c r="F5728" s="196">
        <v>0</v>
      </c>
      <c r="G5728" s="196">
        <v>-47400</v>
      </c>
    </row>
    <row r="5729" spans="1:7" x14ac:dyDescent="0.3">
      <c r="A5729" s="198">
        <v>75101538</v>
      </c>
      <c r="B5729" s="192" t="s">
        <v>3978</v>
      </c>
      <c r="C5729" s="196">
        <v>-26600</v>
      </c>
      <c r="D5729" s="196">
        <v>0</v>
      </c>
      <c r="E5729" s="196">
        <v>0</v>
      </c>
      <c r="F5729" s="196">
        <v>0</v>
      </c>
      <c r="G5729" s="196">
        <v>-26600</v>
      </c>
    </row>
    <row r="5730" spans="1:7" x14ac:dyDescent="0.3">
      <c r="A5730" s="198">
        <v>1014887163</v>
      </c>
      <c r="B5730" s="192" t="s">
        <v>3979</v>
      </c>
      <c r="C5730" s="196">
        <v>-50900</v>
      </c>
      <c r="D5730" s="196">
        <v>0</v>
      </c>
      <c r="E5730" s="196">
        <v>0</v>
      </c>
      <c r="F5730" s="196">
        <v>0</v>
      </c>
      <c r="G5730" s="196">
        <v>-50900</v>
      </c>
    </row>
    <row r="5731" spans="1:7" x14ac:dyDescent="0.3">
      <c r="A5731" s="198">
        <v>1013027979</v>
      </c>
      <c r="B5731" s="192" t="s">
        <v>3980</v>
      </c>
      <c r="C5731" s="196">
        <v>-46400</v>
      </c>
      <c r="D5731" s="196">
        <v>0</v>
      </c>
      <c r="E5731" s="196">
        <v>0</v>
      </c>
      <c r="F5731" s="196">
        <v>0</v>
      </c>
      <c r="G5731" s="196">
        <v>-46400</v>
      </c>
    </row>
    <row r="5732" spans="1:7" x14ac:dyDescent="0.3">
      <c r="A5732" s="198">
        <v>1129587905</v>
      </c>
      <c r="B5732" s="192" t="s">
        <v>3981</v>
      </c>
      <c r="C5732" s="196">
        <v>-340000</v>
      </c>
      <c r="D5732" s="196">
        <v>0</v>
      </c>
      <c r="E5732" s="196">
        <v>0</v>
      </c>
      <c r="F5732" s="196">
        <v>0</v>
      </c>
      <c r="G5732" s="196">
        <v>-340000</v>
      </c>
    </row>
    <row r="5733" spans="1:7" x14ac:dyDescent="0.3">
      <c r="A5733" s="198">
        <v>1035016084</v>
      </c>
      <c r="B5733" s="192" t="s">
        <v>749</v>
      </c>
      <c r="C5733" s="196">
        <v>0</v>
      </c>
      <c r="D5733" s="196">
        <v>0</v>
      </c>
      <c r="E5733" s="196">
        <v>50900</v>
      </c>
      <c r="F5733" s="196">
        <v>-50900</v>
      </c>
      <c r="G5733" s="196">
        <v>-50900</v>
      </c>
    </row>
    <row r="5734" spans="1:7" x14ac:dyDescent="0.3">
      <c r="A5734" s="198">
        <v>1014674019</v>
      </c>
      <c r="B5734" s="192" t="s">
        <v>750</v>
      </c>
      <c r="C5734" s="196">
        <v>0</v>
      </c>
      <c r="D5734" s="196">
        <v>0</v>
      </c>
      <c r="E5734" s="196">
        <v>297000</v>
      </c>
      <c r="F5734" s="196">
        <v>-297000</v>
      </c>
      <c r="G5734" s="196">
        <v>-297000</v>
      </c>
    </row>
    <row r="5735" spans="1:7" x14ac:dyDescent="0.3">
      <c r="A5735" s="198">
        <v>1035009591</v>
      </c>
      <c r="B5735" s="192" t="s">
        <v>3982</v>
      </c>
      <c r="C5735" s="196">
        <v>-50900</v>
      </c>
      <c r="D5735" s="196">
        <v>0</v>
      </c>
      <c r="E5735" s="196">
        <v>0</v>
      </c>
      <c r="F5735" s="196">
        <v>0</v>
      </c>
      <c r="G5735" s="196">
        <v>-50900</v>
      </c>
    </row>
    <row r="5736" spans="1:7" x14ac:dyDescent="0.3">
      <c r="A5736" s="198">
        <v>43083608</v>
      </c>
      <c r="B5736" s="192" t="s">
        <v>751</v>
      </c>
      <c r="C5736" s="196">
        <v>-215900</v>
      </c>
      <c r="D5736" s="196">
        <v>0</v>
      </c>
      <c r="E5736" s="196">
        <v>165000</v>
      </c>
      <c r="F5736" s="196">
        <v>-165000</v>
      </c>
      <c r="G5736" s="196">
        <v>-380900</v>
      </c>
    </row>
    <row r="5737" spans="1:7" x14ac:dyDescent="0.3">
      <c r="A5737" s="198">
        <v>7458928</v>
      </c>
      <c r="B5737" s="192" t="s">
        <v>3983</v>
      </c>
      <c r="C5737" s="196">
        <v>-50900</v>
      </c>
      <c r="D5737" s="196">
        <v>0</v>
      </c>
      <c r="E5737" s="196">
        <v>0</v>
      </c>
      <c r="F5737" s="196">
        <v>0</v>
      </c>
      <c r="G5737" s="196">
        <v>-50900</v>
      </c>
    </row>
    <row r="5738" spans="1:7" x14ac:dyDescent="0.3">
      <c r="A5738" s="198">
        <v>7771800</v>
      </c>
      <c r="B5738" s="192" t="s">
        <v>752</v>
      </c>
      <c r="C5738" s="196">
        <v>-110000</v>
      </c>
      <c r="D5738" s="196">
        <v>0</v>
      </c>
      <c r="E5738" s="196">
        <v>0</v>
      </c>
      <c r="F5738" s="196">
        <v>0</v>
      </c>
      <c r="G5738" s="196">
        <v>-110000</v>
      </c>
    </row>
    <row r="5739" spans="1:7" x14ac:dyDescent="0.3">
      <c r="A5739" s="198">
        <v>32211839</v>
      </c>
      <c r="B5739" s="192" t="s">
        <v>3984</v>
      </c>
      <c r="C5739" s="196">
        <v>-119000</v>
      </c>
      <c r="D5739" s="196">
        <v>0</v>
      </c>
      <c r="E5739" s="196">
        <v>0</v>
      </c>
      <c r="F5739" s="196">
        <v>0</v>
      </c>
      <c r="G5739" s="196">
        <v>-119000</v>
      </c>
    </row>
    <row r="5740" spans="1:7" x14ac:dyDescent="0.3">
      <c r="A5740" s="198">
        <v>1067847763</v>
      </c>
      <c r="B5740" s="192" t="s">
        <v>753</v>
      </c>
      <c r="C5740" s="196">
        <v>0</v>
      </c>
      <c r="D5740" s="196">
        <v>0</v>
      </c>
      <c r="E5740" s="196">
        <v>50900</v>
      </c>
      <c r="F5740" s="196">
        <v>-50900</v>
      </c>
      <c r="G5740" s="196">
        <v>-50900</v>
      </c>
    </row>
    <row r="5741" spans="1:7" x14ac:dyDescent="0.3">
      <c r="A5741" s="198">
        <v>8106470</v>
      </c>
      <c r="B5741" s="192" t="s">
        <v>3985</v>
      </c>
      <c r="C5741" s="196">
        <v>-54200</v>
      </c>
      <c r="D5741" s="196">
        <v>0</v>
      </c>
      <c r="E5741" s="196">
        <v>0</v>
      </c>
      <c r="F5741" s="196">
        <v>0</v>
      </c>
      <c r="G5741" s="196">
        <v>-54200</v>
      </c>
    </row>
    <row r="5742" spans="1:7" x14ac:dyDescent="0.3">
      <c r="A5742" s="198">
        <v>70563872</v>
      </c>
      <c r="B5742" s="192" t="s">
        <v>3986</v>
      </c>
      <c r="C5742" s="196">
        <v>-50900</v>
      </c>
      <c r="D5742" s="196">
        <v>0</v>
      </c>
      <c r="E5742" s="196">
        <v>0</v>
      </c>
      <c r="F5742" s="196">
        <v>0</v>
      </c>
      <c r="G5742" s="196">
        <v>-50900</v>
      </c>
    </row>
    <row r="5743" spans="1:7" x14ac:dyDescent="0.3">
      <c r="A5743" s="198">
        <v>79364681</v>
      </c>
      <c r="B5743" s="192" t="s">
        <v>3987</v>
      </c>
      <c r="C5743" s="196">
        <v>-270000</v>
      </c>
      <c r="D5743" s="196">
        <v>0</v>
      </c>
      <c r="E5743" s="196">
        <v>0</v>
      </c>
      <c r="F5743" s="196">
        <v>0</v>
      </c>
      <c r="G5743" s="196">
        <v>-270000</v>
      </c>
    </row>
    <row r="5744" spans="1:7" x14ac:dyDescent="0.3">
      <c r="A5744" s="198">
        <v>71315338</v>
      </c>
      <c r="B5744" s="192" t="s">
        <v>754</v>
      </c>
      <c r="C5744" s="196">
        <v>0</v>
      </c>
      <c r="D5744" s="196">
        <v>0</v>
      </c>
      <c r="E5744" s="196">
        <v>57200</v>
      </c>
      <c r="F5744" s="196">
        <v>-57200</v>
      </c>
      <c r="G5744" s="196">
        <v>-57200</v>
      </c>
    </row>
    <row r="5745" spans="1:7" x14ac:dyDescent="0.3">
      <c r="A5745" s="198">
        <v>98522416</v>
      </c>
      <c r="B5745" s="192" t="s">
        <v>3988</v>
      </c>
      <c r="C5745" s="196">
        <v>-96000</v>
      </c>
      <c r="D5745" s="196">
        <v>0</v>
      </c>
      <c r="E5745" s="196">
        <v>0</v>
      </c>
      <c r="F5745" s="196">
        <v>0</v>
      </c>
      <c r="G5745" s="196">
        <v>-96000</v>
      </c>
    </row>
    <row r="5746" spans="1:7" x14ac:dyDescent="0.3">
      <c r="A5746" s="198">
        <v>71593323</v>
      </c>
      <c r="B5746" s="192" t="s">
        <v>3989</v>
      </c>
      <c r="C5746" s="196">
        <v>-57200</v>
      </c>
      <c r="D5746" s="196">
        <v>0</v>
      </c>
      <c r="E5746" s="196">
        <v>0</v>
      </c>
      <c r="F5746" s="196">
        <v>0</v>
      </c>
      <c r="G5746" s="196">
        <v>-57200</v>
      </c>
    </row>
    <row r="5747" spans="1:7" x14ac:dyDescent="0.3">
      <c r="A5747" s="198">
        <v>71697782</v>
      </c>
      <c r="B5747" s="192" t="s">
        <v>755</v>
      </c>
      <c r="C5747" s="196">
        <v>-152700</v>
      </c>
      <c r="D5747" s="196">
        <v>0</v>
      </c>
      <c r="E5747" s="196">
        <v>50900</v>
      </c>
      <c r="F5747" s="196">
        <v>-50900</v>
      </c>
      <c r="G5747" s="196">
        <v>-203600</v>
      </c>
    </row>
    <row r="5748" spans="1:7" x14ac:dyDescent="0.3">
      <c r="A5748" s="198">
        <v>8357147</v>
      </c>
      <c r="B5748" s="192" t="s">
        <v>3990</v>
      </c>
      <c r="C5748" s="196">
        <v>-50900</v>
      </c>
      <c r="D5748" s="196">
        <v>0</v>
      </c>
      <c r="E5748" s="196">
        <v>0</v>
      </c>
      <c r="F5748" s="196">
        <v>0</v>
      </c>
      <c r="G5748" s="196">
        <v>-50900</v>
      </c>
    </row>
    <row r="5749" spans="1:7" x14ac:dyDescent="0.3">
      <c r="A5749" s="198">
        <v>70557317</v>
      </c>
      <c r="B5749" s="192" t="s">
        <v>3991</v>
      </c>
      <c r="C5749" s="196">
        <v>-203000</v>
      </c>
      <c r="D5749" s="196">
        <v>0</v>
      </c>
      <c r="E5749" s="196">
        <v>0</v>
      </c>
      <c r="F5749" s="196">
        <v>0</v>
      </c>
      <c r="G5749" s="196">
        <v>-203000</v>
      </c>
    </row>
    <row r="5750" spans="1:7" x14ac:dyDescent="0.3">
      <c r="A5750" s="198">
        <v>1017143197</v>
      </c>
      <c r="B5750" s="192" t="s">
        <v>756</v>
      </c>
      <c r="C5750" s="196">
        <v>0</v>
      </c>
      <c r="D5750" s="196">
        <v>0</v>
      </c>
      <c r="E5750" s="196">
        <v>50900</v>
      </c>
      <c r="F5750" s="196">
        <v>-50900</v>
      </c>
      <c r="G5750" s="196">
        <v>-50900</v>
      </c>
    </row>
    <row r="5751" spans="1:7" x14ac:dyDescent="0.3">
      <c r="A5751" s="198">
        <v>15431371</v>
      </c>
      <c r="B5751" s="192" t="s">
        <v>3992</v>
      </c>
      <c r="C5751" s="196">
        <v>-38400</v>
      </c>
      <c r="D5751" s="196">
        <v>0</v>
      </c>
      <c r="E5751" s="196">
        <v>0</v>
      </c>
      <c r="F5751" s="196">
        <v>0</v>
      </c>
      <c r="G5751" s="196">
        <v>-38400</v>
      </c>
    </row>
    <row r="5752" spans="1:7" x14ac:dyDescent="0.3">
      <c r="A5752" s="198">
        <v>1017233736</v>
      </c>
      <c r="B5752" s="192" t="s">
        <v>3993</v>
      </c>
      <c r="C5752" s="196">
        <v>-57200</v>
      </c>
      <c r="D5752" s="196">
        <v>0</v>
      </c>
      <c r="E5752" s="196">
        <v>0</v>
      </c>
      <c r="F5752" s="196">
        <v>0</v>
      </c>
      <c r="G5752" s="196">
        <v>-57200</v>
      </c>
    </row>
    <row r="5753" spans="1:7" x14ac:dyDescent="0.3">
      <c r="A5753" s="198">
        <v>1017171685</v>
      </c>
      <c r="B5753" s="192" t="s">
        <v>3994</v>
      </c>
      <c r="C5753" s="196">
        <v>-50900</v>
      </c>
      <c r="D5753" s="196">
        <v>0</v>
      </c>
      <c r="E5753" s="196">
        <v>0</v>
      </c>
      <c r="F5753" s="196">
        <v>0</v>
      </c>
      <c r="G5753" s="196">
        <v>-50900</v>
      </c>
    </row>
    <row r="5754" spans="1:7" x14ac:dyDescent="0.3">
      <c r="A5754" s="198">
        <v>3481976</v>
      </c>
      <c r="B5754" s="192" t="s">
        <v>757</v>
      </c>
      <c r="C5754" s="196">
        <v>0</v>
      </c>
      <c r="D5754" s="196">
        <v>0</v>
      </c>
      <c r="E5754" s="196">
        <v>57200</v>
      </c>
      <c r="F5754" s="196">
        <v>-57200</v>
      </c>
      <c r="G5754" s="196">
        <v>-57200</v>
      </c>
    </row>
    <row r="5755" spans="1:7" x14ac:dyDescent="0.3">
      <c r="A5755" s="198">
        <v>1037601201</v>
      </c>
      <c r="B5755" s="192" t="s">
        <v>3995</v>
      </c>
      <c r="C5755" s="196">
        <v>-50900</v>
      </c>
      <c r="D5755" s="196">
        <v>0</v>
      </c>
      <c r="E5755" s="196">
        <v>0</v>
      </c>
      <c r="F5755" s="196">
        <v>0</v>
      </c>
      <c r="G5755" s="196">
        <v>-50900</v>
      </c>
    </row>
    <row r="5756" spans="1:7" x14ac:dyDescent="0.3">
      <c r="A5756" s="198">
        <v>8177596</v>
      </c>
      <c r="B5756" s="192" t="s">
        <v>3996</v>
      </c>
      <c r="C5756" s="196">
        <v>-297000</v>
      </c>
      <c r="D5756" s="196">
        <v>0</v>
      </c>
      <c r="E5756" s="196">
        <v>0</v>
      </c>
      <c r="F5756" s="196">
        <v>0</v>
      </c>
      <c r="G5756" s="196">
        <v>-297000</v>
      </c>
    </row>
    <row r="5757" spans="1:7" x14ac:dyDescent="0.3">
      <c r="A5757" s="198">
        <v>10227844</v>
      </c>
      <c r="B5757" s="192" t="s">
        <v>759</v>
      </c>
      <c r="C5757" s="196">
        <v>-76800</v>
      </c>
      <c r="D5757" s="196">
        <v>0</v>
      </c>
      <c r="E5757" s="196">
        <v>38400</v>
      </c>
      <c r="F5757" s="196">
        <v>-38400</v>
      </c>
      <c r="G5757" s="196">
        <v>-115200</v>
      </c>
    </row>
    <row r="5758" spans="1:7" x14ac:dyDescent="0.3">
      <c r="A5758" s="198">
        <v>70557668</v>
      </c>
      <c r="B5758" s="192" t="s">
        <v>3997</v>
      </c>
      <c r="C5758" s="196">
        <v>-264000</v>
      </c>
      <c r="D5758" s="196">
        <v>0</v>
      </c>
      <c r="E5758" s="196">
        <v>0</v>
      </c>
      <c r="F5758" s="196">
        <v>0</v>
      </c>
      <c r="G5758" s="196">
        <v>-264000</v>
      </c>
    </row>
    <row r="5759" spans="1:7" x14ac:dyDescent="0.3">
      <c r="A5759" s="198">
        <v>392250</v>
      </c>
      <c r="B5759" s="192" t="s">
        <v>3998</v>
      </c>
      <c r="C5759" s="196">
        <v>-162000</v>
      </c>
      <c r="D5759" s="196">
        <v>0</v>
      </c>
      <c r="E5759" s="196">
        <v>0</v>
      </c>
      <c r="F5759" s="196">
        <v>0</v>
      </c>
      <c r="G5759" s="196">
        <v>-162000</v>
      </c>
    </row>
    <row r="5760" spans="1:7" x14ac:dyDescent="0.3">
      <c r="A5760" s="198">
        <v>15456776</v>
      </c>
      <c r="B5760" s="192" t="s">
        <v>3999</v>
      </c>
      <c r="C5760" s="196">
        <v>-50900</v>
      </c>
      <c r="D5760" s="196">
        <v>0</v>
      </c>
      <c r="E5760" s="196">
        <v>0</v>
      </c>
      <c r="F5760" s="196">
        <v>0</v>
      </c>
      <c r="G5760" s="196">
        <v>-50900</v>
      </c>
    </row>
    <row r="5761" spans="1:7" x14ac:dyDescent="0.3">
      <c r="A5761" s="198">
        <v>70561621</v>
      </c>
      <c r="B5761" s="192" t="s">
        <v>4000</v>
      </c>
      <c r="C5761" s="196">
        <v>-57200</v>
      </c>
      <c r="D5761" s="196">
        <v>0</v>
      </c>
      <c r="E5761" s="196">
        <v>0</v>
      </c>
      <c r="F5761" s="196">
        <v>0</v>
      </c>
      <c r="G5761" s="196">
        <v>-57200</v>
      </c>
    </row>
    <row r="5762" spans="1:7" x14ac:dyDescent="0.3">
      <c r="A5762" s="198">
        <v>1017139155</v>
      </c>
      <c r="B5762" s="192" t="s">
        <v>4001</v>
      </c>
      <c r="C5762" s="196">
        <v>-50900</v>
      </c>
      <c r="D5762" s="196">
        <v>0</v>
      </c>
      <c r="E5762" s="196">
        <v>0</v>
      </c>
      <c r="F5762" s="196">
        <v>0</v>
      </c>
      <c r="G5762" s="196">
        <v>-50900</v>
      </c>
    </row>
    <row r="5763" spans="1:7" x14ac:dyDescent="0.3">
      <c r="A5763" s="198">
        <v>8232042</v>
      </c>
      <c r="B5763" s="192" t="s">
        <v>4002</v>
      </c>
      <c r="C5763" s="196">
        <v>-57200</v>
      </c>
      <c r="D5763" s="196">
        <v>0</v>
      </c>
      <c r="E5763" s="196">
        <v>0</v>
      </c>
      <c r="F5763" s="196">
        <v>0</v>
      </c>
      <c r="G5763" s="196">
        <v>-57200</v>
      </c>
    </row>
    <row r="5764" spans="1:7" x14ac:dyDescent="0.3">
      <c r="A5764" s="198">
        <v>4312091</v>
      </c>
      <c r="B5764" s="192" t="s">
        <v>4003</v>
      </c>
      <c r="C5764" s="196">
        <v>-319000</v>
      </c>
      <c r="D5764" s="196">
        <v>0</v>
      </c>
      <c r="E5764" s="196">
        <v>0</v>
      </c>
      <c r="F5764" s="196">
        <v>0</v>
      </c>
      <c r="G5764" s="196">
        <v>-319000</v>
      </c>
    </row>
    <row r="5765" spans="1:7" x14ac:dyDescent="0.3">
      <c r="A5765" s="198">
        <v>17160495</v>
      </c>
      <c r="B5765" s="192" t="s">
        <v>4004</v>
      </c>
      <c r="C5765" s="196">
        <v>-67200</v>
      </c>
      <c r="D5765" s="196">
        <v>0</v>
      </c>
      <c r="E5765" s="196">
        <v>0</v>
      </c>
      <c r="F5765" s="196">
        <v>0</v>
      </c>
      <c r="G5765" s="196">
        <v>-67200</v>
      </c>
    </row>
    <row r="5766" spans="1:7" x14ac:dyDescent="0.3">
      <c r="A5766" s="198">
        <v>9855236</v>
      </c>
      <c r="B5766" s="192" t="s">
        <v>761</v>
      </c>
      <c r="C5766" s="196">
        <v>0</v>
      </c>
      <c r="D5766" s="196">
        <v>0</v>
      </c>
      <c r="E5766" s="196">
        <v>46400</v>
      </c>
      <c r="F5766" s="196">
        <v>-46400</v>
      </c>
      <c r="G5766" s="196">
        <v>-46400</v>
      </c>
    </row>
    <row r="5767" spans="1:7" x14ac:dyDescent="0.3">
      <c r="A5767" s="198">
        <v>94478285</v>
      </c>
      <c r="B5767" s="192" t="s">
        <v>762</v>
      </c>
      <c r="C5767" s="196">
        <v>0</v>
      </c>
      <c r="D5767" s="196">
        <v>0</v>
      </c>
      <c r="E5767" s="196">
        <v>47000</v>
      </c>
      <c r="F5767" s="196">
        <v>-47000</v>
      </c>
      <c r="G5767" s="196">
        <v>-47000</v>
      </c>
    </row>
    <row r="5768" spans="1:7" x14ac:dyDescent="0.3">
      <c r="A5768" s="198">
        <v>88221779</v>
      </c>
      <c r="B5768" s="192" t="s">
        <v>4005</v>
      </c>
      <c r="C5768" s="196">
        <v>-50900</v>
      </c>
      <c r="D5768" s="196">
        <v>0</v>
      </c>
      <c r="E5768" s="196">
        <v>0</v>
      </c>
      <c r="F5768" s="196">
        <v>0</v>
      </c>
      <c r="G5768" s="196">
        <v>-50900</v>
      </c>
    </row>
    <row r="5769" spans="1:7" x14ac:dyDescent="0.3">
      <c r="A5769" s="198">
        <v>71786572</v>
      </c>
      <c r="B5769" s="192" t="s">
        <v>4006</v>
      </c>
      <c r="C5769" s="196">
        <v>-101800</v>
      </c>
      <c r="D5769" s="196">
        <v>0</v>
      </c>
      <c r="E5769" s="196">
        <v>0</v>
      </c>
      <c r="F5769" s="196">
        <v>0</v>
      </c>
      <c r="G5769" s="196">
        <v>-101800</v>
      </c>
    </row>
    <row r="5770" spans="1:7" x14ac:dyDescent="0.3">
      <c r="A5770" s="198">
        <v>70546381</v>
      </c>
      <c r="B5770" s="192" t="s">
        <v>4007</v>
      </c>
      <c r="C5770" s="196">
        <v>-297000</v>
      </c>
      <c r="D5770" s="196">
        <v>0</v>
      </c>
      <c r="E5770" s="196">
        <v>0</v>
      </c>
      <c r="F5770" s="196">
        <v>0</v>
      </c>
      <c r="G5770" s="196">
        <v>-297000</v>
      </c>
    </row>
    <row r="5771" spans="1:7" x14ac:dyDescent="0.3">
      <c r="A5771" s="198">
        <v>15285063</v>
      </c>
      <c r="B5771" s="192" t="s">
        <v>4008</v>
      </c>
      <c r="C5771" s="196">
        <v>-380000</v>
      </c>
      <c r="D5771" s="196">
        <v>0</v>
      </c>
      <c r="E5771" s="196">
        <v>0</v>
      </c>
      <c r="F5771" s="196">
        <v>0</v>
      </c>
      <c r="G5771" s="196">
        <v>-380000</v>
      </c>
    </row>
    <row r="5772" spans="1:7" x14ac:dyDescent="0.3">
      <c r="A5772" s="198">
        <v>15443875</v>
      </c>
      <c r="B5772" s="192" t="s">
        <v>4009</v>
      </c>
      <c r="C5772" s="196">
        <v>-47400</v>
      </c>
      <c r="D5772" s="196">
        <v>0</v>
      </c>
      <c r="E5772" s="196">
        <v>0</v>
      </c>
      <c r="F5772" s="196">
        <v>0</v>
      </c>
      <c r="G5772" s="196">
        <v>-47400</v>
      </c>
    </row>
    <row r="5773" spans="1:7" x14ac:dyDescent="0.3">
      <c r="A5773" s="198">
        <v>1059698553</v>
      </c>
      <c r="B5773" s="192" t="s">
        <v>4010</v>
      </c>
      <c r="C5773" s="196">
        <v>-50900</v>
      </c>
      <c r="D5773" s="196">
        <v>0</v>
      </c>
      <c r="E5773" s="196">
        <v>0</v>
      </c>
      <c r="F5773" s="196">
        <v>0</v>
      </c>
      <c r="G5773" s="196">
        <v>-50900</v>
      </c>
    </row>
    <row r="5774" spans="1:7" x14ac:dyDescent="0.3">
      <c r="A5774" s="198">
        <v>1032427460</v>
      </c>
      <c r="B5774" s="192" t="s">
        <v>4011</v>
      </c>
      <c r="C5774" s="196">
        <v>-50900</v>
      </c>
      <c r="D5774" s="196">
        <v>0</v>
      </c>
      <c r="E5774" s="196">
        <v>0</v>
      </c>
      <c r="F5774" s="196">
        <v>0</v>
      </c>
      <c r="G5774" s="196">
        <v>-50900</v>
      </c>
    </row>
    <row r="5775" spans="1:7" x14ac:dyDescent="0.3">
      <c r="A5775" s="198">
        <v>1037638304</v>
      </c>
      <c r="B5775" s="192" t="s">
        <v>4012</v>
      </c>
      <c r="C5775" s="196">
        <v>-41800</v>
      </c>
      <c r="D5775" s="196">
        <v>0</v>
      </c>
      <c r="E5775" s="196">
        <v>0</v>
      </c>
      <c r="F5775" s="196">
        <v>0</v>
      </c>
      <c r="G5775" s="196">
        <v>-41800</v>
      </c>
    </row>
    <row r="5776" spans="1:7" x14ac:dyDescent="0.3">
      <c r="A5776" s="192" t="s">
        <v>4013</v>
      </c>
      <c r="B5776" s="192" t="s">
        <v>4014</v>
      </c>
      <c r="C5776" s="196">
        <v>-297000</v>
      </c>
      <c r="D5776" s="196">
        <v>0</v>
      </c>
      <c r="E5776" s="196">
        <v>0</v>
      </c>
      <c r="F5776" s="196">
        <v>0</v>
      </c>
      <c r="G5776" s="196">
        <v>-297000</v>
      </c>
    </row>
    <row r="5777" spans="1:7" x14ac:dyDescent="0.3">
      <c r="A5777" s="192" t="s">
        <v>4015</v>
      </c>
      <c r="B5777" s="192" t="s">
        <v>4016</v>
      </c>
      <c r="C5777" s="196">
        <v>-162000</v>
      </c>
      <c r="D5777" s="196">
        <v>0</v>
      </c>
      <c r="E5777" s="196">
        <v>0</v>
      </c>
      <c r="F5777" s="196">
        <v>0</v>
      </c>
      <c r="G5777" s="196">
        <v>-162000</v>
      </c>
    </row>
    <row r="5778" spans="1:7" x14ac:dyDescent="0.3">
      <c r="A5778" s="198">
        <v>642778167</v>
      </c>
      <c r="B5778" s="192" t="s">
        <v>4017</v>
      </c>
      <c r="C5778" s="196">
        <v>-101800</v>
      </c>
      <c r="D5778" s="196">
        <v>0</v>
      </c>
      <c r="E5778" s="196">
        <v>0</v>
      </c>
      <c r="F5778" s="196">
        <v>0</v>
      </c>
      <c r="G5778" s="196">
        <v>-101800</v>
      </c>
    </row>
    <row r="5779" spans="1:7" x14ac:dyDescent="0.3">
      <c r="A5779" s="192" t="s">
        <v>4018</v>
      </c>
      <c r="B5779" s="192" t="s">
        <v>4019</v>
      </c>
      <c r="C5779" s="196">
        <v>-110000</v>
      </c>
      <c r="D5779" s="196">
        <v>0</v>
      </c>
      <c r="E5779" s="196">
        <v>0</v>
      </c>
      <c r="F5779" s="196">
        <v>0</v>
      </c>
      <c r="G5779" s="196">
        <v>-110000</v>
      </c>
    </row>
    <row r="5780" spans="1:7" x14ac:dyDescent="0.3">
      <c r="A5780" s="198">
        <v>669553276</v>
      </c>
      <c r="B5780" s="192" t="s">
        <v>764</v>
      </c>
      <c r="C5780" s="196">
        <v>0</v>
      </c>
      <c r="D5780" s="196">
        <v>0</v>
      </c>
      <c r="E5780" s="196">
        <v>110000</v>
      </c>
      <c r="F5780" s="196">
        <v>-110000</v>
      </c>
      <c r="G5780" s="196">
        <v>-110000</v>
      </c>
    </row>
    <row r="5781" spans="1:7" x14ac:dyDescent="0.3">
      <c r="A5781" s="198">
        <v>43831139</v>
      </c>
      <c r="B5781" s="192" t="s">
        <v>4020</v>
      </c>
      <c r="C5781" s="196">
        <v>-297000</v>
      </c>
      <c r="D5781" s="196">
        <v>0</v>
      </c>
      <c r="E5781" s="196">
        <v>0</v>
      </c>
      <c r="F5781" s="196">
        <v>0</v>
      </c>
      <c r="G5781" s="196">
        <v>-297000</v>
      </c>
    </row>
    <row r="5782" spans="1:7" x14ac:dyDescent="0.3">
      <c r="A5782" s="198">
        <v>37086036</v>
      </c>
      <c r="B5782" s="192" t="s">
        <v>4021</v>
      </c>
      <c r="C5782" s="196">
        <v>-45000</v>
      </c>
      <c r="D5782" s="196">
        <v>0</v>
      </c>
      <c r="E5782" s="196">
        <v>0</v>
      </c>
      <c r="F5782" s="196">
        <v>0</v>
      </c>
      <c r="G5782" s="196">
        <v>-45000</v>
      </c>
    </row>
    <row r="5783" spans="1:7" x14ac:dyDescent="0.3">
      <c r="A5783" s="198">
        <v>93377535</v>
      </c>
      <c r="B5783" s="192" t="s">
        <v>4022</v>
      </c>
      <c r="C5783" s="196">
        <v>-59400</v>
      </c>
      <c r="D5783" s="196">
        <v>0</v>
      </c>
      <c r="E5783" s="196">
        <v>0</v>
      </c>
      <c r="F5783" s="196">
        <v>0</v>
      </c>
      <c r="G5783" s="196">
        <v>-59400</v>
      </c>
    </row>
    <row r="5784" spans="1:7" x14ac:dyDescent="0.3">
      <c r="A5784" s="198">
        <v>9868462</v>
      </c>
      <c r="B5784" s="192" t="s">
        <v>766</v>
      </c>
      <c r="C5784" s="196">
        <v>0</v>
      </c>
      <c r="D5784" s="196">
        <v>0</v>
      </c>
      <c r="E5784" s="196">
        <v>25000</v>
      </c>
      <c r="F5784" s="196">
        <v>-25000</v>
      </c>
      <c r="G5784" s="196">
        <v>-25000</v>
      </c>
    </row>
    <row r="5785" spans="1:7" x14ac:dyDescent="0.3">
      <c r="A5785" s="198">
        <v>92523425</v>
      </c>
      <c r="B5785" s="192" t="s">
        <v>4023</v>
      </c>
      <c r="C5785" s="196">
        <v>-50900</v>
      </c>
      <c r="D5785" s="196">
        <v>0</v>
      </c>
      <c r="E5785" s="196">
        <v>0</v>
      </c>
      <c r="F5785" s="196">
        <v>0</v>
      </c>
      <c r="G5785" s="196">
        <v>-50900</v>
      </c>
    </row>
    <row r="5786" spans="1:7" x14ac:dyDescent="0.3">
      <c r="A5786" s="198">
        <v>1152463488</v>
      </c>
      <c r="B5786" s="192" t="s">
        <v>4024</v>
      </c>
      <c r="C5786" s="196">
        <v>-542000</v>
      </c>
      <c r="D5786" s="196">
        <v>0</v>
      </c>
      <c r="E5786" s="196">
        <v>0</v>
      </c>
      <c r="F5786" s="196">
        <v>0</v>
      </c>
      <c r="G5786" s="196">
        <v>-542000</v>
      </c>
    </row>
    <row r="5787" spans="1:7" x14ac:dyDescent="0.3">
      <c r="A5787" s="198">
        <v>98622435</v>
      </c>
      <c r="B5787" s="192" t="s">
        <v>4025</v>
      </c>
      <c r="C5787" s="196">
        <v>-57200</v>
      </c>
      <c r="D5787" s="196">
        <v>0</v>
      </c>
      <c r="E5787" s="196">
        <v>0</v>
      </c>
      <c r="F5787" s="196">
        <v>0</v>
      </c>
      <c r="G5787" s="196">
        <v>-57200</v>
      </c>
    </row>
    <row r="5788" spans="1:7" x14ac:dyDescent="0.3">
      <c r="A5788" s="198">
        <v>15306792</v>
      </c>
      <c r="B5788" s="192" t="s">
        <v>4026</v>
      </c>
      <c r="C5788" s="196">
        <v>-416000</v>
      </c>
      <c r="D5788" s="196">
        <v>0</v>
      </c>
      <c r="E5788" s="196">
        <v>0</v>
      </c>
      <c r="F5788" s="196">
        <v>0</v>
      </c>
      <c r="G5788" s="196">
        <v>-416000</v>
      </c>
    </row>
    <row r="5789" spans="1:7" x14ac:dyDescent="0.3">
      <c r="A5789" s="198">
        <v>8350793</v>
      </c>
      <c r="B5789" s="192" t="s">
        <v>4027</v>
      </c>
      <c r="C5789" s="196">
        <v>-207900</v>
      </c>
      <c r="D5789" s="196">
        <v>0</v>
      </c>
      <c r="E5789" s="196">
        <v>0</v>
      </c>
      <c r="F5789" s="196">
        <v>0</v>
      </c>
      <c r="G5789" s="196">
        <v>-207900</v>
      </c>
    </row>
    <row r="5790" spans="1:7" x14ac:dyDescent="0.3">
      <c r="A5790" s="198">
        <v>435620</v>
      </c>
      <c r="B5790" s="192" t="s">
        <v>767</v>
      </c>
      <c r="C5790" s="196">
        <v>0</v>
      </c>
      <c r="D5790" s="196">
        <v>0</v>
      </c>
      <c r="E5790" s="196">
        <v>50900</v>
      </c>
      <c r="F5790" s="196">
        <v>-50900</v>
      </c>
      <c r="G5790" s="196">
        <v>-50900</v>
      </c>
    </row>
    <row r="5791" spans="1:7" x14ac:dyDescent="0.3">
      <c r="A5791" s="198">
        <v>572995231</v>
      </c>
      <c r="B5791" s="192" t="s">
        <v>4028</v>
      </c>
      <c r="C5791" s="196">
        <v>-162000</v>
      </c>
      <c r="D5791" s="196">
        <v>0</v>
      </c>
      <c r="E5791" s="196">
        <v>0</v>
      </c>
      <c r="F5791" s="196">
        <v>0</v>
      </c>
      <c r="G5791" s="196">
        <v>-162000</v>
      </c>
    </row>
    <row r="5792" spans="1:7" x14ac:dyDescent="0.3">
      <c r="A5792" s="198">
        <v>3314013</v>
      </c>
      <c r="B5792" s="192" t="s">
        <v>4029</v>
      </c>
      <c r="C5792" s="196">
        <v>-203600</v>
      </c>
      <c r="D5792" s="196">
        <v>0</v>
      </c>
      <c r="E5792" s="196">
        <v>0</v>
      </c>
      <c r="F5792" s="196">
        <v>0</v>
      </c>
      <c r="G5792" s="196">
        <v>-203600</v>
      </c>
    </row>
    <row r="5793" spans="1:7" x14ac:dyDescent="0.3">
      <c r="A5793" s="198">
        <v>98560184</v>
      </c>
      <c r="B5793" s="192" t="s">
        <v>4030</v>
      </c>
      <c r="C5793" s="196">
        <v>-85000</v>
      </c>
      <c r="D5793" s="196">
        <v>0</v>
      </c>
      <c r="E5793" s="196">
        <v>0</v>
      </c>
      <c r="F5793" s="196">
        <v>0</v>
      </c>
      <c r="G5793" s="196">
        <v>-85000</v>
      </c>
    </row>
    <row r="5794" spans="1:7" x14ac:dyDescent="0.3">
      <c r="A5794" s="198">
        <v>9871060</v>
      </c>
      <c r="B5794" s="192" t="s">
        <v>4031</v>
      </c>
      <c r="C5794" s="196">
        <v>-54200</v>
      </c>
      <c r="D5794" s="196">
        <v>0</v>
      </c>
      <c r="E5794" s="196">
        <v>0</v>
      </c>
      <c r="F5794" s="196">
        <v>0</v>
      </c>
      <c r="G5794" s="196">
        <v>-54200</v>
      </c>
    </row>
    <row r="5795" spans="1:7" x14ac:dyDescent="0.3">
      <c r="A5795" s="192" t="s">
        <v>4032</v>
      </c>
      <c r="B5795" s="192" t="s">
        <v>4033</v>
      </c>
      <c r="C5795" s="196">
        <v>-319000</v>
      </c>
      <c r="D5795" s="196">
        <v>0</v>
      </c>
      <c r="E5795" s="196">
        <v>0</v>
      </c>
      <c r="F5795" s="196">
        <v>0</v>
      </c>
      <c r="G5795" s="196">
        <v>-319000</v>
      </c>
    </row>
    <row r="5796" spans="1:7" x14ac:dyDescent="0.3">
      <c r="A5796" s="198">
        <v>1040882267</v>
      </c>
      <c r="B5796" s="192" t="s">
        <v>4034</v>
      </c>
      <c r="C5796" s="196">
        <v>-340000</v>
      </c>
      <c r="D5796" s="196">
        <v>0</v>
      </c>
      <c r="E5796" s="196">
        <v>0</v>
      </c>
      <c r="F5796" s="196">
        <v>0</v>
      </c>
      <c r="G5796" s="196">
        <v>-340000</v>
      </c>
    </row>
    <row r="5797" spans="1:7" x14ac:dyDescent="0.3">
      <c r="A5797" s="198">
        <v>1000414113</v>
      </c>
      <c r="B5797" s="192" t="s">
        <v>769</v>
      </c>
      <c r="C5797" s="196">
        <v>0</v>
      </c>
      <c r="D5797" s="196">
        <v>0</v>
      </c>
      <c r="E5797" s="196">
        <v>165000</v>
      </c>
      <c r="F5797" s="196">
        <v>-165000</v>
      </c>
      <c r="G5797" s="196">
        <v>-165000</v>
      </c>
    </row>
    <row r="5798" spans="1:7" x14ac:dyDescent="0.3">
      <c r="A5798" s="198">
        <v>43816968</v>
      </c>
      <c r="B5798" s="192" t="s">
        <v>4035</v>
      </c>
      <c r="C5798" s="196">
        <v>-101800</v>
      </c>
      <c r="D5798" s="196">
        <v>0</v>
      </c>
      <c r="E5798" s="196">
        <v>0</v>
      </c>
      <c r="F5798" s="196">
        <v>0</v>
      </c>
      <c r="G5798" s="196">
        <v>-101800</v>
      </c>
    </row>
    <row r="5799" spans="1:7" x14ac:dyDescent="0.3">
      <c r="A5799" s="198">
        <v>1037626430</v>
      </c>
      <c r="B5799" s="192" t="s">
        <v>4036</v>
      </c>
      <c r="C5799" s="196">
        <v>-380000</v>
      </c>
      <c r="D5799" s="196">
        <v>0</v>
      </c>
      <c r="E5799" s="196">
        <v>0</v>
      </c>
      <c r="F5799" s="196">
        <v>0</v>
      </c>
      <c r="G5799" s="196">
        <v>-380000</v>
      </c>
    </row>
    <row r="5800" spans="1:7" x14ac:dyDescent="0.3">
      <c r="A5800" s="198">
        <v>1024491004</v>
      </c>
      <c r="B5800" s="192" t="s">
        <v>4037</v>
      </c>
      <c r="C5800" s="196">
        <v>-297000</v>
      </c>
      <c r="D5800" s="196">
        <v>0</v>
      </c>
      <c r="E5800" s="196">
        <v>0</v>
      </c>
      <c r="F5800" s="196">
        <v>0</v>
      </c>
      <c r="G5800" s="196">
        <v>-297000</v>
      </c>
    </row>
    <row r="5801" spans="1:7" x14ac:dyDescent="0.3">
      <c r="A5801" s="198">
        <v>1020481004</v>
      </c>
      <c r="B5801" s="192" t="s">
        <v>4038</v>
      </c>
      <c r="C5801" s="196">
        <v>-315000</v>
      </c>
      <c r="D5801" s="196">
        <v>0</v>
      </c>
      <c r="E5801" s="196">
        <v>0</v>
      </c>
      <c r="F5801" s="196">
        <v>0</v>
      </c>
      <c r="G5801" s="196">
        <v>-315000</v>
      </c>
    </row>
    <row r="5802" spans="1:7" x14ac:dyDescent="0.3">
      <c r="A5802" s="198">
        <v>32256839</v>
      </c>
      <c r="B5802" s="192" t="s">
        <v>772</v>
      </c>
      <c r="C5802" s="196">
        <v>-76800</v>
      </c>
      <c r="D5802" s="196">
        <v>0</v>
      </c>
      <c r="E5802" s="196">
        <v>0</v>
      </c>
      <c r="F5802" s="196">
        <v>0</v>
      </c>
      <c r="G5802" s="196">
        <v>-76800</v>
      </c>
    </row>
    <row r="5803" spans="1:7" x14ac:dyDescent="0.3">
      <c r="A5803" s="198">
        <v>1037653385</v>
      </c>
      <c r="B5803" s="192" t="s">
        <v>4039</v>
      </c>
      <c r="C5803" s="196">
        <v>-50900</v>
      </c>
      <c r="D5803" s="196">
        <v>0</v>
      </c>
      <c r="E5803" s="196">
        <v>0</v>
      </c>
      <c r="F5803" s="196">
        <v>0</v>
      </c>
      <c r="G5803" s="196">
        <v>-50900</v>
      </c>
    </row>
    <row r="5804" spans="1:7" x14ac:dyDescent="0.3">
      <c r="A5804" s="192" t="s">
        <v>4040</v>
      </c>
      <c r="B5804" s="192" t="s">
        <v>4041</v>
      </c>
      <c r="C5804" s="196">
        <v>-192500</v>
      </c>
      <c r="D5804" s="196">
        <v>0</v>
      </c>
      <c r="E5804" s="196">
        <v>0</v>
      </c>
      <c r="F5804" s="196">
        <v>0</v>
      </c>
      <c r="G5804" s="196">
        <v>-192500</v>
      </c>
    </row>
    <row r="5805" spans="1:7" x14ac:dyDescent="0.3">
      <c r="A5805" s="198">
        <v>1006896638</v>
      </c>
      <c r="B5805" s="192" t="s">
        <v>4042</v>
      </c>
      <c r="C5805" s="196">
        <v>-165000</v>
      </c>
      <c r="D5805" s="196">
        <v>0</v>
      </c>
      <c r="E5805" s="196">
        <v>0</v>
      </c>
      <c r="F5805" s="196">
        <v>0</v>
      </c>
      <c r="G5805" s="196">
        <v>-165000</v>
      </c>
    </row>
    <row r="5806" spans="1:7" x14ac:dyDescent="0.3">
      <c r="A5806" s="198">
        <v>1017151142</v>
      </c>
      <c r="B5806" s="192" t="s">
        <v>4043</v>
      </c>
      <c r="C5806" s="196">
        <v>-50900</v>
      </c>
      <c r="D5806" s="196">
        <v>0</v>
      </c>
      <c r="E5806" s="196">
        <v>0</v>
      </c>
      <c r="F5806" s="196">
        <v>0</v>
      </c>
      <c r="G5806" s="196">
        <v>-50900</v>
      </c>
    </row>
    <row r="5807" spans="1:7" x14ac:dyDescent="0.3">
      <c r="A5807" s="198">
        <v>1032377803</v>
      </c>
      <c r="B5807" s="192" t="s">
        <v>4044</v>
      </c>
      <c r="C5807" s="196">
        <v>-57200</v>
      </c>
      <c r="D5807" s="196">
        <v>0</v>
      </c>
      <c r="E5807" s="196">
        <v>0</v>
      </c>
      <c r="F5807" s="196">
        <v>0</v>
      </c>
      <c r="G5807" s="196">
        <v>-57200</v>
      </c>
    </row>
    <row r="5808" spans="1:7" x14ac:dyDescent="0.3">
      <c r="A5808" s="198">
        <v>42680782</v>
      </c>
      <c r="B5808" s="192" t="s">
        <v>774</v>
      </c>
      <c r="C5808" s="196">
        <v>-50900</v>
      </c>
      <c r="D5808" s="196">
        <v>0</v>
      </c>
      <c r="E5808" s="196">
        <v>0</v>
      </c>
      <c r="F5808" s="196">
        <v>0</v>
      </c>
      <c r="G5808" s="196">
        <v>-50900</v>
      </c>
    </row>
    <row r="5809" spans="1:7" x14ac:dyDescent="0.3">
      <c r="A5809" s="198">
        <v>1098787239</v>
      </c>
      <c r="B5809" s="192" t="s">
        <v>4045</v>
      </c>
      <c r="C5809" s="196">
        <v>-43900</v>
      </c>
      <c r="D5809" s="196">
        <v>0</v>
      </c>
      <c r="E5809" s="196">
        <v>0</v>
      </c>
      <c r="F5809" s="196">
        <v>0</v>
      </c>
      <c r="G5809" s="196">
        <v>-43900</v>
      </c>
    </row>
    <row r="5810" spans="1:7" x14ac:dyDescent="0.3">
      <c r="A5810" s="198">
        <v>1037591085</v>
      </c>
      <c r="B5810" s="192" t="s">
        <v>4046</v>
      </c>
      <c r="C5810" s="196">
        <v>-47400</v>
      </c>
      <c r="D5810" s="196">
        <v>0</v>
      </c>
      <c r="E5810" s="196">
        <v>0</v>
      </c>
      <c r="F5810" s="196">
        <v>0</v>
      </c>
      <c r="G5810" s="196">
        <v>-47400</v>
      </c>
    </row>
    <row r="5811" spans="1:7" x14ac:dyDescent="0.3">
      <c r="A5811" s="198">
        <v>52718954</v>
      </c>
      <c r="B5811" s="192" t="s">
        <v>4047</v>
      </c>
      <c r="C5811" s="196">
        <v>-50900</v>
      </c>
      <c r="D5811" s="196">
        <v>0</v>
      </c>
      <c r="E5811" s="196">
        <v>0</v>
      </c>
      <c r="F5811" s="196">
        <v>0</v>
      </c>
      <c r="G5811" s="196">
        <v>-50900</v>
      </c>
    </row>
    <row r="5812" spans="1:7" x14ac:dyDescent="0.3">
      <c r="A5812" s="198">
        <v>29568299</v>
      </c>
      <c r="B5812" s="192" t="s">
        <v>4048</v>
      </c>
      <c r="C5812" s="196">
        <v>-50900</v>
      </c>
      <c r="D5812" s="196">
        <v>0</v>
      </c>
      <c r="E5812" s="196">
        <v>0</v>
      </c>
      <c r="F5812" s="196">
        <v>0</v>
      </c>
      <c r="G5812" s="196">
        <v>-50900</v>
      </c>
    </row>
    <row r="5813" spans="1:7" x14ac:dyDescent="0.3">
      <c r="A5813" s="198">
        <v>52782987</v>
      </c>
      <c r="B5813" s="192" t="s">
        <v>4049</v>
      </c>
      <c r="C5813" s="196">
        <v>-50900</v>
      </c>
      <c r="D5813" s="196">
        <v>0</v>
      </c>
      <c r="E5813" s="196">
        <v>0</v>
      </c>
      <c r="F5813" s="196">
        <v>0</v>
      </c>
      <c r="G5813" s="196">
        <v>-50900</v>
      </c>
    </row>
    <row r="5814" spans="1:7" x14ac:dyDescent="0.3">
      <c r="A5814" s="198">
        <v>561959414</v>
      </c>
      <c r="B5814" s="192" t="s">
        <v>776</v>
      </c>
      <c r="C5814" s="196">
        <v>0</v>
      </c>
      <c r="D5814" s="196">
        <v>0</v>
      </c>
      <c r="E5814" s="196">
        <v>50900</v>
      </c>
      <c r="F5814" s="196">
        <v>-50900</v>
      </c>
      <c r="G5814" s="196">
        <v>-50900</v>
      </c>
    </row>
    <row r="5815" spans="1:7" x14ac:dyDescent="0.3">
      <c r="A5815" s="198">
        <v>1035003764</v>
      </c>
      <c r="B5815" s="192" t="s">
        <v>4050</v>
      </c>
      <c r="C5815" s="196">
        <v>-50900</v>
      </c>
      <c r="D5815" s="196">
        <v>0</v>
      </c>
      <c r="E5815" s="196">
        <v>0</v>
      </c>
      <c r="F5815" s="196">
        <v>0</v>
      </c>
      <c r="G5815" s="196">
        <v>-50900</v>
      </c>
    </row>
    <row r="5816" spans="1:7" x14ac:dyDescent="0.3">
      <c r="A5816" s="198">
        <v>1035014323</v>
      </c>
      <c r="B5816" s="192" t="s">
        <v>4051</v>
      </c>
      <c r="C5816" s="196">
        <v>-50900</v>
      </c>
      <c r="D5816" s="196">
        <v>0</v>
      </c>
      <c r="E5816" s="196">
        <v>0</v>
      </c>
      <c r="F5816" s="196">
        <v>0</v>
      </c>
      <c r="G5816" s="196">
        <v>-50900</v>
      </c>
    </row>
    <row r="5817" spans="1:7" x14ac:dyDescent="0.3">
      <c r="A5817" s="198">
        <v>1010968371</v>
      </c>
      <c r="B5817" s="192" t="s">
        <v>778</v>
      </c>
      <c r="C5817" s="196">
        <v>0</v>
      </c>
      <c r="D5817" s="196">
        <v>0</v>
      </c>
      <c r="E5817" s="196">
        <v>101800</v>
      </c>
      <c r="F5817" s="196">
        <v>-101800</v>
      </c>
      <c r="G5817" s="196">
        <v>-101800</v>
      </c>
    </row>
    <row r="5818" spans="1:7" x14ac:dyDescent="0.3">
      <c r="A5818" s="198">
        <v>1011518285</v>
      </c>
      <c r="B5818" s="192" t="s">
        <v>779</v>
      </c>
      <c r="C5818" s="196">
        <v>0</v>
      </c>
      <c r="D5818" s="196">
        <v>0</v>
      </c>
      <c r="E5818" s="196">
        <v>50900</v>
      </c>
      <c r="F5818" s="196">
        <v>-50900</v>
      </c>
      <c r="G5818" s="196">
        <v>-50900</v>
      </c>
    </row>
    <row r="5819" spans="1:7" x14ac:dyDescent="0.3">
      <c r="A5819" s="198">
        <v>1035004738</v>
      </c>
      <c r="B5819" s="192" t="s">
        <v>780</v>
      </c>
      <c r="C5819" s="196">
        <v>-50900</v>
      </c>
      <c r="D5819" s="196">
        <v>0</v>
      </c>
      <c r="E5819" s="196">
        <v>0</v>
      </c>
      <c r="F5819" s="196">
        <v>0</v>
      </c>
      <c r="G5819" s="196">
        <v>-50900</v>
      </c>
    </row>
    <row r="5820" spans="1:7" x14ac:dyDescent="0.3">
      <c r="A5820" s="198">
        <v>1035004138</v>
      </c>
      <c r="B5820" s="192" t="s">
        <v>780</v>
      </c>
      <c r="C5820" s="196">
        <v>-50900</v>
      </c>
      <c r="D5820" s="196">
        <v>0</v>
      </c>
      <c r="E5820" s="196">
        <v>0</v>
      </c>
      <c r="F5820" s="196">
        <v>0</v>
      </c>
      <c r="G5820" s="196">
        <v>-50900</v>
      </c>
    </row>
    <row r="5821" spans="1:7" x14ac:dyDescent="0.3">
      <c r="A5821" s="198">
        <v>1035004508</v>
      </c>
      <c r="B5821" s="192" t="s">
        <v>4052</v>
      </c>
      <c r="C5821" s="196">
        <v>-50900</v>
      </c>
      <c r="D5821" s="196">
        <v>0</v>
      </c>
      <c r="E5821" s="196">
        <v>0</v>
      </c>
      <c r="F5821" s="196">
        <v>0</v>
      </c>
      <c r="G5821" s="196">
        <v>-50900</v>
      </c>
    </row>
    <row r="5822" spans="1:7" x14ac:dyDescent="0.3">
      <c r="A5822" s="198">
        <v>1035025880</v>
      </c>
      <c r="B5822" s="192" t="s">
        <v>4053</v>
      </c>
      <c r="C5822" s="196">
        <v>-47400</v>
      </c>
      <c r="D5822" s="196">
        <v>0</v>
      </c>
      <c r="E5822" s="196">
        <v>0</v>
      </c>
      <c r="F5822" s="196">
        <v>0</v>
      </c>
      <c r="G5822" s="196">
        <v>-47400</v>
      </c>
    </row>
    <row r="5823" spans="1:7" x14ac:dyDescent="0.3">
      <c r="A5823" s="198">
        <v>1035012943</v>
      </c>
      <c r="B5823" s="192" t="s">
        <v>4054</v>
      </c>
      <c r="C5823" s="196">
        <v>-50900</v>
      </c>
      <c r="D5823" s="196">
        <v>0</v>
      </c>
      <c r="E5823" s="196">
        <v>0</v>
      </c>
      <c r="F5823" s="196">
        <v>0</v>
      </c>
      <c r="G5823" s="196">
        <v>-50900</v>
      </c>
    </row>
    <row r="5824" spans="1:7" x14ac:dyDescent="0.3">
      <c r="A5824" s="198">
        <v>1023652847</v>
      </c>
      <c r="B5824" s="192" t="s">
        <v>4055</v>
      </c>
      <c r="C5824" s="196">
        <v>-46400</v>
      </c>
      <c r="D5824" s="196">
        <v>0</v>
      </c>
      <c r="E5824" s="196">
        <v>0</v>
      </c>
      <c r="F5824" s="196">
        <v>0</v>
      </c>
      <c r="G5824" s="196">
        <v>-46400</v>
      </c>
    </row>
    <row r="5825" spans="1:7" x14ac:dyDescent="0.3">
      <c r="A5825" s="198">
        <v>1017930080</v>
      </c>
      <c r="B5825" s="192" t="s">
        <v>4056</v>
      </c>
      <c r="C5825" s="196">
        <v>-50900</v>
      </c>
      <c r="D5825" s="196">
        <v>0</v>
      </c>
      <c r="E5825" s="196">
        <v>0</v>
      </c>
      <c r="F5825" s="196">
        <v>0</v>
      </c>
      <c r="G5825" s="196">
        <v>-50900</v>
      </c>
    </row>
    <row r="5826" spans="1:7" x14ac:dyDescent="0.3">
      <c r="A5826" s="198">
        <v>1011521252</v>
      </c>
      <c r="B5826" s="192" t="s">
        <v>4057</v>
      </c>
      <c r="C5826" s="196">
        <v>-50900</v>
      </c>
      <c r="D5826" s="196">
        <v>0</v>
      </c>
      <c r="E5826" s="196">
        <v>0</v>
      </c>
      <c r="F5826" s="196">
        <v>0</v>
      </c>
      <c r="G5826" s="196">
        <v>-50900</v>
      </c>
    </row>
    <row r="5827" spans="1:7" x14ac:dyDescent="0.3">
      <c r="A5827" s="198">
        <v>1035019836</v>
      </c>
      <c r="B5827" s="192" t="s">
        <v>4058</v>
      </c>
      <c r="C5827" s="196">
        <v>-47400</v>
      </c>
      <c r="D5827" s="196">
        <v>0</v>
      </c>
      <c r="E5827" s="196">
        <v>0</v>
      </c>
      <c r="F5827" s="196">
        <v>0</v>
      </c>
      <c r="G5827" s="196">
        <v>-47400</v>
      </c>
    </row>
    <row r="5828" spans="1:7" x14ac:dyDescent="0.3">
      <c r="A5828" s="198">
        <v>1033653761</v>
      </c>
      <c r="B5828" s="192" t="s">
        <v>781</v>
      </c>
      <c r="C5828" s="196">
        <v>0</v>
      </c>
      <c r="D5828" s="196">
        <v>0</v>
      </c>
      <c r="E5828" s="196">
        <v>50900</v>
      </c>
      <c r="F5828" s="196">
        <v>-50900</v>
      </c>
      <c r="G5828" s="196">
        <v>-50900</v>
      </c>
    </row>
    <row r="5829" spans="1:7" x14ac:dyDescent="0.3">
      <c r="A5829" s="198">
        <v>1035006985</v>
      </c>
      <c r="B5829" s="192" t="s">
        <v>782</v>
      </c>
      <c r="C5829" s="196">
        <v>0</v>
      </c>
      <c r="D5829" s="196">
        <v>0</v>
      </c>
      <c r="E5829" s="196">
        <v>54200</v>
      </c>
      <c r="F5829" s="196">
        <v>-54200</v>
      </c>
      <c r="G5829" s="196">
        <v>-54200</v>
      </c>
    </row>
    <row r="5830" spans="1:7" x14ac:dyDescent="0.3">
      <c r="A5830" s="198">
        <v>1025642051</v>
      </c>
      <c r="B5830" s="192" t="s">
        <v>783</v>
      </c>
      <c r="C5830" s="196">
        <v>0</v>
      </c>
      <c r="D5830" s="196">
        <v>0</v>
      </c>
      <c r="E5830" s="196">
        <v>297000</v>
      </c>
      <c r="F5830" s="196">
        <v>-297000</v>
      </c>
      <c r="G5830" s="196">
        <v>-297000</v>
      </c>
    </row>
    <row r="5831" spans="1:7" x14ac:dyDescent="0.3">
      <c r="A5831" s="198">
        <v>1018271956</v>
      </c>
      <c r="B5831" s="192" t="s">
        <v>4059</v>
      </c>
      <c r="C5831" s="196">
        <v>-54200</v>
      </c>
      <c r="D5831" s="196">
        <v>0</v>
      </c>
      <c r="E5831" s="196">
        <v>0</v>
      </c>
      <c r="F5831" s="196">
        <v>0</v>
      </c>
      <c r="G5831" s="196">
        <v>-54200</v>
      </c>
    </row>
    <row r="5832" spans="1:7" x14ac:dyDescent="0.3">
      <c r="A5832" s="198">
        <v>1020325851</v>
      </c>
      <c r="B5832" s="192" t="s">
        <v>4060</v>
      </c>
      <c r="C5832" s="196">
        <v>-164500</v>
      </c>
      <c r="D5832" s="196">
        <v>0</v>
      </c>
      <c r="E5832" s="196">
        <v>0</v>
      </c>
      <c r="F5832" s="196">
        <v>0</v>
      </c>
      <c r="G5832" s="196">
        <v>-164500</v>
      </c>
    </row>
    <row r="5833" spans="1:7" x14ac:dyDescent="0.3">
      <c r="A5833" s="198">
        <v>569764221</v>
      </c>
      <c r="B5833" s="192" t="s">
        <v>786</v>
      </c>
      <c r="C5833" s="196">
        <v>0</v>
      </c>
      <c r="D5833" s="196">
        <v>0</v>
      </c>
      <c r="E5833" s="196">
        <v>162000</v>
      </c>
      <c r="F5833" s="196">
        <v>-162000</v>
      </c>
      <c r="G5833" s="196">
        <v>-162000</v>
      </c>
    </row>
    <row r="5834" spans="1:7" x14ac:dyDescent="0.3">
      <c r="A5834" s="198">
        <v>1037642122</v>
      </c>
      <c r="B5834" s="192" t="s">
        <v>4061</v>
      </c>
      <c r="C5834" s="196">
        <v>-183300</v>
      </c>
      <c r="D5834" s="196">
        <v>0</v>
      </c>
      <c r="E5834" s="196">
        <v>0</v>
      </c>
      <c r="F5834" s="196">
        <v>0</v>
      </c>
      <c r="G5834" s="196">
        <v>-183300</v>
      </c>
    </row>
    <row r="5835" spans="1:7" x14ac:dyDescent="0.3">
      <c r="A5835" s="198">
        <v>1037622341</v>
      </c>
      <c r="B5835" s="192" t="s">
        <v>787</v>
      </c>
      <c r="C5835" s="196">
        <v>-254500</v>
      </c>
      <c r="D5835" s="196">
        <v>0</v>
      </c>
      <c r="E5835" s="196">
        <v>50900</v>
      </c>
      <c r="F5835" s="196">
        <v>-50900</v>
      </c>
      <c r="G5835" s="196">
        <v>-305400</v>
      </c>
    </row>
    <row r="5836" spans="1:7" x14ac:dyDescent="0.3">
      <c r="A5836" s="198">
        <v>1020425670</v>
      </c>
      <c r="B5836" s="192" t="s">
        <v>4062</v>
      </c>
      <c r="C5836" s="196">
        <v>-150000</v>
      </c>
      <c r="D5836" s="196">
        <v>0</v>
      </c>
      <c r="E5836" s="196">
        <v>0</v>
      </c>
      <c r="F5836" s="196">
        <v>0</v>
      </c>
      <c r="G5836" s="196">
        <v>-150000</v>
      </c>
    </row>
    <row r="5837" spans="1:7" x14ac:dyDescent="0.3">
      <c r="A5837" s="198">
        <v>1020774916</v>
      </c>
      <c r="B5837" s="192" t="s">
        <v>4063</v>
      </c>
      <c r="C5837" s="196">
        <v>-47400</v>
      </c>
      <c r="D5837" s="196">
        <v>0</v>
      </c>
      <c r="E5837" s="196">
        <v>0</v>
      </c>
      <c r="F5837" s="196">
        <v>0</v>
      </c>
      <c r="G5837" s="196">
        <v>-47400</v>
      </c>
    </row>
    <row r="5838" spans="1:7" x14ac:dyDescent="0.3">
      <c r="A5838" s="198">
        <v>1017210637</v>
      </c>
      <c r="B5838" s="192" t="s">
        <v>788</v>
      </c>
      <c r="C5838" s="196">
        <v>0</v>
      </c>
      <c r="D5838" s="196">
        <v>0</v>
      </c>
      <c r="E5838" s="196">
        <v>57200</v>
      </c>
      <c r="F5838" s="196">
        <v>-57200</v>
      </c>
      <c r="G5838" s="196">
        <v>-57200</v>
      </c>
    </row>
    <row r="5839" spans="1:7" x14ac:dyDescent="0.3">
      <c r="A5839" s="198">
        <v>1020448849</v>
      </c>
      <c r="B5839" s="192" t="s">
        <v>4064</v>
      </c>
      <c r="C5839" s="196">
        <v>-319000</v>
      </c>
      <c r="D5839" s="196">
        <v>0</v>
      </c>
      <c r="E5839" s="196">
        <v>0</v>
      </c>
      <c r="F5839" s="196">
        <v>0</v>
      </c>
      <c r="G5839" s="196">
        <v>-319000</v>
      </c>
    </row>
    <row r="5840" spans="1:7" x14ac:dyDescent="0.3">
      <c r="A5840" s="198">
        <v>1046912131</v>
      </c>
      <c r="B5840" s="192" t="s">
        <v>789</v>
      </c>
      <c r="C5840" s="196">
        <v>-178200</v>
      </c>
      <c r="D5840" s="196">
        <v>0</v>
      </c>
      <c r="E5840" s="196">
        <v>178200</v>
      </c>
      <c r="F5840" s="196">
        <v>-178200</v>
      </c>
      <c r="G5840" s="196">
        <v>-356400</v>
      </c>
    </row>
    <row r="5841" spans="1:7" x14ac:dyDescent="0.3">
      <c r="A5841" s="198">
        <v>1022404906</v>
      </c>
      <c r="B5841" s="192" t="s">
        <v>4065</v>
      </c>
      <c r="C5841" s="196">
        <v>-29700</v>
      </c>
      <c r="D5841" s="196">
        <v>0</v>
      </c>
      <c r="E5841" s="196">
        <v>0</v>
      </c>
      <c r="F5841" s="196">
        <v>0</v>
      </c>
      <c r="G5841" s="196">
        <v>-29700</v>
      </c>
    </row>
    <row r="5842" spans="1:7" x14ac:dyDescent="0.3">
      <c r="A5842" s="198">
        <v>1022409439</v>
      </c>
      <c r="B5842" s="192" t="s">
        <v>4066</v>
      </c>
      <c r="C5842" s="196">
        <v>-270000</v>
      </c>
      <c r="D5842" s="196">
        <v>0</v>
      </c>
      <c r="E5842" s="196">
        <v>0</v>
      </c>
      <c r="F5842" s="196">
        <v>0</v>
      </c>
      <c r="G5842" s="196">
        <v>-270000</v>
      </c>
    </row>
    <row r="5843" spans="1:7" x14ac:dyDescent="0.3">
      <c r="A5843" s="198">
        <v>1036668034</v>
      </c>
      <c r="B5843" s="192" t="s">
        <v>4067</v>
      </c>
      <c r="C5843" s="196">
        <v>-100000</v>
      </c>
      <c r="D5843" s="196">
        <v>0</v>
      </c>
      <c r="E5843" s="196">
        <v>0</v>
      </c>
      <c r="F5843" s="196">
        <v>0</v>
      </c>
      <c r="G5843" s="196">
        <v>-100000</v>
      </c>
    </row>
    <row r="5844" spans="1:7" x14ac:dyDescent="0.3">
      <c r="A5844" s="198">
        <v>1094954716</v>
      </c>
      <c r="B5844" s="192" t="s">
        <v>4068</v>
      </c>
      <c r="C5844" s="196">
        <v>-57200</v>
      </c>
      <c r="D5844" s="196">
        <v>0</v>
      </c>
      <c r="E5844" s="196">
        <v>0</v>
      </c>
      <c r="F5844" s="196">
        <v>0</v>
      </c>
      <c r="G5844" s="196">
        <v>-57200</v>
      </c>
    </row>
    <row r="5845" spans="1:7" x14ac:dyDescent="0.3">
      <c r="A5845" s="198">
        <v>98471856</v>
      </c>
      <c r="B5845" s="192" t="s">
        <v>4069</v>
      </c>
      <c r="C5845" s="196">
        <v>-297000</v>
      </c>
      <c r="D5845" s="196">
        <v>0</v>
      </c>
      <c r="E5845" s="196">
        <v>0</v>
      </c>
      <c r="F5845" s="196">
        <v>0</v>
      </c>
      <c r="G5845" s="196">
        <v>-297000</v>
      </c>
    </row>
    <row r="5846" spans="1:7" x14ac:dyDescent="0.3">
      <c r="A5846" s="198">
        <v>71905166</v>
      </c>
      <c r="B5846" s="192" t="s">
        <v>4070</v>
      </c>
      <c r="C5846" s="196">
        <v>-92800</v>
      </c>
      <c r="D5846" s="196">
        <v>0</v>
      </c>
      <c r="E5846" s="196">
        <v>0</v>
      </c>
      <c r="F5846" s="196">
        <v>0</v>
      </c>
      <c r="G5846" s="196">
        <v>-92800</v>
      </c>
    </row>
    <row r="5847" spans="1:7" x14ac:dyDescent="0.3">
      <c r="A5847" s="198">
        <v>3524420</v>
      </c>
      <c r="B5847" s="192" t="s">
        <v>795</v>
      </c>
      <c r="C5847" s="196">
        <v>0</v>
      </c>
      <c r="D5847" s="196">
        <v>0</v>
      </c>
      <c r="E5847" s="196">
        <v>297000</v>
      </c>
      <c r="F5847" s="196">
        <v>-297000</v>
      </c>
      <c r="G5847" s="196">
        <v>-297000</v>
      </c>
    </row>
    <row r="5848" spans="1:7" x14ac:dyDescent="0.3">
      <c r="A5848" s="198">
        <v>70901258</v>
      </c>
      <c r="B5848" s="192" t="s">
        <v>4071</v>
      </c>
      <c r="C5848" s="196">
        <v>-297000</v>
      </c>
      <c r="D5848" s="196">
        <v>0</v>
      </c>
      <c r="E5848" s="196">
        <v>0</v>
      </c>
      <c r="F5848" s="196">
        <v>0</v>
      </c>
      <c r="G5848" s="196">
        <v>-297000</v>
      </c>
    </row>
    <row r="5849" spans="1:7" x14ac:dyDescent="0.3">
      <c r="A5849" s="198">
        <v>1020470509</v>
      </c>
      <c r="B5849" s="192" t="s">
        <v>4072</v>
      </c>
      <c r="C5849" s="196">
        <v>-54200</v>
      </c>
      <c r="D5849" s="196">
        <v>0</v>
      </c>
      <c r="E5849" s="196">
        <v>0</v>
      </c>
      <c r="F5849" s="196">
        <v>0</v>
      </c>
      <c r="G5849" s="196">
        <v>-54200</v>
      </c>
    </row>
    <row r="5850" spans="1:7" x14ac:dyDescent="0.3">
      <c r="A5850" s="198">
        <v>1021808579</v>
      </c>
      <c r="B5850" s="192" t="s">
        <v>4073</v>
      </c>
      <c r="C5850" s="196">
        <v>-297000</v>
      </c>
      <c r="D5850" s="196">
        <v>0</v>
      </c>
      <c r="E5850" s="196">
        <v>0</v>
      </c>
      <c r="F5850" s="196">
        <v>0</v>
      </c>
      <c r="G5850" s="196">
        <v>-297000</v>
      </c>
    </row>
    <row r="5851" spans="1:7" x14ac:dyDescent="0.3">
      <c r="A5851" s="198">
        <v>1007368692</v>
      </c>
      <c r="B5851" s="192" t="s">
        <v>4074</v>
      </c>
      <c r="C5851" s="196">
        <v>-300900</v>
      </c>
      <c r="D5851" s="196">
        <v>0</v>
      </c>
      <c r="E5851" s="196">
        <v>0</v>
      </c>
      <c r="F5851" s="196">
        <v>0</v>
      </c>
      <c r="G5851" s="196">
        <v>-300900</v>
      </c>
    </row>
    <row r="5852" spans="1:7" x14ac:dyDescent="0.3">
      <c r="A5852" s="198">
        <v>1152438327</v>
      </c>
      <c r="B5852" s="192" t="s">
        <v>4075</v>
      </c>
      <c r="C5852" s="196">
        <v>-297000</v>
      </c>
      <c r="D5852" s="196">
        <v>0</v>
      </c>
      <c r="E5852" s="196">
        <v>0</v>
      </c>
      <c r="F5852" s="196">
        <v>0</v>
      </c>
      <c r="G5852" s="196">
        <v>-297000</v>
      </c>
    </row>
    <row r="5853" spans="1:7" x14ac:dyDescent="0.3">
      <c r="A5853" s="198">
        <v>32243495</v>
      </c>
      <c r="B5853" s="192" t="s">
        <v>4076</v>
      </c>
      <c r="C5853" s="196">
        <v>-50900</v>
      </c>
      <c r="D5853" s="196">
        <v>0</v>
      </c>
      <c r="E5853" s="196">
        <v>0</v>
      </c>
      <c r="F5853" s="196">
        <v>0</v>
      </c>
      <c r="G5853" s="196">
        <v>-50900</v>
      </c>
    </row>
    <row r="5854" spans="1:7" x14ac:dyDescent="0.3">
      <c r="A5854" s="198">
        <v>1040758816</v>
      </c>
      <c r="B5854" s="192" t="s">
        <v>4077</v>
      </c>
      <c r="C5854" s="196">
        <v>-165000</v>
      </c>
      <c r="D5854" s="196">
        <v>0</v>
      </c>
      <c r="E5854" s="196">
        <v>0</v>
      </c>
      <c r="F5854" s="196">
        <v>0</v>
      </c>
      <c r="G5854" s="196">
        <v>-165000</v>
      </c>
    </row>
    <row r="5855" spans="1:7" x14ac:dyDescent="0.3">
      <c r="A5855" s="198">
        <v>1039461950</v>
      </c>
      <c r="B5855" s="192" t="s">
        <v>796</v>
      </c>
      <c r="C5855" s="196">
        <v>-37000</v>
      </c>
      <c r="D5855" s="196">
        <v>0</v>
      </c>
      <c r="E5855" s="196">
        <v>37000</v>
      </c>
      <c r="F5855" s="196">
        <v>-37000</v>
      </c>
      <c r="G5855" s="196">
        <v>-74000</v>
      </c>
    </row>
    <row r="5856" spans="1:7" x14ac:dyDescent="0.3">
      <c r="A5856" s="198">
        <v>1037628837</v>
      </c>
      <c r="B5856" s="192" t="s">
        <v>4078</v>
      </c>
      <c r="C5856" s="196">
        <v>-35000</v>
      </c>
      <c r="D5856" s="196">
        <v>0</v>
      </c>
      <c r="E5856" s="196">
        <v>0</v>
      </c>
      <c r="F5856" s="196">
        <v>0</v>
      </c>
      <c r="G5856" s="196">
        <v>-35000</v>
      </c>
    </row>
    <row r="5857" spans="1:7" x14ac:dyDescent="0.3">
      <c r="A5857" s="198">
        <v>91264063</v>
      </c>
      <c r="B5857" s="192" t="s">
        <v>797</v>
      </c>
      <c r="C5857" s="196">
        <v>-50900</v>
      </c>
      <c r="D5857" s="196">
        <v>0</v>
      </c>
      <c r="E5857" s="196">
        <v>50900</v>
      </c>
      <c r="F5857" s="196">
        <v>-50900</v>
      </c>
      <c r="G5857" s="196">
        <v>-101800</v>
      </c>
    </row>
    <row r="5858" spans="1:7" x14ac:dyDescent="0.3">
      <c r="A5858" s="198">
        <v>11705730</v>
      </c>
      <c r="B5858" s="192" t="s">
        <v>798</v>
      </c>
      <c r="C5858" s="196">
        <v>0</v>
      </c>
      <c r="D5858" s="196">
        <v>0</v>
      </c>
      <c r="E5858" s="196">
        <v>207900</v>
      </c>
      <c r="F5858" s="196">
        <v>-207900</v>
      </c>
      <c r="G5858" s="196">
        <v>-207900</v>
      </c>
    </row>
    <row r="5859" spans="1:7" x14ac:dyDescent="0.3">
      <c r="A5859" s="198">
        <v>1036662989</v>
      </c>
      <c r="B5859" s="192" t="s">
        <v>4079</v>
      </c>
      <c r="C5859" s="196">
        <v>-108000</v>
      </c>
      <c r="D5859" s="196">
        <v>0</v>
      </c>
      <c r="E5859" s="196">
        <v>0</v>
      </c>
      <c r="F5859" s="196">
        <v>0</v>
      </c>
      <c r="G5859" s="196">
        <v>-108000</v>
      </c>
    </row>
    <row r="5860" spans="1:7" x14ac:dyDescent="0.3">
      <c r="A5860" s="198">
        <v>98659084</v>
      </c>
      <c r="B5860" s="192" t="s">
        <v>4080</v>
      </c>
      <c r="C5860" s="196">
        <v>-50900</v>
      </c>
      <c r="D5860" s="196">
        <v>0</v>
      </c>
      <c r="E5860" s="196">
        <v>0</v>
      </c>
      <c r="F5860" s="196">
        <v>0</v>
      </c>
      <c r="G5860" s="196">
        <v>-50900</v>
      </c>
    </row>
    <row r="5861" spans="1:7" x14ac:dyDescent="0.3">
      <c r="A5861" s="198">
        <v>1017155103</v>
      </c>
      <c r="B5861" s="192" t="s">
        <v>4081</v>
      </c>
      <c r="C5861" s="196">
        <v>-43900</v>
      </c>
      <c r="D5861" s="196">
        <v>0</v>
      </c>
      <c r="E5861" s="196">
        <v>0</v>
      </c>
      <c r="F5861" s="196">
        <v>0</v>
      </c>
      <c r="G5861" s="196">
        <v>-43900</v>
      </c>
    </row>
    <row r="5862" spans="1:7" x14ac:dyDescent="0.3">
      <c r="A5862" s="198">
        <v>2680886</v>
      </c>
      <c r="B5862" s="192" t="s">
        <v>4082</v>
      </c>
      <c r="C5862" s="196">
        <v>-57200</v>
      </c>
      <c r="D5862" s="196">
        <v>0</v>
      </c>
      <c r="E5862" s="196">
        <v>0</v>
      </c>
      <c r="F5862" s="196">
        <v>0</v>
      </c>
      <c r="G5862" s="196">
        <v>-57200</v>
      </c>
    </row>
    <row r="5863" spans="1:7" x14ac:dyDescent="0.3">
      <c r="A5863" s="198">
        <v>8046150</v>
      </c>
      <c r="B5863" s="192" t="s">
        <v>4083</v>
      </c>
      <c r="C5863" s="196">
        <v>-38400</v>
      </c>
      <c r="D5863" s="196">
        <v>0</v>
      </c>
      <c r="E5863" s="196">
        <v>0</v>
      </c>
      <c r="F5863" s="196">
        <v>0</v>
      </c>
      <c r="G5863" s="196">
        <v>-38400</v>
      </c>
    </row>
    <row r="5864" spans="1:7" x14ac:dyDescent="0.3">
      <c r="A5864" s="198">
        <v>71685924</v>
      </c>
      <c r="B5864" s="192" t="s">
        <v>4084</v>
      </c>
      <c r="C5864" s="196">
        <v>-50900</v>
      </c>
      <c r="D5864" s="196">
        <v>0</v>
      </c>
      <c r="E5864" s="196">
        <v>0</v>
      </c>
      <c r="F5864" s="196">
        <v>0</v>
      </c>
      <c r="G5864" s="196">
        <v>-50900</v>
      </c>
    </row>
    <row r="5865" spans="1:7" x14ac:dyDescent="0.3">
      <c r="A5865" s="198">
        <v>18142837</v>
      </c>
      <c r="B5865" s="192" t="s">
        <v>4085</v>
      </c>
      <c r="C5865" s="196">
        <v>-57200</v>
      </c>
      <c r="D5865" s="196">
        <v>0</v>
      </c>
      <c r="E5865" s="196">
        <v>0</v>
      </c>
      <c r="F5865" s="196">
        <v>0</v>
      </c>
      <c r="G5865" s="196">
        <v>-57200</v>
      </c>
    </row>
    <row r="5866" spans="1:7" x14ac:dyDescent="0.3">
      <c r="A5866" s="198">
        <v>71081202</v>
      </c>
      <c r="B5866" s="192" t="s">
        <v>4086</v>
      </c>
      <c r="C5866" s="196">
        <v>-297000</v>
      </c>
      <c r="D5866" s="196">
        <v>0</v>
      </c>
      <c r="E5866" s="196">
        <v>0</v>
      </c>
      <c r="F5866" s="196">
        <v>0</v>
      </c>
      <c r="G5866" s="196">
        <v>-297000</v>
      </c>
    </row>
    <row r="5867" spans="1:7" x14ac:dyDescent="0.3">
      <c r="A5867" s="198">
        <v>3474155</v>
      </c>
      <c r="B5867" s="192" t="s">
        <v>4087</v>
      </c>
      <c r="C5867" s="196">
        <v>-57200</v>
      </c>
      <c r="D5867" s="196">
        <v>0</v>
      </c>
      <c r="E5867" s="196">
        <v>0</v>
      </c>
      <c r="F5867" s="196">
        <v>0</v>
      </c>
      <c r="G5867" s="196">
        <v>-57200</v>
      </c>
    </row>
    <row r="5868" spans="1:7" x14ac:dyDescent="0.3">
      <c r="A5868" s="198">
        <v>1040741857</v>
      </c>
      <c r="B5868" s="192" t="s">
        <v>4088</v>
      </c>
      <c r="C5868" s="196">
        <v>-250000</v>
      </c>
      <c r="D5868" s="196">
        <v>0</v>
      </c>
      <c r="E5868" s="196">
        <v>0</v>
      </c>
      <c r="F5868" s="196">
        <v>0</v>
      </c>
      <c r="G5868" s="196">
        <v>-250000</v>
      </c>
    </row>
    <row r="5869" spans="1:7" x14ac:dyDescent="0.3">
      <c r="A5869" s="198">
        <v>1013583362</v>
      </c>
      <c r="B5869" s="192" t="s">
        <v>4089</v>
      </c>
      <c r="C5869" s="196">
        <v>-297000</v>
      </c>
      <c r="D5869" s="196">
        <v>0</v>
      </c>
      <c r="E5869" s="196">
        <v>0</v>
      </c>
      <c r="F5869" s="196">
        <v>0</v>
      </c>
      <c r="G5869" s="196">
        <v>-297000</v>
      </c>
    </row>
    <row r="5870" spans="1:7" x14ac:dyDescent="0.3">
      <c r="A5870" s="198">
        <v>1026148449</v>
      </c>
      <c r="B5870" s="192" t="s">
        <v>800</v>
      </c>
      <c r="C5870" s="196">
        <v>0</v>
      </c>
      <c r="D5870" s="196">
        <v>0</v>
      </c>
      <c r="E5870" s="196">
        <v>110000</v>
      </c>
      <c r="F5870" s="196">
        <v>-110000</v>
      </c>
      <c r="G5870" s="196">
        <v>-110000</v>
      </c>
    </row>
    <row r="5871" spans="1:7" x14ac:dyDescent="0.3">
      <c r="A5871" s="198">
        <v>1027660593</v>
      </c>
      <c r="B5871" s="192" t="s">
        <v>4090</v>
      </c>
      <c r="C5871" s="196">
        <v>-25000</v>
      </c>
      <c r="D5871" s="196">
        <v>0</v>
      </c>
      <c r="E5871" s="196">
        <v>0</v>
      </c>
      <c r="F5871" s="196">
        <v>0</v>
      </c>
      <c r="G5871" s="196">
        <v>-25000</v>
      </c>
    </row>
    <row r="5872" spans="1:7" x14ac:dyDescent="0.3">
      <c r="A5872" s="198">
        <v>1039884860</v>
      </c>
      <c r="B5872" s="192" t="s">
        <v>4091</v>
      </c>
      <c r="C5872" s="196">
        <v>-380000</v>
      </c>
      <c r="D5872" s="196">
        <v>0</v>
      </c>
      <c r="E5872" s="196">
        <v>0</v>
      </c>
      <c r="F5872" s="196">
        <v>0</v>
      </c>
      <c r="G5872" s="196">
        <v>-380000</v>
      </c>
    </row>
    <row r="5873" spans="1:7" x14ac:dyDescent="0.3">
      <c r="A5873" s="198">
        <v>1003949523</v>
      </c>
      <c r="B5873" s="192" t="s">
        <v>801</v>
      </c>
      <c r="C5873" s="196">
        <v>0</v>
      </c>
      <c r="D5873" s="196">
        <v>0</v>
      </c>
      <c r="E5873" s="196">
        <v>110000</v>
      </c>
      <c r="F5873" s="196">
        <v>-110000</v>
      </c>
      <c r="G5873" s="196">
        <v>-110000</v>
      </c>
    </row>
    <row r="5874" spans="1:7" x14ac:dyDescent="0.3">
      <c r="A5874" s="198">
        <v>14801026</v>
      </c>
      <c r="B5874" s="192" t="s">
        <v>4092</v>
      </c>
      <c r="C5874" s="196">
        <v>-35000</v>
      </c>
      <c r="D5874" s="196">
        <v>0</v>
      </c>
      <c r="E5874" s="196">
        <v>0</v>
      </c>
      <c r="F5874" s="196">
        <v>0</v>
      </c>
      <c r="G5874" s="196">
        <v>-35000</v>
      </c>
    </row>
    <row r="5875" spans="1:7" x14ac:dyDescent="0.3">
      <c r="A5875" s="198">
        <v>7418660</v>
      </c>
      <c r="B5875" s="192" t="s">
        <v>4093</v>
      </c>
      <c r="C5875" s="196">
        <v>-162000</v>
      </c>
      <c r="D5875" s="196">
        <v>0</v>
      </c>
      <c r="E5875" s="196">
        <v>0</v>
      </c>
      <c r="F5875" s="196">
        <v>0</v>
      </c>
      <c r="G5875" s="196">
        <v>-162000</v>
      </c>
    </row>
    <row r="5876" spans="1:7" x14ac:dyDescent="0.3">
      <c r="A5876" s="198">
        <v>1037544111</v>
      </c>
      <c r="B5876" s="192" t="s">
        <v>4094</v>
      </c>
      <c r="C5876" s="196">
        <v>-270000</v>
      </c>
      <c r="D5876" s="196">
        <v>0</v>
      </c>
      <c r="E5876" s="196">
        <v>0</v>
      </c>
      <c r="F5876" s="196">
        <v>0</v>
      </c>
      <c r="G5876" s="196">
        <v>-270000</v>
      </c>
    </row>
    <row r="5877" spans="1:7" x14ac:dyDescent="0.3">
      <c r="A5877" s="198">
        <v>867096</v>
      </c>
      <c r="B5877" s="192" t="s">
        <v>4095</v>
      </c>
      <c r="C5877" s="196">
        <v>-50900</v>
      </c>
      <c r="D5877" s="196">
        <v>0</v>
      </c>
      <c r="E5877" s="196">
        <v>0</v>
      </c>
      <c r="F5877" s="196">
        <v>0</v>
      </c>
      <c r="G5877" s="196">
        <v>-50900</v>
      </c>
    </row>
    <row r="5878" spans="1:7" x14ac:dyDescent="0.3">
      <c r="A5878" s="198">
        <v>1001010657</v>
      </c>
      <c r="B5878" s="192" t="s">
        <v>4096</v>
      </c>
      <c r="C5878" s="196">
        <v>-110000</v>
      </c>
      <c r="D5878" s="196">
        <v>0</v>
      </c>
      <c r="E5878" s="196">
        <v>0</v>
      </c>
      <c r="F5878" s="196">
        <v>0</v>
      </c>
      <c r="G5878" s="196">
        <v>-110000</v>
      </c>
    </row>
    <row r="5879" spans="1:7" x14ac:dyDescent="0.3">
      <c r="A5879" s="198">
        <v>414509</v>
      </c>
      <c r="B5879" s="192" t="s">
        <v>4097</v>
      </c>
      <c r="C5879" s="196">
        <v>-57200</v>
      </c>
      <c r="D5879" s="196">
        <v>0</v>
      </c>
      <c r="E5879" s="196">
        <v>0</v>
      </c>
      <c r="F5879" s="196">
        <v>0</v>
      </c>
      <c r="G5879" s="196">
        <v>-57200</v>
      </c>
    </row>
    <row r="5880" spans="1:7" x14ac:dyDescent="0.3">
      <c r="A5880" s="198">
        <v>14204345</v>
      </c>
      <c r="B5880" s="192" t="s">
        <v>4098</v>
      </c>
      <c r="C5880" s="196">
        <v>-46400</v>
      </c>
      <c r="D5880" s="196">
        <v>0</v>
      </c>
      <c r="E5880" s="196">
        <v>0</v>
      </c>
      <c r="F5880" s="196">
        <v>0</v>
      </c>
      <c r="G5880" s="196">
        <v>-46400</v>
      </c>
    </row>
    <row r="5881" spans="1:7" x14ac:dyDescent="0.3">
      <c r="A5881" s="198">
        <v>923515</v>
      </c>
      <c r="B5881" s="192" t="s">
        <v>4099</v>
      </c>
      <c r="C5881" s="196">
        <v>-50900</v>
      </c>
      <c r="D5881" s="196">
        <v>0</v>
      </c>
      <c r="E5881" s="196">
        <v>0</v>
      </c>
      <c r="F5881" s="196">
        <v>0</v>
      </c>
      <c r="G5881" s="196">
        <v>-50900</v>
      </c>
    </row>
    <row r="5882" spans="1:7" x14ac:dyDescent="0.3">
      <c r="A5882" s="198">
        <v>8407101</v>
      </c>
      <c r="B5882" s="192" t="s">
        <v>4100</v>
      </c>
      <c r="C5882" s="196">
        <v>-290000</v>
      </c>
      <c r="D5882" s="196">
        <v>0</v>
      </c>
      <c r="E5882" s="196">
        <v>0</v>
      </c>
      <c r="F5882" s="196">
        <v>0</v>
      </c>
      <c r="G5882" s="196">
        <v>-290000</v>
      </c>
    </row>
    <row r="5883" spans="1:7" x14ac:dyDescent="0.3">
      <c r="A5883" s="198">
        <v>79406508</v>
      </c>
      <c r="B5883" s="192" t="s">
        <v>4101</v>
      </c>
      <c r="C5883" s="196">
        <v>-34900</v>
      </c>
      <c r="D5883" s="196">
        <v>0</v>
      </c>
      <c r="E5883" s="196">
        <v>0</v>
      </c>
      <c r="F5883" s="196">
        <v>0</v>
      </c>
      <c r="G5883" s="196">
        <v>-34900</v>
      </c>
    </row>
    <row r="5884" spans="1:7" x14ac:dyDescent="0.3">
      <c r="A5884" s="198">
        <v>1075258617</v>
      </c>
      <c r="B5884" s="192" t="s">
        <v>4102</v>
      </c>
      <c r="C5884" s="196">
        <v>-35000</v>
      </c>
      <c r="D5884" s="196">
        <v>0</v>
      </c>
      <c r="E5884" s="196">
        <v>0</v>
      </c>
      <c r="F5884" s="196">
        <v>0</v>
      </c>
      <c r="G5884" s="196">
        <v>-35000</v>
      </c>
    </row>
    <row r="5885" spans="1:7" x14ac:dyDescent="0.3">
      <c r="A5885" s="198">
        <v>1120395158</v>
      </c>
      <c r="B5885" s="192" t="s">
        <v>4103</v>
      </c>
      <c r="C5885" s="196">
        <v>-46800</v>
      </c>
      <c r="D5885" s="196">
        <v>0</v>
      </c>
      <c r="E5885" s="196">
        <v>0</v>
      </c>
      <c r="F5885" s="196">
        <v>0</v>
      </c>
      <c r="G5885" s="196">
        <v>-46800</v>
      </c>
    </row>
    <row r="5886" spans="1:7" x14ac:dyDescent="0.3">
      <c r="A5886" s="198">
        <v>1035026060</v>
      </c>
      <c r="B5886" s="192" t="s">
        <v>4104</v>
      </c>
      <c r="C5886" s="196">
        <v>-340000</v>
      </c>
      <c r="D5886" s="196">
        <v>0</v>
      </c>
      <c r="E5886" s="196">
        <v>0</v>
      </c>
      <c r="F5886" s="196">
        <v>0</v>
      </c>
      <c r="G5886" s="196">
        <v>-340000</v>
      </c>
    </row>
    <row r="5887" spans="1:7" x14ac:dyDescent="0.3">
      <c r="A5887" s="198">
        <v>1141529609</v>
      </c>
      <c r="B5887" s="192" t="s">
        <v>4105</v>
      </c>
      <c r="C5887" s="196">
        <v>-38400</v>
      </c>
      <c r="D5887" s="196">
        <v>0</v>
      </c>
      <c r="E5887" s="196">
        <v>0</v>
      </c>
      <c r="F5887" s="196">
        <v>0</v>
      </c>
      <c r="G5887" s="196">
        <v>-38400</v>
      </c>
    </row>
    <row r="5888" spans="1:7" x14ac:dyDescent="0.3">
      <c r="A5888" s="198">
        <v>1127217238</v>
      </c>
      <c r="B5888" s="192" t="s">
        <v>4106</v>
      </c>
      <c r="C5888" s="196">
        <v>-49000</v>
      </c>
      <c r="D5888" s="196">
        <v>0</v>
      </c>
      <c r="E5888" s="196">
        <v>0</v>
      </c>
      <c r="F5888" s="196">
        <v>0</v>
      </c>
      <c r="G5888" s="196">
        <v>-49000</v>
      </c>
    </row>
    <row r="5889" spans="1:7" x14ac:dyDescent="0.3">
      <c r="A5889" s="198">
        <v>1035024276</v>
      </c>
      <c r="B5889" s="192" t="s">
        <v>4107</v>
      </c>
      <c r="C5889" s="196">
        <v>-189000</v>
      </c>
      <c r="D5889" s="196">
        <v>0</v>
      </c>
      <c r="E5889" s="196">
        <v>0</v>
      </c>
      <c r="F5889" s="196">
        <v>0</v>
      </c>
      <c r="G5889" s="196">
        <v>-189000</v>
      </c>
    </row>
    <row r="5890" spans="1:7" x14ac:dyDescent="0.3">
      <c r="A5890" s="198">
        <v>1035015596</v>
      </c>
      <c r="B5890" s="192" t="s">
        <v>4108</v>
      </c>
      <c r="C5890" s="196">
        <v>-50900</v>
      </c>
      <c r="D5890" s="196">
        <v>0</v>
      </c>
      <c r="E5890" s="196">
        <v>0</v>
      </c>
      <c r="F5890" s="196">
        <v>0</v>
      </c>
      <c r="G5890" s="196">
        <v>-50900</v>
      </c>
    </row>
    <row r="5891" spans="1:7" x14ac:dyDescent="0.3">
      <c r="A5891" s="198">
        <v>8225242</v>
      </c>
      <c r="B5891" s="192" t="s">
        <v>804</v>
      </c>
      <c r="C5891" s="196">
        <v>0</v>
      </c>
      <c r="D5891" s="196">
        <v>0</v>
      </c>
      <c r="E5891" s="196">
        <v>38000</v>
      </c>
      <c r="F5891" s="196">
        <v>-38000</v>
      </c>
      <c r="G5891" s="196">
        <v>-38000</v>
      </c>
    </row>
    <row r="5892" spans="1:7" x14ac:dyDescent="0.3">
      <c r="A5892" s="198">
        <v>1036632380</v>
      </c>
      <c r="B5892" s="192" t="s">
        <v>4109</v>
      </c>
      <c r="C5892" s="196">
        <v>-26600</v>
      </c>
      <c r="D5892" s="196">
        <v>0</v>
      </c>
      <c r="E5892" s="196">
        <v>0</v>
      </c>
      <c r="F5892" s="196">
        <v>0</v>
      </c>
      <c r="G5892" s="196">
        <v>-26600</v>
      </c>
    </row>
    <row r="5893" spans="1:7" x14ac:dyDescent="0.3">
      <c r="A5893" s="198">
        <v>1128264741</v>
      </c>
      <c r="B5893" s="192" t="s">
        <v>4110</v>
      </c>
      <c r="C5893" s="196">
        <v>-41400</v>
      </c>
      <c r="D5893" s="196">
        <v>0</v>
      </c>
      <c r="E5893" s="196">
        <v>0</v>
      </c>
      <c r="F5893" s="196">
        <v>0</v>
      </c>
      <c r="G5893" s="196">
        <v>-41400</v>
      </c>
    </row>
    <row r="5894" spans="1:7" x14ac:dyDescent="0.3">
      <c r="A5894" s="198">
        <v>1037615841</v>
      </c>
      <c r="B5894" s="192" t="s">
        <v>4111</v>
      </c>
      <c r="C5894" s="196">
        <v>-57200</v>
      </c>
      <c r="D5894" s="196">
        <v>0</v>
      </c>
      <c r="E5894" s="196">
        <v>0</v>
      </c>
      <c r="F5894" s="196">
        <v>0</v>
      </c>
      <c r="G5894" s="196">
        <v>-57200</v>
      </c>
    </row>
    <row r="5895" spans="1:7" x14ac:dyDescent="0.3">
      <c r="A5895" s="198">
        <v>1000206037</v>
      </c>
      <c r="B5895" s="192" t="s">
        <v>4112</v>
      </c>
      <c r="C5895" s="196">
        <v>-219200</v>
      </c>
      <c r="D5895" s="196">
        <v>0</v>
      </c>
      <c r="E5895" s="196">
        <v>0</v>
      </c>
      <c r="F5895" s="196">
        <v>0</v>
      </c>
      <c r="G5895" s="196">
        <v>-219200</v>
      </c>
    </row>
    <row r="5896" spans="1:7" x14ac:dyDescent="0.3">
      <c r="A5896" s="198">
        <v>1033097448</v>
      </c>
      <c r="B5896" s="192" t="s">
        <v>805</v>
      </c>
      <c r="C5896" s="196">
        <v>0</v>
      </c>
      <c r="D5896" s="196">
        <v>0</v>
      </c>
      <c r="E5896" s="196">
        <v>297000</v>
      </c>
      <c r="F5896" s="196">
        <v>-297000</v>
      </c>
      <c r="G5896" s="196">
        <v>-297000</v>
      </c>
    </row>
    <row r="5897" spans="1:7" x14ac:dyDescent="0.3">
      <c r="A5897" s="198">
        <v>1128433000</v>
      </c>
      <c r="B5897" s="192" t="s">
        <v>4113</v>
      </c>
      <c r="C5897" s="196">
        <v>-43900</v>
      </c>
      <c r="D5897" s="196">
        <v>0</v>
      </c>
      <c r="E5897" s="196">
        <v>0</v>
      </c>
      <c r="F5897" s="196">
        <v>0</v>
      </c>
      <c r="G5897" s="196">
        <v>-43900</v>
      </c>
    </row>
    <row r="5898" spans="1:7" x14ac:dyDescent="0.3">
      <c r="A5898" s="198">
        <v>1036635480</v>
      </c>
      <c r="B5898" s="192" t="s">
        <v>1686</v>
      </c>
      <c r="C5898" s="196">
        <v>-50900</v>
      </c>
      <c r="D5898" s="196">
        <v>0</v>
      </c>
      <c r="E5898" s="196">
        <v>0</v>
      </c>
      <c r="F5898" s="196">
        <v>0</v>
      </c>
      <c r="G5898" s="196">
        <v>-50900</v>
      </c>
    </row>
    <row r="5899" spans="1:7" x14ac:dyDescent="0.3">
      <c r="A5899" s="198">
        <v>80895278</v>
      </c>
      <c r="B5899" s="192" t="s">
        <v>806</v>
      </c>
      <c r="C5899" s="196">
        <v>0</v>
      </c>
      <c r="D5899" s="196">
        <v>0</v>
      </c>
      <c r="E5899" s="196">
        <v>50900</v>
      </c>
      <c r="F5899" s="196">
        <v>-50900</v>
      </c>
      <c r="G5899" s="196">
        <v>-50900</v>
      </c>
    </row>
    <row r="5900" spans="1:7" x14ac:dyDescent="0.3">
      <c r="A5900" s="198">
        <v>1036399700</v>
      </c>
      <c r="B5900" s="192" t="s">
        <v>807</v>
      </c>
      <c r="C5900" s="196">
        <v>0</v>
      </c>
      <c r="D5900" s="196">
        <v>0</v>
      </c>
      <c r="E5900" s="196">
        <v>50900</v>
      </c>
      <c r="F5900" s="196">
        <v>-50900</v>
      </c>
      <c r="G5900" s="196">
        <v>-50900</v>
      </c>
    </row>
    <row r="5901" spans="1:7" x14ac:dyDescent="0.3">
      <c r="A5901" s="198">
        <v>43974498</v>
      </c>
      <c r="B5901" s="192" t="s">
        <v>4114</v>
      </c>
      <c r="C5901" s="196">
        <v>-50900</v>
      </c>
      <c r="D5901" s="196">
        <v>0</v>
      </c>
      <c r="E5901" s="196">
        <v>0</v>
      </c>
      <c r="F5901" s="196">
        <v>0</v>
      </c>
      <c r="G5901" s="196">
        <v>-50900</v>
      </c>
    </row>
    <row r="5902" spans="1:7" x14ac:dyDescent="0.3">
      <c r="A5902" s="198">
        <v>1038096758</v>
      </c>
      <c r="B5902" s="192" t="s">
        <v>4115</v>
      </c>
      <c r="C5902" s="196">
        <v>-50900</v>
      </c>
      <c r="D5902" s="196">
        <v>0</v>
      </c>
      <c r="E5902" s="196">
        <v>0</v>
      </c>
      <c r="F5902" s="196">
        <v>0</v>
      </c>
      <c r="G5902" s="196">
        <v>-50900</v>
      </c>
    </row>
    <row r="5903" spans="1:7" x14ac:dyDescent="0.3">
      <c r="A5903" s="198">
        <v>43260938</v>
      </c>
      <c r="B5903" s="192" t="s">
        <v>2402</v>
      </c>
      <c r="C5903" s="196">
        <v>-54200</v>
      </c>
      <c r="D5903" s="196">
        <v>0</v>
      </c>
      <c r="E5903" s="196">
        <v>0</v>
      </c>
      <c r="F5903" s="196">
        <v>0</v>
      </c>
      <c r="G5903" s="196">
        <v>-54200</v>
      </c>
    </row>
    <row r="5904" spans="1:7" x14ac:dyDescent="0.3">
      <c r="A5904" s="198">
        <v>661249721</v>
      </c>
      <c r="B5904" s="192" t="s">
        <v>809</v>
      </c>
      <c r="C5904" s="196">
        <v>-110000</v>
      </c>
      <c r="D5904" s="196">
        <v>0</v>
      </c>
      <c r="E5904" s="196">
        <v>0</v>
      </c>
      <c r="F5904" s="196">
        <v>0</v>
      </c>
      <c r="G5904" s="196">
        <v>-110000</v>
      </c>
    </row>
    <row r="5905" spans="1:7" x14ac:dyDescent="0.3">
      <c r="A5905" s="198">
        <v>1144056116</v>
      </c>
      <c r="B5905" s="192" t="s">
        <v>4116</v>
      </c>
      <c r="C5905" s="196">
        <v>-54200</v>
      </c>
      <c r="D5905" s="196">
        <v>0</v>
      </c>
      <c r="E5905" s="196">
        <v>0</v>
      </c>
      <c r="F5905" s="196">
        <v>0</v>
      </c>
      <c r="G5905" s="196">
        <v>-54200</v>
      </c>
    </row>
    <row r="5906" spans="1:7" x14ac:dyDescent="0.3">
      <c r="A5906" s="198">
        <v>1128403883</v>
      </c>
      <c r="B5906" s="192" t="s">
        <v>4117</v>
      </c>
      <c r="C5906" s="196">
        <v>-50900</v>
      </c>
      <c r="D5906" s="196">
        <v>0</v>
      </c>
      <c r="E5906" s="196">
        <v>0</v>
      </c>
      <c r="F5906" s="196">
        <v>0</v>
      </c>
      <c r="G5906" s="196">
        <v>-50900</v>
      </c>
    </row>
    <row r="5907" spans="1:7" x14ac:dyDescent="0.3">
      <c r="A5907" s="192" t="s">
        <v>4118</v>
      </c>
      <c r="B5907" s="192" t="s">
        <v>4119</v>
      </c>
      <c r="C5907" s="196">
        <v>-297000</v>
      </c>
      <c r="D5907" s="196">
        <v>0</v>
      </c>
      <c r="E5907" s="196">
        <v>0</v>
      </c>
      <c r="F5907" s="196">
        <v>0</v>
      </c>
      <c r="G5907" s="196">
        <v>-297000</v>
      </c>
    </row>
    <row r="5908" spans="1:7" x14ac:dyDescent="0.3">
      <c r="A5908" s="198">
        <v>1017229913</v>
      </c>
      <c r="B5908" s="192" t="s">
        <v>4120</v>
      </c>
      <c r="C5908" s="196">
        <v>-38400</v>
      </c>
      <c r="D5908" s="196">
        <v>0</v>
      </c>
      <c r="E5908" s="196">
        <v>0</v>
      </c>
      <c r="F5908" s="196">
        <v>0</v>
      </c>
      <c r="G5908" s="196">
        <v>-38400</v>
      </c>
    </row>
    <row r="5909" spans="1:7" x14ac:dyDescent="0.3">
      <c r="A5909" s="198">
        <v>1033372163</v>
      </c>
      <c r="B5909" s="192" t="s">
        <v>4121</v>
      </c>
      <c r="C5909" s="196">
        <v>-135000</v>
      </c>
      <c r="D5909" s="196">
        <v>0</v>
      </c>
      <c r="E5909" s="196">
        <v>0</v>
      </c>
      <c r="F5909" s="196">
        <v>0</v>
      </c>
      <c r="G5909" s="196">
        <v>-135000</v>
      </c>
    </row>
    <row r="5910" spans="1:7" x14ac:dyDescent="0.3">
      <c r="A5910" s="198">
        <v>1036396940</v>
      </c>
      <c r="B5910" s="192" t="s">
        <v>4122</v>
      </c>
      <c r="C5910" s="196">
        <v>-50900</v>
      </c>
      <c r="D5910" s="196">
        <v>0</v>
      </c>
      <c r="E5910" s="196">
        <v>0</v>
      </c>
      <c r="F5910" s="196">
        <v>0</v>
      </c>
      <c r="G5910" s="196">
        <v>-50900</v>
      </c>
    </row>
    <row r="5911" spans="1:7" x14ac:dyDescent="0.3">
      <c r="A5911" s="198">
        <v>70954946</v>
      </c>
      <c r="B5911" s="192" t="s">
        <v>4123</v>
      </c>
      <c r="C5911" s="196">
        <v>-50900</v>
      </c>
      <c r="D5911" s="196">
        <v>0</v>
      </c>
      <c r="E5911" s="196">
        <v>0</v>
      </c>
      <c r="F5911" s="196">
        <v>0</v>
      </c>
      <c r="G5911" s="196">
        <v>-50900</v>
      </c>
    </row>
    <row r="5912" spans="1:7" x14ac:dyDescent="0.3">
      <c r="A5912" s="198">
        <v>80105728</v>
      </c>
      <c r="B5912" s="192" t="s">
        <v>811</v>
      </c>
      <c r="C5912" s="196">
        <v>0</v>
      </c>
      <c r="D5912" s="196">
        <v>0</v>
      </c>
      <c r="E5912" s="196">
        <v>53000</v>
      </c>
      <c r="F5912" s="196">
        <v>-53000</v>
      </c>
      <c r="G5912" s="196">
        <v>-53000</v>
      </c>
    </row>
    <row r="5913" spans="1:7" x14ac:dyDescent="0.3">
      <c r="A5913" s="198">
        <v>98670719</v>
      </c>
      <c r="B5913" s="192" t="s">
        <v>4124</v>
      </c>
      <c r="C5913" s="196">
        <v>-50900</v>
      </c>
      <c r="D5913" s="196">
        <v>0</v>
      </c>
      <c r="E5913" s="196">
        <v>0</v>
      </c>
      <c r="F5913" s="196">
        <v>0</v>
      </c>
      <c r="G5913" s="196">
        <v>-50900</v>
      </c>
    </row>
    <row r="5914" spans="1:7" x14ac:dyDescent="0.3">
      <c r="A5914" s="198">
        <v>75094029</v>
      </c>
      <c r="B5914" s="192" t="s">
        <v>812</v>
      </c>
      <c r="C5914" s="196">
        <v>0</v>
      </c>
      <c r="D5914" s="196">
        <v>0</v>
      </c>
      <c r="E5914" s="196">
        <v>50900</v>
      </c>
      <c r="F5914" s="196">
        <v>-50900</v>
      </c>
      <c r="G5914" s="196">
        <v>-50900</v>
      </c>
    </row>
    <row r="5915" spans="1:7" x14ac:dyDescent="0.3">
      <c r="A5915" s="198">
        <v>1037603422</v>
      </c>
      <c r="B5915" s="192" t="s">
        <v>4125</v>
      </c>
      <c r="C5915" s="196">
        <v>-297000</v>
      </c>
      <c r="D5915" s="196">
        <v>0</v>
      </c>
      <c r="E5915" s="196">
        <v>0</v>
      </c>
      <c r="F5915" s="196">
        <v>0</v>
      </c>
      <c r="G5915" s="196">
        <v>-297000</v>
      </c>
    </row>
    <row r="5916" spans="1:7" x14ac:dyDescent="0.3">
      <c r="A5916" s="198">
        <v>1037571543</v>
      </c>
      <c r="B5916" s="192" t="s">
        <v>4126</v>
      </c>
      <c r="C5916" s="196">
        <v>-119000</v>
      </c>
      <c r="D5916" s="196">
        <v>0</v>
      </c>
      <c r="E5916" s="196">
        <v>0</v>
      </c>
      <c r="F5916" s="196">
        <v>0</v>
      </c>
      <c r="G5916" s="196">
        <v>-119000</v>
      </c>
    </row>
    <row r="5917" spans="1:7" x14ac:dyDescent="0.3">
      <c r="A5917" s="198">
        <v>71739740</v>
      </c>
      <c r="B5917" s="192" t="s">
        <v>4127</v>
      </c>
      <c r="C5917" s="196">
        <v>-50900</v>
      </c>
      <c r="D5917" s="196">
        <v>0</v>
      </c>
      <c r="E5917" s="196">
        <v>0</v>
      </c>
      <c r="F5917" s="196">
        <v>0</v>
      </c>
      <c r="G5917" s="196">
        <v>-50900</v>
      </c>
    </row>
    <row r="5918" spans="1:7" x14ac:dyDescent="0.3">
      <c r="A5918" s="198">
        <v>98665343</v>
      </c>
      <c r="B5918" s="192" t="s">
        <v>4128</v>
      </c>
      <c r="C5918" s="196">
        <v>-73200</v>
      </c>
      <c r="D5918" s="196">
        <v>0</v>
      </c>
      <c r="E5918" s="196">
        <v>0</v>
      </c>
      <c r="F5918" s="196">
        <v>0</v>
      </c>
      <c r="G5918" s="196">
        <v>-73200</v>
      </c>
    </row>
    <row r="5919" spans="1:7" x14ac:dyDescent="0.3">
      <c r="A5919" s="198">
        <v>3438721</v>
      </c>
      <c r="B5919" s="192" t="s">
        <v>813</v>
      </c>
      <c r="C5919" s="196">
        <v>0</v>
      </c>
      <c r="D5919" s="196">
        <v>0</v>
      </c>
      <c r="E5919" s="196">
        <v>50900</v>
      </c>
      <c r="F5919" s="196">
        <v>-50900</v>
      </c>
      <c r="G5919" s="196">
        <v>-50900</v>
      </c>
    </row>
    <row r="5920" spans="1:7" x14ac:dyDescent="0.3">
      <c r="A5920" s="198">
        <v>1128280754</v>
      </c>
      <c r="B5920" s="192" t="s">
        <v>4129</v>
      </c>
      <c r="C5920" s="196">
        <v>-50900</v>
      </c>
      <c r="D5920" s="196">
        <v>0</v>
      </c>
      <c r="E5920" s="196">
        <v>0</v>
      </c>
      <c r="F5920" s="196">
        <v>0</v>
      </c>
      <c r="G5920" s="196">
        <v>-50900</v>
      </c>
    </row>
    <row r="5921" spans="1:7" x14ac:dyDescent="0.3">
      <c r="A5921" s="198">
        <v>79960515</v>
      </c>
      <c r="B5921" s="192" t="s">
        <v>4130</v>
      </c>
      <c r="C5921" s="196">
        <v>-43900</v>
      </c>
      <c r="D5921" s="196">
        <v>0</v>
      </c>
      <c r="E5921" s="196">
        <v>0</v>
      </c>
      <c r="F5921" s="196">
        <v>0</v>
      </c>
      <c r="G5921" s="196">
        <v>-43900</v>
      </c>
    </row>
    <row r="5922" spans="1:7" x14ac:dyDescent="0.3">
      <c r="A5922" s="198">
        <v>8457415</v>
      </c>
      <c r="B5922" s="192" t="s">
        <v>814</v>
      </c>
      <c r="C5922" s="196">
        <v>0</v>
      </c>
      <c r="D5922" s="196">
        <v>0</v>
      </c>
      <c r="E5922" s="196">
        <v>114400</v>
      </c>
      <c r="F5922" s="196">
        <v>-114400</v>
      </c>
      <c r="G5922" s="196">
        <v>-114400</v>
      </c>
    </row>
    <row r="5923" spans="1:7" x14ac:dyDescent="0.3">
      <c r="A5923" s="198">
        <v>71260098</v>
      </c>
      <c r="B5923" s="192" t="s">
        <v>4131</v>
      </c>
      <c r="C5923" s="196">
        <v>-50900</v>
      </c>
      <c r="D5923" s="196">
        <v>0</v>
      </c>
      <c r="E5923" s="196">
        <v>0</v>
      </c>
      <c r="F5923" s="196">
        <v>0</v>
      </c>
      <c r="G5923" s="196">
        <v>-50900</v>
      </c>
    </row>
    <row r="5924" spans="1:7" x14ac:dyDescent="0.3">
      <c r="A5924" s="198">
        <v>888626</v>
      </c>
      <c r="B5924" s="192" t="s">
        <v>4132</v>
      </c>
      <c r="C5924" s="196">
        <v>-430000</v>
      </c>
      <c r="D5924" s="196">
        <v>0</v>
      </c>
      <c r="E5924" s="196">
        <v>0</v>
      </c>
      <c r="F5924" s="196">
        <v>0</v>
      </c>
      <c r="G5924" s="196">
        <v>-430000</v>
      </c>
    </row>
    <row r="5925" spans="1:7" x14ac:dyDescent="0.3">
      <c r="A5925" s="198">
        <v>1038063703</v>
      </c>
      <c r="B5925" s="192" t="s">
        <v>4133</v>
      </c>
      <c r="C5925" s="196">
        <v>-50900</v>
      </c>
      <c r="D5925" s="196">
        <v>0</v>
      </c>
      <c r="E5925" s="196">
        <v>0</v>
      </c>
      <c r="F5925" s="196">
        <v>0</v>
      </c>
      <c r="G5925" s="196">
        <v>-50900</v>
      </c>
    </row>
    <row r="5926" spans="1:7" x14ac:dyDescent="0.3">
      <c r="A5926" s="198">
        <v>45764892</v>
      </c>
      <c r="B5926" s="192" t="s">
        <v>815</v>
      </c>
      <c r="C5926" s="196">
        <v>-162000</v>
      </c>
      <c r="D5926" s="196">
        <v>0</v>
      </c>
      <c r="E5926" s="196">
        <v>0</v>
      </c>
      <c r="F5926" s="196">
        <v>0</v>
      </c>
      <c r="G5926" s="196">
        <v>-162000</v>
      </c>
    </row>
    <row r="5927" spans="1:7" x14ac:dyDescent="0.3">
      <c r="A5927" s="198">
        <v>1216715230</v>
      </c>
      <c r="B5927" s="192" t="s">
        <v>4134</v>
      </c>
      <c r="C5927" s="196">
        <v>-165000</v>
      </c>
      <c r="D5927" s="196">
        <v>0</v>
      </c>
      <c r="E5927" s="196">
        <v>0</v>
      </c>
      <c r="F5927" s="196">
        <v>0</v>
      </c>
      <c r="G5927" s="196">
        <v>-165000</v>
      </c>
    </row>
    <row r="5928" spans="1:7" x14ac:dyDescent="0.3">
      <c r="A5928" s="198">
        <v>1152212251</v>
      </c>
      <c r="B5928" s="192" t="s">
        <v>4135</v>
      </c>
      <c r="C5928" s="196">
        <v>-40000</v>
      </c>
      <c r="D5928" s="196">
        <v>0</v>
      </c>
      <c r="E5928" s="196">
        <v>0</v>
      </c>
      <c r="F5928" s="196">
        <v>0</v>
      </c>
      <c r="G5928" s="196">
        <v>-40000</v>
      </c>
    </row>
    <row r="5929" spans="1:7" x14ac:dyDescent="0.3">
      <c r="A5929" s="198">
        <v>1085285184</v>
      </c>
      <c r="B5929" s="192" t="s">
        <v>817</v>
      </c>
      <c r="C5929" s="196">
        <v>0</v>
      </c>
      <c r="D5929" s="196">
        <v>0</v>
      </c>
      <c r="E5929" s="196">
        <v>319000</v>
      </c>
      <c r="F5929" s="196">
        <v>-319000</v>
      </c>
      <c r="G5929" s="196">
        <v>-319000</v>
      </c>
    </row>
    <row r="5930" spans="1:7" x14ac:dyDescent="0.3">
      <c r="A5930" s="198">
        <v>98763638</v>
      </c>
      <c r="B5930" s="192" t="s">
        <v>4136</v>
      </c>
      <c r="C5930" s="196">
        <v>-50900</v>
      </c>
      <c r="D5930" s="196">
        <v>0</v>
      </c>
      <c r="E5930" s="196">
        <v>0</v>
      </c>
      <c r="F5930" s="196">
        <v>0</v>
      </c>
      <c r="G5930" s="196">
        <v>-50900</v>
      </c>
    </row>
    <row r="5931" spans="1:7" x14ac:dyDescent="0.3">
      <c r="A5931" s="198">
        <v>8161598</v>
      </c>
      <c r="B5931" s="192" t="s">
        <v>4137</v>
      </c>
      <c r="C5931" s="196">
        <v>-36000</v>
      </c>
      <c r="D5931" s="196">
        <v>0</v>
      </c>
      <c r="E5931" s="196">
        <v>0</v>
      </c>
      <c r="F5931" s="196">
        <v>0</v>
      </c>
      <c r="G5931" s="196">
        <v>-36000</v>
      </c>
    </row>
    <row r="5932" spans="1:7" x14ac:dyDescent="0.3">
      <c r="A5932" s="198">
        <v>642917298</v>
      </c>
      <c r="B5932" s="192" t="s">
        <v>4138</v>
      </c>
      <c r="C5932" s="196">
        <v>-319000</v>
      </c>
      <c r="D5932" s="196">
        <v>0</v>
      </c>
      <c r="E5932" s="196">
        <v>0</v>
      </c>
      <c r="F5932" s="196">
        <v>0</v>
      </c>
      <c r="G5932" s="196">
        <v>-319000</v>
      </c>
    </row>
    <row r="5933" spans="1:7" x14ac:dyDescent="0.3">
      <c r="A5933" s="198">
        <v>70950311</v>
      </c>
      <c r="B5933" s="192" t="s">
        <v>4139</v>
      </c>
      <c r="C5933" s="196">
        <v>-101800</v>
      </c>
      <c r="D5933" s="196">
        <v>0</v>
      </c>
      <c r="E5933" s="196">
        <v>0</v>
      </c>
      <c r="F5933" s="196">
        <v>0</v>
      </c>
      <c r="G5933" s="196">
        <v>-101800</v>
      </c>
    </row>
    <row r="5934" spans="1:7" x14ac:dyDescent="0.3">
      <c r="A5934" s="198">
        <v>70079689</v>
      </c>
      <c r="B5934" s="192" t="s">
        <v>819</v>
      </c>
      <c r="C5934" s="196">
        <v>0</v>
      </c>
      <c r="D5934" s="196">
        <v>0</v>
      </c>
      <c r="E5934" s="196">
        <v>54200</v>
      </c>
      <c r="F5934" s="196">
        <v>-54200</v>
      </c>
      <c r="G5934" s="196">
        <v>-54200</v>
      </c>
    </row>
    <row r="5935" spans="1:7" x14ac:dyDescent="0.3">
      <c r="A5935" s="198">
        <v>98551478</v>
      </c>
      <c r="B5935" s="192" t="s">
        <v>820</v>
      </c>
      <c r="C5935" s="196">
        <v>-57200</v>
      </c>
      <c r="D5935" s="196">
        <v>0</v>
      </c>
      <c r="E5935" s="196">
        <v>0</v>
      </c>
      <c r="F5935" s="196">
        <v>0</v>
      </c>
      <c r="G5935" s="196">
        <v>-57200</v>
      </c>
    </row>
    <row r="5936" spans="1:7" x14ac:dyDescent="0.3">
      <c r="A5936" s="198">
        <v>72257200</v>
      </c>
      <c r="B5936" s="192" t="s">
        <v>4140</v>
      </c>
      <c r="C5936" s="196">
        <v>-50900</v>
      </c>
      <c r="D5936" s="196">
        <v>0</v>
      </c>
      <c r="E5936" s="196">
        <v>0</v>
      </c>
      <c r="F5936" s="196">
        <v>0</v>
      </c>
      <c r="G5936" s="196">
        <v>-50900</v>
      </c>
    </row>
    <row r="5937" spans="1:7" x14ac:dyDescent="0.3">
      <c r="A5937" s="198">
        <v>8031943</v>
      </c>
      <c r="B5937" s="192" t="s">
        <v>4141</v>
      </c>
      <c r="C5937" s="196">
        <v>-50900</v>
      </c>
      <c r="D5937" s="196">
        <v>0</v>
      </c>
      <c r="E5937" s="196">
        <v>0</v>
      </c>
      <c r="F5937" s="196">
        <v>0</v>
      </c>
      <c r="G5937" s="196">
        <v>-50900</v>
      </c>
    </row>
    <row r="5938" spans="1:7" x14ac:dyDescent="0.3">
      <c r="A5938" s="198">
        <v>98633837</v>
      </c>
      <c r="B5938" s="192" t="s">
        <v>4142</v>
      </c>
      <c r="C5938" s="196">
        <v>-50900</v>
      </c>
      <c r="D5938" s="196">
        <v>0</v>
      </c>
      <c r="E5938" s="196">
        <v>0</v>
      </c>
      <c r="F5938" s="196">
        <v>0</v>
      </c>
      <c r="G5938" s="196">
        <v>-50900</v>
      </c>
    </row>
    <row r="5939" spans="1:7" x14ac:dyDescent="0.3">
      <c r="A5939" s="198">
        <v>98633302</v>
      </c>
      <c r="B5939" s="192" t="s">
        <v>4143</v>
      </c>
      <c r="C5939" s="196">
        <v>-101800</v>
      </c>
      <c r="D5939" s="196">
        <v>0</v>
      </c>
      <c r="E5939" s="196">
        <v>0</v>
      </c>
      <c r="F5939" s="196">
        <v>0</v>
      </c>
      <c r="G5939" s="196">
        <v>-101800</v>
      </c>
    </row>
    <row r="5940" spans="1:7" x14ac:dyDescent="0.3">
      <c r="A5940" s="198">
        <v>79744694</v>
      </c>
      <c r="B5940" s="192" t="s">
        <v>4144</v>
      </c>
      <c r="C5940" s="196">
        <v>-108000</v>
      </c>
      <c r="D5940" s="196">
        <v>0</v>
      </c>
      <c r="E5940" s="196">
        <v>0</v>
      </c>
      <c r="F5940" s="196">
        <v>0</v>
      </c>
      <c r="G5940" s="196">
        <v>-108000</v>
      </c>
    </row>
    <row r="5941" spans="1:7" x14ac:dyDescent="0.3">
      <c r="A5941" s="198">
        <v>7602846</v>
      </c>
      <c r="B5941" s="192" t="s">
        <v>4145</v>
      </c>
      <c r="C5941" s="196">
        <v>-165000</v>
      </c>
      <c r="D5941" s="196">
        <v>0</v>
      </c>
      <c r="E5941" s="196">
        <v>0</v>
      </c>
      <c r="F5941" s="196">
        <v>0</v>
      </c>
      <c r="G5941" s="196">
        <v>-165000</v>
      </c>
    </row>
    <row r="5942" spans="1:7" x14ac:dyDescent="0.3">
      <c r="A5942" s="198">
        <v>17132450</v>
      </c>
      <c r="B5942" s="192" t="s">
        <v>4146</v>
      </c>
      <c r="C5942" s="196">
        <v>-47000</v>
      </c>
      <c r="D5942" s="196">
        <v>0</v>
      </c>
      <c r="E5942" s="196">
        <v>0</v>
      </c>
      <c r="F5942" s="196">
        <v>0</v>
      </c>
      <c r="G5942" s="196">
        <v>-47000</v>
      </c>
    </row>
    <row r="5943" spans="1:7" x14ac:dyDescent="0.3">
      <c r="A5943" s="198">
        <v>71773320</v>
      </c>
      <c r="B5943" s="192" t="s">
        <v>4147</v>
      </c>
      <c r="C5943" s="196">
        <v>-50900</v>
      </c>
      <c r="D5943" s="196">
        <v>0</v>
      </c>
      <c r="E5943" s="196">
        <v>0</v>
      </c>
      <c r="F5943" s="196">
        <v>0</v>
      </c>
      <c r="G5943" s="196">
        <v>-50900</v>
      </c>
    </row>
    <row r="5944" spans="1:7" x14ac:dyDescent="0.3">
      <c r="A5944" s="198">
        <v>1017131166</v>
      </c>
      <c r="B5944" s="192" t="s">
        <v>4148</v>
      </c>
      <c r="C5944" s="196">
        <v>-101800</v>
      </c>
      <c r="D5944" s="196">
        <v>0</v>
      </c>
      <c r="E5944" s="196">
        <v>0</v>
      </c>
      <c r="F5944" s="196">
        <v>0</v>
      </c>
      <c r="G5944" s="196">
        <v>-101800</v>
      </c>
    </row>
    <row r="5945" spans="1:7" x14ac:dyDescent="0.3">
      <c r="A5945" s="198">
        <v>71775192</v>
      </c>
      <c r="B5945" s="192" t="s">
        <v>4149</v>
      </c>
      <c r="C5945" s="196">
        <v>-50900</v>
      </c>
      <c r="D5945" s="196">
        <v>0</v>
      </c>
      <c r="E5945" s="196">
        <v>0</v>
      </c>
      <c r="F5945" s="196">
        <v>0</v>
      </c>
      <c r="G5945" s="196">
        <v>-50900</v>
      </c>
    </row>
    <row r="5946" spans="1:7" x14ac:dyDescent="0.3">
      <c r="A5946" s="198">
        <v>89008774</v>
      </c>
      <c r="B5946" s="192" t="s">
        <v>822</v>
      </c>
      <c r="C5946" s="196">
        <v>0</v>
      </c>
      <c r="D5946" s="196">
        <v>0</v>
      </c>
      <c r="E5946" s="196">
        <v>57200</v>
      </c>
      <c r="F5946" s="196">
        <v>-57200</v>
      </c>
      <c r="G5946" s="196">
        <v>-57200</v>
      </c>
    </row>
    <row r="5947" spans="1:7" x14ac:dyDescent="0.3">
      <c r="A5947" s="198">
        <v>88251071</v>
      </c>
      <c r="B5947" s="192" t="s">
        <v>4150</v>
      </c>
      <c r="C5947" s="196">
        <v>-101800</v>
      </c>
      <c r="D5947" s="196">
        <v>0</v>
      </c>
      <c r="E5947" s="196">
        <v>0</v>
      </c>
      <c r="F5947" s="196">
        <v>0</v>
      </c>
      <c r="G5947" s="196">
        <v>-101800</v>
      </c>
    </row>
    <row r="5948" spans="1:7" x14ac:dyDescent="0.3">
      <c r="A5948" s="198">
        <v>8125957</v>
      </c>
      <c r="B5948" s="192" t="s">
        <v>4151</v>
      </c>
      <c r="C5948" s="196">
        <v>-165000</v>
      </c>
      <c r="D5948" s="196">
        <v>0</v>
      </c>
      <c r="E5948" s="196">
        <v>0</v>
      </c>
      <c r="F5948" s="196">
        <v>0</v>
      </c>
      <c r="G5948" s="196">
        <v>-165000</v>
      </c>
    </row>
    <row r="5949" spans="1:7" x14ac:dyDescent="0.3">
      <c r="A5949" s="198">
        <v>98664332</v>
      </c>
      <c r="B5949" s="192" t="s">
        <v>4152</v>
      </c>
      <c r="C5949" s="196">
        <v>-54200</v>
      </c>
      <c r="D5949" s="196">
        <v>0</v>
      </c>
      <c r="E5949" s="196">
        <v>0</v>
      </c>
      <c r="F5949" s="196">
        <v>0</v>
      </c>
      <c r="G5949" s="196">
        <v>-54200</v>
      </c>
    </row>
    <row r="5950" spans="1:7" x14ac:dyDescent="0.3">
      <c r="A5950" s="198">
        <v>8259904</v>
      </c>
      <c r="B5950" s="192" t="s">
        <v>4153</v>
      </c>
      <c r="C5950" s="196">
        <v>-380000</v>
      </c>
      <c r="D5950" s="196">
        <v>0</v>
      </c>
      <c r="E5950" s="196">
        <v>0</v>
      </c>
      <c r="F5950" s="196">
        <v>0</v>
      </c>
      <c r="G5950" s="196">
        <v>-380000</v>
      </c>
    </row>
    <row r="5951" spans="1:7" x14ac:dyDescent="0.3">
      <c r="A5951" s="198">
        <v>1144089498</v>
      </c>
      <c r="B5951" s="192" t="s">
        <v>824</v>
      </c>
      <c r="C5951" s="196">
        <v>0</v>
      </c>
      <c r="D5951" s="196">
        <v>0</v>
      </c>
      <c r="E5951" s="196">
        <v>46900</v>
      </c>
      <c r="F5951" s="196">
        <v>-46900</v>
      </c>
      <c r="G5951" s="196">
        <v>-46900</v>
      </c>
    </row>
    <row r="5952" spans="1:7" x14ac:dyDescent="0.3">
      <c r="A5952" s="198">
        <v>11187822</v>
      </c>
      <c r="B5952" s="192" t="s">
        <v>4154</v>
      </c>
      <c r="C5952" s="196">
        <v>-50900</v>
      </c>
      <c r="D5952" s="196">
        <v>0</v>
      </c>
      <c r="E5952" s="196">
        <v>0</v>
      </c>
      <c r="F5952" s="196">
        <v>0</v>
      </c>
      <c r="G5952" s="196">
        <v>-50900</v>
      </c>
    </row>
    <row r="5953" spans="1:7" x14ac:dyDescent="0.3">
      <c r="A5953" s="198">
        <v>71758337</v>
      </c>
      <c r="B5953" s="192" t="s">
        <v>825</v>
      </c>
      <c r="C5953" s="196">
        <v>-54200</v>
      </c>
      <c r="D5953" s="196">
        <v>0</v>
      </c>
      <c r="E5953" s="196">
        <v>0</v>
      </c>
      <c r="F5953" s="196">
        <v>0</v>
      </c>
      <c r="G5953" s="196">
        <v>-54200</v>
      </c>
    </row>
    <row r="5954" spans="1:7" x14ac:dyDescent="0.3">
      <c r="A5954" s="198">
        <v>98667867</v>
      </c>
      <c r="B5954" s="192" t="s">
        <v>4155</v>
      </c>
      <c r="C5954" s="196">
        <v>-50900</v>
      </c>
      <c r="D5954" s="196">
        <v>0</v>
      </c>
      <c r="E5954" s="196">
        <v>0</v>
      </c>
      <c r="F5954" s="196">
        <v>0</v>
      </c>
      <c r="G5954" s="196">
        <v>-50900</v>
      </c>
    </row>
    <row r="5955" spans="1:7" x14ac:dyDescent="0.3">
      <c r="A5955" s="198">
        <v>98516408</v>
      </c>
      <c r="B5955" s="192" t="s">
        <v>4156</v>
      </c>
      <c r="C5955" s="196">
        <v>-113600</v>
      </c>
      <c r="D5955" s="196">
        <v>0</v>
      </c>
      <c r="E5955" s="196">
        <v>0</v>
      </c>
      <c r="F5955" s="196">
        <v>0</v>
      </c>
      <c r="G5955" s="196">
        <v>-113600</v>
      </c>
    </row>
    <row r="5956" spans="1:7" x14ac:dyDescent="0.3">
      <c r="A5956" s="198">
        <v>19292886</v>
      </c>
      <c r="B5956" s="192" t="s">
        <v>4157</v>
      </c>
      <c r="C5956" s="196">
        <v>-92800</v>
      </c>
      <c r="D5956" s="196">
        <v>0</v>
      </c>
      <c r="E5956" s="196">
        <v>0</v>
      </c>
      <c r="F5956" s="196">
        <v>0</v>
      </c>
      <c r="G5956" s="196">
        <v>-92800</v>
      </c>
    </row>
    <row r="5957" spans="1:7" x14ac:dyDescent="0.3">
      <c r="A5957" s="198">
        <v>19066248</v>
      </c>
      <c r="B5957" s="192" t="s">
        <v>826</v>
      </c>
      <c r="C5957" s="196">
        <v>-50900</v>
      </c>
      <c r="D5957" s="196">
        <v>0</v>
      </c>
      <c r="E5957" s="196">
        <v>152700</v>
      </c>
      <c r="F5957" s="196">
        <v>-152700</v>
      </c>
      <c r="G5957" s="196">
        <v>-203600</v>
      </c>
    </row>
    <row r="5958" spans="1:7" x14ac:dyDescent="0.3">
      <c r="A5958" s="198">
        <v>71643909</v>
      </c>
      <c r="B5958" s="192" t="s">
        <v>4158</v>
      </c>
      <c r="C5958" s="196">
        <v>-93500</v>
      </c>
      <c r="D5958" s="196">
        <v>0</v>
      </c>
      <c r="E5958" s="196">
        <v>0</v>
      </c>
      <c r="F5958" s="196">
        <v>0</v>
      </c>
      <c r="G5958" s="196">
        <v>-93500</v>
      </c>
    </row>
    <row r="5959" spans="1:7" x14ac:dyDescent="0.3">
      <c r="A5959" s="198">
        <v>71745471</v>
      </c>
      <c r="B5959" s="192" t="s">
        <v>4159</v>
      </c>
      <c r="C5959" s="196">
        <v>-46100</v>
      </c>
      <c r="D5959" s="196">
        <v>0</v>
      </c>
      <c r="E5959" s="196">
        <v>0</v>
      </c>
      <c r="F5959" s="196">
        <v>0</v>
      </c>
      <c r="G5959" s="196">
        <v>-46100</v>
      </c>
    </row>
    <row r="5960" spans="1:7" x14ac:dyDescent="0.3">
      <c r="A5960" s="198">
        <v>70061919</v>
      </c>
      <c r="B5960" s="192" t="s">
        <v>4160</v>
      </c>
      <c r="C5960" s="196">
        <v>-108400</v>
      </c>
      <c r="D5960" s="196">
        <v>0</v>
      </c>
      <c r="E5960" s="196">
        <v>0</v>
      </c>
      <c r="F5960" s="196">
        <v>0</v>
      </c>
      <c r="G5960" s="196">
        <v>-108400</v>
      </c>
    </row>
    <row r="5961" spans="1:7" x14ac:dyDescent="0.3">
      <c r="A5961" s="198">
        <v>71772279</v>
      </c>
      <c r="B5961" s="192" t="s">
        <v>829</v>
      </c>
      <c r="C5961" s="196">
        <v>0</v>
      </c>
      <c r="D5961" s="196">
        <v>0</v>
      </c>
      <c r="E5961" s="196">
        <v>45000</v>
      </c>
      <c r="F5961" s="196">
        <v>-45000</v>
      </c>
      <c r="G5961" s="196">
        <v>-45000</v>
      </c>
    </row>
    <row r="5962" spans="1:7" x14ac:dyDescent="0.3">
      <c r="A5962" s="198">
        <v>70003018</v>
      </c>
      <c r="B5962" s="192" t="s">
        <v>4161</v>
      </c>
      <c r="C5962" s="196">
        <v>-162000</v>
      </c>
      <c r="D5962" s="196">
        <v>0</v>
      </c>
      <c r="E5962" s="196">
        <v>0</v>
      </c>
      <c r="F5962" s="196">
        <v>0</v>
      </c>
      <c r="G5962" s="196">
        <v>-162000</v>
      </c>
    </row>
    <row r="5963" spans="1:7" x14ac:dyDescent="0.3">
      <c r="A5963" s="198">
        <v>1020432683</v>
      </c>
      <c r="B5963" s="192" t="s">
        <v>4162</v>
      </c>
      <c r="C5963" s="196">
        <v>-297000</v>
      </c>
      <c r="D5963" s="196">
        <v>0</v>
      </c>
      <c r="E5963" s="196">
        <v>0</v>
      </c>
      <c r="F5963" s="196">
        <v>0</v>
      </c>
      <c r="G5963" s="196">
        <v>-297000</v>
      </c>
    </row>
    <row r="5964" spans="1:7" x14ac:dyDescent="0.3">
      <c r="A5964" s="198">
        <v>1065582972</v>
      </c>
      <c r="B5964" s="192" t="s">
        <v>4163</v>
      </c>
      <c r="C5964" s="196">
        <v>-297000</v>
      </c>
      <c r="D5964" s="196">
        <v>0</v>
      </c>
      <c r="E5964" s="196">
        <v>0</v>
      </c>
      <c r="F5964" s="196">
        <v>0</v>
      </c>
      <c r="G5964" s="196">
        <v>-297000</v>
      </c>
    </row>
    <row r="5965" spans="1:7" x14ac:dyDescent="0.3">
      <c r="A5965" s="198">
        <v>78688823</v>
      </c>
      <c r="B5965" s="192" t="s">
        <v>830</v>
      </c>
      <c r="C5965" s="196">
        <v>0</v>
      </c>
      <c r="D5965" s="196">
        <v>0</v>
      </c>
      <c r="E5965" s="196">
        <v>50900</v>
      </c>
      <c r="F5965" s="196">
        <v>-50900</v>
      </c>
      <c r="G5965" s="196">
        <v>-50900</v>
      </c>
    </row>
    <row r="5966" spans="1:7" x14ac:dyDescent="0.3">
      <c r="A5966" s="198">
        <v>123097545</v>
      </c>
      <c r="B5966" s="192" t="s">
        <v>4164</v>
      </c>
      <c r="C5966" s="196">
        <v>-297000</v>
      </c>
      <c r="D5966" s="196">
        <v>0</v>
      </c>
      <c r="E5966" s="196">
        <v>0</v>
      </c>
      <c r="F5966" s="196">
        <v>0</v>
      </c>
      <c r="G5966" s="196">
        <v>-297000</v>
      </c>
    </row>
    <row r="5967" spans="1:7" x14ac:dyDescent="0.3">
      <c r="A5967" s="198">
        <v>9021310</v>
      </c>
      <c r="B5967" s="192" t="s">
        <v>4165</v>
      </c>
      <c r="C5967" s="196">
        <v>-162000</v>
      </c>
      <c r="D5967" s="196">
        <v>0</v>
      </c>
      <c r="E5967" s="196">
        <v>0</v>
      </c>
      <c r="F5967" s="196">
        <v>0</v>
      </c>
      <c r="G5967" s="196">
        <v>-162000</v>
      </c>
    </row>
    <row r="5968" spans="1:7" x14ac:dyDescent="0.3">
      <c r="A5968" s="198">
        <v>71212302</v>
      </c>
      <c r="B5968" s="192" t="s">
        <v>832</v>
      </c>
      <c r="C5968" s="196">
        <v>0</v>
      </c>
      <c r="D5968" s="196">
        <v>0</v>
      </c>
      <c r="E5968" s="196">
        <v>165000</v>
      </c>
      <c r="F5968" s="196">
        <v>-165000</v>
      </c>
      <c r="G5968" s="196">
        <v>-165000</v>
      </c>
    </row>
    <row r="5969" spans="1:7" x14ac:dyDescent="0.3">
      <c r="A5969" s="198">
        <v>1027743034</v>
      </c>
      <c r="B5969" s="192" t="s">
        <v>4166</v>
      </c>
      <c r="C5969" s="196">
        <v>-50900</v>
      </c>
      <c r="D5969" s="196">
        <v>0</v>
      </c>
      <c r="E5969" s="196">
        <v>0</v>
      </c>
      <c r="F5969" s="196">
        <v>0</v>
      </c>
      <c r="G5969" s="196">
        <v>-50900</v>
      </c>
    </row>
    <row r="5970" spans="1:7" x14ac:dyDescent="0.3">
      <c r="A5970" s="198">
        <v>71598023</v>
      </c>
      <c r="B5970" s="192" t="s">
        <v>4167</v>
      </c>
      <c r="C5970" s="196">
        <v>-101800</v>
      </c>
      <c r="D5970" s="196">
        <v>0</v>
      </c>
      <c r="E5970" s="196">
        <v>0</v>
      </c>
      <c r="F5970" s="196">
        <v>0</v>
      </c>
      <c r="G5970" s="196">
        <v>-101800</v>
      </c>
    </row>
    <row r="5971" spans="1:7" x14ac:dyDescent="0.3">
      <c r="A5971" s="198">
        <v>98642692</v>
      </c>
      <c r="B5971" s="192" t="s">
        <v>4168</v>
      </c>
      <c r="C5971" s="196">
        <v>-113600</v>
      </c>
      <c r="D5971" s="196">
        <v>0</v>
      </c>
      <c r="E5971" s="196">
        <v>0</v>
      </c>
      <c r="F5971" s="196">
        <v>0</v>
      </c>
      <c r="G5971" s="196">
        <v>-113600</v>
      </c>
    </row>
    <row r="5972" spans="1:7" x14ac:dyDescent="0.3">
      <c r="A5972" s="198">
        <v>70062506</v>
      </c>
      <c r="B5972" s="192" t="s">
        <v>834</v>
      </c>
      <c r="C5972" s="196">
        <v>0</v>
      </c>
      <c r="D5972" s="196">
        <v>0</v>
      </c>
      <c r="E5972" s="196">
        <v>57200</v>
      </c>
      <c r="F5972" s="196">
        <v>-57200</v>
      </c>
      <c r="G5972" s="196">
        <v>-57200</v>
      </c>
    </row>
    <row r="5973" spans="1:7" x14ac:dyDescent="0.3">
      <c r="A5973" s="198">
        <v>80089901</v>
      </c>
      <c r="B5973" s="192" t="s">
        <v>835</v>
      </c>
      <c r="C5973" s="196">
        <v>0</v>
      </c>
      <c r="D5973" s="196">
        <v>0</v>
      </c>
      <c r="E5973" s="196">
        <v>54200</v>
      </c>
      <c r="F5973" s="196">
        <v>-54200</v>
      </c>
      <c r="G5973" s="196">
        <v>-54200</v>
      </c>
    </row>
    <row r="5974" spans="1:7" x14ac:dyDescent="0.3">
      <c r="A5974" s="198">
        <v>98667858</v>
      </c>
      <c r="B5974" s="192" t="s">
        <v>4169</v>
      </c>
      <c r="C5974" s="196">
        <v>-165000</v>
      </c>
      <c r="D5974" s="196">
        <v>0</v>
      </c>
      <c r="E5974" s="196">
        <v>0</v>
      </c>
      <c r="F5974" s="196">
        <v>0</v>
      </c>
      <c r="G5974" s="196">
        <v>-165000</v>
      </c>
    </row>
    <row r="5975" spans="1:7" x14ac:dyDescent="0.3">
      <c r="A5975" s="198">
        <v>8412775</v>
      </c>
      <c r="B5975" s="192" t="s">
        <v>4170</v>
      </c>
      <c r="C5975" s="196">
        <v>-47000</v>
      </c>
      <c r="D5975" s="196">
        <v>0</v>
      </c>
      <c r="E5975" s="196">
        <v>0</v>
      </c>
      <c r="F5975" s="196">
        <v>0</v>
      </c>
      <c r="G5975" s="196">
        <v>-47000</v>
      </c>
    </row>
    <row r="5976" spans="1:7" x14ac:dyDescent="0.3">
      <c r="A5976" s="198">
        <v>8430685</v>
      </c>
      <c r="B5976" s="192" t="s">
        <v>4171</v>
      </c>
      <c r="C5976" s="196">
        <v>-50900</v>
      </c>
      <c r="D5976" s="196">
        <v>0</v>
      </c>
      <c r="E5976" s="196">
        <v>0</v>
      </c>
      <c r="F5976" s="196">
        <v>0</v>
      </c>
      <c r="G5976" s="196">
        <v>-50900</v>
      </c>
    </row>
    <row r="5977" spans="1:7" x14ac:dyDescent="0.3">
      <c r="A5977" s="198">
        <v>1116813990</v>
      </c>
      <c r="B5977" s="192" t="s">
        <v>4172</v>
      </c>
      <c r="C5977" s="196">
        <v>-297000</v>
      </c>
      <c r="D5977" s="196">
        <v>0</v>
      </c>
      <c r="E5977" s="196">
        <v>0</v>
      </c>
      <c r="F5977" s="196">
        <v>0</v>
      </c>
      <c r="G5977" s="196">
        <v>-297000</v>
      </c>
    </row>
    <row r="5978" spans="1:7" x14ac:dyDescent="0.3">
      <c r="A5978" s="198">
        <v>75067755</v>
      </c>
      <c r="B5978" s="192" t="s">
        <v>4173</v>
      </c>
      <c r="C5978" s="196">
        <v>-47400</v>
      </c>
      <c r="D5978" s="196">
        <v>0</v>
      </c>
      <c r="E5978" s="196">
        <v>0</v>
      </c>
      <c r="F5978" s="196">
        <v>0</v>
      </c>
      <c r="G5978" s="196">
        <v>-47400</v>
      </c>
    </row>
    <row r="5979" spans="1:7" x14ac:dyDescent="0.3">
      <c r="A5979" s="198">
        <v>70560144</v>
      </c>
      <c r="B5979" s="192" t="s">
        <v>836</v>
      </c>
      <c r="C5979" s="196">
        <v>0</v>
      </c>
      <c r="D5979" s="196">
        <v>0</v>
      </c>
      <c r="E5979" s="196">
        <v>60300</v>
      </c>
      <c r="F5979" s="196">
        <v>-60300</v>
      </c>
      <c r="G5979" s="196">
        <v>-60300</v>
      </c>
    </row>
    <row r="5980" spans="1:7" x14ac:dyDescent="0.3">
      <c r="A5980" s="198">
        <v>70510219</v>
      </c>
      <c r="B5980" s="192" t="s">
        <v>4174</v>
      </c>
      <c r="C5980" s="196">
        <v>-47400</v>
      </c>
      <c r="D5980" s="196">
        <v>0</v>
      </c>
      <c r="E5980" s="196">
        <v>0</v>
      </c>
      <c r="F5980" s="196">
        <v>0</v>
      </c>
      <c r="G5980" s="196">
        <v>-47400</v>
      </c>
    </row>
    <row r="5981" spans="1:7" x14ac:dyDescent="0.3">
      <c r="A5981" s="198">
        <v>98630401</v>
      </c>
      <c r="B5981" s="192" t="s">
        <v>4175</v>
      </c>
      <c r="C5981" s="196">
        <v>-57200</v>
      </c>
      <c r="D5981" s="196">
        <v>0</v>
      </c>
      <c r="E5981" s="196">
        <v>0</v>
      </c>
      <c r="F5981" s="196">
        <v>0</v>
      </c>
      <c r="G5981" s="196">
        <v>-57200</v>
      </c>
    </row>
    <row r="5982" spans="1:7" x14ac:dyDescent="0.3">
      <c r="A5982" s="198">
        <v>98701757</v>
      </c>
      <c r="B5982" s="192" t="s">
        <v>4176</v>
      </c>
      <c r="C5982" s="196">
        <v>-50900</v>
      </c>
      <c r="D5982" s="196">
        <v>0</v>
      </c>
      <c r="E5982" s="196">
        <v>0</v>
      </c>
      <c r="F5982" s="196">
        <v>0</v>
      </c>
      <c r="G5982" s="196">
        <v>-50900</v>
      </c>
    </row>
    <row r="5983" spans="1:7" x14ac:dyDescent="0.3">
      <c r="A5983" s="198">
        <v>10027940</v>
      </c>
      <c r="B5983" s="192" t="s">
        <v>4177</v>
      </c>
      <c r="C5983" s="196">
        <v>-50900</v>
      </c>
      <c r="D5983" s="196">
        <v>0</v>
      </c>
      <c r="E5983" s="196">
        <v>0</v>
      </c>
      <c r="F5983" s="196">
        <v>0</v>
      </c>
      <c r="G5983" s="196">
        <v>-50900</v>
      </c>
    </row>
    <row r="5984" spans="1:7" x14ac:dyDescent="0.3">
      <c r="A5984" s="198">
        <v>8204670</v>
      </c>
      <c r="B5984" s="192" t="s">
        <v>4178</v>
      </c>
      <c r="C5984" s="196">
        <v>-24800</v>
      </c>
      <c r="D5984" s="196">
        <v>0</v>
      </c>
      <c r="E5984" s="196">
        <v>0</v>
      </c>
      <c r="F5984" s="196">
        <v>0</v>
      </c>
      <c r="G5984" s="196">
        <v>-24800</v>
      </c>
    </row>
    <row r="5985" spans="1:7" x14ac:dyDescent="0.3">
      <c r="A5985" s="198">
        <v>2782877</v>
      </c>
      <c r="B5985" s="192" t="s">
        <v>4179</v>
      </c>
      <c r="C5985" s="196">
        <v>-319000</v>
      </c>
      <c r="D5985" s="196">
        <v>0</v>
      </c>
      <c r="E5985" s="196">
        <v>0</v>
      </c>
      <c r="F5985" s="196">
        <v>0</v>
      </c>
      <c r="G5985" s="196">
        <v>-319000</v>
      </c>
    </row>
    <row r="5986" spans="1:7" x14ac:dyDescent="0.3">
      <c r="A5986" s="198">
        <v>1065650112</v>
      </c>
      <c r="B5986" s="192" t="s">
        <v>837</v>
      </c>
      <c r="C5986" s="196">
        <v>0</v>
      </c>
      <c r="D5986" s="196">
        <v>0</v>
      </c>
      <c r="E5986" s="196">
        <v>297000</v>
      </c>
      <c r="F5986" s="196">
        <v>-297000</v>
      </c>
      <c r="G5986" s="196">
        <v>-297000</v>
      </c>
    </row>
    <row r="5987" spans="1:7" x14ac:dyDescent="0.3">
      <c r="A5987" s="198">
        <v>573863617</v>
      </c>
      <c r="B5987" s="192" t="s">
        <v>4180</v>
      </c>
      <c r="C5987" s="196">
        <v>-247000</v>
      </c>
      <c r="D5987" s="196">
        <v>0</v>
      </c>
      <c r="E5987" s="196">
        <v>0</v>
      </c>
      <c r="F5987" s="196">
        <v>0</v>
      </c>
      <c r="G5987" s="196">
        <v>-247000</v>
      </c>
    </row>
    <row r="5988" spans="1:7" x14ac:dyDescent="0.3">
      <c r="A5988" s="198">
        <v>11937365</v>
      </c>
      <c r="B5988" s="192" t="s">
        <v>4181</v>
      </c>
      <c r="C5988" s="196">
        <v>-297000</v>
      </c>
      <c r="D5988" s="196">
        <v>0</v>
      </c>
      <c r="E5988" s="196">
        <v>0</v>
      </c>
      <c r="F5988" s="196">
        <v>0</v>
      </c>
      <c r="G5988" s="196">
        <v>-297000</v>
      </c>
    </row>
    <row r="5989" spans="1:7" x14ac:dyDescent="0.3">
      <c r="A5989" s="198">
        <v>516250</v>
      </c>
      <c r="B5989" s="192" t="s">
        <v>4182</v>
      </c>
      <c r="C5989" s="196">
        <v>-50900</v>
      </c>
      <c r="D5989" s="196">
        <v>0</v>
      </c>
      <c r="E5989" s="196">
        <v>0</v>
      </c>
      <c r="F5989" s="196">
        <v>0</v>
      </c>
      <c r="G5989" s="196">
        <v>-50900</v>
      </c>
    </row>
    <row r="5990" spans="1:7" x14ac:dyDescent="0.3">
      <c r="A5990" s="198">
        <v>15401298</v>
      </c>
      <c r="B5990" s="192" t="s">
        <v>4183</v>
      </c>
      <c r="C5990" s="196">
        <v>-20000</v>
      </c>
      <c r="D5990" s="196">
        <v>0</v>
      </c>
      <c r="E5990" s="196">
        <v>0</v>
      </c>
      <c r="F5990" s="196">
        <v>0</v>
      </c>
      <c r="G5990" s="196">
        <v>-20000</v>
      </c>
    </row>
    <row r="5991" spans="1:7" x14ac:dyDescent="0.3">
      <c r="A5991" s="198">
        <v>1001446350</v>
      </c>
      <c r="B5991" s="192" t="s">
        <v>4184</v>
      </c>
      <c r="C5991" s="196">
        <v>-110000</v>
      </c>
      <c r="D5991" s="196">
        <v>0</v>
      </c>
      <c r="E5991" s="196">
        <v>0</v>
      </c>
      <c r="F5991" s="196">
        <v>0</v>
      </c>
      <c r="G5991" s="196">
        <v>-110000</v>
      </c>
    </row>
    <row r="5992" spans="1:7" x14ac:dyDescent="0.3">
      <c r="A5992" s="198">
        <v>1036838649</v>
      </c>
      <c r="B5992" s="192" t="s">
        <v>838</v>
      </c>
      <c r="C5992" s="196">
        <v>0</v>
      </c>
      <c r="D5992" s="196">
        <v>0</v>
      </c>
      <c r="E5992" s="196">
        <v>319000</v>
      </c>
      <c r="F5992" s="196">
        <v>-319000</v>
      </c>
      <c r="G5992" s="196">
        <v>-319000</v>
      </c>
    </row>
    <row r="5993" spans="1:7" x14ac:dyDescent="0.3">
      <c r="A5993" s="198">
        <v>1047482667</v>
      </c>
      <c r="B5993" s="192" t="s">
        <v>4185</v>
      </c>
      <c r="C5993" s="196">
        <v>-87800</v>
      </c>
      <c r="D5993" s="196">
        <v>0</v>
      </c>
      <c r="E5993" s="196">
        <v>0</v>
      </c>
      <c r="F5993" s="196">
        <v>0</v>
      </c>
      <c r="G5993" s="196">
        <v>-87800</v>
      </c>
    </row>
    <row r="5994" spans="1:7" x14ac:dyDescent="0.3">
      <c r="A5994" s="198">
        <v>1013466338</v>
      </c>
      <c r="B5994" s="192" t="s">
        <v>840</v>
      </c>
      <c r="C5994" s="196">
        <v>0</v>
      </c>
      <c r="D5994" s="196">
        <v>0</v>
      </c>
      <c r="E5994" s="196">
        <v>50900</v>
      </c>
      <c r="F5994" s="196">
        <v>-50900</v>
      </c>
      <c r="G5994" s="196">
        <v>-50900</v>
      </c>
    </row>
    <row r="5995" spans="1:7" x14ac:dyDescent="0.3">
      <c r="A5995" s="198">
        <v>1152469482</v>
      </c>
      <c r="B5995" s="192" t="s">
        <v>4186</v>
      </c>
      <c r="C5995" s="196">
        <v>-101800</v>
      </c>
      <c r="D5995" s="196">
        <v>0</v>
      </c>
      <c r="E5995" s="196">
        <v>0</v>
      </c>
      <c r="F5995" s="196">
        <v>0</v>
      </c>
      <c r="G5995" s="196">
        <v>-101800</v>
      </c>
    </row>
    <row r="5996" spans="1:7" x14ac:dyDescent="0.3">
      <c r="A5996" s="198">
        <v>71375195</v>
      </c>
      <c r="B5996" s="192" t="s">
        <v>4187</v>
      </c>
      <c r="C5996" s="196">
        <v>-50900</v>
      </c>
      <c r="D5996" s="196">
        <v>0</v>
      </c>
      <c r="E5996" s="196">
        <v>0</v>
      </c>
      <c r="F5996" s="196">
        <v>0</v>
      </c>
      <c r="G5996" s="196">
        <v>-50900</v>
      </c>
    </row>
    <row r="5997" spans="1:7" x14ac:dyDescent="0.3">
      <c r="A5997" s="198">
        <v>72021350</v>
      </c>
      <c r="B5997" s="192" t="s">
        <v>4188</v>
      </c>
      <c r="C5997" s="196">
        <v>-50900</v>
      </c>
      <c r="D5997" s="196">
        <v>0</v>
      </c>
      <c r="E5997" s="196">
        <v>0</v>
      </c>
      <c r="F5997" s="196">
        <v>0</v>
      </c>
      <c r="G5997" s="196">
        <v>-50900</v>
      </c>
    </row>
    <row r="5998" spans="1:7" x14ac:dyDescent="0.3">
      <c r="A5998" s="198">
        <v>70130153</v>
      </c>
      <c r="B5998" s="192" t="s">
        <v>4189</v>
      </c>
      <c r="C5998" s="196">
        <v>-270000</v>
      </c>
      <c r="D5998" s="196">
        <v>0</v>
      </c>
      <c r="E5998" s="196">
        <v>0</v>
      </c>
      <c r="F5998" s="196">
        <v>0</v>
      </c>
      <c r="G5998" s="196">
        <v>-270000</v>
      </c>
    </row>
    <row r="5999" spans="1:7" x14ac:dyDescent="0.3">
      <c r="A5999" s="198">
        <v>6480257</v>
      </c>
      <c r="B5999" s="192" t="s">
        <v>4190</v>
      </c>
      <c r="C5999" s="196">
        <v>-319000</v>
      </c>
      <c r="D5999" s="196">
        <v>0</v>
      </c>
      <c r="E5999" s="196">
        <v>0</v>
      </c>
      <c r="F5999" s="196">
        <v>0</v>
      </c>
      <c r="G5999" s="196">
        <v>-319000</v>
      </c>
    </row>
    <row r="6000" spans="1:7" x14ac:dyDescent="0.3">
      <c r="A6000" s="198">
        <v>71875120</v>
      </c>
      <c r="B6000" s="192" t="s">
        <v>841</v>
      </c>
      <c r="C6000" s="196">
        <v>0</v>
      </c>
      <c r="D6000" s="196">
        <v>0</v>
      </c>
      <c r="E6000" s="196">
        <v>57200</v>
      </c>
      <c r="F6000" s="196">
        <v>-57200</v>
      </c>
      <c r="G6000" s="196">
        <v>-57200</v>
      </c>
    </row>
    <row r="6001" spans="1:7" x14ac:dyDescent="0.3">
      <c r="A6001" s="198">
        <v>17183357</v>
      </c>
      <c r="B6001" s="192" t="s">
        <v>4191</v>
      </c>
      <c r="C6001" s="196">
        <v>-297000</v>
      </c>
      <c r="D6001" s="196">
        <v>0</v>
      </c>
      <c r="E6001" s="196">
        <v>0</v>
      </c>
      <c r="F6001" s="196">
        <v>0</v>
      </c>
      <c r="G6001" s="196">
        <v>-297000</v>
      </c>
    </row>
    <row r="6002" spans="1:7" x14ac:dyDescent="0.3">
      <c r="A6002" s="198">
        <v>71182547</v>
      </c>
      <c r="B6002" s="192" t="s">
        <v>4192</v>
      </c>
      <c r="C6002" s="196">
        <v>-297000</v>
      </c>
      <c r="D6002" s="196">
        <v>0</v>
      </c>
      <c r="E6002" s="196">
        <v>0</v>
      </c>
      <c r="F6002" s="196">
        <v>0</v>
      </c>
      <c r="G6002" s="196">
        <v>-297000</v>
      </c>
    </row>
    <row r="6003" spans="1:7" x14ac:dyDescent="0.3">
      <c r="A6003" s="198">
        <v>70162545</v>
      </c>
      <c r="B6003" s="192" t="s">
        <v>4193</v>
      </c>
      <c r="C6003" s="196">
        <v>-50900</v>
      </c>
      <c r="D6003" s="196">
        <v>0</v>
      </c>
      <c r="E6003" s="196">
        <v>0</v>
      </c>
      <c r="F6003" s="196">
        <v>0</v>
      </c>
      <c r="G6003" s="196">
        <v>-50900</v>
      </c>
    </row>
    <row r="6004" spans="1:7" x14ac:dyDescent="0.3">
      <c r="A6004" s="198">
        <v>71778508</v>
      </c>
      <c r="B6004" s="192" t="s">
        <v>4194</v>
      </c>
      <c r="C6004" s="196">
        <v>-50900</v>
      </c>
      <c r="D6004" s="196">
        <v>0</v>
      </c>
      <c r="E6004" s="196">
        <v>0</v>
      </c>
      <c r="F6004" s="196">
        <v>0</v>
      </c>
      <c r="G6004" s="196">
        <v>-50900</v>
      </c>
    </row>
    <row r="6005" spans="1:7" x14ac:dyDescent="0.3">
      <c r="A6005" s="198">
        <v>98546208</v>
      </c>
      <c r="B6005" s="192" t="s">
        <v>4195</v>
      </c>
      <c r="C6005" s="196">
        <v>-144000</v>
      </c>
      <c r="D6005" s="196">
        <v>0</v>
      </c>
      <c r="E6005" s="196">
        <v>0</v>
      </c>
      <c r="F6005" s="196">
        <v>0</v>
      </c>
      <c r="G6005" s="196">
        <v>-144000</v>
      </c>
    </row>
    <row r="6006" spans="1:7" x14ac:dyDescent="0.3">
      <c r="A6006" s="198">
        <v>8407623</v>
      </c>
      <c r="B6006" s="192" t="s">
        <v>4196</v>
      </c>
      <c r="C6006" s="196">
        <v>-520300</v>
      </c>
      <c r="D6006" s="196">
        <v>0</v>
      </c>
      <c r="E6006" s="196">
        <v>0</v>
      </c>
      <c r="F6006" s="196">
        <v>0</v>
      </c>
      <c r="G6006" s="196">
        <v>-520300</v>
      </c>
    </row>
    <row r="6007" spans="1:7" x14ac:dyDescent="0.3">
      <c r="A6007" s="198">
        <v>16216379</v>
      </c>
      <c r="B6007" s="192" t="s">
        <v>4197</v>
      </c>
      <c r="C6007" s="196">
        <v>-50900</v>
      </c>
      <c r="D6007" s="196">
        <v>0</v>
      </c>
      <c r="E6007" s="196">
        <v>0</v>
      </c>
      <c r="F6007" s="196">
        <v>0</v>
      </c>
      <c r="G6007" s="196">
        <v>-50900</v>
      </c>
    </row>
    <row r="6008" spans="1:7" x14ac:dyDescent="0.3">
      <c r="A6008" s="198">
        <v>98519273</v>
      </c>
      <c r="B6008" s="192" t="s">
        <v>4198</v>
      </c>
      <c r="C6008" s="196">
        <v>-57200</v>
      </c>
      <c r="D6008" s="196">
        <v>0</v>
      </c>
      <c r="E6008" s="196">
        <v>0</v>
      </c>
      <c r="F6008" s="196">
        <v>0</v>
      </c>
      <c r="G6008" s="196">
        <v>-57200</v>
      </c>
    </row>
    <row r="6009" spans="1:7" x14ac:dyDescent="0.3">
      <c r="A6009" s="198">
        <v>8255669</v>
      </c>
      <c r="B6009" s="192" t="s">
        <v>4199</v>
      </c>
      <c r="C6009" s="196">
        <v>-50900</v>
      </c>
      <c r="D6009" s="196">
        <v>0</v>
      </c>
      <c r="E6009" s="196">
        <v>0</v>
      </c>
      <c r="F6009" s="196">
        <v>0</v>
      </c>
      <c r="G6009" s="196">
        <v>-50900</v>
      </c>
    </row>
    <row r="6010" spans="1:7" x14ac:dyDescent="0.3">
      <c r="A6010" s="198">
        <v>71774088</v>
      </c>
      <c r="B6010" s="192" t="s">
        <v>4200</v>
      </c>
      <c r="C6010" s="196">
        <v>-297000</v>
      </c>
      <c r="D6010" s="196">
        <v>0</v>
      </c>
      <c r="E6010" s="196">
        <v>0</v>
      </c>
      <c r="F6010" s="196">
        <v>0</v>
      </c>
      <c r="G6010" s="196">
        <v>-297000</v>
      </c>
    </row>
    <row r="6011" spans="1:7" x14ac:dyDescent="0.3">
      <c r="A6011" s="198">
        <v>19169339</v>
      </c>
      <c r="B6011" s="192" t="s">
        <v>842</v>
      </c>
      <c r="C6011" s="196">
        <v>-52000</v>
      </c>
      <c r="D6011" s="196">
        <v>0</v>
      </c>
      <c r="E6011" s="196">
        <v>32000</v>
      </c>
      <c r="F6011" s="196">
        <v>-32000</v>
      </c>
      <c r="G6011" s="196">
        <v>-84000</v>
      </c>
    </row>
    <row r="6012" spans="1:7" x14ac:dyDescent="0.3">
      <c r="A6012" s="198">
        <v>6206492</v>
      </c>
      <c r="B6012" s="192" t="s">
        <v>4201</v>
      </c>
      <c r="C6012" s="196">
        <v>-223300</v>
      </c>
      <c r="D6012" s="196">
        <v>0</v>
      </c>
      <c r="E6012" s="196">
        <v>0</v>
      </c>
      <c r="F6012" s="196">
        <v>0</v>
      </c>
      <c r="G6012" s="196">
        <v>-223300</v>
      </c>
    </row>
    <row r="6013" spans="1:7" x14ac:dyDescent="0.3">
      <c r="A6013" s="198">
        <v>71666834</v>
      </c>
      <c r="B6013" s="192" t="s">
        <v>4202</v>
      </c>
      <c r="C6013" s="196">
        <v>-46400</v>
      </c>
      <c r="D6013" s="196">
        <v>0</v>
      </c>
      <c r="E6013" s="196">
        <v>0</v>
      </c>
      <c r="F6013" s="196">
        <v>0</v>
      </c>
      <c r="G6013" s="196">
        <v>-46400</v>
      </c>
    </row>
    <row r="6014" spans="1:7" x14ac:dyDescent="0.3">
      <c r="A6014" s="198">
        <v>1122532614</v>
      </c>
      <c r="B6014" s="192" t="s">
        <v>4203</v>
      </c>
      <c r="C6014" s="196">
        <v>-41400</v>
      </c>
      <c r="D6014" s="196">
        <v>0</v>
      </c>
      <c r="E6014" s="196">
        <v>0</v>
      </c>
      <c r="F6014" s="196">
        <v>0</v>
      </c>
      <c r="G6014" s="196">
        <v>-41400</v>
      </c>
    </row>
    <row r="6015" spans="1:7" x14ac:dyDescent="0.3">
      <c r="A6015" s="198">
        <v>654392486</v>
      </c>
      <c r="B6015" s="192" t="s">
        <v>4204</v>
      </c>
      <c r="C6015" s="196">
        <v>-110000</v>
      </c>
      <c r="D6015" s="196">
        <v>0</v>
      </c>
      <c r="E6015" s="196">
        <v>0</v>
      </c>
      <c r="F6015" s="196">
        <v>0</v>
      </c>
      <c r="G6015" s="196">
        <v>-110000</v>
      </c>
    </row>
    <row r="6016" spans="1:7" x14ac:dyDescent="0.3">
      <c r="A6016" s="198">
        <v>6358052</v>
      </c>
      <c r="B6016" s="192" t="s">
        <v>4205</v>
      </c>
      <c r="C6016" s="196">
        <v>-57200</v>
      </c>
      <c r="D6016" s="196">
        <v>0</v>
      </c>
      <c r="E6016" s="196">
        <v>0</v>
      </c>
      <c r="F6016" s="196">
        <v>0</v>
      </c>
      <c r="G6016" s="196">
        <v>-57200</v>
      </c>
    </row>
    <row r="6017" spans="1:7" x14ac:dyDescent="0.3">
      <c r="A6017" s="198">
        <v>71267536</v>
      </c>
      <c r="B6017" s="192" t="s">
        <v>4206</v>
      </c>
      <c r="C6017" s="196">
        <v>-50900</v>
      </c>
      <c r="D6017" s="196">
        <v>0</v>
      </c>
      <c r="E6017" s="196">
        <v>0</v>
      </c>
      <c r="F6017" s="196">
        <v>0</v>
      </c>
      <c r="G6017" s="196">
        <v>-50900</v>
      </c>
    </row>
    <row r="6018" spans="1:7" x14ac:dyDescent="0.3">
      <c r="A6018" s="198">
        <v>9091179</v>
      </c>
      <c r="B6018" s="192" t="s">
        <v>843</v>
      </c>
      <c r="C6018" s="196">
        <v>0</v>
      </c>
      <c r="D6018" s="196">
        <v>0</v>
      </c>
      <c r="E6018" s="196">
        <v>46400</v>
      </c>
      <c r="F6018" s="196">
        <v>-46400</v>
      </c>
      <c r="G6018" s="196">
        <v>-46400</v>
      </c>
    </row>
    <row r="6019" spans="1:7" x14ac:dyDescent="0.3">
      <c r="A6019" s="198">
        <v>8060823</v>
      </c>
      <c r="B6019" s="192" t="s">
        <v>4207</v>
      </c>
      <c r="C6019" s="196">
        <v>-290000</v>
      </c>
      <c r="D6019" s="196">
        <v>0</v>
      </c>
      <c r="E6019" s="196">
        <v>0</v>
      </c>
      <c r="F6019" s="196">
        <v>0</v>
      </c>
      <c r="G6019" s="196">
        <v>-290000</v>
      </c>
    </row>
    <row r="6020" spans="1:7" x14ac:dyDescent="0.3">
      <c r="A6020" s="198">
        <v>1152223373</v>
      </c>
      <c r="B6020" s="192" t="s">
        <v>844</v>
      </c>
      <c r="C6020" s="196">
        <v>0</v>
      </c>
      <c r="D6020" s="196">
        <v>0</v>
      </c>
      <c r="E6020" s="196">
        <v>50900</v>
      </c>
      <c r="F6020" s="196">
        <v>-50900</v>
      </c>
      <c r="G6020" s="196">
        <v>-50900</v>
      </c>
    </row>
    <row r="6021" spans="1:7" x14ac:dyDescent="0.3">
      <c r="A6021" s="198">
        <v>71761261</v>
      </c>
      <c r="B6021" s="192" t="s">
        <v>4208</v>
      </c>
      <c r="C6021" s="196">
        <v>-250000</v>
      </c>
      <c r="D6021" s="196">
        <v>0</v>
      </c>
      <c r="E6021" s="196">
        <v>0</v>
      </c>
      <c r="F6021" s="196">
        <v>0</v>
      </c>
      <c r="G6021" s="196">
        <v>-250000</v>
      </c>
    </row>
    <row r="6022" spans="1:7" x14ac:dyDescent="0.3">
      <c r="A6022" s="198">
        <v>3672654</v>
      </c>
      <c r="B6022" s="192" t="s">
        <v>4209</v>
      </c>
      <c r="C6022" s="196">
        <v>-223300</v>
      </c>
      <c r="D6022" s="196">
        <v>0</v>
      </c>
      <c r="E6022" s="196">
        <v>0</v>
      </c>
      <c r="F6022" s="196">
        <v>0</v>
      </c>
      <c r="G6022" s="196">
        <v>-223300</v>
      </c>
    </row>
    <row r="6023" spans="1:7" x14ac:dyDescent="0.3">
      <c r="A6023" s="198">
        <v>1039623097</v>
      </c>
      <c r="B6023" s="192" t="s">
        <v>4210</v>
      </c>
      <c r="C6023" s="196">
        <v>-47000</v>
      </c>
      <c r="D6023" s="196">
        <v>0</v>
      </c>
      <c r="E6023" s="196">
        <v>0</v>
      </c>
      <c r="F6023" s="196">
        <v>0</v>
      </c>
      <c r="G6023" s="196">
        <v>-47000</v>
      </c>
    </row>
    <row r="6024" spans="1:7" x14ac:dyDescent="0.3">
      <c r="A6024" s="198">
        <v>1031941924</v>
      </c>
      <c r="B6024" s="192" t="s">
        <v>4211</v>
      </c>
      <c r="C6024" s="196">
        <v>-50900</v>
      </c>
      <c r="D6024" s="196">
        <v>0</v>
      </c>
      <c r="E6024" s="196">
        <v>0</v>
      </c>
      <c r="F6024" s="196">
        <v>0</v>
      </c>
      <c r="G6024" s="196">
        <v>-50900</v>
      </c>
    </row>
    <row r="6025" spans="1:7" x14ac:dyDescent="0.3">
      <c r="A6025" s="198">
        <v>15251516</v>
      </c>
      <c r="B6025" s="192" t="s">
        <v>4212</v>
      </c>
      <c r="C6025" s="196">
        <v>-57200</v>
      </c>
      <c r="D6025" s="196">
        <v>0</v>
      </c>
      <c r="E6025" s="196">
        <v>0</v>
      </c>
      <c r="F6025" s="196">
        <v>0</v>
      </c>
      <c r="G6025" s="196">
        <v>-57200</v>
      </c>
    </row>
    <row r="6026" spans="1:7" x14ac:dyDescent="0.3">
      <c r="A6026" s="198">
        <v>1036958870</v>
      </c>
      <c r="B6026" s="192" t="s">
        <v>4213</v>
      </c>
      <c r="C6026" s="196">
        <v>-270000</v>
      </c>
      <c r="D6026" s="196">
        <v>0</v>
      </c>
      <c r="E6026" s="196">
        <v>0</v>
      </c>
      <c r="F6026" s="196">
        <v>0</v>
      </c>
      <c r="G6026" s="196">
        <v>-270000</v>
      </c>
    </row>
    <row r="6027" spans="1:7" x14ac:dyDescent="0.3">
      <c r="A6027" s="198">
        <v>1017123671</v>
      </c>
      <c r="B6027" s="192" t="s">
        <v>4214</v>
      </c>
      <c r="C6027" s="196">
        <v>-319000</v>
      </c>
      <c r="D6027" s="196">
        <v>0</v>
      </c>
      <c r="E6027" s="196">
        <v>0</v>
      </c>
      <c r="F6027" s="196">
        <v>0</v>
      </c>
      <c r="G6027" s="196">
        <v>-319000</v>
      </c>
    </row>
    <row r="6028" spans="1:7" x14ac:dyDescent="0.3">
      <c r="A6028" s="198">
        <v>1001132256</v>
      </c>
      <c r="B6028" s="192" t="s">
        <v>4215</v>
      </c>
      <c r="C6028" s="196">
        <v>-50900</v>
      </c>
      <c r="D6028" s="196">
        <v>0</v>
      </c>
      <c r="E6028" s="196">
        <v>0</v>
      </c>
      <c r="F6028" s="196">
        <v>0</v>
      </c>
      <c r="G6028" s="196">
        <v>-50900</v>
      </c>
    </row>
    <row r="6029" spans="1:7" x14ac:dyDescent="0.3">
      <c r="A6029" s="198">
        <v>1078013214</v>
      </c>
      <c r="B6029" s="192" t="s">
        <v>846</v>
      </c>
      <c r="C6029" s="196">
        <v>0</v>
      </c>
      <c r="D6029" s="196">
        <v>0</v>
      </c>
      <c r="E6029" s="196">
        <v>50900</v>
      </c>
      <c r="F6029" s="196">
        <v>-50900</v>
      </c>
      <c r="G6029" s="196">
        <v>-50900</v>
      </c>
    </row>
    <row r="6030" spans="1:7" x14ac:dyDescent="0.3">
      <c r="A6030" s="198">
        <v>1038876650</v>
      </c>
      <c r="B6030" s="192" t="s">
        <v>4216</v>
      </c>
      <c r="C6030" s="196">
        <v>-35000</v>
      </c>
      <c r="D6030" s="196">
        <v>0</v>
      </c>
      <c r="E6030" s="196">
        <v>0</v>
      </c>
      <c r="F6030" s="196">
        <v>0</v>
      </c>
      <c r="G6030" s="196">
        <v>-35000</v>
      </c>
    </row>
    <row r="6031" spans="1:7" x14ac:dyDescent="0.3">
      <c r="A6031" s="198">
        <v>17026400</v>
      </c>
      <c r="B6031" s="192" t="s">
        <v>4217</v>
      </c>
      <c r="C6031" s="196">
        <v>-319000</v>
      </c>
      <c r="D6031" s="196">
        <v>0</v>
      </c>
      <c r="E6031" s="196">
        <v>0</v>
      </c>
      <c r="F6031" s="196">
        <v>0</v>
      </c>
      <c r="G6031" s="196">
        <v>-319000</v>
      </c>
    </row>
    <row r="6032" spans="1:7" x14ac:dyDescent="0.3">
      <c r="A6032" s="198">
        <v>8213748</v>
      </c>
      <c r="B6032" s="192" t="s">
        <v>4218</v>
      </c>
      <c r="C6032" s="196">
        <v>-270000</v>
      </c>
      <c r="D6032" s="196">
        <v>0</v>
      </c>
      <c r="E6032" s="196">
        <v>0</v>
      </c>
      <c r="F6032" s="196">
        <v>0</v>
      </c>
      <c r="G6032" s="196">
        <v>-270000</v>
      </c>
    </row>
    <row r="6033" spans="1:7" x14ac:dyDescent="0.3">
      <c r="A6033" s="198">
        <v>80407554</v>
      </c>
      <c r="B6033" s="192" t="s">
        <v>4219</v>
      </c>
      <c r="C6033" s="196">
        <v>-50900</v>
      </c>
      <c r="D6033" s="196">
        <v>0</v>
      </c>
      <c r="E6033" s="196">
        <v>0</v>
      </c>
      <c r="F6033" s="196">
        <v>0</v>
      </c>
      <c r="G6033" s="196">
        <v>-50900</v>
      </c>
    </row>
    <row r="6034" spans="1:7" x14ac:dyDescent="0.3">
      <c r="A6034" s="198">
        <v>71619877</v>
      </c>
      <c r="B6034" s="192" t="s">
        <v>4220</v>
      </c>
      <c r="C6034" s="196">
        <v>-207900</v>
      </c>
      <c r="D6034" s="196">
        <v>0</v>
      </c>
      <c r="E6034" s="196">
        <v>0</v>
      </c>
      <c r="F6034" s="196">
        <v>0</v>
      </c>
      <c r="G6034" s="196">
        <v>-207900</v>
      </c>
    </row>
    <row r="6035" spans="1:7" x14ac:dyDescent="0.3">
      <c r="A6035" s="198">
        <v>98588275</v>
      </c>
      <c r="B6035" s="192" t="s">
        <v>4221</v>
      </c>
      <c r="C6035" s="196">
        <v>-290000</v>
      </c>
      <c r="D6035" s="196">
        <v>0</v>
      </c>
      <c r="E6035" s="196">
        <v>0</v>
      </c>
      <c r="F6035" s="196">
        <v>0</v>
      </c>
      <c r="G6035" s="196">
        <v>-290000</v>
      </c>
    </row>
    <row r="6036" spans="1:7" x14ac:dyDescent="0.3">
      <c r="A6036" s="198">
        <v>4325314</v>
      </c>
      <c r="B6036" s="192" t="s">
        <v>4222</v>
      </c>
      <c r="C6036" s="196">
        <v>-29700</v>
      </c>
      <c r="D6036" s="196">
        <v>0</v>
      </c>
      <c r="E6036" s="196">
        <v>0</v>
      </c>
      <c r="F6036" s="196">
        <v>0</v>
      </c>
      <c r="G6036" s="196">
        <v>-29700</v>
      </c>
    </row>
    <row r="6037" spans="1:7" x14ac:dyDescent="0.3">
      <c r="A6037" s="198">
        <v>3047041</v>
      </c>
      <c r="B6037" s="192" t="s">
        <v>4223</v>
      </c>
      <c r="C6037" s="196">
        <v>-319000</v>
      </c>
      <c r="D6037" s="196">
        <v>0</v>
      </c>
      <c r="E6037" s="196">
        <v>0</v>
      </c>
      <c r="F6037" s="196">
        <v>0</v>
      </c>
      <c r="G6037" s="196">
        <v>-319000</v>
      </c>
    </row>
    <row r="6038" spans="1:7" x14ac:dyDescent="0.3">
      <c r="A6038" s="198">
        <v>1036450668</v>
      </c>
      <c r="B6038" s="192" t="s">
        <v>4224</v>
      </c>
      <c r="C6038" s="196">
        <v>-297000</v>
      </c>
      <c r="D6038" s="196">
        <v>0</v>
      </c>
      <c r="E6038" s="196">
        <v>0</v>
      </c>
      <c r="F6038" s="196">
        <v>0</v>
      </c>
      <c r="G6038" s="196">
        <v>-297000</v>
      </c>
    </row>
    <row r="6039" spans="1:7" x14ac:dyDescent="0.3">
      <c r="A6039" s="198">
        <v>1000416832</v>
      </c>
      <c r="B6039" s="192" t="s">
        <v>4225</v>
      </c>
      <c r="C6039" s="196">
        <v>-229000</v>
      </c>
      <c r="D6039" s="196">
        <v>0</v>
      </c>
      <c r="E6039" s="196">
        <v>0</v>
      </c>
      <c r="F6039" s="196">
        <v>0</v>
      </c>
      <c r="G6039" s="196">
        <v>-229000</v>
      </c>
    </row>
    <row r="6040" spans="1:7" x14ac:dyDescent="0.3">
      <c r="A6040" s="198">
        <v>10169539</v>
      </c>
      <c r="B6040" s="192" t="s">
        <v>4226</v>
      </c>
      <c r="C6040" s="196">
        <v>-57200</v>
      </c>
      <c r="D6040" s="196">
        <v>0</v>
      </c>
      <c r="E6040" s="196">
        <v>0</v>
      </c>
      <c r="F6040" s="196">
        <v>0</v>
      </c>
      <c r="G6040" s="196">
        <v>-57200</v>
      </c>
    </row>
    <row r="6041" spans="1:7" x14ac:dyDescent="0.3">
      <c r="A6041" s="198">
        <v>1001368238</v>
      </c>
      <c r="B6041" s="192" t="s">
        <v>4227</v>
      </c>
      <c r="C6041" s="196">
        <v>-297000</v>
      </c>
      <c r="D6041" s="196">
        <v>0</v>
      </c>
      <c r="E6041" s="196">
        <v>0</v>
      </c>
      <c r="F6041" s="196">
        <v>0</v>
      </c>
      <c r="G6041" s="196">
        <v>-297000</v>
      </c>
    </row>
    <row r="6042" spans="1:7" x14ac:dyDescent="0.3">
      <c r="A6042" s="198">
        <v>25757986</v>
      </c>
      <c r="B6042" s="192" t="s">
        <v>4228</v>
      </c>
      <c r="C6042" s="196">
        <v>-319000</v>
      </c>
      <c r="D6042" s="196">
        <v>0</v>
      </c>
      <c r="E6042" s="196">
        <v>0</v>
      </c>
      <c r="F6042" s="196">
        <v>0</v>
      </c>
      <c r="G6042" s="196">
        <v>-319000</v>
      </c>
    </row>
    <row r="6043" spans="1:7" x14ac:dyDescent="0.3">
      <c r="A6043" s="198">
        <v>23247290</v>
      </c>
      <c r="B6043" s="192" t="s">
        <v>4229</v>
      </c>
      <c r="C6043" s="196">
        <v>-297000</v>
      </c>
      <c r="D6043" s="196">
        <v>0</v>
      </c>
      <c r="E6043" s="196">
        <v>0</v>
      </c>
      <c r="F6043" s="196">
        <v>0</v>
      </c>
      <c r="G6043" s="196">
        <v>-297000</v>
      </c>
    </row>
    <row r="6044" spans="1:7" x14ac:dyDescent="0.3">
      <c r="A6044" s="198">
        <v>1022008370</v>
      </c>
      <c r="B6044" s="192" t="s">
        <v>4230</v>
      </c>
      <c r="C6044" s="196">
        <v>-36600</v>
      </c>
      <c r="D6044" s="196">
        <v>0</v>
      </c>
      <c r="E6044" s="196">
        <v>0</v>
      </c>
      <c r="F6044" s="196">
        <v>0</v>
      </c>
      <c r="G6044" s="196">
        <v>-36600</v>
      </c>
    </row>
    <row r="6045" spans="1:7" x14ac:dyDescent="0.3">
      <c r="A6045" s="198">
        <v>1055857</v>
      </c>
      <c r="B6045" s="192" t="s">
        <v>4231</v>
      </c>
      <c r="C6045" s="196">
        <v>-319000</v>
      </c>
      <c r="D6045" s="196">
        <v>0</v>
      </c>
      <c r="E6045" s="196">
        <v>0</v>
      </c>
      <c r="F6045" s="196">
        <v>0</v>
      </c>
      <c r="G6045" s="196">
        <v>-319000</v>
      </c>
    </row>
    <row r="6046" spans="1:7" x14ac:dyDescent="0.3">
      <c r="A6046" s="198">
        <v>8009459</v>
      </c>
      <c r="B6046" s="192" t="s">
        <v>4232</v>
      </c>
      <c r="C6046" s="196">
        <v>-212400</v>
      </c>
      <c r="D6046" s="196">
        <v>0</v>
      </c>
      <c r="E6046" s="196">
        <v>0</v>
      </c>
      <c r="F6046" s="196">
        <v>0</v>
      </c>
      <c r="G6046" s="196">
        <v>-212400</v>
      </c>
    </row>
    <row r="6047" spans="1:7" x14ac:dyDescent="0.3">
      <c r="A6047" s="192" t="s">
        <v>4233</v>
      </c>
      <c r="B6047" s="192" t="s">
        <v>4234</v>
      </c>
      <c r="C6047" s="196">
        <v>-319000</v>
      </c>
      <c r="D6047" s="196">
        <v>0</v>
      </c>
      <c r="E6047" s="196">
        <v>0</v>
      </c>
      <c r="F6047" s="196">
        <v>0</v>
      </c>
      <c r="G6047" s="196">
        <v>-319000</v>
      </c>
    </row>
    <row r="6048" spans="1:7" x14ac:dyDescent="0.3">
      <c r="A6048" s="198">
        <v>19403595</v>
      </c>
      <c r="B6048" s="192" t="s">
        <v>4235</v>
      </c>
      <c r="C6048" s="196">
        <v>-36600</v>
      </c>
      <c r="D6048" s="196">
        <v>0</v>
      </c>
      <c r="E6048" s="196">
        <v>0</v>
      </c>
      <c r="F6048" s="196">
        <v>0</v>
      </c>
      <c r="G6048" s="196">
        <v>-36600</v>
      </c>
    </row>
    <row r="6049" spans="1:7" x14ac:dyDescent="0.3">
      <c r="A6049" s="198">
        <v>1035019866</v>
      </c>
      <c r="B6049" s="192" t="s">
        <v>4236</v>
      </c>
      <c r="C6049" s="196">
        <v>-47000</v>
      </c>
      <c r="D6049" s="196">
        <v>0</v>
      </c>
      <c r="E6049" s="196">
        <v>0</v>
      </c>
      <c r="F6049" s="196">
        <v>0</v>
      </c>
      <c r="G6049" s="196">
        <v>-47000</v>
      </c>
    </row>
    <row r="6050" spans="1:7" x14ac:dyDescent="0.3">
      <c r="A6050" s="198">
        <v>52225435</v>
      </c>
      <c r="B6050" s="192" t="s">
        <v>4237</v>
      </c>
      <c r="C6050" s="196">
        <v>-319000</v>
      </c>
      <c r="D6050" s="196">
        <v>0</v>
      </c>
      <c r="E6050" s="196">
        <v>0</v>
      </c>
      <c r="F6050" s="196">
        <v>0</v>
      </c>
      <c r="G6050" s="196">
        <v>-319000</v>
      </c>
    </row>
    <row r="6051" spans="1:7" x14ac:dyDescent="0.3">
      <c r="A6051" s="198">
        <v>70140695</v>
      </c>
      <c r="B6051" s="192" t="s">
        <v>4238</v>
      </c>
      <c r="C6051" s="196">
        <v>-380000</v>
      </c>
      <c r="D6051" s="196">
        <v>0</v>
      </c>
      <c r="E6051" s="196">
        <v>0</v>
      </c>
      <c r="F6051" s="196">
        <v>0</v>
      </c>
      <c r="G6051" s="196">
        <v>-380000</v>
      </c>
    </row>
    <row r="6052" spans="1:7" x14ac:dyDescent="0.3">
      <c r="A6052" s="198">
        <v>1007531980</v>
      </c>
      <c r="B6052" s="192" t="s">
        <v>4239</v>
      </c>
      <c r="C6052" s="196">
        <v>-297000</v>
      </c>
      <c r="D6052" s="196">
        <v>0</v>
      </c>
      <c r="E6052" s="196">
        <v>0</v>
      </c>
      <c r="F6052" s="196">
        <v>0</v>
      </c>
      <c r="G6052" s="196">
        <v>-297000</v>
      </c>
    </row>
    <row r="6053" spans="1:7" x14ac:dyDescent="0.3">
      <c r="A6053" s="198">
        <v>1017166866</v>
      </c>
      <c r="B6053" s="192" t="s">
        <v>4240</v>
      </c>
      <c r="C6053" s="196">
        <v>-50900</v>
      </c>
      <c r="D6053" s="196">
        <v>0</v>
      </c>
      <c r="E6053" s="196">
        <v>0</v>
      </c>
      <c r="F6053" s="196">
        <v>0</v>
      </c>
      <c r="G6053" s="196">
        <v>-50900</v>
      </c>
    </row>
    <row r="6054" spans="1:7" x14ac:dyDescent="0.3">
      <c r="A6054" s="198">
        <v>1125791567</v>
      </c>
      <c r="B6054" s="192" t="s">
        <v>4241</v>
      </c>
      <c r="C6054" s="196">
        <v>-110000</v>
      </c>
      <c r="D6054" s="196">
        <v>0</v>
      </c>
      <c r="E6054" s="196">
        <v>0</v>
      </c>
      <c r="F6054" s="196">
        <v>0</v>
      </c>
      <c r="G6054" s="196">
        <v>-110000</v>
      </c>
    </row>
    <row r="6055" spans="1:7" x14ac:dyDescent="0.3">
      <c r="A6055" s="198">
        <v>1016914822</v>
      </c>
      <c r="B6055" s="192" t="s">
        <v>848</v>
      </c>
      <c r="C6055" s="196">
        <v>0</v>
      </c>
      <c r="D6055" s="196">
        <v>0</v>
      </c>
      <c r="E6055" s="196">
        <v>50900</v>
      </c>
      <c r="F6055" s="196">
        <v>-50900</v>
      </c>
      <c r="G6055" s="196">
        <v>-50900</v>
      </c>
    </row>
    <row r="6056" spans="1:7" x14ac:dyDescent="0.3">
      <c r="A6056" s="198">
        <v>1035020440</v>
      </c>
      <c r="B6056" s="192" t="s">
        <v>849</v>
      </c>
      <c r="C6056" s="196">
        <v>0</v>
      </c>
      <c r="D6056" s="196">
        <v>0</v>
      </c>
      <c r="E6056" s="196">
        <v>50900</v>
      </c>
      <c r="F6056" s="196">
        <v>-50900</v>
      </c>
      <c r="G6056" s="196">
        <v>-50900</v>
      </c>
    </row>
    <row r="6057" spans="1:7" x14ac:dyDescent="0.3">
      <c r="A6057" s="198">
        <v>7806748</v>
      </c>
      <c r="B6057" s="192" t="s">
        <v>4242</v>
      </c>
      <c r="C6057" s="196">
        <v>-162000</v>
      </c>
      <c r="D6057" s="196">
        <v>0</v>
      </c>
      <c r="E6057" s="196">
        <v>0</v>
      </c>
      <c r="F6057" s="196">
        <v>0</v>
      </c>
      <c r="G6057" s="196">
        <v>-162000</v>
      </c>
    </row>
    <row r="6058" spans="1:7" x14ac:dyDescent="0.3">
      <c r="A6058" s="198">
        <v>10782128</v>
      </c>
      <c r="B6058" s="192" t="s">
        <v>4243</v>
      </c>
      <c r="C6058" s="196">
        <v>-297000</v>
      </c>
      <c r="D6058" s="196">
        <v>0</v>
      </c>
      <c r="E6058" s="196">
        <v>0</v>
      </c>
      <c r="F6058" s="196">
        <v>0</v>
      </c>
      <c r="G6058" s="196">
        <v>-297000</v>
      </c>
    </row>
    <row r="6059" spans="1:7" x14ac:dyDescent="0.3">
      <c r="A6059" s="198">
        <v>1127229104</v>
      </c>
      <c r="B6059" s="192" t="s">
        <v>4244</v>
      </c>
      <c r="C6059" s="196">
        <v>-98300</v>
      </c>
      <c r="D6059" s="196">
        <v>0</v>
      </c>
      <c r="E6059" s="196">
        <v>0</v>
      </c>
      <c r="F6059" s="196">
        <v>0</v>
      </c>
      <c r="G6059" s="196">
        <v>-98300</v>
      </c>
    </row>
    <row r="6060" spans="1:7" x14ac:dyDescent="0.3">
      <c r="A6060" s="198">
        <v>1006206806</v>
      </c>
      <c r="B6060" s="192" t="s">
        <v>4245</v>
      </c>
      <c r="C6060" s="196">
        <v>-57200</v>
      </c>
      <c r="D6060" s="196">
        <v>0</v>
      </c>
      <c r="E6060" s="196">
        <v>0</v>
      </c>
      <c r="F6060" s="196">
        <v>0</v>
      </c>
      <c r="G6060" s="196">
        <v>-57200</v>
      </c>
    </row>
    <row r="6061" spans="1:7" x14ac:dyDescent="0.3">
      <c r="A6061" s="198">
        <v>1000833023</v>
      </c>
      <c r="B6061" s="192" t="s">
        <v>4246</v>
      </c>
      <c r="C6061" s="196">
        <v>-100000</v>
      </c>
      <c r="D6061" s="196">
        <v>0</v>
      </c>
      <c r="E6061" s="196">
        <v>0</v>
      </c>
      <c r="F6061" s="196">
        <v>0</v>
      </c>
      <c r="G6061" s="196">
        <v>-100000</v>
      </c>
    </row>
    <row r="6062" spans="1:7" x14ac:dyDescent="0.3">
      <c r="A6062" s="198">
        <v>1017174960</v>
      </c>
      <c r="B6062" s="192" t="s">
        <v>4247</v>
      </c>
      <c r="C6062" s="196">
        <v>-101800</v>
      </c>
      <c r="D6062" s="196">
        <v>0</v>
      </c>
      <c r="E6062" s="196">
        <v>0</v>
      </c>
      <c r="F6062" s="196">
        <v>0</v>
      </c>
      <c r="G6062" s="196">
        <v>-101800</v>
      </c>
    </row>
    <row r="6063" spans="1:7" x14ac:dyDescent="0.3">
      <c r="A6063" s="198">
        <v>8105394</v>
      </c>
      <c r="B6063" s="192" t="s">
        <v>851</v>
      </c>
      <c r="C6063" s="196">
        <v>-101800</v>
      </c>
      <c r="D6063" s="196">
        <v>0</v>
      </c>
      <c r="E6063" s="196">
        <v>50900</v>
      </c>
      <c r="F6063" s="196">
        <v>-50900</v>
      </c>
      <c r="G6063" s="196">
        <v>-152700</v>
      </c>
    </row>
    <row r="6064" spans="1:7" x14ac:dyDescent="0.3">
      <c r="A6064" s="198">
        <v>1039446422</v>
      </c>
      <c r="B6064" s="192" t="s">
        <v>4248</v>
      </c>
      <c r="C6064" s="196">
        <v>-319000</v>
      </c>
      <c r="D6064" s="196">
        <v>0</v>
      </c>
      <c r="E6064" s="196">
        <v>0</v>
      </c>
      <c r="F6064" s="196">
        <v>0</v>
      </c>
      <c r="G6064" s="196">
        <v>-319000</v>
      </c>
    </row>
    <row r="6065" spans="1:7" x14ac:dyDescent="0.3">
      <c r="A6065" s="198">
        <v>1033337374</v>
      </c>
      <c r="B6065" s="192" t="s">
        <v>4249</v>
      </c>
      <c r="C6065" s="196">
        <v>-297000</v>
      </c>
      <c r="D6065" s="196">
        <v>0</v>
      </c>
      <c r="E6065" s="196">
        <v>0</v>
      </c>
      <c r="F6065" s="196">
        <v>0</v>
      </c>
      <c r="G6065" s="196">
        <v>-297000</v>
      </c>
    </row>
    <row r="6066" spans="1:7" x14ac:dyDescent="0.3">
      <c r="A6066" s="198">
        <v>1037573602</v>
      </c>
      <c r="B6066" s="192" t="s">
        <v>4250</v>
      </c>
      <c r="C6066" s="196">
        <v>-50900</v>
      </c>
      <c r="D6066" s="196">
        <v>0</v>
      </c>
      <c r="E6066" s="196">
        <v>0</v>
      </c>
      <c r="F6066" s="196">
        <v>0</v>
      </c>
      <c r="G6066" s="196">
        <v>-50900</v>
      </c>
    </row>
    <row r="6067" spans="1:7" x14ac:dyDescent="0.3">
      <c r="A6067" s="198">
        <v>1040735268</v>
      </c>
      <c r="B6067" s="192" t="s">
        <v>4251</v>
      </c>
      <c r="C6067" s="196">
        <v>-50900</v>
      </c>
      <c r="D6067" s="196">
        <v>0</v>
      </c>
      <c r="E6067" s="196">
        <v>0</v>
      </c>
      <c r="F6067" s="196">
        <v>0</v>
      </c>
      <c r="G6067" s="196">
        <v>-50900</v>
      </c>
    </row>
    <row r="6068" spans="1:7" x14ac:dyDescent="0.3">
      <c r="A6068" s="198">
        <v>98774263</v>
      </c>
      <c r="B6068" s="192" t="s">
        <v>4252</v>
      </c>
      <c r="C6068" s="196">
        <v>-50900</v>
      </c>
      <c r="D6068" s="196">
        <v>0</v>
      </c>
      <c r="E6068" s="196">
        <v>0</v>
      </c>
      <c r="F6068" s="196">
        <v>0</v>
      </c>
      <c r="G6068" s="196">
        <v>-50900</v>
      </c>
    </row>
    <row r="6069" spans="1:7" x14ac:dyDescent="0.3">
      <c r="A6069" s="198">
        <v>71333321</v>
      </c>
      <c r="B6069" s="192" t="s">
        <v>4253</v>
      </c>
      <c r="C6069" s="196">
        <v>-57200</v>
      </c>
      <c r="D6069" s="196">
        <v>0</v>
      </c>
      <c r="E6069" s="196">
        <v>0</v>
      </c>
      <c r="F6069" s="196">
        <v>0</v>
      </c>
      <c r="G6069" s="196">
        <v>-57200</v>
      </c>
    </row>
    <row r="6070" spans="1:7" x14ac:dyDescent="0.3">
      <c r="A6070" s="198">
        <v>3474198</v>
      </c>
      <c r="B6070" s="192" t="s">
        <v>4254</v>
      </c>
      <c r="C6070" s="196">
        <v>-57200</v>
      </c>
      <c r="D6070" s="196">
        <v>0</v>
      </c>
      <c r="E6070" s="196">
        <v>0</v>
      </c>
      <c r="F6070" s="196">
        <v>0</v>
      </c>
      <c r="G6070" s="196">
        <v>-57200</v>
      </c>
    </row>
    <row r="6071" spans="1:7" x14ac:dyDescent="0.3">
      <c r="A6071" s="198">
        <v>1045502206</v>
      </c>
      <c r="B6071" s="192" t="s">
        <v>4255</v>
      </c>
      <c r="C6071" s="196">
        <v>-297000</v>
      </c>
      <c r="D6071" s="196">
        <v>0</v>
      </c>
      <c r="E6071" s="196">
        <v>0</v>
      </c>
      <c r="F6071" s="196">
        <v>0</v>
      </c>
      <c r="G6071" s="196">
        <v>-297000</v>
      </c>
    </row>
    <row r="6072" spans="1:7" x14ac:dyDescent="0.3">
      <c r="A6072" s="198">
        <v>98462880</v>
      </c>
      <c r="B6072" s="192" t="s">
        <v>4256</v>
      </c>
      <c r="C6072" s="196">
        <v>-50900</v>
      </c>
      <c r="D6072" s="196">
        <v>0</v>
      </c>
      <c r="E6072" s="196">
        <v>0</v>
      </c>
      <c r="F6072" s="196">
        <v>0</v>
      </c>
      <c r="G6072" s="196">
        <v>-50900</v>
      </c>
    </row>
    <row r="6073" spans="1:7" x14ac:dyDescent="0.3">
      <c r="A6073" s="198">
        <v>1036629978</v>
      </c>
      <c r="B6073" s="192" t="s">
        <v>4257</v>
      </c>
      <c r="C6073" s="196">
        <v>-50900</v>
      </c>
      <c r="D6073" s="196">
        <v>0</v>
      </c>
      <c r="E6073" s="196">
        <v>0</v>
      </c>
      <c r="F6073" s="196">
        <v>0</v>
      </c>
      <c r="G6073" s="196">
        <v>-50900</v>
      </c>
    </row>
    <row r="6074" spans="1:7" x14ac:dyDescent="0.3">
      <c r="A6074" s="198">
        <v>98524188</v>
      </c>
      <c r="B6074" s="192" t="s">
        <v>4258</v>
      </c>
      <c r="C6074" s="196">
        <v>-297000</v>
      </c>
      <c r="D6074" s="196">
        <v>0</v>
      </c>
      <c r="E6074" s="196">
        <v>0</v>
      </c>
      <c r="F6074" s="196">
        <v>0</v>
      </c>
      <c r="G6074" s="196">
        <v>-297000</v>
      </c>
    </row>
    <row r="6075" spans="1:7" x14ac:dyDescent="0.3">
      <c r="A6075" s="198">
        <v>15667346</v>
      </c>
      <c r="B6075" s="192" t="s">
        <v>853</v>
      </c>
      <c r="C6075" s="196">
        <v>-50900</v>
      </c>
      <c r="D6075" s="196">
        <v>0</v>
      </c>
      <c r="E6075" s="196">
        <v>50900</v>
      </c>
      <c r="F6075" s="196">
        <v>-50900</v>
      </c>
      <c r="G6075" s="196">
        <v>-101800</v>
      </c>
    </row>
    <row r="6076" spans="1:7" x14ac:dyDescent="0.3">
      <c r="A6076" s="198">
        <v>71339995</v>
      </c>
      <c r="B6076" s="192" t="s">
        <v>4259</v>
      </c>
      <c r="C6076" s="196">
        <v>-297000</v>
      </c>
      <c r="D6076" s="196">
        <v>0</v>
      </c>
      <c r="E6076" s="196">
        <v>0</v>
      </c>
      <c r="F6076" s="196">
        <v>0</v>
      </c>
      <c r="G6076" s="196">
        <v>-297000</v>
      </c>
    </row>
    <row r="6077" spans="1:7" x14ac:dyDescent="0.3">
      <c r="A6077" s="198">
        <v>17900741</v>
      </c>
      <c r="B6077" s="192" t="s">
        <v>854</v>
      </c>
      <c r="C6077" s="196">
        <v>0</v>
      </c>
      <c r="D6077" s="196">
        <v>0</v>
      </c>
      <c r="E6077" s="196">
        <v>297000</v>
      </c>
      <c r="F6077" s="196">
        <v>-297000</v>
      </c>
      <c r="G6077" s="196">
        <v>-297000</v>
      </c>
    </row>
    <row r="6078" spans="1:7" x14ac:dyDescent="0.3">
      <c r="A6078" s="198">
        <v>71700347</v>
      </c>
      <c r="B6078" s="192" t="s">
        <v>4260</v>
      </c>
      <c r="C6078" s="196">
        <v>-73200</v>
      </c>
      <c r="D6078" s="196">
        <v>0</v>
      </c>
      <c r="E6078" s="196">
        <v>0</v>
      </c>
      <c r="F6078" s="196">
        <v>0</v>
      </c>
      <c r="G6078" s="196">
        <v>-73200</v>
      </c>
    </row>
    <row r="6079" spans="1:7" x14ac:dyDescent="0.3">
      <c r="A6079" s="198">
        <v>98626800</v>
      </c>
      <c r="B6079" s="192" t="s">
        <v>4261</v>
      </c>
      <c r="C6079" s="196">
        <v>-297000</v>
      </c>
      <c r="D6079" s="196">
        <v>0</v>
      </c>
      <c r="E6079" s="196">
        <v>0</v>
      </c>
      <c r="F6079" s="196">
        <v>0</v>
      </c>
      <c r="G6079" s="196">
        <v>-297000</v>
      </c>
    </row>
    <row r="6080" spans="1:7" x14ac:dyDescent="0.3">
      <c r="A6080" s="198">
        <v>71773926</v>
      </c>
      <c r="B6080" s="192" t="s">
        <v>4262</v>
      </c>
      <c r="C6080" s="196">
        <v>-50900</v>
      </c>
      <c r="D6080" s="196">
        <v>0</v>
      </c>
      <c r="E6080" s="196">
        <v>0</v>
      </c>
      <c r="F6080" s="196">
        <v>0</v>
      </c>
      <c r="G6080" s="196">
        <v>-50900</v>
      </c>
    </row>
    <row r="6081" spans="1:7" x14ac:dyDescent="0.3">
      <c r="A6081" s="198">
        <v>1017189586</v>
      </c>
      <c r="B6081" s="192" t="s">
        <v>4263</v>
      </c>
      <c r="C6081" s="196">
        <v>-50900</v>
      </c>
      <c r="D6081" s="196">
        <v>0</v>
      </c>
      <c r="E6081" s="196">
        <v>0</v>
      </c>
      <c r="F6081" s="196">
        <v>0</v>
      </c>
      <c r="G6081" s="196">
        <v>-50900</v>
      </c>
    </row>
    <row r="6082" spans="1:7" x14ac:dyDescent="0.3">
      <c r="A6082" s="198">
        <v>98563719</v>
      </c>
      <c r="B6082" s="192" t="s">
        <v>856</v>
      </c>
      <c r="C6082" s="196">
        <v>0</v>
      </c>
      <c r="D6082" s="196">
        <v>0</v>
      </c>
      <c r="E6082" s="196">
        <v>319000</v>
      </c>
      <c r="F6082" s="196">
        <v>-319000</v>
      </c>
      <c r="G6082" s="196">
        <v>-319000</v>
      </c>
    </row>
    <row r="6083" spans="1:7" x14ac:dyDescent="0.3">
      <c r="A6083" s="198">
        <v>98547653</v>
      </c>
      <c r="B6083" s="192" t="s">
        <v>4264</v>
      </c>
      <c r="C6083" s="196">
        <v>-50900</v>
      </c>
      <c r="D6083" s="196">
        <v>0</v>
      </c>
      <c r="E6083" s="196">
        <v>0</v>
      </c>
      <c r="F6083" s="196">
        <v>0</v>
      </c>
      <c r="G6083" s="196">
        <v>-50900</v>
      </c>
    </row>
    <row r="6084" spans="1:7" x14ac:dyDescent="0.3">
      <c r="A6084" s="198">
        <v>79625484</v>
      </c>
      <c r="B6084" s="192" t="s">
        <v>857</v>
      </c>
      <c r="C6084" s="196">
        <v>-40000</v>
      </c>
      <c r="D6084" s="196">
        <v>0</v>
      </c>
      <c r="E6084" s="196">
        <v>0</v>
      </c>
      <c r="F6084" s="196">
        <v>0</v>
      </c>
      <c r="G6084" s="196">
        <v>-40000</v>
      </c>
    </row>
    <row r="6085" spans="1:7" x14ac:dyDescent="0.3">
      <c r="A6085" s="198">
        <v>1020128996</v>
      </c>
      <c r="B6085" s="192" t="s">
        <v>858</v>
      </c>
      <c r="C6085" s="196">
        <v>0</v>
      </c>
      <c r="D6085" s="196">
        <v>0</v>
      </c>
      <c r="E6085" s="196">
        <v>50900</v>
      </c>
      <c r="F6085" s="196">
        <v>-50900</v>
      </c>
      <c r="G6085" s="196">
        <v>-50900</v>
      </c>
    </row>
    <row r="6086" spans="1:7" x14ac:dyDescent="0.3">
      <c r="A6086" s="198">
        <v>1037668185</v>
      </c>
      <c r="B6086" s="192" t="s">
        <v>4265</v>
      </c>
      <c r="C6086" s="196">
        <v>-47000</v>
      </c>
      <c r="D6086" s="196">
        <v>0</v>
      </c>
      <c r="E6086" s="196">
        <v>0</v>
      </c>
      <c r="F6086" s="196">
        <v>0</v>
      </c>
      <c r="G6086" s="196">
        <v>-47000</v>
      </c>
    </row>
    <row r="6087" spans="1:7" x14ac:dyDescent="0.3">
      <c r="A6087" s="198">
        <v>98669085</v>
      </c>
      <c r="B6087" s="192" t="s">
        <v>4266</v>
      </c>
      <c r="C6087" s="196">
        <v>-49000</v>
      </c>
      <c r="D6087" s="196">
        <v>0</v>
      </c>
      <c r="E6087" s="196">
        <v>0</v>
      </c>
      <c r="F6087" s="196">
        <v>0</v>
      </c>
      <c r="G6087" s="196">
        <v>-49000</v>
      </c>
    </row>
    <row r="6088" spans="1:7" x14ac:dyDescent="0.3">
      <c r="A6088" s="198">
        <v>1152470046</v>
      </c>
      <c r="B6088" s="192" t="s">
        <v>4267</v>
      </c>
      <c r="C6088" s="196">
        <v>-297000</v>
      </c>
      <c r="D6088" s="196">
        <v>0</v>
      </c>
      <c r="E6088" s="196">
        <v>0</v>
      </c>
      <c r="F6088" s="196">
        <v>0</v>
      </c>
      <c r="G6088" s="196">
        <v>-297000</v>
      </c>
    </row>
    <row r="6089" spans="1:7" x14ac:dyDescent="0.3">
      <c r="A6089" s="198">
        <v>1037634652</v>
      </c>
      <c r="B6089" s="192" t="s">
        <v>4268</v>
      </c>
      <c r="C6089" s="196">
        <v>-50900</v>
      </c>
      <c r="D6089" s="196">
        <v>0</v>
      </c>
      <c r="E6089" s="196">
        <v>0</v>
      </c>
      <c r="F6089" s="196">
        <v>0</v>
      </c>
      <c r="G6089" s="196">
        <v>-50900</v>
      </c>
    </row>
    <row r="6090" spans="1:7" x14ac:dyDescent="0.3">
      <c r="A6090" s="198">
        <v>71765183</v>
      </c>
      <c r="B6090" s="192" t="s">
        <v>4269</v>
      </c>
      <c r="C6090" s="196">
        <v>-50900</v>
      </c>
      <c r="D6090" s="196">
        <v>0</v>
      </c>
      <c r="E6090" s="196">
        <v>0</v>
      </c>
      <c r="F6090" s="196">
        <v>0</v>
      </c>
      <c r="G6090" s="196">
        <v>-50900</v>
      </c>
    </row>
    <row r="6091" spans="1:7" x14ac:dyDescent="0.3">
      <c r="A6091" s="198">
        <v>1105786985</v>
      </c>
      <c r="B6091" s="192" t="s">
        <v>859</v>
      </c>
      <c r="C6091" s="196">
        <v>-297001</v>
      </c>
      <c r="D6091" s="196">
        <v>0</v>
      </c>
      <c r="E6091" s="196">
        <v>0</v>
      </c>
      <c r="F6091" s="196">
        <v>0</v>
      </c>
      <c r="G6091" s="196">
        <v>-297001</v>
      </c>
    </row>
    <row r="6092" spans="1:7" x14ac:dyDescent="0.3">
      <c r="A6092" s="198">
        <v>16077252</v>
      </c>
      <c r="B6092" s="192" t="s">
        <v>4270</v>
      </c>
      <c r="C6092" s="196">
        <v>-50900</v>
      </c>
      <c r="D6092" s="196">
        <v>0</v>
      </c>
      <c r="E6092" s="196">
        <v>0</v>
      </c>
      <c r="F6092" s="196">
        <v>0</v>
      </c>
      <c r="G6092" s="196">
        <v>-50900</v>
      </c>
    </row>
    <row r="6093" spans="1:7" x14ac:dyDescent="0.3">
      <c r="A6093" s="198">
        <v>1038410866</v>
      </c>
      <c r="B6093" s="192" t="s">
        <v>4271</v>
      </c>
      <c r="C6093" s="196">
        <v>-94000</v>
      </c>
      <c r="D6093" s="196">
        <v>0</v>
      </c>
      <c r="E6093" s="196">
        <v>0</v>
      </c>
      <c r="F6093" s="196">
        <v>0</v>
      </c>
      <c r="G6093" s="196">
        <v>-94000</v>
      </c>
    </row>
    <row r="6094" spans="1:7" x14ac:dyDescent="0.3">
      <c r="A6094" s="198">
        <v>98771717</v>
      </c>
      <c r="B6094" s="192" t="s">
        <v>4272</v>
      </c>
      <c r="C6094" s="196">
        <v>-50900</v>
      </c>
      <c r="D6094" s="196">
        <v>0</v>
      </c>
      <c r="E6094" s="196">
        <v>0</v>
      </c>
      <c r="F6094" s="196">
        <v>0</v>
      </c>
      <c r="G6094" s="196">
        <v>-50900</v>
      </c>
    </row>
    <row r="6095" spans="1:7" x14ac:dyDescent="0.3">
      <c r="A6095" s="198">
        <v>79939546</v>
      </c>
      <c r="B6095" s="192" t="s">
        <v>4273</v>
      </c>
      <c r="C6095" s="196">
        <v>-50900</v>
      </c>
      <c r="D6095" s="196">
        <v>0</v>
      </c>
      <c r="E6095" s="196">
        <v>0</v>
      </c>
      <c r="F6095" s="196">
        <v>0</v>
      </c>
      <c r="G6095" s="196">
        <v>-50900</v>
      </c>
    </row>
    <row r="6096" spans="1:7" x14ac:dyDescent="0.3">
      <c r="A6096" s="198">
        <v>70908657</v>
      </c>
      <c r="B6096" s="192" t="s">
        <v>4274</v>
      </c>
      <c r="C6096" s="196">
        <v>-319000</v>
      </c>
      <c r="D6096" s="196">
        <v>0</v>
      </c>
      <c r="E6096" s="196">
        <v>0</v>
      </c>
      <c r="F6096" s="196">
        <v>0</v>
      </c>
      <c r="G6096" s="196">
        <v>-319000</v>
      </c>
    </row>
    <row r="6097" spans="1:7" x14ac:dyDescent="0.3">
      <c r="A6097" s="192" t="s">
        <v>860</v>
      </c>
      <c r="B6097" s="192" t="s">
        <v>861</v>
      </c>
      <c r="C6097" s="196">
        <v>0</v>
      </c>
      <c r="D6097" s="196">
        <v>0</v>
      </c>
      <c r="E6097" s="196">
        <v>319000</v>
      </c>
      <c r="F6097" s="196">
        <v>-319000</v>
      </c>
      <c r="G6097" s="196">
        <v>-319000</v>
      </c>
    </row>
    <row r="6098" spans="1:7" x14ac:dyDescent="0.3">
      <c r="A6098" s="198">
        <v>1114309575</v>
      </c>
      <c r="B6098" s="192" t="s">
        <v>4275</v>
      </c>
      <c r="C6098" s="196">
        <v>-46400</v>
      </c>
      <c r="D6098" s="196">
        <v>0</v>
      </c>
      <c r="E6098" s="196">
        <v>0</v>
      </c>
      <c r="F6098" s="196">
        <v>0</v>
      </c>
      <c r="G6098" s="196">
        <v>-46400</v>
      </c>
    </row>
    <row r="6099" spans="1:7" x14ac:dyDescent="0.3">
      <c r="A6099" s="198">
        <v>1021633407</v>
      </c>
      <c r="B6099" s="192" t="s">
        <v>4276</v>
      </c>
      <c r="C6099" s="196">
        <v>-50900</v>
      </c>
      <c r="D6099" s="196">
        <v>0</v>
      </c>
      <c r="E6099" s="196">
        <v>0</v>
      </c>
      <c r="F6099" s="196">
        <v>0</v>
      </c>
      <c r="G6099" s="196">
        <v>-50900</v>
      </c>
    </row>
    <row r="6100" spans="1:7" x14ac:dyDescent="0.3">
      <c r="A6100" s="198">
        <v>1053794456</v>
      </c>
      <c r="B6100" s="192" t="s">
        <v>4277</v>
      </c>
      <c r="C6100" s="196">
        <v>-267300</v>
      </c>
      <c r="D6100" s="196">
        <v>0</v>
      </c>
      <c r="E6100" s="196">
        <v>0</v>
      </c>
      <c r="F6100" s="196">
        <v>0</v>
      </c>
      <c r="G6100" s="196">
        <v>-267300</v>
      </c>
    </row>
    <row r="6101" spans="1:7" x14ac:dyDescent="0.3">
      <c r="A6101" s="198">
        <v>71750289</v>
      </c>
      <c r="B6101" s="192" t="s">
        <v>863</v>
      </c>
      <c r="C6101" s="196">
        <v>0</v>
      </c>
      <c r="D6101" s="196">
        <v>0</v>
      </c>
      <c r="E6101" s="196">
        <v>50900</v>
      </c>
      <c r="F6101" s="196">
        <v>-50900</v>
      </c>
      <c r="G6101" s="196">
        <v>-50900</v>
      </c>
    </row>
    <row r="6102" spans="1:7" x14ac:dyDescent="0.3">
      <c r="A6102" s="198">
        <v>1085925904</v>
      </c>
      <c r="B6102" s="192" t="s">
        <v>4278</v>
      </c>
      <c r="C6102" s="196">
        <v>-50900</v>
      </c>
      <c r="D6102" s="196">
        <v>0</v>
      </c>
      <c r="E6102" s="196">
        <v>0</v>
      </c>
      <c r="F6102" s="196">
        <v>0</v>
      </c>
      <c r="G6102" s="196">
        <v>-50900</v>
      </c>
    </row>
    <row r="6103" spans="1:7" x14ac:dyDescent="0.3">
      <c r="A6103" s="198">
        <v>1193584321</v>
      </c>
      <c r="B6103" s="192" t="s">
        <v>4279</v>
      </c>
      <c r="C6103" s="196">
        <v>-380000</v>
      </c>
      <c r="D6103" s="196">
        <v>0</v>
      </c>
      <c r="E6103" s="196">
        <v>0</v>
      </c>
      <c r="F6103" s="196">
        <v>0</v>
      </c>
      <c r="G6103" s="196">
        <v>-380000</v>
      </c>
    </row>
    <row r="6104" spans="1:7" x14ac:dyDescent="0.3">
      <c r="A6104" s="198">
        <v>71384140</v>
      </c>
      <c r="B6104" s="192" t="s">
        <v>4280</v>
      </c>
      <c r="C6104" s="196">
        <v>-50900</v>
      </c>
      <c r="D6104" s="196">
        <v>0</v>
      </c>
      <c r="E6104" s="196">
        <v>0</v>
      </c>
      <c r="F6104" s="196">
        <v>0</v>
      </c>
      <c r="G6104" s="196">
        <v>-50900</v>
      </c>
    </row>
    <row r="6105" spans="1:7" x14ac:dyDescent="0.3">
      <c r="A6105" s="198">
        <v>1016920780</v>
      </c>
      <c r="B6105" s="192" t="s">
        <v>4281</v>
      </c>
      <c r="C6105" s="196">
        <v>-30000</v>
      </c>
      <c r="D6105" s="196">
        <v>0</v>
      </c>
      <c r="E6105" s="196">
        <v>0</v>
      </c>
      <c r="F6105" s="196">
        <v>0</v>
      </c>
      <c r="G6105" s="196">
        <v>-30000</v>
      </c>
    </row>
    <row r="6106" spans="1:7" x14ac:dyDescent="0.3">
      <c r="A6106" s="198">
        <v>71749902</v>
      </c>
      <c r="B6106" s="192" t="s">
        <v>864</v>
      </c>
      <c r="C6106" s="196">
        <v>0</v>
      </c>
      <c r="D6106" s="196">
        <v>0</v>
      </c>
      <c r="E6106" s="196">
        <v>57200</v>
      </c>
      <c r="F6106" s="196">
        <v>-57200</v>
      </c>
      <c r="G6106" s="196">
        <v>-57200</v>
      </c>
    </row>
    <row r="6107" spans="1:7" x14ac:dyDescent="0.3">
      <c r="A6107" s="198">
        <v>70103323</v>
      </c>
      <c r="B6107" s="192" t="s">
        <v>4282</v>
      </c>
      <c r="C6107" s="196">
        <v>-50900</v>
      </c>
      <c r="D6107" s="196">
        <v>0</v>
      </c>
      <c r="E6107" s="196">
        <v>0</v>
      </c>
      <c r="F6107" s="196">
        <v>0</v>
      </c>
      <c r="G6107" s="196">
        <v>-50900</v>
      </c>
    </row>
    <row r="6108" spans="1:7" x14ac:dyDescent="0.3">
      <c r="A6108" s="198">
        <v>1010109960</v>
      </c>
      <c r="B6108" s="192" t="s">
        <v>4283</v>
      </c>
      <c r="C6108" s="196">
        <v>-41400</v>
      </c>
      <c r="D6108" s="196">
        <v>0</v>
      </c>
      <c r="E6108" s="196">
        <v>0</v>
      </c>
      <c r="F6108" s="196">
        <v>0</v>
      </c>
      <c r="G6108" s="196">
        <v>-41400</v>
      </c>
    </row>
    <row r="6109" spans="1:7" x14ac:dyDescent="0.3">
      <c r="A6109" s="198">
        <v>1020445341</v>
      </c>
      <c r="B6109" s="192" t="s">
        <v>865</v>
      </c>
      <c r="C6109" s="196">
        <v>0</v>
      </c>
      <c r="D6109" s="196">
        <v>0</v>
      </c>
      <c r="E6109" s="196">
        <v>38400</v>
      </c>
      <c r="F6109" s="196">
        <v>-38400</v>
      </c>
      <c r="G6109" s="196">
        <v>-38400</v>
      </c>
    </row>
    <row r="6110" spans="1:7" x14ac:dyDescent="0.3">
      <c r="A6110" s="198">
        <v>1007745334</v>
      </c>
      <c r="B6110" s="192" t="s">
        <v>4284</v>
      </c>
      <c r="C6110" s="196">
        <v>-297000</v>
      </c>
      <c r="D6110" s="196">
        <v>0</v>
      </c>
      <c r="E6110" s="196">
        <v>0</v>
      </c>
      <c r="F6110" s="196">
        <v>0</v>
      </c>
      <c r="G6110" s="196">
        <v>-297000</v>
      </c>
    </row>
    <row r="6111" spans="1:7" x14ac:dyDescent="0.3">
      <c r="A6111" s="198">
        <v>8100940</v>
      </c>
      <c r="B6111" s="192" t="s">
        <v>4285</v>
      </c>
      <c r="C6111" s="196">
        <v>-50900</v>
      </c>
      <c r="D6111" s="196">
        <v>0</v>
      </c>
      <c r="E6111" s="196">
        <v>0</v>
      </c>
      <c r="F6111" s="196">
        <v>0</v>
      </c>
      <c r="G6111" s="196">
        <v>-50900</v>
      </c>
    </row>
    <row r="6112" spans="1:7" x14ac:dyDescent="0.3">
      <c r="A6112" s="198">
        <v>98563455</v>
      </c>
      <c r="B6112" s="192" t="s">
        <v>866</v>
      </c>
      <c r="C6112" s="196">
        <v>0</v>
      </c>
      <c r="D6112" s="196">
        <v>0</v>
      </c>
      <c r="E6112" s="196">
        <v>50900</v>
      </c>
      <c r="F6112" s="196">
        <v>-50900</v>
      </c>
      <c r="G6112" s="196">
        <v>-50900</v>
      </c>
    </row>
    <row r="6113" spans="1:7" x14ac:dyDescent="0.3">
      <c r="A6113" s="198">
        <v>98567711</v>
      </c>
      <c r="B6113" s="192" t="s">
        <v>4286</v>
      </c>
      <c r="C6113" s="196">
        <v>-162000</v>
      </c>
      <c r="D6113" s="196">
        <v>0</v>
      </c>
      <c r="E6113" s="196">
        <v>0</v>
      </c>
      <c r="F6113" s="196">
        <v>0</v>
      </c>
      <c r="G6113" s="196">
        <v>-162000</v>
      </c>
    </row>
    <row r="6114" spans="1:7" x14ac:dyDescent="0.3">
      <c r="A6114" s="198">
        <v>98670648</v>
      </c>
      <c r="B6114" s="192" t="s">
        <v>868</v>
      </c>
      <c r="C6114" s="196">
        <v>0</v>
      </c>
      <c r="D6114" s="196">
        <v>0</v>
      </c>
      <c r="E6114" s="196">
        <v>50900</v>
      </c>
      <c r="F6114" s="196">
        <v>-50900</v>
      </c>
      <c r="G6114" s="196">
        <v>-50900</v>
      </c>
    </row>
    <row r="6115" spans="1:7" x14ac:dyDescent="0.3">
      <c r="A6115" s="198">
        <v>1239490731</v>
      </c>
      <c r="B6115" s="192" t="s">
        <v>4287</v>
      </c>
      <c r="C6115" s="196">
        <v>-340000</v>
      </c>
      <c r="D6115" s="196">
        <v>0</v>
      </c>
      <c r="E6115" s="196">
        <v>0</v>
      </c>
      <c r="F6115" s="196">
        <v>0</v>
      </c>
      <c r="G6115" s="196">
        <v>-340000</v>
      </c>
    </row>
    <row r="6116" spans="1:7" x14ac:dyDescent="0.3">
      <c r="A6116" s="198">
        <v>1050608986</v>
      </c>
      <c r="B6116" s="192" t="s">
        <v>4288</v>
      </c>
      <c r="C6116" s="196">
        <v>-616000</v>
      </c>
      <c r="D6116" s="196">
        <v>0</v>
      </c>
      <c r="E6116" s="196">
        <v>0</v>
      </c>
      <c r="F6116" s="196">
        <v>0</v>
      </c>
      <c r="G6116" s="196">
        <v>-616000</v>
      </c>
    </row>
    <row r="6117" spans="1:7" x14ac:dyDescent="0.3">
      <c r="A6117" s="198">
        <v>1034993078</v>
      </c>
      <c r="B6117" s="192" t="s">
        <v>4289</v>
      </c>
      <c r="C6117" s="196">
        <v>-165000</v>
      </c>
      <c r="D6117" s="196">
        <v>0</v>
      </c>
      <c r="E6117" s="196">
        <v>0</v>
      </c>
      <c r="F6117" s="196">
        <v>0</v>
      </c>
      <c r="G6117" s="196">
        <v>-165000</v>
      </c>
    </row>
    <row r="6118" spans="1:7" x14ac:dyDescent="0.3">
      <c r="A6118" s="198">
        <v>1001456312</v>
      </c>
      <c r="B6118" s="192" t="s">
        <v>4290</v>
      </c>
      <c r="C6118" s="196">
        <v>-50900</v>
      </c>
      <c r="D6118" s="196">
        <v>0</v>
      </c>
      <c r="E6118" s="196">
        <v>0</v>
      </c>
      <c r="F6118" s="196">
        <v>0</v>
      </c>
      <c r="G6118" s="196">
        <v>-50900</v>
      </c>
    </row>
    <row r="6119" spans="1:7" x14ac:dyDescent="0.3">
      <c r="A6119" s="198">
        <v>71737053</v>
      </c>
      <c r="B6119" s="192" t="s">
        <v>4291</v>
      </c>
      <c r="C6119" s="196">
        <v>-50900</v>
      </c>
      <c r="D6119" s="196">
        <v>0</v>
      </c>
      <c r="E6119" s="196">
        <v>0</v>
      </c>
      <c r="F6119" s="196">
        <v>0</v>
      </c>
      <c r="G6119" s="196">
        <v>-50900</v>
      </c>
    </row>
    <row r="6120" spans="1:7" x14ac:dyDescent="0.3">
      <c r="A6120" s="198">
        <v>71782885</v>
      </c>
      <c r="B6120" s="192" t="s">
        <v>4292</v>
      </c>
      <c r="C6120" s="196">
        <v>-35000</v>
      </c>
      <c r="D6120" s="196">
        <v>0</v>
      </c>
      <c r="E6120" s="196">
        <v>0</v>
      </c>
      <c r="F6120" s="196">
        <v>0</v>
      </c>
      <c r="G6120" s="196">
        <v>-35000</v>
      </c>
    </row>
    <row r="6121" spans="1:7" x14ac:dyDescent="0.3">
      <c r="A6121" s="198">
        <v>1037667077</v>
      </c>
      <c r="B6121" s="192" t="s">
        <v>870</v>
      </c>
      <c r="C6121" s="196">
        <v>0</v>
      </c>
      <c r="D6121" s="196">
        <v>0</v>
      </c>
      <c r="E6121" s="196">
        <v>50900</v>
      </c>
      <c r="F6121" s="196">
        <v>-50900</v>
      </c>
      <c r="G6121" s="196">
        <v>-50900</v>
      </c>
    </row>
    <row r="6122" spans="1:7" x14ac:dyDescent="0.3">
      <c r="A6122" s="198">
        <v>1035018729</v>
      </c>
      <c r="B6122" s="192" t="s">
        <v>4293</v>
      </c>
      <c r="C6122" s="196">
        <v>-33400</v>
      </c>
      <c r="D6122" s="196">
        <v>0</v>
      </c>
      <c r="E6122" s="196">
        <v>0</v>
      </c>
      <c r="F6122" s="196">
        <v>0</v>
      </c>
      <c r="G6122" s="196">
        <v>-33400</v>
      </c>
    </row>
    <row r="6123" spans="1:7" x14ac:dyDescent="0.3">
      <c r="A6123" s="198">
        <v>1036644337</v>
      </c>
      <c r="B6123" s="192" t="s">
        <v>4294</v>
      </c>
      <c r="C6123" s="196">
        <v>-50900</v>
      </c>
      <c r="D6123" s="196">
        <v>0</v>
      </c>
      <c r="E6123" s="196">
        <v>0</v>
      </c>
      <c r="F6123" s="196">
        <v>0</v>
      </c>
      <c r="G6123" s="196">
        <v>-50900</v>
      </c>
    </row>
    <row r="6124" spans="1:7" x14ac:dyDescent="0.3">
      <c r="A6124" s="198">
        <v>8027853</v>
      </c>
      <c r="B6124" s="192" t="s">
        <v>4295</v>
      </c>
      <c r="C6124" s="196">
        <v>-57200</v>
      </c>
      <c r="D6124" s="196">
        <v>0</v>
      </c>
      <c r="E6124" s="196">
        <v>0</v>
      </c>
      <c r="F6124" s="196">
        <v>0</v>
      </c>
      <c r="G6124" s="196">
        <v>-57200</v>
      </c>
    </row>
    <row r="6125" spans="1:7" x14ac:dyDescent="0.3">
      <c r="A6125" s="198">
        <v>1036674448</v>
      </c>
      <c r="B6125" s="192" t="s">
        <v>4296</v>
      </c>
      <c r="C6125" s="196">
        <v>-33300</v>
      </c>
      <c r="D6125" s="196">
        <v>0</v>
      </c>
      <c r="E6125" s="196">
        <v>0</v>
      </c>
      <c r="F6125" s="196">
        <v>0</v>
      </c>
      <c r="G6125" s="196">
        <v>-33300</v>
      </c>
    </row>
    <row r="6126" spans="1:7" x14ac:dyDescent="0.3">
      <c r="A6126" s="198">
        <v>1035002042</v>
      </c>
      <c r="B6126" s="192" t="s">
        <v>4297</v>
      </c>
      <c r="C6126" s="196">
        <v>-50900</v>
      </c>
      <c r="D6126" s="196">
        <v>0</v>
      </c>
      <c r="E6126" s="196">
        <v>0</v>
      </c>
      <c r="F6126" s="196">
        <v>0</v>
      </c>
      <c r="G6126" s="196">
        <v>-50900</v>
      </c>
    </row>
    <row r="6127" spans="1:7" x14ac:dyDescent="0.3">
      <c r="A6127" s="198">
        <v>71774212</v>
      </c>
      <c r="B6127" s="192" t="s">
        <v>4298</v>
      </c>
      <c r="C6127" s="196">
        <v>-150000</v>
      </c>
      <c r="D6127" s="196">
        <v>0</v>
      </c>
      <c r="E6127" s="196">
        <v>0</v>
      </c>
      <c r="F6127" s="196">
        <v>0</v>
      </c>
      <c r="G6127" s="196">
        <v>-150000</v>
      </c>
    </row>
    <row r="6128" spans="1:7" x14ac:dyDescent="0.3">
      <c r="A6128" s="198">
        <v>71786783</v>
      </c>
      <c r="B6128" s="192" t="s">
        <v>4299</v>
      </c>
      <c r="C6128" s="196">
        <v>-50900</v>
      </c>
      <c r="D6128" s="196">
        <v>0</v>
      </c>
      <c r="E6128" s="196">
        <v>0</v>
      </c>
      <c r="F6128" s="196">
        <v>0</v>
      </c>
      <c r="G6128" s="196">
        <v>-50900</v>
      </c>
    </row>
    <row r="6129" spans="1:7" x14ac:dyDescent="0.3">
      <c r="A6129" s="198">
        <v>71730503</v>
      </c>
      <c r="B6129" s="192" t="s">
        <v>4300</v>
      </c>
      <c r="C6129" s="196">
        <v>-57200</v>
      </c>
      <c r="D6129" s="196">
        <v>0</v>
      </c>
      <c r="E6129" s="196">
        <v>0</v>
      </c>
      <c r="F6129" s="196">
        <v>0</v>
      </c>
      <c r="G6129" s="196">
        <v>-57200</v>
      </c>
    </row>
    <row r="6130" spans="1:7" x14ac:dyDescent="0.3">
      <c r="A6130" s="198">
        <v>8359307</v>
      </c>
      <c r="B6130" s="192" t="s">
        <v>4301</v>
      </c>
      <c r="C6130" s="196">
        <v>-484000</v>
      </c>
      <c r="D6130" s="196">
        <v>0</v>
      </c>
      <c r="E6130" s="196">
        <v>0</v>
      </c>
      <c r="F6130" s="196">
        <v>0</v>
      </c>
      <c r="G6130" s="196">
        <v>-484000</v>
      </c>
    </row>
    <row r="6131" spans="1:7" x14ac:dyDescent="0.3">
      <c r="A6131" s="198">
        <v>8460619</v>
      </c>
      <c r="B6131" s="192" t="s">
        <v>871</v>
      </c>
      <c r="C6131" s="196">
        <v>0</v>
      </c>
      <c r="D6131" s="196">
        <v>0</v>
      </c>
      <c r="E6131" s="196">
        <v>165000</v>
      </c>
      <c r="F6131" s="196">
        <v>-165000</v>
      </c>
      <c r="G6131" s="196">
        <v>-165000</v>
      </c>
    </row>
    <row r="6132" spans="1:7" x14ac:dyDescent="0.3">
      <c r="A6132" s="198">
        <v>1017272654</v>
      </c>
      <c r="B6132" s="192" t="s">
        <v>872</v>
      </c>
      <c r="C6132" s="196">
        <v>-165000</v>
      </c>
      <c r="D6132" s="196">
        <v>0</v>
      </c>
      <c r="E6132" s="196">
        <v>85000</v>
      </c>
      <c r="F6132" s="196">
        <v>-85000</v>
      </c>
      <c r="G6132" s="196">
        <v>-250000</v>
      </c>
    </row>
    <row r="6133" spans="1:7" x14ac:dyDescent="0.3">
      <c r="A6133" s="198">
        <v>1127233083</v>
      </c>
      <c r="B6133" s="192" t="s">
        <v>873</v>
      </c>
      <c r="C6133" s="196">
        <v>0</v>
      </c>
      <c r="D6133" s="196">
        <v>0</v>
      </c>
      <c r="E6133" s="196">
        <v>215900</v>
      </c>
      <c r="F6133" s="196">
        <v>-215900</v>
      </c>
      <c r="G6133" s="196">
        <v>-215900</v>
      </c>
    </row>
    <row r="6134" spans="1:7" x14ac:dyDescent="0.3">
      <c r="A6134" s="198">
        <v>3664264</v>
      </c>
      <c r="B6134" s="192" t="s">
        <v>874</v>
      </c>
      <c r="C6134" s="196">
        <v>-50900</v>
      </c>
      <c r="D6134" s="196">
        <v>0</v>
      </c>
      <c r="E6134" s="196">
        <v>0</v>
      </c>
      <c r="F6134" s="196">
        <v>0</v>
      </c>
      <c r="G6134" s="196">
        <v>-50900</v>
      </c>
    </row>
    <row r="6135" spans="1:7" x14ac:dyDescent="0.3">
      <c r="A6135" s="198">
        <v>71611722</v>
      </c>
      <c r="B6135" s="192" t="s">
        <v>875</v>
      </c>
      <c r="C6135" s="196">
        <v>0</v>
      </c>
      <c r="D6135" s="196">
        <v>0</v>
      </c>
      <c r="E6135" s="196">
        <v>28900</v>
      </c>
      <c r="F6135" s="196">
        <v>-28900</v>
      </c>
      <c r="G6135" s="196">
        <v>-28900</v>
      </c>
    </row>
    <row r="6136" spans="1:7" x14ac:dyDescent="0.3">
      <c r="A6136" s="198">
        <v>1037606885</v>
      </c>
      <c r="B6136" s="192" t="s">
        <v>4302</v>
      </c>
      <c r="C6136" s="196">
        <v>-47400</v>
      </c>
      <c r="D6136" s="196">
        <v>0</v>
      </c>
      <c r="E6136" s="196">
        <v>0</v>
      </c>
      <c r="F6136" s="196">
        <v>0</v>
      </c>
      <c r="G6136" s="196">
        <v>-47400</v>
      </c>
    </row>
    <row r="6137" spans="1:7" x14ac:dyDescent="0.3">
      <c r="A6137" s="198">
        <v>70055470</v>
      </c>
      <c r="B6137" s="192" t="s">
        <v>4303</v>
      </c>
      <c r="C6137" s="196">
        <v>-57200</v>
      </c>
      <c r="D6137" s="196">
        <v>0</v>
      </c>
      <c r="E6137" s="196">
        <v>0</v>
      </c>
      <c r="F6137" s="196">
        <v>0</v>
      </c>
      <c r="G6137" s="196">
        <v>-57200</v>
      </c>
    </row>
    <row r="6138" spans="1:7" x14ac:dyDescent="0.3">
      <c r="A6138" s="198">
        <v>71645344</v>
      </c>
      <c r="B6138" s="192" t="s">
        <v>4304</v>
      </c>
      <c r="C6138" s="196">
        <v>-319000</v>
      </c>
      <c r="D6138" s="196">
        <v>0</v>
      </c>
      <c r="E6138" s="196">
        <v>0</v>
      </c>
      <c r="F6138" s="196">
        <v>0</v>
      </c>
      <c r="G6138" s="196">
        <v>-319000</v>
      </c>
    </row>
    <row r="6139" spans="1:7" x14ac:dyDescent="0.3">
      <c r="A6139" s="198">
        <v>8125247</v>
      </c>
      <c r="B6139" s="192" t="s">
        <v>876</v>
      </c>
      <c r="C6139" s="196">
        <v>0</v>
      </c>
      <c r="D6139" s="196">
        <v>0</v>
      </c>
      <c r="E6139" s="196">
        <v>101800</v>
      </c>
      <c r="F6139" s="196">
        <v>-101800</v>
      </c>
      <c r="G6139" s="196">
        <v>-101800</v>
      </c>
    </row>
    <row r="6140" spans="1:7" x14ac:dyDescent="0.3">
      <c r="A6140" s="198">
        <v>8301519</v>
      </c>
      <c r="B6140" s="192" t="s">
        <v>877</v>
      </c>
      <c r="C6140" s="196">
        <v>-50900</v>
      </c>
      <c r="D6140" s="196">
        <v>0</v>
      </c>
      <c r="E6140" s="196">
        <v>50900</v>
      </c>
      <c r="F6140" s="196">
        <v>-50900</v>
      </c>
      <c r="G6140" s="196">
        <v>-101800</v>
      </c>
    </row>
    <row r="6141" spans="1:7" x14ac:dyDescent="0.3">
      <c r="A6141" s="198">
        <v>3391994</v>
      </c>
      <c r="B6141" s="192" t="s">
        <v>4305</v>
      </c>
      <c r="C6141" s="196">
        <v>-50900</v>
      </c>
      <c r="D6141" s="196">
        <v>0</v>
      </c>
      <c r="E6141" s="196">
        <v>0</v>
      </c>
      <c r="F6141" s="196">
        <v>0</v>
      </c>
      <c r="G6141" s="196">
        <v>-50900</v>
      </c>
    </row>
    <row r="6142" spans="1:7" x14ac:dyDescent="0.3">
      <c r="A6142" s="198">
        <v>10018112</v>
      </c>
      <c r="B6142" s="192" t="s">
        <v>880</v>
      </c>
      <c r="C6142" s="196">
        <v>0</v>
      </c>
      <c r="D6142" s="196">
        <v>0</v>
      </c>
      <c r="E6142" s="196">
        <v>27800</v>
      </c>
      <c r="F6142" s="196">
        <v>-27800</v>
      </c>
      <c r="G6142" s="196">
        <v>-27800</v>
      </c>
    </row>
    <row r="6143" spans="1:7" x14ac:dyDescent="0.3">
      <c r="A6143" s="198">
        <v>1036669883</v>
      </c>
      <c r="B6143" s="192" t="s">
        <v>881</v>
      </c>
      <c r="C6143" s="196">
        <v>-50900</v>
      </c>
      <c r="D6143" s="196">
        <v>0</v>
      </c>
      <c r="E6143" s="196">
        <v>50900</v>
      </c>
      <c r="F6143" s="196">
        <v>-50900</v>
      </c>
      <c r="G6143" s="196">
        <v>-101800</v>
      </c>
    </row>
    <row r="6144" spans="1:7" x14ac:dyDescent="0.3">
      <c r="A6144" s="198">
        <v>70050782</v>
      </c>
      <c r="B6144" s="192" t="s">
        <v>4306</v>
      </c>
      <c r="C6144" s="196">
        <v>-50900</v>
      </c>
      <c r="D6144" s="196">
        <v>0</v>
      </c>
      <c r="E6144" s="196">
        <v>0</v>
      </c>
      <c r="F6144" s="196">
        <v>0</v>
      </c>
      <c r="G6144" s="196">
        <v>-50900</v>
      </c>
    </row>
    <row r="6145" spans="1:7" x14ac:dyDescent="0.3">
      <c r="A6145" s="198">
        <v>8240902</v>
      </c>
      <c r="B6145" s="192" t="s">
        <v>4307</v>
      </c>
      <c r="C6145" s="196">
        <v>-297000</v>
      </c>
      <c r="D6145" s="196">
        <v>0</v>
      </c>
      <c r="E6145" s="196">
        <v>0</v>
      </c>
      <c r="F6145" s="196">
        <v>0</v>
      </c>
      <c r="G6145" s="196">
        <v>-297000</v>
      </c>
    </row>
    <row r="6146" spans="1:7" x14ac:dyDescent="0.3">
      <c r="A6146" s="198">
        <v>71788502</v>
      </c>
      <c r="B6146" s="192" t="s">
        <v>4308</v>
      </c>
      <c r="C6146" s="196">
        <v>-88000</v>
      </c>
      <c r="D6146" s="196">
        <v>0</v>
      </c>
      <c r="E6146" s="196">
        <v>0</v>
      </c>
      <c r="F6146" s="196">
        <v>0</v>
      </c>
      <c r="G6146" s="196">
        <v>-88000</v>
      </c>
    </row>
    <row r="6147" spans="1:7" x14ac:dyDescent="0.3">
      <c r="A6147" s="198">
        <v>1013340577</v>
      </c>
      <c r="B6147" s="192" t="s">
        <v>4309</v>
      </c>
      <c r="C6147" s="196">
        <v>-50900</v>
      </c>
      <c r="D6147" s="196">
        <v>0</v>
      </c>
      <c r="E6147" s="196">
        <v>0</v>
      </c>
      <c r="F6147" s="196">
        <v>0</v>
      </c>
      <c r="G6147" s="196">
        <v>-50900</v>
      </c>
    </row>
    <row r="6148" spans="1:7" x14ac:dyDescent="0.3">
      <c r="A6148" s="198">
        <v>1078005051</v>
      </c>
      <c r="B6148" s="192" t="s">
        <v>882</v>
      </c>
      <c r="C6148" s="196">
        <v>-297000</v>
      </c>
      <c r="D6148" s="196">
        <v>0</v>
      </c>
      <c r="E6148" s="196">
        <v>297000</v>
      </c>
      <c r="F6148" s="196">
        <v>-297000</v>
      </c>
      <c r="G6148" s="196">
        <v>-594000</v>
      </c>
    </row>
    <row r="6149" spans="1:7" x14ac:dyDescent="0.3">
      <c r="A6149" s="198">
        <v>3392215</v>
      </c>
      <c r="B6149" s="192" t="s">
        <v>4310</v>
      </c>
      <c r="C6149" s="196">
        <v>-297000</v>
      </c>
      <c r="D6149" s="196">
        <v>0</v>
      </c>
      <c r="E6149" s="196">
        <v>0</v>
      </c>
      <c r="F6149" s="196">
        <v>0</v>
      </c>
      <c r="G6149" s="196">
        <v>-297000</v>
      </c>
    </row>
    <row r="6150" spans="1:7" x14ac:dyDescent="0.3">
      <c r="A6150" s="198">
        <v>1144029146</v>
      </c>
      <c r="B6150" s="192" t="s">
        <v>4311</v>
      </c>
      <c r="C6150" s="196">
        <v>-30000</v>
      </c>
      <c r="D6150" s="196">
        <v>0</v>
      </c>
      <c r="E6150" s="196">
        <v>0</v>
      </c>
      <c r="F6150" s="196">
        <v>0</v>
      </c>
      <c r="G6150" s="196">
        <v>-30000</v>
      </c>
    </row>
    <row r="6151" spans="1:7" x14ac:dyDescent="0.3">
      <c r="A6151" s="198">
        <v>1031942937</v>
      </c>
      <c r="B6151" s="192" t="s">
        <v>4312</v>
      </c>
      <c r="C6151" s="196">
        <v>-46400</v>
      </c>
      <c r="D6151" s="196">
        <v>0</v>
      </c>
      <c r="E6151" s="196">
        <v>0</v>
      </c>
      <c r="F6151" s="196">
        <v>0</v>
      </c>
      <c r="G6151" s="196">
        <v>-46400</v>
      </c>
    </row>
    <row r="6152" spans="1:7" x14ac:dyDescent="0.3">
      <c r="A6152" s="198">
        <v>1007291846</v>
      </c>
      <c r="B6152" s="192" t="s">
        <v>4313</v>
      </c>
      <c r="C6152" s="196">
        <v>-45000</v>
      </c>
      <c r="D6152" s="196">
        <v>0</v>
      </c>
      <c r="E6152" s="196">
        <v>0</v>
      </c>
      <c r="F6152" s="196">
        <v>0</v>
      </c>
      <c r="G6152" s="196">
        <v>-45000</v>
      </c>
    </row>
    <row r="6153" spans="1:7" x14ac:dyDescent="0.3">
      <c r="A6153" s="198">
        <v>1033271442</v>
      </c>
      <c r="B6153" s="192" t="s">
        <v>884</v>
      </c>
      <c r="C6153" s="196">
        <v>0</v>
      </c>
      <c r="D6153" s="196">
        <v>0</v>
      </c>
      <c r="E6153" s="196">
        <v>50900</v>
      </c>
      <c r="F6153" s="196">
        <v>-50900</v>
      </c>
      <c r="G6153" s="196">
        <v>-50900</v>
      </c>
    </row>
    <row r="6154" spans="1:7" x14ac:dyDescent="0.3">
      <c r="A6154" s="198">
        <v>1037666607</v>
      </c>
      <c r="B6154" s="192" t="s">
        <v>885</v>
      </c>
      <c r="C6154" s="196">
        <v>0</v>
      </c>
      <c r="D6154" s="196">
        <v>0</v>
      </c>
      <c r="E6154" s="196">
        <v>50900</v>
      </c>
      <c r="F6154" s="196">
        <v>-50900</v>
      </c>
      <c r="G6154" s="196">
        <v>-50900</v>
      </c>
    </row>
    <row r="6155" spans="1:7" x14ac:dyDescent="0.3">
      <c r="A6155" s="198">
        <v>1089620650</v>
      </c>
      <c r="B6155" s="192" t="s">
        <v>886</v>
      </c>
      <c r="C6155" s="196">
        <v>0</v>
      </c>
      <c r="D6155" s="196">
        <v>0</v>
      </c>
      <c r="E6155" s="196">
        <v>35000</v>
      </c>
      <c r="F6155" s="196">
        <v>-35000</v>
      </c>
      <c r="G6155" s="196">
        <v>-35000</v>
      </c>
    </row>
    <row r="6156" spans="1:7" x14ac:dyDescent="0.3">
      <c r="A6156" s="198">
        <v>1017237134</v>
      </c>
      <c r="B6156" s="192" t="s">
        <v>4314</v>
      </c>
      <c r="C6156" s="196">
        <v>-98300</v>
      </c>
      <c r="D6156" s="196">
        <v>0</v>
      </c>
      <c r="E6156" s="196">
        <v>0</v>
      </c>
      <c r="F6156" s="196">
        <v>0</v>
      </c>
      <c r="G6156" s="196">
        <v>-98300</v>
      </c>
    </row>
    <row r="6157" spans="1:7" x14ac:dyDescent="0.3">
      <c r="A6157" s="198">
        <v>1031942817</v>
      </c>
      <c r="B6157" s="192" t="s">
        <v>887</v>
      </c>
      <c r="C6157" s="196">
        <v>0</v>
      </c>
      <c r="D6157" s="196">
        <v>0</v>
      </c>
      <c r="E6157" s="196">
        <v>57200</v>
      </c>
      <c r="F6157" s="196">
        <v>-57200</v>
      </c>
      <c r="G6157" s="196">
        <v>-57200</v>
      </c>
    </row>
    <row r="6158" spans="1:7" x14ac:dyDescent="0.3">
      <c r="A6158" s="198">
        <v>1099373353</v>
      </c>
      <c r="B6158" s="192" t="s">
        <v>4315</v>
      </c>
      <c r="C6158" s="196">
        <v>-30000</v>
      </c>
      <c r="D6158" s="196">
        <v>0</v>
      </c>
      <c r="E6158" s="196">
        <v>0</v>
      </c>
      <c r="F6158" s="196">
        <v>0</v>
      </c>
      <c r="G6158" s="196">
        <v>-30000</v>
      </c>
    </row>
    <row r="6159" spans="1:7" x14ac:dyDescent="0.3">
      <c r="A6159" s="198">
        <v>1035016474</v>
      </c>
      <c r="B6159" s="192" t="s">
        <v>4316</v>
      </c>
      <c r="C6159" s="196">
        <v>-50900</v>
      </c>
      <c r="D6159" s="196">
        <v>0</v>
      </c>
      <c r="E6159" s="196">
        <v>0</v>
      </c>
      <c r="F6159" s="196">
        <v>0</v>
      </c>
      <c r="G6159" s="196">
        <v>-50900</v>
      </c>
    </row>
    <row r="6160" spans="1:7" x14ac:dyDescent="0.3">
      <c r="A6160" s="198">
        <v>1037593984</v>
      </c>
      <c r="B6160" s="192" t="s">
        <v>888</v>
      </c>
      <c r="C6160" s="196">
        <v>-50900</v>
      </c>
      <c r="D6160" s="196">
        <v>0</v>
      </c>
      <c r="E6160" s="196">
        <v>50900</v>
      </c>
      <c r="F6160" s="196">
        <v>-50900</v>
      </c>
      <c r="G6160" s="196">
        <v>-101800</v>
      </c>
    </row>
    <row r="6161" spans="1:7" x14ac:dyDescent="0.3">
      <c r="A6161" s="198">
        <v>1021930278</v>
      </c>
      <c r="B6161" s="192" t="s">
        <v>4317</v>
      </c>
      <c r="C6161" s="196">
        <v>-54200</v>
      </c>
      <c r="D6161" s="196">
        <v>0</v>
      </c>
      <c r="E6161" s="196">
        <v>0</v>
      </c>
      <c r="F6161" s="196">
        <v>0</v>
      </c>
      <c r="G6161" s="196">
        <v>-54200</v>
      </c>
    </row>
    <row r="6162" spans="1:7" x14ac:dyDescent="0.3">
      <c r="A6162" s="198">
        <v>1036130912</v>
      </c>
      <c r="B6162" s="192" t="s">
        <v>4318</v>
      </c>
      <c r="C6162" s="196">
        <v>-22000</v>
      </c>
      <c r="D6162" s="196">
        <v>0</v>
      </c>
      <c r="E6162" s="196">
        <v>0</v>
      </c>
      <c r="F6162" s="196">
        <v>0</v>
      </c>
      <c r="G6162" s="196">
        <v>-22000</v>
      </c>
    </row>
    <row r="6163" spans="1:7" x14ac:dyDescent="0.3">
      <c r="A6163" s="198">
        <v>1035013323</v>
      </c>
      <c r="B6163" s="192" t="s">
        <v>4319</v>
      </c>
      <c r="C6163" s="196">
        <v>-50900</v>
      </c>
      <c r="D6163" s="196">
        <v>0</v>
      </c>
      <c r="E6163" s="196">
        <v>0</v>
      </c>
      <c r="F6163" s="196">
        <v>0</v>
      </c>
      <c r="G6163" s="196">
        <v>-50900</v>
      </c>
    </row>
    <row r="6164" spans="1:7" x14ac:dyDescent="0.3">
      <c r="A6164" s="198">
        <v>1000884717</v>
      </c>
      <c r="B6164" s="192" t="s">
        <v>4320</v>
      </c>
      <c r="C6164" s="196">
        <v>-47400</v>
      </c>
      <c r="D6164" s="196">
        <v>0</v>
      </c>
      <c r="E6164" s="196">
        <v>0</v>
      </c>
      <c r="F6164" s="196">
        <v>0</v>
      </c>
      <c r="G6164" s="196">
        <v>-47400</v>
      </c>
    </row>
    <row r="6165" spans="1:7" x14ac:dyDescent="0.3">
      <c r="A6165" s="198">
        <v>1088300941</v>
      </c>
      <c r="B6165" s="192" t="s">
        <v>889</v>
      </c>
      <c r="C6165" s="196">
        <v>0</v>
      </c>
      <c r="D6165" s="196">
        <v>0</v>
      </c>
      <c r="E6165" s="196">
        <v>50900</v>
      </c>
      <c r="F6165" s="196">
        <v>-50900</v>
      </c>
      <c r="G6165" s="196">
        <v>-50900</v>
      </c>
    </row>
    <row r="6166" spans="1:7" x14ac:dyDescent="0.3">
      <c r="A6166" s="198">
        <v>15349774</v>
      </c>
      <c r="B6166" s="192" t="s">
        <v>4321</v>
      </c>
      <c r="C6166" s="196">
        <v>-47400</v>
      </c>
      <c r="D6166" s="196">
        <v>0</v>
      </c>
      <c r="E6166" s="196">
        <v>0</v>
      </c>
      <c r="F6166" s="196">
        <v>0</v>
      </c>
      <c r="G6166" s="196">
        <v>-47400</v>
      </c>
    </row>
    <row r="6167" spans="1:7" x14ac:dyDescent="0.3">
      <c r="A6167" s="198">
        <v>8259305</v>
      </c>
      <c r="B6167" s="192" t="s">
        <v>4322</v>
      </c>
      <c r="C6167" s="196">
        <v>-114400</v>
      </c>
      <c r="D6167" s="196">
        <v>0</v>
      </c>
      <c r="E6167" s="196">
        <v>0</v>
      </c>
      <c r="F6167" s="196">
        <v>0</v>
      </c>
      <c r="G6167" s="196">
        <v>-114400</v>
      </c>
    </row>
    <row r="6168" spans="1:7" x14ac:dyDescent="0.3">
      <c r="A6168" s="198">
        <v>70563049</v>
      </c>
      <c r="B6168" s="192" t="s">
        <v>890</v>
      </c>
      <c r="C6168" s="196">
        <v>0</v>
      </c>
      <c r="D6168" s="196">
        <v>0</v>
      </c>
      <c r="E6168" s="196">
        <v>57200</v>
      </c>
      <c r="F6168" s="196">
        <v>-57200</v>
      </c>
      <c r="G6168" s="196">
        <v>-57200</v>
      </c>
    </row>
    <row r="6169" spans="1:7" x14ac:dyDescent="0.3">
      <c r="A6169" s="198">
        <v>1022095808</v>
      </c>
      <c r="B6169" s="192" t="s">
        <v>891</v>
      </c>
      <c r="C6169" s="196">
        <v>0</v>
      </c>
      <c r="D6169" s="196">
        <v>0</v>
      </c>
      <c r="E6169" s="196">
        <v>50900</v>
      </c>
      <c r="F6169" s="196">
        <v>-50900</v>
      </c>
      <c r="G6169" s="196">
        <v>-50900</v>
      </c>
    </row>
    <row r="6170" spans="1:7" x14ac:dyDescent="0.3">
      <c r="A6170" s="198">
        <v>79157148</v>
      </c>
      <c r="B6170" s="192" t="s">
        <v>4323</v>
      </c>
      <c r="C6170" s="196">
        <v>-87800</v>
      </c>
      <c r="D6170" s="196">
        <v>0</v>
      </c>
      <c r="E6170" s="196">
        <v>0</v>
      </c>
      <c r="F6170" s="196">
        <v>0</v>
      </c>
      <c r="G6170" s="196">
        <v>-87800</v>
      </c>
    </row>
    <row r="6171" spans="1:7" x14ac:dyDescent="0.3">
      <c r="A6171" s="198">
        <v>1037605392</v>
      </c>
      <c r="B6171" s="192" t="s">
        <v>4324</v>
      </c>
      <c r="C6171" s="196">
        <v>-100000</v>
      </c>
      <c r="D6171" s="196">
        <v>0</v>
      </c>
      <c r="E6171" s="196">
        <v>0</v>
      </c>
      <c r="F6171" s="196">
        <v>0</v>
      </c>
      <c r="G6171" s="196">
        <v>-100000</v>
      </c>
    </row>
    <row r="6172" spans="1:7" x14ac:dyDescent="0.3">
      <c r="A6172" s="198">
        <v>1000655265</v>
      </c>
      <c r="B6172" s="192" t="s">
        <v>4325</v>
      </c>
      <c r="C6172" s="196">
        <v>-119000</v>
      </c>
      <c r="D6172" s="196">
        <v>0</v>
      </c>
      <c r="E6172" s="196">
        <v>0</v>
      </c>
      <c r="F6172" s="196">
        <v>0</v>
      </c>
      <c r="G6172" s="196">
        <v>-119000</v>
      </c>
    </row>
    <row r="6173" spans="1:7" x14ac:dyDescent="0.3">
      <c r="A6173" s="198">
        <v>94532883</v>
      </c>
      <c r="B6173" s="192" t="s">
        <v>4326</v>
      </c>
      <c r="C6173" s="196">
        <v>-57200</v>
      </c>
      <c r="D6173" s="196">
        <v>0</v>
      </c>
      <c r="E6173" s="196">
        <v>0</v>
      </c>
      <c r="F6173" s="196">
        <v>0</v>
      </c>
      <c r="G6173" s="196">
        <v>-57200</v>
      </c>
    </row>
    <row r="6174" spans="1:7" x14ac:dyDescent="0.3">
      <c r="A6174" s="198">
        <v>1034993492</v>
      </c>
      <c r="B6174" s="192" t="s">
        <v>4327</v>
      </c>
      <c r="C6174" s="196">
        <v>-50900</v>
      </c>
      <c r="D6174" s="196">
        <v>0</v>
      </c>
      <c r="E6174" s="196">
        <v>0</v>
      </c>
      <c r="F6174" s="196">
        <v>0</v>
      </c>
      <c r="G6174" s="196">
        <v>-50900</v>
      </c>
    </row>
    <row r="6175" spans="1:7" x14ac:dyDescent="0.3">
      <c r="A6175" s="198">
        <v>1001367308</v>
      </c>
      <c r="B6175" s="192" t="s">
        <v>892</v>
      </c>
      <c r="C6175" s="196">
        <v>0</v>
      </c>
      <c r="D6175" s="196">
        <v>0</v>
      </c>
      <c r="E6175" s="196">
        <v>50900</v>
      </c>
      <c r="F6175" s="196">
        <v>-50900</v>
      </c>
      <c r="G6175" s="196">
        <v>-50900</v>
      </c>
    </row>
    <row r="6176" spans="1:7" x14ac:dyDescent="0.3">
      <c r="A6176" s="198">
        <v>1005091312</v>
      </c>
      <c r="B6176" s="192" t="s">
        <v>4328</v>
      </c>
      <c r="C6176" s="196">
        <v>-270000</v>
      </c>
      <c r="D6176" s="196">
        <v>0</v>
      </c>
      <c r="E6176" s="196">
        <v>0</v>
      </c>
      <c r="F6176" s="196">
        <v>0</v>
      </c>
      <c r="G6176" s="196">
        <v>-270000</v>
      </c>
    </row>
    <row r="6177" spans="1:7" x14ac:dyDescent="0.3">
      <c r="A6177" s="198">
        <v>1000719307</v>
      </c>
      <c r="B6177" s="192" t="s">
        <v>4329</v>
      </c>
      <c r="C6177" s="196">
        <v>-38400</v>
      </c>
      <c r="D6177" s="196">
        <v>0</v>
      </c>
      <c r="E6177" s="196">
        <v>0</v>
      </c>
      <c r="F6177" s="196">
        <v>0</v>
      </c>
      <c r="G6177" s="196">
        <v>-38400</v>
      </c>
    </row>
    <row r="6178" spans="1:7" x14ac:dyDescent="0.3">
      <c r="A6178" s="198">
        <v>1037624353</v>
      </c>
      <c r="B6178" s="192" t="s">
        <v>893</v>
      </c>
      <c r="C6178" s="196">
        <v>-152700</v>
      </c>
      <c r="D6178" s="196">
        <v>0</v>
      </c>
      <c r="E6178" s="196">
        <v>50900</v>
      </c>
      <c r="F6178" s="196">
        <v>-50900</v>
      </c>
      <c r="G6178" s="196">
        <v>-203600</v>
      </c>
    </row>
    <row r="6179" spans="1:7" x14ac:dyDescent="0.3">
      <c r="A6179" s="198">
        <v>1020107225</v>
      </c>
      <c r="B6179" s="192" t="s">
        <v>4330</v>
      </c>
      <c r="C6179" s="196">
        <v>-110000</v>
      </c>
      <c r="D6179" s="196">
        <v>0</v>
      </c>
      <c r="E6179" s="196">
        <v>0</v>
      </c>
      <c r="F6179" s="196">
        <v>0</v>
      </c>
      <c r="G6179" s="196">
        <v>-110000</v>
      </c>
    </row>
    <row r="6180" spans="1:7" x14ac:dyDescent="0.3">
      <c r="A6180" s="198">
        <v>80032485</v>
      </c>
      <c r="B6180" s="192" t="s">
        <v>4331</v>
      </c>
      <c r="C6180" s="196">
        <v>-270000</v>
      </c>
      <c r="D6180" s="196">
        <v>0</v>
      </c>
      <c r="E6180" s="196">
        <v>0</v>
      </c>
      <c r="F6180" s="196">
        <v>0</v>
      </c>
      <c r="G6180" s="196">
        <v>-270000</v>
      </c>
    </row>
    <row r="6181" spans="1:7" x14ac:dyDescent="0.3">
      <c r="A6181" s="198">
        <v>70563426</v>
      </c>
      <c r="B6181" s="192" t="s">
        <v>4332</v>
      </c>
      <c r="C6181" s="196">
        <v>-50900</v>
      </c>
      <c r="D6181" s="196">
        <v>0</v>
      </c>
      <c r="E6181" s="196">
        <v>0</v>
      </c>
      <c r="F6181" s="196">
        <v>0</v>
      </c>
      <c r="G6181" s="196">
        <v>-50900</v>
      </c>
    </row>
    <row r="6182" spans="1:7" x14ac:dyDescent="0.3">
      <c r="A6182" s="198">
        <v>71581674</v>
      </c>
      <c r="B6182" s="192" t="s">
        <v>4333</v>
      </c>
      <c r="C6182" s="196">
        <v>-101800</v>
      </c>
      <c r="D6182" s="196">
        <v>0</v>
      </c>
      <c r="E6182" s="196">
        <v>0</v>
      </c>
      <c r="F6182" s="196">
        <v>0</v>
      </c>
      <c r="G6182" s="196">
        <v>-101800</v>
      </c>
    </row>
    <row r="6183" spans="1:7" x14ac:dyDescent="0.3">
      <c r="A6183" s="198">
        <v>71721192</v>
      </c>
      <c r="B6183" s="192" t="s">
        <v>4334</v>
      </c>
      <c r="C6183" s="196">
        <v>-47000</v>
      </c>
      <c r="D6183" s="196">
        <v>0</v>
      </c>
      <c r="E6183" s="196">
        <v>0</v>
      </c>
      <c r="F6183" s="196">
        <v>0</v>
      </c>
      <c r="G6183" s="196">
        <v>-47000</v>
      </c>
    </row>
    <row r="6184" spans="1:7" x14ac:dyDescent="0.3">
      <c r="A6184" s="198">
        <v>1035021750</v>
      </c>
      <c r="B6184" s="192" t="s">
        <v>4335</v>
      </c>
      <c r="C6184" s="196">
        <v>-50900</v>
      </c>
      <c r="D6184" s="196">
        <v>0</v>
      </c>
      <c r="E6184" s="196">
        <v>0</v>
      </c>
      <c r="F6184" s="196">
        <v>0</v>
      </c>
      <c r="G6184" s="196">
        <v>-50900</v>
      </c>
    </row>
    <row r="6185" spans="1:7" x14ac:dyDescent="0.3">
      <c r="A6185" s="198">
        <v>1035019281</v>
      </c>
      <c r="B6185" s="192" t="s">
        <v>4336</v>
      </c>
      <c r="C6185" s="196">
        <v>-50900</v>
      </c>
      <c r="D6185" s="196">
        <v>0</v>
      </c>
      <c r="E6185" s="196">
        <v>0</v>
      </c>
      <c r="F6185" s="196">
        <v>0</v>
      </c>
      <c r="G6185" s="196">
        <v>-50900</v>
      </c>
    </row>
    <row r="6186" spans="1:7" x14ac:dyDescent="0.3">
      <c r="A6186" s="198">
        <v>1035027118</v>
      </c>
      <c r="B6186" s="192" t="s">
        <v>4337</v>
      </c>
      <c r="C6186" s="196">
        <v>-35000</v>
      </c>
      <c r="D6186" s="196">
        <v>0</v>
      </c>
      <c r="E6186" s="196">
        <v>0</v>
      </c>
      <c r="F6186" s="196">
        <v>0</v>
      </c>
      <c r="G6186" s="196">
        <v>-35000</v>
      </c>
    </row>
    <row r="6187" spans="1:7" x14ac:dyDescent="0.3">
      <c r="A6187" s="198">
        <v>1092856504</v>
      </c>
      <c r="B6187" s="192" t="s">
        <v>4338</v>
      </c>
      <c r="C6187" s="196">
        <v>-47000</v>
      </c>
      <c r="D6187" s="196">
        <v>0</v>
      </c>
      <c r="E6187" s="196">
        <v>0</v>
      </c>
      <c r="F6187" s="196">
        <v>0</v>
      </c>
      <c r="G6187" s="196">
        <v>-47000</v>
      </c>
    </row>
    <row r="6188" spans="1:7" x14ac:dyDescent="0.3">
      <c r="A6188" s="198">
        <v>1023563914</v>
      </c>
      <c r="B6188" s="192" t="s">
        <v>4339</v>
      </c>
      <c r="C6188" s="196">
        <v>-50900</v>
      </c>
      <c r="D6188" s="196">
        <v>0</v>
      </c>
      <c r="E6188" s="196">
        <v>0</v>
      </c>
      <c r="F6188" s="196">
        <v>0</v>
      </c>
      <c r="G6188" s="196">
        <v>-50900</v>
      </c>
    </row>
    <row r="6189" spans="1:7" x14ac:dyDescent="0.3">
      <c r="A6189" s="198">
        <v>1010968630</v>
      </c>
      <c r="B6189" s="192" t="s">
        <v>4340</v>
      </c>
      <c r="C6189" s="196">
        <v>-297000</v>
      </c>
      <c r="D6189" s="196">
        <v>0</v>
      </c>
      <c r="E6189" s="196">
        <v>0</v>
      </c>
      <c r="F6189" s="196">
        <v>0</v>
      </c>
      <c r="G6189" s="196">
        <v>-297000</v>
      </c>
    </row>
    <row r="6190" spans="1:7" x14ac:dyDescent="0.3">
      <c r="A6190" s="198">
        <v>1001367672</v>
      </c>
      <c r="B6190" s="192" t="s">
        <v>4341</v>
      </c>
      <c r="C6190" s="196">
        <v>-30000</v>
      </c>
      <c r="D6190" s="196">
        <v>0</v>
      </c>
      <c r="E6190" s="196">
        <v>0</v>
      </c>
      <c r="F6190" s="196">
        <v>0</v>
      </c>
      <c r="G6190" s="196">
        <v>-30000</v>
      </c>
    </row>
    <row r="6191" spans="1:7" x14ac:dyDescent="0.3">
      <c r="A6191" s="198">
        <v>1021810055</v>
      </c>
      <c r="B6191" s="192" t="s">
        <v>4342</v>
      </c>
      <c r="C6191" s="196">
        <v>-50900</v>
      </c>
      <c r="D6191" s="196">
        <v>0</v>
      </c>
      <c r="E6191" s="196">
        <v>0</v>
      </c>
      <c r="F6191" s="196">
        <v>0</v>
      </c>
      <c r="G6191" s="196">
        <v>-50900</v>
      </c>
    </row>
    <row r="6192" spans="1:7" x14ac:dyDescent="0.3">
      <c r="A6192" s="198">
        <v>1035007471</v>
      </c>
      <c r="B6192" s="192" t="s">
        <v>4343</v>
      </c>
      <c r="C6192" s="196">
        <v>-57200</v>
      </c>
      <c r="D6192" s="196">
        <v>0</v>
      </c>
      <c r="E6192" s="196">
        <v>0</v>
      </c>
      <c r="F6192" s="196">
        <v>0</v>
      </c>
      <c r="G6192" s="196">
        <v>-57200</v>
      </c>
    </row>
    <row r="6193" spans="1:7" x14ac:dyDescent="0.3">
      <c r="A6193" s="198">
        <v>1025900688</v>
      </c>
      <c r="B6193" s="192" t="s">
        <v>4344</v>
      </c>
      <c r="C6193" s="196">
        <v>-319000</v>
      </c>
      <c r="D6193" s="196">
        <v>0</v>
      </c>
      <c r="E6193" s="196">
        <v>0</v>
      </c>
      <c r="F6193" s="196">
        <v>0</v>
      </c>
      <c r="G6193" s="196">
        <v>-319000</v>
      </c>
    </row>
    <row r="6194" spans="1:7" x14ac:dyDescent="0.3">
      <c r="A6194" s="198">
        <v>1039739969</v>
      </c>
      <c r="B6194" s="192" t="s">
        <v>4345</v>
      </c>
      <c r="C6194" s="196">
        <v>-50900</v>
      </c>
      <c r="D6194" s="196">
        <v>0</v>
      </c>
      <c r="E6194" s="196">
        <v>0</v>
      </c>
      <c r="F6194" s="196">
        <v>0</v>
      </c>
      <c r="G6194" s="196">
        <v>-50900</v>
      </c>
    </row>
    <row r="6195" spans="1:7" x14ac:dyDescent="0.3">
      <c r="A6195" s="198">
        <v>1239490100</v>
      </c>
      <c r="B6195" s="192" t="s">
        <v>894</v>
      </c>
      <c r="C6195" s="196">
        <v>0</v>
      </c>
      <c r="D6195" s="196">
        <v>0</v>
      </c>
      <c r="E6195" s="196">
        <v>50900</v>
      </c>
      <c r="F6195" s="196">
        <v>-50900</v>
      </c>
      <c r="G6195" s="196">
        <v>-50900</v>
      </c>
    </row>
    <row r="6196" spans="1:7" x14ac:dyDescent="0.3">
      <c r="A6196" s="198">
        <v>1021923042</v>
      </c>
      <c r="B6196" s="192" t="s">
        <v>896</v>
      </c>
      <c r="C6196" s="196">
        <v>-50900</v>
      </c>
      <c r="D6196" s="196">
        <v>0</v>
      </c>
      <c r="E6196" s="196">
        <v>0</v>
      </c>
      <c r="F6196" s="196">
        <v>0</v>
      </c>
      <c r="G6196" s="196">
        <v>-50900</v>
      </c>
    </row>
    <row r="6197" spans="1:7" x14ac:dyDescent="0.3">
      <c r="A6197" s="198">
        <v>1020306181</v>
      </c>
      <c r="B6197" s="192" t="s">
        <v>4346</v>
      </c>
      <c r="C6197" s="196">
        <v>-207900</v>
      </c>
      <c r="D6197" s="196">
        <v>0</v>
      </c>
      <c r="E6197" s="196">
        <v>0</v>
      </c>
      <c r="F6197" s="196">
        <v>0</v>
      </c>
      <c r="G6197" s="196">
        <v>-207900</v>
      </c>
    </row>
    <row r="6198" spans="1:7" x14ac:dyDescent="0.3">
      <c r="A6198" s="198">
        <v>1000180186</v>
      </c>
      <c r="B6198" s="192" t="s">
        <v>897</v>
      </c>
      <c r="C6198" s="196">
        <v>0</v>
      </c>
      <c r="D6198" s="196">
        <v>0</v>
      </c>
      <c r="E6198" s="196">
        <v>29700</v>
      </c>
      <c r="F6198" s="196">
        <v>-29700</v>
      </c>
      <c r="G6198" s="196">
        <v>-29700</v>
      </c>
    </row>
    <row r="6199" spans="1:7" x14ac:dyDescent="0.3">
      <c r="A6199" s="198">
        <v>79984255</v>
      </c>
      <c r="B6199" s="192" t="s">
        <v>4347</v>
      </c>
      <c r="C6199" s="196">
        <v>-37000</v>
      </c>
      <c r="D6199" s="196">
        <v>0</v>
      </c>
      <c r="E6199" s="196">
        <v>0</v>
      </c>
      <c r="F6199" s="196">
        <v>0</v>
      </c>
      <c r="G6199" s="196">
        <v>-37000</v>
      </c>
    </row>
    <row r="6200" spans="1:7" x14ac:dyDescent="0.3">
      <c r="A6200" s="198">
        <v>71685052</v>
      </c>
      <c r="B6200" s="192" t="s">
        <v>4348</v>
      </c>
      <c r="C6200" s="196">
        <v>-46400</v>
      </c>
      <c r="D6200" s="196">
        <v>0</v>
      </c>
      <c r="E6200" s="196">
        <v>0</v>
      </c>
      <c r="F6200" s="196">
        <v>0</v>
      </c>
      <c r="G6200" s="196">
        <v>-46400</v>
      </c>
    </row>
    <row r="6201" spans="1:7" x14ac:dyDescent="0.3">
      <c r="A6201" s="198">
        <v>8358859</v>
      </c>
      <c r="B6201" s="192" t="s">
        <v>4349</v>
      </c>
      <c r="C6201" s="196">
        <v>-50900</v>
      </c>
      <c r="D6201" s="196">
        <v>0</v>
      </c>
      <c r="E6201" s="196">
        <v>0</v>
      </c>
      <c r="F6201" s="196">
        <v>0</v>
      </c>
      <c r="G6201" s="196">
        <v>-50900</v>
      </c>
    </row>
    <row r="6202" spans="1:7" x14ac:dyDescent="0.3">
      <c r="A6202" s="198">
        <v>1017240359</v>
      </c>
      <c r="B6202" s="192" t="s">
        <v>4350</v>
      </c>
      <c r="C6202" s="196">
        <v>-110000</v>
      </c>
      <c r="D6202" s="196">
        <v>0</v>
      </c>
      <c r="E6202" s="196">
        <v>0</v>
      </c>
      <c r="F6202" s="196">
        <v>0</v>
      </c>
      <c r="G6202" s="196">
        <v>-110000</v>
      </c>
    </row>
    <row r="6203" spans="1:7" x14ac:dyDescent="0.3">
      <c r="A6203" s="198">
        <v>71378144</v>
      </c>
      <c r="B6203" s="192" t="s">
        <v>4351</v>
      </c>
      <c r="C6203" s="196">
        <v>-50900</v>
      </c>
      <c r="D6203" s="196">
        <v>0</v>
      </c>
      <c r="E6203" s="196">
        <v>0</v>
      </c>
      <c r="F6203" s="196">
        <v>0</v>
      </c>
      <c r="G6203" s="196">
        <v>-50900</v>
      </c>
    </row>
    <row r="6204" spans="1:7" x14ac:dyDescent="0.3">
      <c r="A6204" s="198">
        <v>1017259043</v>
      </c>
      <c r="B6204" s="192" t="s">
        <v>4352</v>
      </c>
      <c r="C6204" s="196">
        <v>-41800</v>
      </c>
      <c r="D6204" s="196">
        <v>0</v>
      </c>
      <c r="E6204" s="196">
        <v>0</v>
      </c>
      <c r="F6204" s="196">
        <v>0</v>
      </c>
      <c r="G6204" s="196">
        <v>-41800</v>
      </c>
    </row>
    <row r="6205" spans="1:7" x14ac:dyDescent="0.3">
      <c r="A6205" s="198">
        <v>3396471</v>
      </c>
      <c r="B6205" s="192" t="s">
        <v>4353</v>
      </c>
      <c r="C6205" s="196">
        <v>-57200</v>
      </c>
      <c r="D6205" s="196">
        <v>0</v>
      </c>
      <c r="E6205" s="196">
        <v>0</v>
      </c>
      <c r="F6205" s="196">
        <v>0</v>
      </c>
      <c r="G6205" s="196">
        <v>-57200</v>
      </c>
    </row>
    <row r="6206" spans="1:7" x14ac:dyDescent="0.3">
      <c r="A6206" s="198">
        <v>1035026816</v>
      </c>
      <c r="B6206" s="192" t="s">
        <v>4354</v>
      </c>
      <c r="C6206" s="196">
        <v>-25000</v>
      </c>
      <c r="D6206" s="196">
        <v>0</v>
      </c>
      <c r="E6206" s="196">
        <v>0</v>
      </c>
      <c r="F6206" s="196">
        <v>0</v>
      </c>
      <c r="G6206" s="196">
        <v>-25000</v>
      </c>
    </row>
    <row r="6207" spans="1:7" x14ac:dyDescent="0.3">
      <c r="A6207" s="198">
        <v>1001367591</v>
      </c>
      <c r="B6207" s="192" t="s">
        <v>899</v>
      </c>
      <c r="C6207" s="196">
        <v>-43900</v>
      </c>
      <c r="D6207" s="196">
        <v>0</v>
      </c>
      <c r="E6207" s="196">
        <v>43900</v>
      </c>
      <c r="F6207" s="196">
        <v>-43900</v>
      </c>
      <c r="G6207" s="196">
        <v>-87800</v>
      </c>
    </row>
    <row r="6208" spans="1:7" x14ac:dyDescent="0.3">
      <c r="A6208" s="198">
        <v>70500849</v>
      </c>
      <c r="B6208" s="192" t="s">
        <v>902</v>
      </c>
      <c r="C6208" s="196">
        <v>0</v>
      </c>
      <c r="D6208" s="196">
        <v>0</v>
      </c>
      <c r="E6208" s="196">
        <v>297000</v>
      </c>
      <c r="F6208" s="196">
        <v>-297000</v>
      </c>
      <c r="G6208" s="196">
        <v>-297000</v>
      </c>
    </row>
    <row r="6209" spans="1:7" x14ac:dyDescent="0.3">
      <c r="A6209" s="198">
        <v>3549087</v>
      </c>
      <c r="B6209" s="192" t="s">
        <v>4355</v>
      </c>
      <c r="C6209" s="196">
        <v>-319000</v>
      </c>
      <c r="D6209" s="196">
        <v>0</v>
      </c>
      <c r="E6209" s="196">
        <v>0</v>
      </c>
      <c r="F6209" s="196">
        <v>0</v>
      </c>
      <c r="G6209" s="196">
        <v>-319000</v>
      </c>
    </row>
    <row r="6210" spans="1:7" x14ac:dyDescent="0.3">
      <c r="A6210" s="198">
        <v>8277225</v>
      </c>
      <c r="B6210" s="192" t="s">
        <v>903</v>
      </c>
      <c r="C6210" s="196">
        <v>0</v>
      </c>
      <c r="D6210" s="196">
        <v>0</v>
      </c>
      <c r="E6210" s="196">
        <v>297000</v>
      </c>
      <c r="F6210" s="196">
        <v>-297000</v>
      </c>
      <c r="G6210" s="196">
        <v>-297000</v>
      </c>
    </row>
    <row r="6211" spans="1:7" x14ac:dyDescent="0.3">
      <c r="A6211" s="198">
        <v>71787721</v>
      </c>
      <c r="B6211" s="192" t="s">
        <v>4356</v>
      </c>
      <c r="C6211" s="196">
        <v>-50900</v>
      </c>
      <c r="D6211" s="196">
        <v>0</v>
      </c>
      <c r="E6211" s="196">
        <v>0</v>
      </c>
      <c r="F6211" s="196">
        <v>0</v>
      </c>
      <c r="G6211" s="196">
        <v>-50900</v>
      </c>
    </row>
    <row r="6212" spans="1:7" x14ac:dyDescent="0.3">
      <c r="A6212" s="198">
        <v>8282249</v>
      </c>
      <c r="B6212" s="192" t="s">
        <v>4357</v>
      </c>
      <c r="C6212" s="196">
        <v>-609000</v>
      </c>
      <c r="D6212" s="196">
        <v>0</v>
      </c>
      <c r="E6212" s="196">
        <v>0</v>
      </c>
      <c r="F6212" s="196">
        <v>0</v>
      </c>
      <c r="G6212" s="196">
        <v>-609000</v>
      </c>
    </row>
    <row r="6213" spans="1:7" x14ac:dyDescent="0.3">
      <c r="A6213" s="198">
        <v>1040754418</v>
      </c>
      <c r="B6213" s="192" t="s">
        <v>904</v>
      </c>
      <c r="C6213" s="196">
        <v>0</v>
      </c>
      <c r="D6213" s="196">
        <v>0</v>
      </c>
      <c r="E6213" s="196">
        <v>101800</v>
      </c>
      <c r="F6213" s="196">
        <v>-101800</v>
      </c>
      <c r="G6213" s="196">
        <v>-101800</v>
      </c>
    </row>
    <row r="6214" spans="1:7" x14ac:dyDescent="0.3">
      <c r="A6214" s="198">
        <v>1020422959</v>
      </c>
      <c r="B6214" s="192" t="s">
        <v>4358</v>
      </c>
      <c r="C6214" s="196">
        <v>-396900</v>
      </c>
      <c r="D6214" s="196">
        <v>0</v>
      </c>
      <c r="E6214" s="196">
        <v>0</v>
      </c>
      <c r="F6214" s="196">
        <v>0</v>
      </c>
      <c r="G6214" s="196">
        <v>-396900</v>
      </c>
    </row>
    <row r="6215" spans="1:7" x14ac:dyDescent="0.3">
      <c r="A6215" s="198">
        <v>1019081259</v>
      </c>
      <c r="B6215" s="192" t="s">
        <v>905</v>
      </c>
      <c r="C6215" s="196">
        <v>0</v>
      </c>
      <c r="D6215" s="196">
        <v>0</v>
      </c>
      <c r="E6215" s="196">
        <v>46400</v>
      </c>
      <c r="F6215" s="196">
        <v>-46400</v>
      </c>
      <c r="G6215" s="196">
        <v>-46400</v>
      </c>
    </row>
    <row r="6216" spans="1:7" x14ac:dyDescent="0.3">
      <c r="A6216" s="198">
        <v>1002969887</v>
      </c>
      <c r="B6216" s="192" t="s">
        <v>4359</v>
      </c>
      <c r="C6216" s="196">
        <v>-50900</v>
      </c>
      <c r="D6216" s="196">
        <v>0</v>
      </c>
      <c r="E6216" s="196">
        <v>0</v>
      </c>
      <c r="F6216" s="196">
        <v>0</v>
      </c>
      <c r="G6216" s="196">
        <v>-50900</v>
      </c>
    </row>
    <row r="6217" spans="1:7" x14ac:dyDescent="0.3">
      <c r="A6217" s="198">
        <v>1017249380</v>
      </c>
      <c r="B6217" s="192" t="s">
        <v>906</v>
      </c>
      <c r="C6217" s="196">
        <v>0</v>
      </c>
      <c r="D6217" s="196">
        <v>0</v>
      </c>
      <c r="E6217" s="196">
        <v>49000</v>
      </c>
      <c r="F6217" s="196">
        <v>-49000</v>
      </c>
      <c r="G6217" s="196">
        <v>-49000</v>
      </c>
    </row>
    <row r="6218" spans="1:7" x14ac:dyDescent="0.3">
      <c r="A6218" s="198">
        <v>15515377</v>
      </c>
      <c r="B6218" s="192" t="s">
        <v>907</v>
      </c>
      <c r="C6218" s="196">
        <v>0</v>
      </c>
      <c r="D6218" s="196">
        <v>0</v>
      </c>
      <c r="E6218" s="196">
        <v>50900</v>
      </c>
      <c r="F6218" s="196">
        <v>-50900</v>
      </c>
      <c r="G6218" s="196">
        <v>-50900</v>
      </c>
    </row>
    <row r="6219" spans="1:7" x14ac:dyDescent="0.3">
      <c r="A6219" s="198">
        <v>1214730002</v>
      </c>
      <c r="B6219" s="192" t="s">
        <v>4360</v>
      </c>
      <c r="C6219" s="196">
        <v>-47400</v>
      </c>
      <c r="D6219" s="196">
        <v>0</v>
      </c>
      <c r="E6219" s="196">
        <v>0</v>
      </c>
      <c r="F6219" s="196">
        <v>0</v>
      </c>
      <c r="G6219" s="196">
        <v>-47400</v>
      </c>
    </row>
    <row r="6220" spans="1:7" x14ac:dyDescent="0.3">
      <c r="A6220" s="198">
        <v>1020475196</v>
      </c>
      <c r="B6220" s="192" t="s">
        <v>4361</v>
      </c>
      <c r="C6220" s="196">
        <v>-85000</v>
      </c>
      <c r="D6220" s="196">
        <v>0</v>
      </c>
      <c r="E6220" s="196">
        <v>0</v>
      </c>
      <c r="F6220" s="196">
        <v>0</v>
      </c>
      <c r="G6220" s="196">
        <v>-85000</v>
      </c>
    </row>
    <row r="6221" spans="1:7" x14ac:dyDescent="0.3">
      <c r="A6221" s="198">
        <v>1144124705</v>
      </c>
      <c r="B6221" s="192" t="s">
        <v>4362</v>
      </c>
      <c r="C6221" s="196">
        <v>-57200</v>
      </c>
      <c r="D6221" s="196">
        <v>0</v>
      </c>
      <c r="E6221" s="196">
        <v>0</v>
      </c>
      <c r="F6221" s="196">
        <v>0</v>
      </c>
      <c r="G6221" s="196">
        <v>-57200</v>
      </c>
    </row>
    <row r="6222" spans="1:7" x14ac:dyDescent="0.3">
      <c r="A6222" s="198">
        <v>1000372243</v>
      </c>
      <c r="B6222" s="192" t="s">
        <v>4363</v>
      </c>
      <c r="C6222" s="196">
        <v>-50900</v>
      </c>
      <c r="D6222" s="196">
        <v>0</v>
      </c>
      <c r="E6222" s="196">
        <v>0</v>
      </c>
      <c r="F6222" s="196">
        <v>0</v>
      </c>
      <c r="G6222" s="196">
        <v>-50900</v>
      </c>
    </row>
    <row r="6223" spans="1:7" x14ac:dyDescent="0.3">
      <c r="A6223" s="198">
        <v>1022008356</v>
      </c>
      <c r="B6223" s="192" t="s">
        <v>908</v>
      </c>
      <c r="C6223" s="196">
        <v>-101801</v>
      </c>
      <c r="D6223" s="196">
        <v>0</v>
      </c>
      <c r="E6223" s="196">
        <v>0</v>
      </c>
      <c r="F6223" s="196">
        <v>0</v>
      </c>
      <c r="G6223" s="196">
        <v>-101801</v>
      </c>
    </row>
    <row r="6224" spans="1:7" x14ac:dyDescent="0.3">
      <c r="A6224" s="198">
        <v>1035026377</v>
      </c>
      <c r="B6224" s="192" t="s">
        <v>4364</v>
      </c>
      <c r="C6224" s="196">
        <v>-50900</v>
      </c>
      <c r="D6224" s="196">
        <v>0</v>
      </c>
      <c r="E6224" s="196">
        <v>0</v>
      </c>
      <c r="F6224" s="196">
        <v>0</v>
      </c>
      <c r="G6224" s="196">
        <v>-50900</v>
      </c>
    </row>
    <row r="6225" spans="1:7" x14ac:dyDescent="0.3">
      <c r="A6225" s="198">
        <v>1035020100</v>
      </c>
      <c r="B6225" s="192" t="s">
        <v>4365</v>
      </c>
      <c r="C6225" s="196">
        <v>-47400</v>
      </c>
      <c r="D6225" s="196">
        <v>0</v>
      </c>
      <c r="E6225" s="196">
        <v>0</v>
      </c>
      <c r="F6225" s="196">
        <v>0</v>
      </c>
      <c r="G6225" s="196">
        <v>-47400</v>
      </c>
    </row>
    <row r="6226" spans="1:7" x14ac:dyDescent="0.3">
      <c r="A6226" s="198">
        <v>1038266376</v>
      </c>
      <c r="B6226" s="192" t="s">
        <v>4366</v>
      </c>
      <c r="C6226" s="196">
        <v>-54200</v>
      </c>
      <c r="D6226" s="196">
        <v>0</v>
      </c>
      <c r="E6226" s="196">
        <v>0</v>
      </c>
      <c r="F6226" s="196">
        <v>0</v>
      </c>
      <c r="G6226" s="196">
        <v>-54200</v>
      </c>
    </row>
    <row r="6227" spans="1:7" x14ac:dyDescent="0.3">
      <c r="A6227" s="198">
        <v>1037662275</v>
      </c>
      <c r="B6227" s="192" t="s">
        <v>4367</v>
      </c>
      <c r="C6227" s="196">
        <v>-250000</v>
      </c>
      <c r="D6227" s="196">
        <v>0</v>
      </c>
      <c r="E6227" s="196">
        <v>0</v>
      </c>
      <c r="F6227" s="196">
        <v>0</v>
      </c>
      <c r="G6227" s="196">
        <v>-250000</v>
      </c>
    </row>
    <row r="6228" spans="1:7" x14ac:dyDescent="0.3">
      <c r="A6228" s="198">
        <v>1034989219</v>
      </c>
      <c r="B6228" s="192" t="s">
        <v>909</v>
      </c>
      <c r="C6228" s="196">
        <v>-315000</v>
      </c>
      <c r="D6228" s="196">
        <v>0</v>
      </c>
      <c r="E6228" s="196">
        <v>0</v>
      </c>
      <c r="F6228" s="196">
        <v>0</v>
      </c>
      <c r="G6228" s="196">
        <v>-315000</v>
      </c>
    </row>
    <row r="6229" spans="1:7" x14ac:dyDescent="0.3">
      <c r="A6229" s="198">
        <v>1035008078</v>
      </c>
      <c r="B6229" s="192" t="s">
        <v>4368</v>
      </c>
      <c r="C6229" s="196">
        <v>-46400</v>
      </c>
      <c r="D6229" s="196">
        <v>0</v>
      </c>
      <c r="E6229" s="196">
        <v>0</v>
      </c>
      <c r="F6229" s="196">
        <v>0</v>
      </c>
      <c r="G6229" s="196">
        <v>-46400</v>
      </c>
    </row>
    <row r="6230" spans="1:7" x14ac:dyDescent="0.3">
      <c r="A6230" s="198">
        <v>1011511530</v>
      </c>
      <c r="B6230" s="192" t="s">
        <v>4369</v>
      </c>
      <c r="C6230" s="196">
        <v>-165000</v>
      </c>
      <c r="D6230" s="196">
        <v>0</v>
      </c>
      <c r="E6230" s="196">
        <v>0</v>
      </c>
      <c r="F6230" s="196">
        <v>0</v>
      </c>
      <c r="G6230" s="196">
        <v>-165000</v>
      </c>
    </row>
    <row r="6231" spans="1:7" x14ac:dyDescent="0.3">
      <c r="A6231" s="198">
        <v>1034990519</v>
      </c>
      <c r="B6231" s="192" t="s">
        <v>4370</v>
      </c>
      <c r="C6231" s="196">
        <v>-50900</v>
      </c>
      <c r="D6231" s="196">
        <v>0</v>
      </c>
      <c r="E6231" s="196">
        <v>0</v>
      </c>
      <c r="F6231" s="196">
        <v>0</v>
      </c>
      <c r="G6231" s="196">
        <v>-50900</v>
      </c>
    </row>
    <row r="6232" spans="1:7" x14ac:dyDescent="0.3">
      <c r="A6232" s="198">
        <v>1035025966</v>
      </c>
      <c r="B6232" s="192" t="s">
        <v>4371</v>
      </c>
      <c r="C6232" s="196">
        <v>-50900</v>
      </c>
      <c r="D6232" s="196">
        <v>0</v>
      </c>
      <c r="E6232" s="196">
        <v>0</v>
      </c>
      <c r="F6232" s="196">
        <v>0</v>
      </c>
      <c r="G6232" s="196">
        <v>-50900</v>
      </c>
    </row>
    <row r="6233" spans="1:7" x14ac:dyDescent="0.3">
      <c r="A6233" s="198">
        <v>1035023568</v>
      </c>
      <c r="B6233" s="192" t="s">
        <v>4372</v>
      </c>
      <c r="C6233" s="196">
        <v>-50900</v>
      </c>
      <c r="D6233" s="196">
        <v>0</v>
      </c>
      <c r="E6233" s="196">
        <v>0</v>
      </c>
      <c r="F6233" s="196">
        <v>0</v>
      </c>
      <c r="G6233" s="196">
        <v>-50900</v>
      </c>
    </row>
    <row r="6234" spans="1:7" x14ac:dyDescent="0.3">
      <c r="A6234" s="198">
        <v>1040883413</v>
      </c>
      <c r="B6234" s="192" t="s">
        <v>910</v>
      </c>
      <c r="C6234" s="196">
        <v>-340001</v>
      </c>
      <c r="D6234" s="196">
        <v>0</v>
      </c>
      <c r="E6234" s="196">
        <v>0</v>
      </c>
      <c r="F6234" s="196">
        <v>0</v>
      </c>
      <c r="G6234" s="196">
        <v>-340001</v>
      </c>
    </row>
    <row r="6235" spans="1:7" x14ac:dyDescent="0.3">
      <c r="A6235" s="198">
        <v>1036448267</v>
      </c>
      <c r="B6235" s="192" t="s">
        <v>4373</v>
      </c>
      <c r="C6235" s="196">
        <v>-50900</v>
      </c>
      <c r="D6235" s="196">
        <v>0</v>
      </c>
      <c r="E6235" s="196">
        <v>0</v>
      </c>
      <c r="F6235" s="196">
        <v>0</v>
      </c>
      <c r="G6235" s="196">
        <v>-50900</v>
      </c>
    </row>
    <row r="6236" spans="1:7" x14ac:dyDescent="0.3">
      <c r="A6236" s="198">
        <v>1017928567</v>
      </c>
      <c r="B6236" s="192" t="s">
        <v>911</v>
      </c>
      <c r="C6236" s="196">
        <v>0</v>
      </c>
      <c r="D6236" s="196">
        <v>0</v>
      </c>
      <c r="E6236" s="196">
        <v>50900</v>
      </c>
      <c r="F6236" s="196">
        <v>-50900</v>
      </c>
      <c r="G6236" s="196">
        <v>-50900</v>
      </c>
    </row>
    <row r="6237" spans="1:7" x14ac:dyDescent="0.3">
      <c r="A6237" s="198">
        <v>1039096615</v>
      </c>
      <c r="B6237" s="192" t="s">
        <v>4374</v>
      </c>
      <c r="C6237" s="196">
        <v>-340000</v>
      </c>
      <c r="D6237" s="196">
        <v>0</v>
      </c>
      <c r="E6237" s="196">
        <v>0</v>
      </c>
      <c r="F6237" s="196">
        <v>0</v>
      </c>
      <c r="G6237" s="196">
        <v>-340000</v>
      </c>
    </row>
    <row r="6238" spans="1:7" x14ac:dyDescent="0.3">
      <c r="A6238" s="198">
        <v>1020303434</v>
      </c>
      <c r="B6238" s="192" t="s">
        <v>4375</v>
      </c>
      <c r="C6238" s="196">
        <v>-101800</v>
      </c>
      <c r="D6238" s="196">
        <v>0</v>
      </c>
      <c r="E6238" s="196">
        <v>0</v>
      </c>
      <c r="F6238" s="196">
        <v>0</v>
      </c>
      <c r="G6238" s="196">
        <v>-101800</v>
      </c>
    </row>
    <row r="6239" spans="1:7" x14ac:dyDescent="0.3">
      <c r="A6239" s="198">
        <v>21364896</v>
      </c>
      <c r="B6239" s="192" t="s">
        <v>912</v>
      </c>
      <c r="C6239" s="196">
        <v>0</v>
      </c>
      <c r="D6239" s="196">
        <v>0</v>
      </c>
      <c r="E6239" s="196">
        <v>297000</v>
      </c>
      <c r="F6239" s="196">
        <v>-297000</v>
      </c>
      <c r="G6239" s="196">
        <v>-297000</v>
      </c>
    </row>
    <row r="6240" spans="1:7" x14ac:dyDescent="0.3">
      <c r="A6240" s="198">
        <v>1045675691</v>
      </c>
      <c r="B6240" s="192" t="s">
        <v>913</v>
      </c>
      <c r="C6240" s="196">
        <v>-50900</v>
      </c>
      <c r="D6240" s="196">
        <v>0</v>
      </c>
      <c r="E6240" s="196">
        <v>0</v>
      </c>
      <c r="F6240" s="196">
        <v>0</v>
      </c>
      <c r="G6240" s="196">
        <v>-50900</v>
      </c>
    </row>
    <row r="6241" spans="1:7" x14ac:dyDescent="0.3">
      <c r="A6241" s="198">
        <v>1128270495</v>
      </c>
      <c r="B6241" s="192" t="s">
        <v>914</v>
      </c>
      <c r="C6241" s="196">
        <v>0</v>
      </c>
      <c r="D6241" s="196">
        <v>0</v>
      </c>
      <c r="E6241" s="196">
        <v>54200</v>
      </c>
      <c r="F6241" s="196">
        <v>-54200</v>
      </c>
      <c r="G6241" s="196">
        <v>-54200</v>
      </c>
    </row>
    <row r="6242" spans="1:7" x14ac:dyDescent="0.3">
      <c r="A6242" s="198">
        <v>1095942987</v>
      </c>
      <c r="B6242" s="192" t="s">
        <v>4376</v>
      </c>
      <c r="C6242" s="196">
        <v>-50900</v>
      </c>
      <c r="D6242" s="196">
        <v>0</v>
      </c>
      <c r="E6242" s="196">
        <v>0</v>
      </c>
      <c r="F6242" s="196">
        <v>0</v>
      </c>
      <c r="G6242" s="196">
        <v>-50900</v>
      </c>
    </row>
    <row r="6243" spans="1:7" x14ac:dyDescent="0.3">
      <c r="A6243" s="198">
        <v>52455526</v>
      </c>
      <c r="B6243" s="192" t="s">
        <v>2173</v>
      </c>
      <c r="C6243" s="196">
        <v>-50900</v>
      </c>
      <c r="D6243" s="196">
        <v>0</v>
      </c>
      <c r="E6243" s="196">
        <v>0</v>
      </c>
      <c r="F6243" s="196">
        <v>0</v>
      </c>
      <c r="G6243" s="196">
        <v>-50900</v>
      </c>
    </row>
    <row r="6244" spans="1:7" x14ac:dyDescent="0.3">
      <c r="A6244" s="198">
        <v>1013023837</v>
      </c>
      <c r="B6244" s="192" t="s">
        <v>4377</v>
      </c>
      <c r="C6244" s="196">
        <v>-50900</v>
      </c>
      <c r="D6244" s="196">
        <v>0</v>
      </c>
      <c r="E6244" s="196">
        <v>0</v>
      </c>
      <c r="F6244" s="196">
        <v>0</v>
      </c>
      <c r="G6244" s="196">
        <v>-50900</v>
      </c>
    </row>
    <row r="6245" spans="1:7" x14ac:dyDescent="0.3">
      <c r="A6245" s="198">
        <v>32395851</v>
      </c>
      <c r="B6245" s="192" t="s">
        <v>4378</v>
      </c>
      <c r="C6245" s="196">
        <v>-50900</v>
      </c>
      <c r="D6245" s="196">
        <v>0</v>
      </c>
      <c r="E6245" s="196">
        <v>0</v>
      </c>
      <c r="F6245" s="196">
        <v>0</v>
      </c>
      <c r="G6245" s="196">
        <v>-50900</v>
      </c>
    </row>
    <row r="6246" spans="1:7" x14ac:dyDescent="0.3">
      <c r="A6246" s="198">
        <v>1035024252</v>
      </c>
      <c r="B6246" s="192" t="s">
        <v>4379</v>
      </c>
      <c r="C6246" s="196">
        <v>-50900</v>
      </c>
      <c r="D6246" s="196">
        <v>0</v>
      </c>
      <c r="E6246" s="196">
        <v>0</v>
      </c>
      <c r="F6246" s="196">
        <v>0</v>
      </c>
      <c r="G6246" s="196">
        <v>-50900</v>
      </c>
    </row>
    <row r="6247" spans="1:7" x14ac:dyDescent="0.3">
      <c r="A6247" s="198">
        <v>1035017608</v>
      </c>
      <c r="B6247" s="192" t="s">
        <v>915</v>
      </c>
      <c r="C6247" s="196">
        <v>0</v>
      </c>
      <c r="D6247" s="196">
        <v>0</v>
      </c>
      <c r="E6247" s="196">
        <v>50900</v>
      </c>
      <c r="F6247" s="196">
        <v>-50900</v>
      </c>
      <c r="G6247" s="196">
        <v>-50900</v>
      </c>
    </row>
    <row r="6248" spans="1:7" x14ac:dyDescent="0.3">
      <c r="A6248" s="198">
        <v>71936484</v>
      </c>
      <c r="B6248" s="192" t="s">
        <v>4380</v>
      </c>
      <c r="C6248" s="196">
        <v>-49000</v>
      </c>
      <c r="D6248" s="196">
        <v>0</v>
      </c>
      <c r="E6248" s="196">
        <v>0</v>
      </c>
      <c r="F6248" s="196">
        <v>0</v>
      </c>
      <c r="G6248" s="196">
        <v>-49000</v>
      </c>
    </row>
    <row r="6249" spans="1:7" x14ac:dyDescent="0.3">
      <c r="A6249" s="198">
        <v>1039453192</v>
      </c>
      <c r="B6249" s="192" t="s">
        <v>4381</v>
      </c>
      <c r="C6249" s="196">
        <v>-50900</v>
      </c>
      <c r="D6249" s="196">
        <v>0</v>
      </c>
      <c r="E6249" s="196">
        <v>0</v>
      </c>
      <c r="F6249" s="196">
        <v>0</v>
      </c>
      <c r="G6249" s="196">
        <v>-50900</v>
      </c>
    </row>
    <row r="6250" spans="1:7" x14ac:dyDescent="0.3">
      <c r="A6250" s="198">
        <v>1193280850</v>
      </c>
      <c r="B6250" s="192" t="s">
        <v>4382</v>
      </c>
      <c r="C6250" s="196">
        <v>-100000</v>
      </c>
      <c r="D6250" s="196">
        <v>0</v>
      </c>
      <c r="E6250" s="196">
        <v>0</v>
      </c>
      <c r="F6250" s="196">
        <v>0</v>
      </c>
      <c r="G6250" s="196">
        <v>-100000</v>
      </c>
    </row>
    <row r="6251" spans="1:7" x14ac:dyDescent="0.3">
      <c r="A6251" s="198">
        <v>1037629496</v>
      </c>
      <c r="B6251" s="192" t="s">
        <v>4383</v>
      </c>
      <c r="C6251" s="196">
        <v>-100000</v>
      </c>
      <c r="D6251" s="196">
        <v>0</v>
      </c>
      <c r="E6251" s="196">
        <v>0</v>
      </c>
      <c r="F6251" s="196">
        <v>0</v>
      </c>
      <c r="G6251" s="196">
        <v>-100000</v>
      </c>
    </row>
    <row r="6252" spans="1:7" x14ac:dyDescent="0.3">
      <c r="A6252" s="198">
        <v>1075793910</v>
      </c>
      <c r="B6252" s="192" t="s">
        <v>4384</v>
      </c>
      <c r="C6252" s="196">
        <v>-36600</v>
      </c>
      <c r="D6252" s="196">
        <v>0</v>
      </c>
      <c r="E6252" s="196">
        <v>0</v>
      </c>
      <c r="F6252" s="196">
        <v>0</v>
      </c>
      <c r="G6252" s="196">
        <v>-36600</v>
      </c>
    </row>
    <row r="6253" spans="1:7" x14ac:dyDescent="0.3">
      <c r="A6253" s="198">
        <v>1126906736</v>
      </c>
      <c r="B6253" s="192" t="s">
        <v>917</v>
      </c>
      <c r="C6253" s="196">
        <v>0</v>
      </c>
      <c r="D6253" s="196">
        <v>0</v>
      </c>
      <c r="E6253" s="196">
        <v>148500</v>
      </c>
      <c r="F6253" s="196">
        <v>-148500</v>
      </c>
      <c r="G6253" s="196">
        <v>-148500</v>
      </c>
    </row>
    <row r="6254" spans="1:7" x14ac:dyDescent="0.3">
      <c r="A6254" s="198">
        <v>3563732</v>
      </c>
      <c r="B6254" s="192" t="s">
        <v>4385</v>
      </c>
      <c r="C6254" s="196">
        <v>-50900</v>
      </c>
      <c r="D6254" s="196">
        <v>0</v>
      </c>
      <c r="E6254" s="196">
        <v>0</v>
      </c>
      <c r="F6254" s="196">
        <v>0</v>
      </c>
      <c r="G6254" s="196">
        <v>-50900</v>
      </c>
    </row>
    <row r="6255" spans="1:7" x14ac:dyDescent="0.3">
      <c r="A6255" s="198">
        <v>1128438288</v>
      </c>
      <c r="B6255" s="192" t="s">
        <v>4386</v>
      </c>
      <c r="C6255" s="196">
        <v>-38400</v>
      </c>
      <c r="D6255" s="196">
        <v>0</v>
      </c>
      <c r="E6255" s="196">
        <v>0</v>
      </c>
      <c r="F6255" s="196">
        <v>0</v>
      </c>
      <c r="G6255" s="196">
        <v>-38400</v>
      </c>
    </row>
    <row r="6256" spans="1:7" x14ac:dyDescent="0.3">
      <c r="A6256" s="198">
        <v>70257781</v>
      </c>
      <c r="B6256" s="192" t="s">
        <v>4387</v>
      </c>
      <c r="C6256" s="196">
        <v>-297000</v>
      </c>
      <c r="D6256" s="196">
        <v>0</v>
      </c>
      <c r="E6256" s="196">
        <v>0</v>
      </c>
      <c r="F6256" s="196">
        <v>0</v>
      </c>
      <c r="G6256" s="196">
        <v>-297000</v>
      </c>
    </row>
    <row r="6257" spans="1:7" x14ac:dyDescent="0.3">
      <c r="A6257" s="198">
        <v>91513201</v>
      </c>
      <c r="B6257" s="192" t="s">
        <v>4388</v>
      </c>
      <c r="C6257" s="196">
        <v>-50900</v>
      </c>
      <c r="D6257" s="196">
        <v>0</v>
      </c>
      <c r="E6257" s="196">
        <v>0</v>
      </c>
      <c r="F6257" s="196">
        <v>0</v>
      </c>
      <c r="G6257" s="196">
        <v>-50900</v>
      </c>
    </row>
    <row r="6258" spans="1:7" x14ac:dyDescent="0.3">
      <c r="A6258" s="198">
        <v>1128464685</v>
      </c>
      <c r="B6258" s="192" t="s">
        <v>918</v>
      </c>
      <c r="C6258" s="196">
        <v>-131700</v>
      </c>
      <c r="D6258" s="196">
        <v>0</v>
      </c>
      <c r="E6258" s="196">
        <v>87800</v>
      </c>
      <c r="F6258" s="196">
        <v>-87800</v>
      </c>
      <c r="G6258" s="196">
        <v>-219500</v>
      </c>
    </row>
    <row r="6259" spans="1:7" x14ac:dyDescent="0.3">
      <c r="A6259" s="198">
        <v>1026147862</v>
      </c>
      <c r="B6259" s="192" t="s">
        <v>4389</v>
      </c>
      <c r="C6259" s="196">
        <v>-33400</v>
      </c>
      <c r="D6259" s="196">
        <v>0</v>
      </c>
      <c r="E6259" s="196">
        <v>0</v>
      </c>
      <c r="F6259" s="196">
        <v>0</v>
      </c>
      <c r="G6259" s="196">
        <v>-33400</v>
      </c>
    </row>
    <row r="6260" spans="1:7" x14ac:dyDescent="0.3">
      <c r="A6260" s="198">
        <v>1020438464</v>
      </c>
      <c r="B6260" s="192" t="s">
        <v>4390</v>
      </c>
      <c r="C6260" s="196">
        <v>-74000</v>
      </c>
      <c r="D6260" s="196">
        <v>0</v>
      </c>
      <c r="E6260" s="196">
        <v>0</v>
      </c>
      <c r="F6260" s="196">
        <v>0</v>
      </c>
      <c r="G6260" s="196">
        <v>-74000</v>
      </c>
    </row>
    <row r="6261" spans="1:7" x14ac:dyDescent="0.3">
      <c r="A6261" s="198">
        <v>8164601</v>
      </c>
      <c r="B6261" s="192" t="s">
        <v>4391</v>
      </c>
      <c r="C6261" s="196">
        <v>-152700</v>
      </c>
      <c r="D6261" s="196">
        <v>0</v>
      </c>
      <c r="E6261" s="196">
        <v>0</v>
      </c>
      <c r="F6261" s="196">
        <v>0</v>
      </c>
      <c r="G6261" s="196">
        <v>-152700</v>
      </c>
    </row>
    <row r="6262" spans="1:7" x14ac:dyDescent="0.3">
      <c r="A6262" s="198">
        <v>79434697</v>
      </c>
      <c r="B6262" s="192" t="s">
        <v>4392</v>
      </c>
      <c r="C6262" s="196">
        <v>-297000</v>
      </c>
      <c r="D6262" s="196">
        <v>0</v>
      </c>
      <c r="E6262" s="196">
        <v>0</v>
      </c>
      <c r="F6262" s="196">
        <v>0</v>
      </c>
      <c r="G6262" s="196">
        <v>-297000</v>
      </c>
    </row>
    <row r="6263" spans="1:7" x14ac:dyDescent="0.3">
      <c r="A6263" s="198">
        <v>1022007649</v>
      </c>
      <c r="B6263" s="192" t="s">
        <v>4393</v>
      </c>
      <c r="C6263" s="196">
        <v>-50900</v>
      </c>
      <c r="D6263" s="196">
        <v>0</v>
      </c>
      <c r="E6263" s="196">
        <v>0</v>
      </c>
      <c r="F6263" s="196">
        <v>0</v>
      </c>
      <c r="G6263" s="196">
        <v>-50900</v>
      </c>
    </row>
    <row r="6264" spans="1:7" x14ac:dyDescent="0.3">
      <c r="A6264" s="198">
        <v>1035006305</v>
      </c>
      <c r="B6264" s="192" t="s">
        <v>4394</v>
      </c>
      <c r="C6264" s="196">
        <v>-50900</v>
      </c>
      <c r="D6264" s="196">
        <v>0</v>
      </c>
      <c r="E6264" s="196">
        <v>0</v>
      </c>
      <c r="F6264" s="196">
        <v>0</v>
      </c>
      <c r="G6264" s="196">
        <v>-50900</v>
      </c>
    </row>
    <row r="6265" spans="1:7" x14ac:dyDescent="0.3">
      <c r="A6265" s="198">
        <v>10099270</v>
      </c>
      <c r="B6265" s="192" t="s">
        <v>4395</v>
      </c>
      <c r="C6265" s="196">
        <v>-297000</v>
      </c>
      <c r="D6265" s="196">
        <v>0</v>
      </c>
      <c r="E6265" s="196">
        <v>0</v>
      </c>
      <c r="F6265" s="196">
        <v>0</v>
      </c>
      <c r="G6265" s="196">
        <v>-297000</v>
      </c>
    </row>
    <row r="6266" spans="1:7" x14ac:dyDescent="0.3">
      <c r="A6266" s="198">
        <v>1090387904</v>
      </c>
      <c r="B6266" s="192" t="s">
        <v>4396</v>
      </c>
      <c r="C6266" s="196">
        <v>-319000</v>
      </c>
      <c r="D6266" s="196">
        <v>0</v>
      </c>
      <c r="E6266" s="196">
        <v>0</v>
      </c>
      <c r="F6266" s="196">
        <v>0</v>
      </c>
      <c r="G6266" s="196">
        <v>-319000</v>
      </c>
    </row>
    <row r="6267" spans="1:7" x14ac:dyDescent="0.3">
      <c r="A6267" s="198">
        <v>43976510</v>
      </c>
      <c r="B6267" s="192" t="s">
        <v>921</v>
      </c>
      <c r="C6267" s="196">
        <v>0</v>
      </c>
      <c r="D6267" s="196">
        <v>0</v>
      </c>
      <c r="E6267" s="196">
        <v>50900</v>
      </c>
      <c r="F6267" s="196">
        <v>-50900</v>
      </c>
      <c r="G6267" s="196">
        <v>-50900</v>
      </c>
    </row>
    <row r="6268" spans="1:7" x14ac:dyDescent="0.3">
      <c r="A6268" s="198">
        <v>1152202782</v>
      </c>
      <c r="B6268" s="192" t="s">
        <v>922</v>
      </c>
      <c r="C6268" s="196">
        <v>0</v>
      </c>
      <c r="D6268" s="196">
        <v>0</v>
      </c>
      <c r="E6268" s="196">
        <v>50900</v>
      </c>
      <c r="F6268" s="196">
        <v>-50900</v>
      </c>
      <c r="G6268" s="196">
        <v>-50900</v>
      </c>
    </row>
    <row r="6269" spans="1:7" x14ac:dyDescent="0.3">
      <c r="A6269" s="198">
        <v>43628319</v>
      </c>
      <c r="B6269" s="192" t="s">
        <v>4397</v>
      </c>
      <c r="C6269" s="196">
        <v>-50900</v>
      </c>
      <c r="D6269" s="196">
        <v>0</v>
      </c>
      <c r="E6269" s="196">
        <v>0</v>
      </c>
      <c r="F6269" s="196">
        <v>0</v>
      </c>
      <c r="G6269" s="196">
        <v>-50900</v>
      </c>
    </row>
    <row r="6270" spans="1:7" x14ac:dyDescent="0.3">
      <c r="A6270" s="198">
        <v>1152443124</v>
      </c>
      <c r="B6270" s="192" t="s">
        <v>923</v>
      </c>
      <c r="C6270" s="196">
        <v>0</v>
      </c>
      <c r="D6270" s="196">
        <v>0</v>
      </c>
      <c r="E6270" s="196">
        <v>50900</v>
      </c>
      <c r="F6270" s="196">
        <v>-50900</v>
      </c>
      <c r="G6270" s="196">
        <v>-50900</v>
      </c>
    </row>
    <row r="6271" spans="1:7" x14ac:dyDescent="0.3">
      <c r="A6271" s="198">
        <v>1034992260</v>
      </c>
      <c r="B6271" s="192" t="s">
        <v>4398</v>
      </c>
      <c r="C6271" s="196">
        <v>-50900</v>
      </c>
      <c r="D6271" s="196">
        <v>0</v>
      </c>
      <c r="E6271" s="196">
        <v>0</v>
      </c>
      <c r="F6271" s="196">
        <v>0</v>
      </c>
      <c r="G6271" s="196">
        <v>-50900</v>
      </c>
    </row>
    <row r="6272" spans="1:7" x14ac:dyDescent="0.3">
      <c r="A6272" s="198">
        <v>1037627450</v>
      </c>
      <c r="B6272" s="192" t="s">
        <v>4399</v>
      </c>
      <c r="C6272" s="196">
        <v>-43900</v>
      </c>
      <c r="D6272" s="196">
        <v>0</v>
      </c>
      <c r="E6272" s="196">
        <v>0</v>
      </c>
      <c r="F6272" s="196">
        <v>0</v>
      </c>
      <c r="G6272" s="196">
        <v>-43900</v>
      </c>
    </row>
    <row r="6273" spans="1:7" x14ac:dyDescent="0.3">
      <c r="A6273" s="198">
        <v>1053819537</v>
      </c>
      <c r="B6273" s="192" t="s">
        <v>4400</v>
      </c>
      <c r="C6273" s="196">
        <v>-297000</v>
      </c>
      <c r="D6273" s="196">
        <v>0</v>
      </c>
      <c r="E6273" s="196">
        <v>0</v>
      </c>
      <c r="F6273" s="196">
        <v>0</v>
      </c>
      <c r="G6273" s="196">
        <v>-297000</v>
      </c>
    </row>
    <row r="6274" spans="1:7" x14ac:dyDescent="0.3">
      <c r="A6274" s="198">
        <v>1094920930</v>
      </c>
      <c r="B6274" s="192" t="s">
        <v>4401</v>
      </c>
      <c r="C6274" s="196">
        <v>-100000</v>
      </c>
      <c r="D6274" s="196">
        <v>0</v>
      </c>
      <c r="E6274" s="196">
        <v>0</v>
      </c>
      <c r="F6274" s="196">
        <v>0</v>
      </c>
      <c r="G6274" s="196">
        <v>-100000</v>
      </c>
    </row>
    <row r="6275" spans="1:7" x14ac:dyDescent="0.3">
      <c r="A6275" s="198">
        <v>32350938</v>
      </c>
      <c r="B6275" s="192" t="s">
        <v>4402</v>
      </c>
      <c r="C6275" s="196">
        <v>-101800</v>
      </c>
      <c r="D6275" s="196">
        <v>0</v>
      </c>
      <c r="E6275" s="196">
        <v>0</v>
      </c>
      <c r="F6275" s="196">
        <v>0</v>
      </c>
      <c r="G6275" s="196">
        <v>-101800</v>
      </c>
    </row>
    <row r="6276" spans="1:7" x14ac:dyDescent="0.3">
      <c r="A6276" s="198">
        <v>43878628</v>
      </c>
      <c r="B6276" s="192" t="s">
        <v>924</v>
      </c>
      <c r="C6276" s="196">
        <v>0</v>
      </c>
      <c r="D6276" s="196">
        <v>0</v>
      </c>
      <c r="E6276" s="196">
        <v>50900</v>
      </c>
      <c r="F6276" s="196">
        <v>-50900</v>
      </c>
      <c r="G6276" s="196">
        <v>-50900</v>
      </c>
    </row>
    <row r="6277" spans="1:7" x14ac:dyDescent="0.3">
      <c r="A6277" s="198">
        <v>1037670002</v>
      </c>
      <c r="B6277" s="192" t="s">
        <v>4403</v>
      </c>
      <c r="C6277" s="196">
        <v>-50900</v>
      </c>
      <c r="D6277" s="196">
        <v>0</v>
      </c>
      <c r="E6277" s="196">
        <v>0</v>
      </c>
      <c r="F6277" s="196">
        <v>0</v>
      </c>
      <c r="G6277" s="196">
        <v>-50900</v>
      </c>
    </row>
    <row r="6278" spans="1:7" x14ac:dyDescent="0.3">
      <c r="A6278" s="198">
        <v>32244136</v>
      </c>
      <c r="B6278" s="192" t="s">
        <v>4404</v>
      </c>
      <c r="C6278" s="196">
        <v>-47400</v>
      </c>
      <c r="D6278" s="196">
        <v>0</v>
      </c>
      <c r="E6278" s="196">
        <v>0</v>
      </c>
      <c r="F6278" s="196">
        <v>0</v>
      </c>
      <c r="G6278" s="196">
        <v>-47400</v>
      </c>
    </row>
    <row r="6279" spans="1:7" x14ac:dyDescent="0.3">
      <c r="A6279" s="198">
        <v>32295638</v>
      </c>
      <c r="B6279" s="192" t="s">
        <v>4405</v>
      </c>
      <c r="C6279" s="196">
        <v>-54200</v>
      </c>
      <c r="D6279" s="196">
        <v>0</v>
      </c>
      <c r="E6279" s="196">
        <v>0</v>
      </c>
      <c r="F6279" s="196">
        <v>0</v>
      </c>
      <c r="G6279" s="196">
        <v>-54200</v>
      </c>
    </row>
    <row r="6280" spans="1:7" x14ac:dyDescent="0.3">
      <c r="A6280" s="198">
        <v>1017145637</v>
      </c>
      <c r="B6280" s="192" t="s">
        <v>925</v>
      </c>
      <c r="C6280" s="196">
        <v>0</v>
      </c>
      <c r="D6280" s="196">
        <v>0</v>
      </c>
      <c r="E6280" s="196">
        <v>101800</v>
      </c>
      <c r="F6280" s="196">
        <v>-101800</v>
      </c>
      <c r="G6280" s="196">
        <v>-101800</v>
      </c>
    </row>
    <row r="6281" spans="1:7" x14ac:dyDescent="0.3">
      <c r="A6281" s="198">
        <v>1000440570</v>
      </c>
      <c r="B6281" s="192" t="s">
        <v>4406</v>
      </c>
      <c r="C6281" s="196">
        <v>-319000</v>
      </c>
      <c r="D6281" s="196">
        <v>0</v>
      </c>
      <c r="E6281" s="196">
        <v>0</v>
      </c>
      <c r="F6281" s="196">
        <v>0</v>
      </c>
      <c r="G6281" s="196">
        <v>-319000</v>
      </c>
    </row>
    <row r="6282" spans="1:7" x14ac:dyDescent="0.3">
      <c r="A6282" s="198">
        <v>43874117</v>
      </c>
      <c r="B6282" s="192" t="s">
        <v>4407</v>
      </c>
      <c r="C6282" s="196">
        <v>-50900</v>
      </c>
      <c r="D6282" s="196">
        <v>0</v>
      </c>
      <c r="E6282" s="196">
        <v>0</v>
      </c>
      <c r="F6282" s="196">
        <v>0</v>
      </c>
      <c r="G6282" s="196">
        <v>-50900</v>
      </c>
    </row>
    <row r="6283" spans="1:7" x14ac:dyDescent="0.3">
      <c r="A6283" s="198">
        <v>1036641602</v>
      </c>
      <c r="B6283" s="192" t="s">
        <v>4408</v>
      </c>
      <c r="C6283" s="196">
        <v>-43900</v>
      </c>
      <c r="D6283" s="196">
        <v>0</v>
      </c>
      <c r="E6283" s="196">
        <v>0</v>
      </c>
      <c r="F6283" s="196">
        <v>0</v>
      </c>
      <c r="G6283" s="196">
        <v>-43900</v>
      </c>
    </row>
    <row r="6284" spans="1:7" x14ac:dyDescent="0.3">
      <c r="A6284" s="198">
        <v>43976061</v>
      </c>
      <c r="B6284" s="192" t="s">
        <v>4409</v>
      </c>
      <c r="C6284" s="196">
        <v>-54200</v>
      </c>
      <c r="D6284" s="196">
        <v>0</v>
      </c>
      <c r="E6284" s="196">
        <v>0</v>
      </c>
      <c r="F6284" s="196">
        <v>0</v>
      </c>
      <c r="G6284" s="196">
        <v>-54200</v>
      </c>
    </row>
    <row r="6285" spans="1:7" x14ac:dyDescent="0.3">
      <c r="A6285" s="198">
        <v>1020726955</v>
      </c>
      <c r="B6285" s="192" t="s">
        <v>4410</v>
      </c>
      <c r="C6285" s="196">
        <v>-30000</v>
      </c>
      <c r="D6285" s="196">
        <v>0</v>
      </c>
      <c r="E6285" s="196">
        <v>0</v>
      </c>
      <c r="F6285" s="196">
        <v>0</v>
      </c>
      <c r="G6285" s="196">
        <v>-30000</v>
      </c>
    </row>
    <row r="6286" spans="1:7" x14ac:dyDescent="0.3">
      <c r="A6286" s="198">
        <v>1036635539</v>
      </c>
      <c r="B6286" s="192" t="s">
        <v>4411</v>
      </c>
      <c r="C6286" s="196">
        <v>-319000</v>
      </c>
      <c r="D6286" s="196">
        <v>0</v>
      </c>
      <c r="E6286" s="196">
        <v>0</v>
      </c>
      <c r="F6286" s="196">
        <v>0</v>
      </c>
      <c r="G6286" s="196">
        <v>-319000</v>
      </c>
    </row>
    <row r="6287" spans="1:7" x14ac:dyDescent="0.3">
      <c r="A6287" s="198">
        <v>1152458913</v>
      </c>
      <c r="B6287" s="192" t="s">
        <v>4412</v>
      </c>
      <c r="C6287" s="196">
        <v>-37000</v>
      </c>
      <c r="D6287" s="196">
        <v>0</v>
      </c>
      <c r="E6287" s="196">
        <v>0</v>
      </c>
      <c r="F6287" s="196">
        <v>0</v>
      </c>
      <c r="G6287" s="196">
        <v>-37000</v>
      </c>
    </row>
    <row r="6288" spans="1:7" x14ac:dyDescent="0.3">
      <c r="A6288" s="198">
        <v>43848104</v>
      </c>
      <c r="B6288" s="192" t="s">
        <v>4413</v>
      </c>
      <c r="C6288" s="196">
        <v>-50900</v>
      </c>
      <c r="D6288" s="196">
        <v>0</v>
      </c>
      <c r="E6288" s="196">
        <v>0</v>
      </c>
      <c r="F6288" s="196">
        <v>0</v>
      </c>
      <c r="G6288" s="196">
        <v>-50900</v>
      </c>
    </row>
    <row r="6289" spans="1:7" x14ac:dyDescent="0.3">
      <c r="A6289" s="198">
        <v>43866972</v>
      </c>
      <c r="B6289" s="192" t="s">
        <v>4414</v>
      </c>
      <c r="C6289" s="196">
        <v>-47400</v>
      </c>
      <c r="D6289" s="196">
        <v>0</v>
      </c>
      <c r="E6289" s="196">
        <v>0</v>
      </c>
      <c r="F6289" s="196">
        <v>0</v>
      </c>
      <c r="G6289" s="196">
        <v>-47400</v>
      </c>
    </row>
    <row r="6290" spans="1:7" x14ac:dyDescent="0.3">
      <c r="A6290" s="198">
        <v>21527954</v>
      </c>
      <c r="B6290" s="192" t="s">
        <v>927</v>
      </c>
      <c r="C6290" s="196">
        <v>0</v>
      </c>
      <c r="D6290" s="196">
        <v>0</v>
      </c>
      <c r="E6290" s="196">
        <v>50900</v>
      </c>
      <c r="F6290" s="196">
        <v>-50900</v>
      </c>
      <c r="G6290" s="196">
        <v>-50900</v>
      </c>
    </row>
    <row r="6291" spans="1:7" x14ac:dyDescent="0.3">
      <c r="A6291" s="198">
        <v>1032192178</v>
      </c>
      <c r="B6291" s="192" t="s">
        <v>4415</v>
      </c>
      <c r="C6291" s="196">
        <v>-50900</v>
      </c>
      <c r="D6291" s="196">
        <v>0</v>
      </c>
      <c r="E6291" s="196">
        <v>0</v>
      </c>
      <c r="F6291" s="196">
        <v>0</v>
      </c>
      <c r="G6291" s="196">
        <v>-50900</v>
      </c>
    </row>
    <row r="6292" spans="1:7" x14ac:dyDescent="0.3">
      <c r="A6292" s="198">
        <v>1021947794</v>
      </c>
      <c r="B6292" s="192" t="s">
        <v>4416</v>
      </c>
      <c r="C6292" s="196">
        <v>-26100</v>
      </c>
      <c r="D6292" s="196">
        <v>0</v>
      </c>
      <c r="E6292" s="196">
        <v>0</v>
      </c>
      <c r="F6292" s="196">
        <v>0</v>
      </c>
      <c r="G6292" s="196">
        <v>-26100</v>
      </c>
    </row>
    <row r="6293" spans="1:7" x14ac:dyDescent="0.3">
      <c r="A6293" s="198">
        <v>1035001712</v>
      </c>
      <c r="B6293" s="192" t="s">
        <v>4417</v>
      </c>
      <c r="C6293" s="196">
        <v>-340000</v>
      </c>
      <c r="D6293" s="196">
        <v>0</v>
      </c>
      <c r="E6293" s="196">
        <v>0</v>
      </c>
      <c r="F6293" s="196">
        <v>0</v>
      </c>
      <c r="G6293" s="196">
        <v>-340000</v>
      </c>
    </row>
    <row r="6294" spans="1:7" x14ac:dyDescent="0.3">
      <c r="A6294" s="198">
        <v>1034991726</v>
      </c>
      <c r="B6294" s="192" t="s">
        <v>4418</v>
      </c>
      <c r="C6294" s="196">
        <v>-54200</v>
      </c>
      <c r="D6294" s="196">
        <v>0</v>
      </c>
      <c r="E6294" s="196">
        <v>0</v>
      </c>
      <c r="F6294" s="196">
        <v>0</v>
      </c>
      <c r="G6294" s="196">
        <v>-54200</v>
      </c>
    </row>
    <row r="6295" spans="1:7" x14ac:dyDescent="0.3">
      <c r="A6295" s="198">
        <v>1035020375</v>
      </c>
      <c r="B6295" s="192" t="s">
        <v>4419</v>
      </c>
      <c r="C6295" s="196">
        <v>-54200</v>
      </c>
      <c r="D6295" s="196">
        <v>0</v>
      </c>
      <c r="E6295" s="196">
        <v>0</v>
      </c>
      <c r="F6295" s="196">
        <v>0</v>
      </c>
      <c r="G6295" s="196">
        <v>-54200</v>
      </c>
    </row>
    <row r="6296" spans="1:7" x14ac:dyDescent="0.3">
      <c r="A6296" s="198">
        <v>1020240628</v>
      </c>
      <c r="B6296" s="192" t="s">
        <v>929</v>
      </c>
      <c r="C6296" s="196">
        <v>-297000</v>
      </c>
      <c r="D6296" s="196">
        <v>0</v>
      </c>
      <c r="E6296" s="196">
        <v>119000</v>
      </c>
      <c r="F6296" s="196">
        <v>-119000</v>
      </c>
      <c r="G6296" s="196">
        <v>-416000</v>
      </c>
    </row>
    <row r="6297" spans="1:7" x14ac:dyDescent="0.3">
      <c r="A6297" s="198">
        <v>1035026350</v>
      </c>
      <c r="B6297" s="192" t="s">
        <v>930</v>
      </c>
      <c r="C6297" s="196">
        <v>0</v>
      </c>
      <c r="D6297" s="196">
        <v>0</v>
      </c>
      <c r="E6297" s="196">
        <v>50900</v>
      </c>
      <c r="F6297" s="196">
        <v>-50900</v>
      </c>
      <c r="G6297" s="196">
        <v>-50900</v>
      </c>
    </row>
    <row r="6298" spans="1:7" x14ac:dyDescent="0.3">
      <c r="A6298" s="198">
        <v>1020323255</v>
      </c>
      <c r="B6298" s="192" t="s">
        <v>4420</v>
      </c>
      <c r="C6298" s="196">
        <v>-47400</v>
      </c>
      <c r="D6298" s="196">
        <v>0</v>
      </c>
      <c r="E6298" s="196">
        <v>0</v>
      </c>
      <c r="F6298" s="196">
        <v>0</v>
      </c>
      <c r="G6298" s="196">
        <v>-47400</v>
      </c>
    </row>
    <row r="6299" spans="1:7" x14ac:dyDescent="0.3">
      <c r="A6299" s="198">
        <v>1032098936</v>
      </c>
      <c r="B6299" s="192" t="s">
        <v>4421</v>
      </c>
      <c r="C6299" s="196">
        <v>-57200</v>
      </c>
      <c r="D6299" s="196">
        <v>0</v>
      </c>
      <c r="E6299" s="196">
        <v>0</v>
      </c>
      <c r="F6299" s="196">
        <v>0</v>
      </c>
      <c r="G6299" s="196">
        <v>-57200</v>
      </c>
    </row>
    <row r="6300" spans="1:7" x14ac:dyDescent="0.3">
      <c r="A6300" s="198">
        <v>1035025954</v>
      </c>
      <c r="B6300" s="192" t="s">
        <v>4422</v>
      </c>
      <c r="C6300" s="196">
        <v>-50900</v>
      </c>
      <c r="D6300" s="196">
        <v>0</v>
      </c>
      <c r="E6300" s="196">
        <v>0</v>
      </c>
      <c r="F6300" s="196">
        <v>0</v>
      </c>
      <c r="G6300" s="196">
        <v>-50900</v>
      </c>
    </row>
    <row r="6301" spans="1:7" x14ac:dyDescent="0.3">
      <c r="A6301" s="198">
        <v>1033507050</v>
      </c>
      <c r="B6301" s="192" t="s">
        <v>4423</v>
      </c>
      <c r="C6301" s="196">
        <v>-20000</v>
      </c>
      <c r="D6301" s="196">
        <v>0</v>
      </c>
      <c r="E6301" s="196">
        <v>0</v>
      </c>
      <c r="F6301" s="196">
        <v>0</v>
      </c>
      <c r="G6301" s="196">
        <v>-20000</v>
      </c>
    </row>
    <row r="6302" spans="1:7" x14ac:dyDescent="0.3">
      <c r="A6302" s="198">
        <v>1023562020</v>
      </c>
      <c r="B6302" s="192" t="s">
        <v>4424</v>
      </c>
      <c r="C6302" s="196">
        <v>-50900</v>
      </c>
      <c r="D6302" s="196">
        <v>0</v>
      </c>
      <c r="E6302" s="196">
        <v>0</v>
      </c>
      <c r="F6302" s="196">
        <v>0</v>
      </c>
      <c r="G6302" s="196">
        <v>-50900</v>
      </c>
    </row>
    <row r="6303" spans="1:7" x14ac:dyDescent="0.3">
      <c r="A6303" s="198">
        <v>1035007058</v>
      </c>
      <c r="B6303" s="192" t="s">
        <v>4425</v>
      </c>
      <c r="C6303" s="196">
        <v>-50900</v>
      </c>
      <c r="D6303" s="196">
        <v>0</v>
      </c>
      <c r="E6303" s="196">
        <v>0</v>
      </c>
      <c r="F6303" s="196">
        <v>0</v>
      </c>
      <c r="G6303" s="196">
        <v>-50900</v>
      </c>
    </row>
    <row r="6304" spans="1:7" x14ac:dyDescent="0.3">
      <c r="A6304" s="198">
        <v>43874775</v>
      </c>
      <c r="B6304" s="192" t="s">
        <v>4426</v>
      </c>
      <c r="C6304" s="196">
        <v>-36600</v>
      </c>
      <c r="D6304" s="196">
        <v>0</v>
      </c>
      <c r="E6304" s="196">
        <v>0</v>
      </c>
      <c r="F6304" s="196">
        <v>0</v>
      </c>
      <c r="G6304" s="196">
        <v>-36600</v>
      </c>
    </row>
    <row r="6305" spans="1:7" x14ac:dyDescent="0.3">
      <c r="A6305" s="192" t="s">
        <v>4427</v>
      </c>
      <c r="B6305" s="192" t="s">
        <v>4428</v>
      </c>
      <c r="C6305" s="196">
        <v>-162000</v>
      </c>
      <c r="D6305" s="196">
        <v>0</v>
      </c>
      <c r="E6305" s="196">
        <v>0</v>
      </c>
      <c r="F6305" s="196">
        <v>0</v>
      </c>
      <c r="G6305" s="196">
        <v>-162000</v>
      </c>
    </row>
    <row r="6306" spans="1:7" x14ac:dyDescent="0.3">
      <c r="A6306" s="198">
        <v>1128266947</v>
      </c>
      <c r="B6306" s="192" t="s">
        <v>4429</v>
      </c>
      <c r="C6306" s="196">
        <v>-50900</v>
      </c>
      <c r="D6306" s="196">
        <v>0</v>
      </c>
      <c r="E6306" s="196">
        <v>0</v>
      </c>
      <c r="F6306" s="196">
        <v>0</v>
      </c>
      <c r="G6306" s="196">
        <v>-50900</v>
      </c>
    </row>
    <row r="6307" spans="1:7" x14ac:dyDescent="0.3">
      <c r="A6307" s="198">
        <v>1049650488</v>
      </c>
      <c r="B6307" s="192" t="s">
        <v>4430</v>
      </c>
      <c r="C6307" s="196">
        <v>-119000</v>
      </c>
      <c r="D6307" s="196">
        <v>0</v>
      </c>
      <c r="E6307" s="196">
        <v>0</v>
      </c>
      <c r="F6307" s="196">
        <v>0</v>
      </c>
      <c r="G6307" s="196">
        <v>-119000</v>
      </c>
    </row>
    <row r="6308" spans="1:7" x14ac:dyDescent="0.3">
      <c r="A6308" s="198">
        <v>1128430234</v>
      </c>
      <c r="B6308" s="192" t="s">
        <v>4431</v>
      </c>
      <c r="C6308" s="196">
        <v>-57200</v>
      </c>
      <c r="D6308" s="196">
        <v>0</v>
      </c>
      <c r="E6308" s="196">
        <v>0</v>
      </c>
      <c r="F6308" s="196">
        <v>0</v>
      </c>
      <c r="G6308" s="196">
        <v>-57200</v>
      </c>
    </row>
    <row r="6309" spans="1:7" x14ac:dyDescent="0.3">
      <c r="A6309" s="198">
        <v>70695365</v>
      </c>
      <c r="B6309" s="192" t="s">
        <v>932</v>
      </c>
      <c r="C6309" s="196">
        <v>-297000</v>
      </c>
      <c r="D6309" s="196">
        <v>0</v>
      </c>
      <c r="E6309" s="196">
        <v>297000</v>
      </c>
      <c r="F6309" s="196">
        <v>-297000</v>
      </c>
      <c r="G6309" s="196">
        <v>-594000</v>
      </c>
    </row>
    <row r="6310" spans="1:7" x14ac:dyDescent="0.3">
      <c r="A6310" s="198">
        <v>98526014</v>
      </c>
      <c r="B6310" s="192" t="s">
        <v>4432</v>
      </c>
      <c r="C6310" s="196">
        <v>-50900</v>
      </c>
      <c r="D6310" s="196">
        <v>0</v>
      </c>
      <c r="E6310" s="196">
        <v>0</v>
      </c>
      <c r="F6310" s="196">
        <v>0</v>
      </c>
      <c r="G6310" s="196">
        <v>-50900</v>
      </c>
    </row>
    <row r="6311" spans="1:7" x14ac:dyDescent="0.3">
      <c r="A6311" s="198">
        <v>16204285</v>
      </c>
      <c r="B6311" s="192" t="s">
        <v>4433</v>
      </c>
      <c r="C6311" s="196">
        <v>-57200</v>
      </c>
      <c r="D6311" s="196">
        <v>0</v>
      </c>
      <c r="E6311" s="196">
        <v>0</v>
      </c>
      <c r="F6311" s="196">
        <v>0</v>
      </c>
      <c r="G6311" s="196">
        <v>-57200</v>
      </c>
    </row>
    <row r="6312" spans="1:7" x14ac:dyDescent="0.3">
      <c r="A6312" s="198">
        <v>87731167</v>
      </c>
      <c r="B6312" s="192" t="s">
        <v>4434</v>
      </c>
      <c r="C6312" s="196">
        <v>-319000</v>
      </c>
      <c r="D6312" s="196">
        <v>0</v>
      </c>
      <c r="E6312" s="196">
        <v>0</v>
      </c>
      <c r="F6312" s="196">
        <v>0</v>
      </c>
      <c r="G6312" s="196">
        <v>-319000</v>
      </c>
    </row>
    <row r="6313" spans="1:7" x14ac:dyDescent="0.3">
      <c r="A6313" s="198">
        <v>1214720423</v>
      </c>
      <c r="B6313" s="192" t="s">
        <v>4435</v>
      </c>
      <c r="C6313" s="196">
        <v>-50900</v>
      </c>
      <c r="D6313" s="196">
        <v>0</v>
      </c>
      <c r="E6313" s="196">
        <v>0</v>
      </c>
      <c r="F6313" s="196">
        <v>0</v>
      </c>
      <c r="G6313" s="196">
        <v>-50900</v>
      </c>
    </row>
    <row r="6314" spans="1:7" x14ac:dyDescent="0.3">
      <c r="A6314" s="198">
        <v>1005259265</v>
      </c>
      <c r="B6314" s="192" t="s">
        <v>4436</v>
      </c>
      <c r="C6314" s="196">
        <v>-100000</v>
      </c>
      <c r="D6314" s="196">
        <v>0</v>
      </c>
      <c r="E6314" s="196">
        <v>0</v>
      </c>
      <c r="F6314" s="196">
        <v>0</v>
      </c>
      <c r="G6314" s="196">
        <v>-100000</v>
      </c>
    </row>
    <row r="6315" spans="1:7" x14ac:dyDescent="0.3">
      <c r="A6315" s="198">
        <v>1020471380</v>
      </c>
      <c r="B6315" s="192" t="s">
        <v>4437</v>
      </c>
      <c r="C6315" s="196">
        <v>-130000</v>
      </c>
      <c r="D6315" s="196">
        <v>0</v>
      </c>
      <c r="E6315" s="196">
        <v>0</v>
      </c>
      <c r="F6315" s="196">
        <v>0</v>
      </c>
      <c r="G6315" s="196">
        <v>-130000</v>
      </c>
    </row>
    <row r="6316" spans="1:7" x14ac:dyDescent="0.3">
      <c r="A6316" s="198">
        <v>1035854913</v>
      </c>
      <c r="B6316" s="192" t="s">
        <v>4438</v>
      </c>
      <c r="C6316" s="196">
        <v>-50900</v>
      </c>
      <c r="D6316" s="196">
        <v>0</v>
      </c>
      <c r="E6316" s="196">
        <v>0</v>
      </c>
      <c r="F6316" s="196">
        <v>0</v>
      </c>
      <c r="G6316" s="196">
        <v>-50900</v>
      </c>
    </row>
    <row r="6317" spans="1:7" x14ac:dyDescent="0.3">
      <c r="A6317" s="198">
        <v>1027743196</v>
      </c>
      <c r="B6317" s="192" t="s">
        <v>4439</v>
      </c>
      <c r="C6317" s="196">
        <v>-50900</v>
      </c>
      <c r="D6317" s="196">
        <v>0</v>
      </c>
      <c r="E6317" s="196">
        <v>0</v>
      </c>
      <c r="F6317" s="196">
        <v>0</v>
      </c>
      <c r="G6317" s="196">
        <v>-50900</v>
      </c>
    </row>
    <row r="6318" spans="1:7" x14ac:dyDescent="0.3">
      <c r="A6318" s="192" t="s">
        <v>4440</v>
      </c>
      <c r="B6318" s="192" t="s">
        <v>4441</v>
      </c>
      <c r="C6318" s="196">
        <v>-481000</v>
      </c>
      <c r="D6318" s="196">
        <v>0</v>
      </c>
      <c r="E6318" s="196">
        <v>0</v>
      </c>
      <c r="F6318" s="196">
        <v>0</v>
      </c>
      <c r="G6318" s="196">
        <v>-481000</v>
      </c>
    </row>
    <row r="6319" spans="1:7" x14ac:dyDescent="0.3">
      <c r="A6319" s="198">
        <v>1128454357</v>
      </c>
      <c r="B6319" s="192" t="s">
        <v>4442</v>
      </c>
      <c r="C6319" s="196">
        <v>-50900</v>
      </c>
      <c r="D6319" s="196">
        <v>0</v>
      </c>
      <c r="E6319" s="196">
        <v>0</v>
      </c>
      <c r="F6319" s="196">
        <v>0</v>
      </c>
      <c r="G6319" s="196">
        <v>-50900</v>
      </c>
    </row>
    <row r="6320" spans="1:7" x14ac:dyDescent="0.3">
      <c r="A6320" s="198">
        <v>1038127684</v>
      </c>
      <c r="B6320" s="192" t="s">
        <v>4443</v>
      </c>
      <c r="C6320" s="196">
        <v>-85000</v>
      </c>
      <c r="D6320" s="196">
        <v>0</v>
      </c>
      <c r="E6320" s="196">
        <v>0</v>
      </c>
      <c r="F6320" s="196">
        <v>0</v>
      </c>
      <c r="G6320" s="196">
        <v>-85000</v>
      </c>
    </row>
    <row r="6321" spans="1:7" x14ac:dyDescent="0.3">
      <c r="A6321" s="198">
        <v>566012150</v>
      </c>
      <c r="B6321" s="192" t="s">
        <v>933</v>
      </c>
      <c r="C6321" s="196">
        <v>0</v>
      </c>
      <c r="D6321" s="196">
        <v>0</v>
      </c>
      <c r="E6321" s="196">
        <v>110000</v>
      </c>
      <c r="F6321" s="196">
        <v>-110000</v>
      </c>
      <c r="G6321" s="196">
        <v>-110000</v>
      </c>
    </row>
    <row r="6322" spans="1:7" x14ac:dyDescent="0.3">
      <c r="A6322" s="198">
        <v>1017183177</v>
      </c>
      <c r="B6322" s="192" t="s">
        <v>4444</v>
      </c>
      <c r="C6322" s="196">
        <v>-50900</v>
      </c>
      <c r="D6322" s="196">
        <v>0</v>
      </c>
      <c r="E6322" s="196">
        <v>0</v>
      </c>
      <c r="F6322" s="196">
        <v>0</v>
      </c>
      <c r="G6322" s="196">
        <v>-50900</v>
      </c>
    </row>
    <row r="6323" spans="1:7" x14ac:dyDescent="0.3">
      <c r="A6323" s="198">
        <v>32243412</v>
      </c>
      <c r="B6323" s="192" t="s">
        <v>4445</v>
      </c>
      <c r="C6323" s="196">
        <v>-50900</v>
      </c>
      <c r="D6323" s="196">
        <v>0</v>
      </c>
      <c r="E6323" s="196">
        <v>0</v>
      </c>
      <c r="F6323" s="196">
        <v>0</v>
      </c>
      <c r="G6323" s="196">
        <v>-50900</v>
      </c>
    </row>
    <row r="6324" spans="1:7" x14ac:dyDescent="0.3">
      <c r="A6324" s="198">
        <v>1033184491</v>
      </c>
      <c r="B6324" s="192" t="s">
        <v>4446</v>
      </c>
      <c r="C6324" s="196">
        <v>-297000</v>
      </c>
      <c r="D6324" s="196">
        <v>0</v>
      </c>
      <c r="E6324" s="196">
        <v>0</v>
      </c>
      <c r="F6324" s="196">
        <v>0</v>
      </c>
      <c r="G6324" s="196">
        <v>-297000</v>
      </c>
    </row>
    <row r="6325" spans="1:7" x14ac:dyDescent="0.3">
      <c r="A6325" s="198">
        <v>35896636</v>
      </c>
      <c r="B6325" s="192" t="s">
        <v>934</v>
      </c>
      <c r="C6325" s="196">
        <v>0</v>
      </c>
      <c r="D6325" s="196">
        <v>0</v>
      </c>
      <c r="E6325" s="196">
        <v>50900</v>
      </c>
      <c r="F6325" s="196">
        <v>-50900</v>
      </c>
      <c r="G6325" s="196">
        <v>-50900</v>
      </c>
    </row>
    <row r="6326" spans="1:7" x14ac:dyDescent="0.3">
      <c r="A6326" s="198">
        <v>1020476494</v>
      </c>
      <c r="B6326" s="192" t="s">
        <v>935</v>
      </c>
      <c r="C6326" s="196">
        <v>-28900</v>
      </c>
      <c r="D6326" s="196">
        <v>0</v>
      </c>
      <c r="E6326" s="196">
        <v>28900</v>
      </c>
      <c r="F6326" s="196">
        <v>-28900</v>
      </c>
      <c r="G6326" s="196">
        <v>-57800</v>
      </c>
    </row>
    <row r="6327" spans="1:7" x14ac:dyDescent="0.3">
      <c r="A6327" s="198">
        <v>1036650381</v>
      </c>
      <c r="B6327" s="192" t="s">
        <v>936</v>
      </c>
      <c r="C6327" s="196">
        <v>0</v>
      </c>
      <c r="D6327" s="196">
        <v>0</v>
      </c>
      <c r="E6327" s="196">
        <v>50900</v>
      </c>
      <c r="F6327" s="196">
        <v>-50900</v>
      </c>
      <c r="G6327" s="196">
        <v>-50900</v>
      </c>
    </row>
    <row r="6328" spans="1:7" x14ac:dyDescent="0.3">
      <c r="A6328" s="198">
        <v>1144102470</v>
      </c>
      <c r="B6328" s="192" t="s">
        <v>4447</v>
      </c>
      <c r="C6328" s="196">
        <v>-26600</v>
      </c>
      <c r="D6328" s="196">
        <v>0</v>
      </c>
      <c r="E6328" s="196">
        <v>0</v>
      </c>
      <c r="F6328" s="196">
        <v>0</v>
      </c>
      <c r="G6328" s="196">
        <v>-26600</v>
      </c>
    </row>
    <row r="6329" spans="1:7" x14ac:dyDescent="0.3">
      <c r="A6329" s="198">
        <v>157175277</v>
      </c>
      <c r="B6329" s="192" t="s">
        <v>937</v>
      </c>
      <c r="C6329" s="196">
        <v>0</v>
      </c>
      <c r="D6329" s="196">
        <v>0</v>
      </c>
      <c r="E6329" s="196">
        <v>50900</v>
      </c>
      <c r="F6329" s="196">
        <v>-50900</v>
      </c>
      <c r="G6329" s="196">
        <v>-50900</v>
      </c>
    </row>
    <row r="6330" spans="1:7" x14ac:dyDescent="0.3">
      <c r="A6330" s="198">
        <v>1125781185</v>
      </c>
      <c r="B6330" s="192" t="s">
        <v>4448</v>
      </c>
      <c r="C6330" s="196">
        <v>-270000</v>
      </c>
      <c r="D6330" s="196">
        <v>0</v>
      </c>
      <c r="E6330" s="196">
        <v>0</v>
      </c>
      <c r="F6330" s="196">
        <v>0</v>
      </c>
      <c r="G6330" s="196">
        <v>-270000</v>
      </c>
    </row>
    <row r="6331" spans="1:7" x14ac:dyDescent="0.3">
      <c r="A6331" s="198">
        <v>64574125</v>
      </c>
      <c r="B6331" s="192" t="s">
        <v>4449</v>
      </c>
      <c r="C6331" s="196">
        <v>-47400</v>
      </c>
      <c r="D6331" s="196">
        <v>0</v>
      </c>
      <c r="E6331" s="196">
        <v>0</v>
      </c>
      <c r="F6331" s="196">
        <v>0</v>
      </c>
      <c r="G6331" s="196">
        <v>-47400</v>
      </c>
    </row>
    <row r="6332" spans="1:7" x14ac:dyDescent="0.3">
      <c r="A6332" s="198">
        <v>1110571956</v>
      </c>
      <c r="B6332" s="192" t="s">
        <v>4450</v>
      </c>
      <c r="C6332" s="196">
        <v>-247000</v>
      </c>
      <c r="D6332" s="196">
        <v>0</v>
      </c>
      <c r="E6332" s="196">
        <v>0</v>
      </c>
      <c r="F6332" s="196">
        <v>0</v>
      </c>
      <c r="G6332" s="196">
        <v>-247000</v>
      </c>
    </row>
    <row r="6333" spans="1:7" x14ac:dyDescent="0.3">
      <c r="A6333" s="198">
        <v>1035229183</v>
      </c>
      <c r="B6333" s="192" t="s">
        <v>4451</v>
      </c>
      <c r="C6333" s="196">
        <v>-50900</v>
      </c>
      <c r="D6333" s="196">
        <v>0</v>
      </c>
      <c r="E6333" s="196">
        <v>0</v>
      </c>
      <c r="F6333" s="196">
        <v>0</v>
      </c>
      <c r="G6333" s="196">
        <v>-50900</v>
      </c>
    </row>
    <row r="6334" spans="1:7" x14ac:dyDescent="0.3">
      <c r="A6334" s="198">
        <v>1006733587</v>
      </c>
      <c r="B6334" s="192" t="s">
        <v>4452</v>
      </c>
      <c r="C6334" s="196">
        <v>-110000</v>
      </c>
      <c r="D6334" s="196">
        <v>0</v>
      </c>
      <c r="E6334" s="196">
        <v>0</v>
      </c>
      <c r="F6334" s="196">
        <v>0</v>
      </c>
      <c r="G6334" s="196">
        <v>-110000</v>
      </c>
    </row>
    <row r="6335" spans="1:7" x14ac:dyDescent="0.3">
      <c r="A6335" s="198">
        <v>1036631875</v>
      </c>
      <c r="B6335" s="192" t="s">
        <v>4453</v>
      </c>
      <c r="C6335" s="196">
        <v>-50900</v>
      </c>
      <c r="D6335" s="196">
        <v>0</v>
      </c>
      <c r="E6335" s="196">
        <v>0</v>
      </c>
      <c r="F6335" s="196">
        <v>0</v>
      </c>
      <c r="G6335" s="196">
        <v>-50900</v>
      </c>
    </row>
    <row r="6336" spans="1:7" x14ac:dyDescent="0.3">
      <c r="A6336" s="198">
        <v>1152209454</v>
      </c>
      <c r="B6336" s="192" t="s">
        <v>4454</v>
      </c>
      <c r="C6336" s="196">
        <v>-148500</v>
      </c>
      <c r="D6336" s="196">
        <v>0</v>
      </c>
      <c r="E6336" s="196">
        <v>0</v>
      </c>
      <c r="F6336" s="196">
        <v>0</v>
      </c>
      <c r="G6336" s="196">
        <v>-148500</v>
      </c>
    </row>
    <row r="6337" spans="1:7" x14ac:dyDescent="0.3">
      <c r="A6337" s="198">
        <v>43628363</v>
      </c>
      <c r="B6337" s="192" t="s">
        <v>4455</v>
      </c>
      <c r="C6337" s="196">
        <v>-50900</v>
      </c>
      <c r="D6337" s="196">
        <v>0</v>
      </c>
      <c r="E6337" s="196">
        <v>0</v>
      </c>
      <c r="F6337" s="196">
        <v>0</v>
      </c>
      <c r="G6337" s="196">
        <v>-50900</v>
      </c>
    </row>
    <row r="6338" spans="1:7" x14ac:dyDescent="0.3">
      <c r="A6338" s="192" t="s">
        <v>4456</v>
      </c>
      <c r="B6338" s="192" t="s">
        <v>4457</v>
      </c>
      <c r="C6338" s="196">
        <v>-165000</v>
      </c>
      <c r="D6338" s="196">
        <v>0</v>
      </c>
      <c r="E6338" s="196">
        <v>0</v>
      </c>
      <c r="F6338" s="196">
        <v>0</v>
      </c>
      <c r="G6338" s="196">
        <v>-165000</v>
      </c>
    </row>
    <row r="6339" spans="1:7" x14ac:dyDescent="0.3">
      <c r="A6339" s="198">
        <v>1128440276</v>
      </c>
      <c r="B6339" s="192" t="s">
        <v>4458</v>
      </c>
      <c r="C6339" s="196">
        <v>-297000</v>
      </c>
      <c r="D6339" s="196">
        <v>0</v>
      </c>
      <c r="E6339" s="196">
        <v>0</v>
      </c>
      <c r="F6339" s="196">
        <v>0</v>
      </c>
      <c r="G6339" s="196">
        <v>-297000</v>
      </c>
    </row>
    <row r="6340" spans="1:7" x14ac:dyDescent="0.3">
      <c r="A6340" s="198">
        <v>1152211608</v>
      </c>
      <c r="B6340" s="192" t="s">
        <v>4459</v>
      </c>
      <c r="C6340" s="196">
        <v>-101800</v>
      </c>
      <c r="D6340" s="196">
        <v>0</v>
      </c>
      <c r="E6340" s="196">
        <v>0</v>
      </c>
      <c r="F6340" s="196">
        <v>0</v>
      </c>
      <c r="G6340" s="196">
        <v>-101800</v>
      </c>
    </row>
    <row r="6341" spans="1:7" x14ac:dyDescent="0.3">
      <c r="A6341" s="192" t="s">
        <v>4460</v>
      </c>
      <c r="B6341" s="192" t="s">
        <v>4461</v>
      </c>
      <c r="C6341" s="196">
        <v>-319000</v>
      </c>
      <c r="D6341" s="196">
        <v>0</v>
      </c>
      <c r="E6341" s="196">
        <v>0</v>
      </c>
      <c r="F6341" s="196">
        <v>0</v>
      </c>
      <c r="G6341" s="196">
        <v>-319000</v>
      </c>
    </row>
    <row r="6342" spans="1:7" x14ac:dyDescent="0.3">
      <c r="A6342" s="198">
        <v>43869068</v>
      </c>
      <c r="B6342" s="192" t="s">
        <v>4462</v>
      </c>
      <c r="C6342" s="196">
        <v>-50900</v>
      </c>
      <c r="D6342" s="196">
        <v>0</v>
      </c>
      <c r="E6342" s="196">
        <v>0</v>
      </c>
      <c r="F6342" s="196">
        <v>0</v>
      </c>
      <c r="G6342" s="196">
        <v>-50900</v>
      </c>
    </row>
    <row r="6343" spans="1:7" x14ac:dyDescent="0.3">
      <c r="A6343" s="198">
        <v>41104421</v>
      </c>
      <c r="B6343" s="192" t="s">
        <v>938</v>
      </c>
      <c r="C6343" s="196">
        <v>0</v>
      </c>
      <c r="D6343" s="196">
        <v>0</v>
      </c>
      <c r="E6343" s="196">
        <v>50900</v>
      </c>
      <c r="F6343" s="196">
        <v>-50900</v>
      </c>
      <c r="G6343" s="196">
        <v>-50900</v>
      </c>
    </row>
    <row r="6344" spans="1:7" x14ac:dyDescent="0.3">
      <c r="A6344" s="198">
        <v>26201401</v>
      </c>
      <c r="B6344" s="192" t="s">
        <v>4463</v>
      </c>
      <c r="C6344" s="196">
        <v>-50900</v>
      </c>
      <c r="D6344" s="196">
        <v>0</v>
      </c>
      <c r="E6344" s="196">
        <v>0</v>
      </c>
      <c r="F6344" s="196">
        <v>0</v>
      </c>
      <c r="G6344" s="196">
        <v>-50900</v>
      </c>
    </row>
    <row r="6345" spans="1:7" x14ac:dyDescent="0.3">
      <c r="A6345" s="198">
        <v>42884746</v>
      </c>
      <c r="B6345" s="192" t="s">
        <v>4464</v>
      </c>
      <c r="C6345" s="196">
        <v>-50900</v>
      </c>
      <c r="D6345" s="196">
        <v>0</v>
      </c>
      <c r="E6345" s="196">
        <v>0</v>
      </c>
      <c r="F6345" s="196">
        <v>0</v>
      </c>
      <c r="G6345" s="196">
        <v>-50900</v>
      </c>
    </row>
    <row r="6346" spans="1:7" x14ac:dyDescent="0.3">
      <c r="A6346" s="198">
        <v>1140839375</v>
      </c>
      <c r="B6346" s="192" t="s">
        <v>4465</v>
      </c>
      <c r="C6346" s="196">
        <v>-319000</v>
      </c>
      <c r="D6346" s="196">
        <v>0</v>
      </c>
      <c r="E6346" s="196">
        <v>0</v>
      </c>
      <c r="F6346" s="196">
        <v>0</v>
      </c>
      <c r="G6346" s="196">
        <v>-319000</v>
      </c>
    </row>
    <row r="6347" spans="1:7" x14ac:dyDescent="0.3">
      <c r="A6347" s="198">
        <v>52762120</v>
      </c>
      <c r="B6347" s="192" t="s">
        <v>4466</v>
      </c>
      <c r="C6347" s="196">
        <v>-88000</v>
      </c>
      <c r="D6347" s="196">
        <v>0</v>
      </c>
      <c r="E6347" s="196">
        <v>0</v>
      </c>
      <c r="F6347" s="196">
        <v>0</v>
      </c>
      <c r="G6347" s="196">
        <v>-88000</v>
      </c>
    </row>
    <row r="6348" spans="1:7" x14ac:dyDescent="0.3">
      <c r="A6348" s="198">
        <v>43927792</v>
      </c>
      <c r="B6348" s="192" t="s">
        <v>939</v>
      </c>
      <c r="C6348" s="196">
        <v>0</v>
      </c>
      <c r="D6348" s="196">
        <v>0</v>
      </c>
      <c r="E6348" s="196">
        <v>207900</v>
      </c>
      <c r="F6348" s="196">
        <v>-207900</v>
      </c>
      <c r="G6348" s="196">
        <v>-207900</v>
      </c>
    </row>
    <row r="6349" spans="1:7" x14ac:dyDescent="0.3">
      <c r="A6349" s="192" t="s">
        <v>4467</v>
      </c>
      <c r="B6349" s="192" t="s">
        <v>4468</v>
      </c>
      <c r="C6349" s="196">
        <v>-207000</v>
      </c>
      <c r="D6349" s="196">
        <v>0</v>
      </c>
      <c r="E6349" s="196">
        <v>0</v>
      </c>
      <c r="F6349" s="196">
        <v>0</v>
      </c>
      <c r="G6349" s="196">
        <v>-207000</v>
      </c>
    </row>
    <row r="6350" spans="1:7" x14ac:dyDescent="0.3">
      <c r="A6350" s="198">
        <v>1007241986</v>
      </c>
      <c r="B6350" s="192" t="s">
        <v>4469</v>
      </c>
      <c r="C6350" s="196">
        <v>-101800</v>
      </c>
      <c r="D6350" s="196">
        <v>0</v>
      </c>
      <c r="E6350" s="196">
        <v>0</v>
      </c>
      <c r="F6350" s="196">
        <v>0</v>
      </c>
      <c r="G6350" s="196">
        <v>-101800</v>
      </c>
    </row>
    <row r="6351" spans="1:7" x14ac:dyDescent="0.3">
      <c r="A6351" s="198">
        <v>1035871475</v>
      </c>
      <c r="B6351" s="192" t="s">
        <v>940</v>
      </c>
      <c r="C6351" s="196">
        <v>0</v>
      </c>
      <c r="D6351" s="196">
        <v>0</v>
      </c>
      <c r="E6351" s="196">
        <v>297000</v>
      </c>
      <c r="F6351" s="196">
        <v>-297000</v>
      </c>
      <c r="G6351" s="196">
        <v>-297000</v>
      </c>
    </row>
    <row r="6352" spans="1:7" x14ac:dyDescent="0.3">
      <c r="A6352" s="198">
        <v>1003851364</v>
      </c>
      <c r="B6352" s="192" t="s">
        <v>4470</v>
      </c>
      <c r="C6352" s="196">
        <v>-110000</v>
      </c>
      <c r="D6352" s="196">
        <v>0</v>
      </c>
      <c r="E6352" s="196">
        <v>0</v>
      </c>
      <c r="F6352" s="196">
        <v>0</v>
      </c>
      <c r="G6352" s="196">
        <v>-110000</v>
      </c>
    </row>
    <row r="6353" spans="1:7" x14ac:dyDescent="0.3">
      <c r="A6353" s="198">
        <v>43163536</v>
      </c>
      <c r="B6353" s="192" t="s">
        <v>941</v>
      </c>
      <c r="C6353" s="196">
        <v>0</v>
      </c>
      <c r="D6353" s="196">
        <v>0</v>
      </c>
      <c r="E6353" s="196">
        <v>50900</v>
      </c>
      <c r="F6353" s="196">
        <v>-50900</v>
      </c>
      <c r="G6353" s="196">
        <v>-50900</v>
      </c>
    </row>
    <row r="6354" spans="1:7" x14ac:dyDescent="0.3">
      <c r="A6354" s="198">
        <v>1000535831</v>
      </c>
      <c r="B6354" s="192" t="s">
        <v>4471</v>
      </c>
      <c r="C6354" s="196">
        <v>-100000</v>
      </c>
      <c r="D6354" s="196">
        <v>0</v>
      </c>
      <c r="E6354" s="196">
        <v>0</v>
      </c>
      <c r="F6354" s="196">
        <v>0</v>
      </c>
      <c r="G6354" s="196">
        <v>-100000</v>
      </c>
    </row>
    <row r="6355" spans="1:7" x14ac:dyDescent="0.3">
      <c r="A6355" s="198">
        <v>1075021357</v>
      </c>
      <c r="B6355" s="192" t="s">
        <v>942</v>
      </c>
      <c r="C6355" s="196">
        <v>0</v>
      </c>
      <c r="D6355" s="196">
        <v>0</v>
      </c>
      <c r="E6355" s="196">
        <v>319000</v>
      </c>
      <c r="F6355" s="196">
        <v>-319000</v>
      </c>
      <c r="G6355" s="196">
        <v>-319000</v>
      </c>
    </row>
    <row r="6356" spans="1:7" x14ac:dyDescent="0.3">
      <c r="A6356" s="198">
        <v>1017283327</v>
      </c>
      <c r="B6356" s="192" t="s">
        <v>943</v>
      </c>
      <c r="C6356" s="196">
        <v>-50900</v>
      </c>
      <c r="D6356" s="196">
        <v>0</v>
      </c>
      <c r="E6356" s="196">
        <v>50900</v>
      </c>
      <c r="F6356" s="196">
        <v>-50900</v>
      </c>
      <c r="G6356" s="196">
        <v>-101800</v>
      </c>
    </row>
    <row r="6357" spans="1:7" x14ac:dyDescent="0.3">
      <c r="A6357" s="198">
        <v>1006968918</v>
      </c>
      <c r="B6357" s="192" t="s">
        <v>4472</v>
      </c>
      <c r="C6357" s="196">
        <v>-50900</v>
      </c>
      <c r="D6357" s="196">
        <v>0</v>
      </c>
      <c r="E6357" s="196">
        <v>0</v>
      </c>
      <c r="F6357" s="196">
        <v>0</v>
      </c>
      <c r="G6357" s="196">
        <v>-50900</v>
      </c>
    </row>
    <row r="6358" spans="1:7" x14ac:dyDescent="0.3">
      <c r="A6358" s="198">
        <v>581486756</v>
      </c>
      <c r="B6358" s="192" t="s">
        <v>4473</v>
      </c>
      <c r="C6358" s="196">
        <v>-162000</v>
      </c>
      <c r="D6358" s="196">
        <v>0</v>
      </c>
      <c r="E6358" s="196">
        <v>0</v>
      </c>
      <c r="F6358" s="196">
        <v>0</v>
      </c>
      <c r="G6358" s="196">
        <v>-162000</v>
      </c>
    </row>
    <row r="6359" spans="1:7" x14ac:dyDescent="0.3">
      <c r="A6359" s="198">
        <v>1049649057</v>
      </c>
      <c r="B6359" s="192" t="s">
        <v>4474</v>
      </c>
      <c r="C6359" s="196">
        <v>-99500</v>
      </c>
      <c r="D6359" s="196">
        <v>0</v>
      </c>
      <c r="E6359" s="196">
        <v>0</v>
      </c>
      <c r="F6359" s="196">
        <v>0</v>
      </c>
      <c r="G6359" s="196">
        <v>-99500</v>
      </c>
    </row>
    <row r="6360" spans="1:7" x14ac:dyDescent="0.3">
      <c r="A6360" s="198">
        <v>1001005206</v>
      </c>
      <c r="B6360" s="192" t="s">
        <v>4475</v>
      </c>
      <c r="C6360" s="196">
        <v>-25000</v>
      </c>
      <c r="D6360" s="196">
        <v>0</v>
      </c>
      <c r="E6360" s="196">
        <v>0</v>
      </c>
      <c r="F6360" s="196">
        <v>0</v>
      </c>
      <c r="G6360" s="196">
        <v>-25000</v>
      </c>
    </row>
    <row r="6361" spans="1:7" x14ac:dyDescent="0.3">
      <c r="A6361" s="198">
        <v>1037629547</v>
      </c>
      <c r="B6361" s="192" t="s">
        <v>4476</v>
      </c>
      <c r="C6361" s="196">
        <v>-271150</v>
      </c>
      <c r="D6361" s="196">
        <v>0</v>
      </c>
      <c r="E6361" s="196">
        <v>0</v>
      </c>
      <c r="F6361" s="196">
        <v>0</v>
      </c>
      <c r="G6361" s="196">
        <v>-271150</v>
      </c>
    </row>
    <row r="6362" spans="1:7" x14ac:dyDescent="0.3">
      <c r="A6362" s="198">
        <v>1078469761</v>
      </c>
      <c r="B6362" s="192" t="s">
        <v>4477</v>
      </c>
      <c r="C6362" s="196">
        <v>-297000</v>
      </c>
      <c r="D6362" s="196">
        <v>0</v>
      </c>
      <c r="E6362" s="196">
        <v>0</v>
      </c>
      <c r="F6362" s="196">
        <v>0</v>
      </c>
      <c r="G6362" s="196">
        <v>-297000</v>
      </c>
    </row>
    <row r="6363" spans="1:7" x14ac:dyDescent="0.3">
      <c r="A6363" s="198">
        <v>43188457</v>
      </c>
      <c r="B6363" s="192" t="s">
        <v>4478</v>
      </c>
      <c r="C6363" s="196">
        <v>-459000</v>
      </c>
      <c r="D6363" s="196">
        <v>0</v>
      </c>
      <c r="E6363" s="196">
        <v>0</v>
      </c>
      <c r="F6363" s="196">
        <v>0</v>
      </c>
      <c r="G6363" s="196">
        <v>-459000</v>
      </c>
    </row>
    <row r="6364" spans="1:7" x14ac:dyDescent="0.3">
      <c r="A6364" s="192" t="s">
        <v>4479</v>
      </c>
      <c r="B6364" s="192" t="s">
        <v>4480</v>
      </c>
      <c r="C6364" s="196">
        <v>-47400</v>
      </c>
      <c r="D6364" s="196">
        <v>0</v>
      </c>
      <c r="E6364" s="196">
        <v>0</v>
      </c>
      <c r="F6364" s="196">
        <v>0</v>
      </c>
      <c r="G6364" s="196">
        <v>-47400</v>
      </c>
    </row>
    <row r="6365" spans="1:7" x14ac:dyDescent="0.3">
      <c r="A6365" s="192" t="s">
        <v>945</v>
      </c>
      <c r="B6365" s="192" t="s">
        <v>946</v>
      </c>
      <c r="C6365" s="196">
        <v>0</v>
      </c>
      <c r="D6365" s="196">
        <v>0</v>
      </c>
      <c r="E6365" s="196">
        <v>297000</v>
      </c>
      <c r="F6365" s="196">
        <v>-297000</v>
      </c>
      <c r="G6365" s="196">
        <v>-297000</v>
      </c>
    </row>
    <row r="6366" spans="1:7" x14ac:dyDescent="0.3">
      <c r="A6366" s="198">
        <v>43187858</v>
      </c>
      <c r="B6366" s="192" t="s">
        <v>947</v>
      </c>
      <c r="C6366" s="196">
        <v>0</v>
      </c>
      <c r="D6366" s="196">
        <v>0</v>
      </c>
      <c r="E6366" s="196">
        <v>110000</v>
      </c>
      <c r="F6366" s="196">
        <v>-110000</v>
      </c>
      <c r="G6366" s="196">
        <v>-110000</v>
      </c>
    </row>
    <row r="6367" spans="1:7" x14ac:dyDescent="0.3">
      <c r="A6367" s="198">
        <v>43876444</v>
      </c>
      <c r="B6367" s="192" t="s">
        <v>4481</v>
      </c>
      <c r="C6367" s="196">
        <v>-50900</v>
      </c>
      <c r="D6367" s="196">
        <v>0</v>
      </c>
      <c r="E6367" s="196">
        <v>0</v>
      </c>
      <c r="F6367" s="196">
        <v>0</v>
      </c>
      <c r="G6367" s="196">
        <v>-50900</v>
      </c>
    </row>
    <row r="6368" spans="1:7" x14ac:dyDescent="0.3">
      <c r="A6368" s="198">
        <v>43988311</v>
      </c>
      <c r="B6368" s="192" t="s">
        <v>4482</v>
      </c>
      <c r="C6368" s="196">
        <v>-50900</v>
      </c>
      <c r="D6368" s="196">
        <v>0</v>
      </c>
      <c r="E6368" s="196">
        <v>0</v>
      </c>
      <c r="F6368" s="196">
        <v>0</v>
      </c>
      <c r="G6368" s="196">
        <v>-50900</v>
      </c>
    </row>
    <row r="6369" spans="1:7" x14ac:dyDescent="0.3">
      <c r="A6369" s="198">
        <v>43188900</v>
      </c>
      <c r="B6369" s="192" t="s">
        <v>949</v>
      </c>
      <c r="C6369" s="196">
        <v>0</v>
      </c>
      <c r="D6369" s="196">
        <v>0</v>
      </c>
      <c r="E6369" s="196">
        <v>50900</v>
      </c>
      <c r="F6369" s="196">
        <v>-50900</v>
      </c>
      <c r="G6369" s="196">
        <v>-50900</v>
      </c>
    </row>
    <row r="6370" spans="1:7" x14ac:dyDescent="0.3">
      <c r="A6370" s="198">
        <v>655995725</v>
      </c>
      <c r="B6370" s="192" t="s">
        <v>4483</v>
      </c>
      <c r="C6370" s="196">
        <v>-50900</v>
      </c>
      <c r="D6370" s="196">
        <v>0</v>
      </c>
      <c r="E6370" s="196">
        <v>0</v>
      </c>
      <c r="F6370" s="196">
        <v>0</v>
      </c>
      <c r="G6370" s="196">
        <v>-50900</v>
      </c>
    </row>
    <row r="6371" spans="1:7" x14ac:dyDescent="0.3">
      <c r="A6371" s="198">
        <v>8362606</v>
      </c>
      <c r="B6371" s="192" t="s">
        <v>4484</v>
      </c>
      <c r="C6371" s="196">
        <v>-297000</v>
      </c>
      <c r="D6371" s="196">
        <v>0</v>
      </c>
      <c r="E6371" s="196">
        <v>0</v>
      </c>
      <c r="F6371" s="196">
        <v>0</v>
      </c>
      <c r="G6371" s="196">
        <v>-297000</v>
      </c>
    </row>
    <row r="6372" spans="1:7" x14ac:dyDescent="0.3">
      <c r="A6372" s="192" t="s">
        <v>4485</v>
      </c>
      <c r="B6372" s="192" t="s">
        <v>4486</v>
      </c>
      <c r="C6372" s="196">
        <v>-310000</v>
      </c>
      <c r="D6372" s="196">
        <v>0</v>
      </c>
      <c r="E6372" s="196">
        <v>0</v>
      </c>
      <c r="F6372" s="196">
        <v>0</v>
      </c>
      <c r="G6372" s="196">
        <v>-310000</v>
      </c>
    </row>
    <row r="6373" spans="1:7" x14ac:dyDescent="0.3">
      <c r="A6373" s="198">
        <v>1214743594</v>
      </c>
      <c r="B6373" s="192" t="s">
        <v>4487</v>
      </c>
      <c r="C6373" s="196">
        <v>-101800</v>
      </c>
      <c r="D6373" s="196">
        <v>0</v>
      </c>
      <c r="E6373" s="196">
        <v>0</v>
      </c>
      <c r="F6373" s="196">
        <v>0</v>
      </c>
      <c r="G6373" s="196">
        <v>-101800</v>
      </c>
    </row>
    <row r="6374" spans="1:7" x14ac:dyDescent="0.3">
      <c r="A6374" s="198">
        <v>1098765200</v>
      </c>
      <c r="B6374" s="192" t="s">
        <v>4488</v>
      </c>
      <c r="C6374" s="196">
        <v>-50900</v>
      </c>
      <c r="D6374" s="196">
        <v>0</v>
      </c>
      <c r="E6374" s="196">
        <v>0</v>
      </c>
      <c r="F6374" s="196">
        <v>0</v>
      </c>
      <c r="G6374" s="196">
        <v>-50900</v>
      </c>
    </row>
    <row r="6375" spans="1:7" x14ac:dyDescent="0.3">
      <c r="A6375" s="198">
        <v>52087141</v>
      </c>
      <c r="B6375" s="192" t="s">
        <v>950</v>
      </c>
      <c r="C6375" s="196">
        <v>0</v>
      </c>
      <c r="D6375" s="196">
        <v>0</v>
      </c>
      <c r="E6375" s="196">
        <v>46800</v>
      </c>
      <c r="F6375" s="196">
        <v>-46800</v>
      </c>
      <c r="G6375" s="196">
        <v>-46800</v>
      </c>
    </row>
    <row r="6376" spans="1:7" x14ac:dyDescent="0.3">
      <c r="A6376" s="198">
        <v>1037603539</v>
      </c>
      <c r="B6376" s="192" t="s">
        <v>951</v>
      </c>
      <c r="C6376" s="196">
        <v>0</v>
      </c>
      <c r="D6376" s="196">
        <v>0</v>
      </c>
      <c r="E6376" s="196">
        <v>207900</v>
      </c>
      <c r="F6376" s="196">
        <v>-207900</v>
      </c>
      <c r="G6376" s="196">
        <v>-207900</v>
      </c>
    </row>
    <row r="6377" spans="1:7" x14ac:dyDescent="0.3">
      <c r="A6377" s="198">
        <v>1049621577</v>
      </c>
      <c r="B6377" s="192" t="s">
        <v>4489</v>
      </c>
      <c r="C6377" s="196">
        <v>-46400</v>
      </c>
      <c r="D6377" s="196">
        <v>0</v>
      </c>
      <c r="E6377" s="196">
        <v>0</v>
      </c>
      <c r="F6377" s="196">
        <v>0</v>
      </c>
      <c r="G6377" s="196">
        <v>-46400</v>
      </c>
    </row>
    <row r="6378" spans="1:7" x14ac:dyDescent="0.3">
      <c r="A6378" s="198">
        <v>1035421882</v>
      </c>
      <c r="B6378" s="192" t="s">
        <v>4490</v>
      </c>
      <c r="C6378" s="196">
        <v>-41400</v>
      </c>
      <c r="D6378" s="196">
        <v>0</v>
      </c>
      <c r="E6378" s="196">
        <v>0</v>
      </c>
      <c r="F6378" s="196">
        <v>0</v>
      </c>
      <c r="G6378" s="196">
        <v>-41400</v>
      </c>
    </row>
    <row r="6379" spans="1:7" x14ac:dyDescent="0.3">
      <c r="A6379" s="198">
        <v>1035970625</v>
      </c>
      <c r="B6379" s="192" t="s">
        <v>4491</v>
      </c>
      <c r="C6379" s="196">
        <v>-165000</v>
      </c>
      <c r="D6379" s="196">
        <v>0</v>
      </c>
      <c r="E6379" s="196">
        <v>0</v>
      </c>
      <c r="F6379" s="196">
        <v>0</v>
      </c>
      <c r="G6379" s="196">
        <v>-165000</v>
      </c>
    </row>
    <row r="6380" spans="1:7" x14ac:dyDescent="0.3">
      <c r="A6380" s="198">
        <v>1020473185</v>
      </c>
      <c r="B6380" s="192" t="s">
        <v>4492</v>
      </c>
      <c r="C6380" s="196">
        <v>-50900</v>
      </c>
      <c r="D6380" s="196">
        <v>0</v>
      </c>
      <c r="E6380" s="196">
        <v>0</v>
      </c>
      <c r="F6380" s="196">
        <v>0</v>
      </c>
      <c r="G6380" s="196">
        <v>-50900</v>
      </c>
    </row>
    <row r="6381" spans="1:7" x14ac:dyDescent="0.3">
      <c r="A6381" s="198">
        <v>1020764995</v>
      </c>
      <c r="B6381" s="192" t="s">
        <v>4493</v>
      </c>
      <c r="C6381" s="196">
        <v>-110000</v>
      </c>
      <c r="D6381" s="196">
        <v>0</v>
      </c>
      <c r="E6381" s="196">
        <v>0</v>
      </c>
      <c r="F6381" s="196">
        <v>0</v>
      </c>
      <c r="G6381" s="196">
        <v>-110000</v>
      </c>
    </row>
    <row r="6382" spans="1:7" x14ac:dyDescent="0.3">
      <c r="A6382" s="198">
        <v>1037588308</v>
      </c>
      <c r="B6382" s="192" t="s">
        <v>4494</v>
      </c>
      <c r="C6382" s="196">
        <v>-47400</v>
      </c>
      <c r="D6382" s="196">
        <v>0</v>
      </c>
      <c r="E6382" s="196">
        <v>0</v>
      </c>
      <c r="F6382" s="196">
        <v>0</v>
      </c>
      <c r="G6382" s="196">
        <v>-47400</v>
      </c>
    </row>
    <row r="6383" spans="1:7" x14ac:dyDescent="0.3">
      <c r="A6383" s="198">
        <v>1015186107</v>
      </c>
      <c r="B6383" s="192" t="s">
        <v>4495</v>
      </c>
      <c r="C6383" s="196">
        <v>-207900</v>
      </c>
      <c r="D6383" s="196">
        <v>0</v>
      </c>
      <c r="E6383" s="196">
        <v>0</v>
      </c>
      <c r="F6383" s="196">
        <v>0</v>
      </c>
      <c r="G6383" s="196">
        <v>-207900</v>
      </c>
    </row>
    <row r="6384" spans="1:7" x14ac:dyDescent="0.3">
      <c r="A6384" s="198">
        <v>1128266488</v>
      </c>
      <c r="B6384" s="192" t="s">
        <v>4496</v>
      </c>
      <c r="C6384" s="196">
        <v>-50900</v>
      </c>
      <c r="D6384" s="196">
        <v>0</v>
      </c>
      <c r="E6384" s="196">
        <v>0</v>
      </c>
      <c r="F6384" s="196">
        <v>0</v>
      </c>
      <c r="G6384" s="196">
        <v>-50900</v>
      </c>
    </row>
    <row r="6385" spans="1:7" x14ac:dyDescent="0.3">
      <c r="A6385" s="198">
        <v>791169</v>
      </c>
      <c r="B6385" s="192" t="s">
        <v>4497</v>
      </c>
      <c r="C6385" s="196">
        <v>-34800</v>
      </c>
      <c r="D6385" s="196">
        <v>0</v>
      </c>
      <c r="E6385" s="196">
        <v>0</v>
      </c>
      <c r="F6385" s="196">
        <v>0</v>
      </c>
      <c r="G6385" s="196">
        <v>-34800</v>
      </c>
    </row>
    <row r="6386" spans="1:7" x14ac:dyDescent="0.3">
      <c r="A6386" s="198">
        <v>1032461709</v>
      </c>
      <c r="B6386" s="192" t="s">
        <v>954</v>
      </c>
      <c r="C6386" s="196">
        <v>0</v>
      </c>
      <c r="D6386" s="196">
        <v>0</v>
      </c>
      <c r="E6386" s="196">
        <v>49000</v>
      </c>
      <c r="F6386" s="196">
        <v>-49000</v>
      </c>
      <c r="G6386" s="196">
        <v>-49000</v>
      </c>
    </row>
    <row r="6387" spans="1:7" x14ac:dyDescent="0.3">
      <c r="A6387" s="198">
        <v>52697359</v>
      </c>
      <c r="B6387" s="192" t="s">
        <v>4498</v>
      </c>
      <c r="C6387" s="196">
        <v>-54200</v>
      </c>
      <c r="D6387" s="196">
        <v>0</v>
      </c>
      <c r="E6387" s="196">
        <v>0</v>
      </c>
      <c r="F6387" s="196">
        <v>0</v>
      </c>
      <c r="G6387" s="196">
        <v>-54200</v>
      </c>
    </row>
    <row r="6388" spans="1:7" x14ac:dyDescent="0.3">
      <c r="A6388" s="198">
        <v>43021999</v>
      </c>
      <c r="B6388" s="192" t="s">
        <v>4499</v>
      </c>
      <c r="C6388" s="196">
        <v>-263300</v>
      </c>
      <c r="D6388" s="196">
        <v>0</v>
      </c>
      <c r="E6388" s="196">
        <v>0</v>
      </c>
      <c r="F6388" s="196">
        <v>0</v>
      </c>
      <c r="G6388" s="196">
        <v>-263300</v>
      </c>
    </row>
    <row r="6389" spans="1:7" x14ac:dyDescent="0.3">
      <c r="A6389" s="198">
        <v>1037582710</v>
      </c>
      <c r="B6389" s="192" t="s">
        <v>955</v>
      </c>
      <c r="C6389" s="196">
        <v>0</v>
      </c>
      <c r="D6389" s="196">
        <v>0</v>
      </c>
      <c r="E6389" s="196">
        <v>50900</v>
      </c>
      <c r="F6389" s="196">
        <v>-50900</v>
      </c>
      <c r="G6389" s="196">
        <v>-50900</v>
      </c>
    </row>
    <row r="6390" spans="1:7" x14ac:dyDescent="0.3">
      <c r="A6390" s="198">
        <v>1037596524</v>
      </c>
      <c r="B6390" s="192" t="s">
        <v>4500</v>
      </c>
      <c r="C6390" s="196">
        <v>-50900</v>
      </c>
      <c r="D6390" s="196">
        <v>0</v>
      </c>
      <c r="E6390" s="196">
        <v>0</v>
      </c>
      <c r="F6390" s="196">
        <v>0</v>
      </c>
      <c r="G6390" s="196">
        <v>-50900</v>
      </c>
    </row>
    <row r="6391" spans="1:7" x14ac:dyDescent="0.3">
      <c r="A6391" s="198">
        <v>7838230</v>
      </c>
      <c r="B6391" s="192" t="s">
        <v>4501</v>
      </c>
      <c r="C6391" s="196">
        <v>-429000</v>
      </c>
      <c r="D6391" s="196">
        <v>0</v>
      </c>
      <c r="E6391" s="196">
        <v>0</v>
      </c>
      <c r="F6391" s="196">
        <v>0</v>
      </c>
      <c r="G6391" s="196">
        <v>-429000</v>
      </c>
    </row>
    <row r="6392" spans="1:7" x14ac:dyDescent="0.3">
      <c r="A6392" s="198">
        <v>32298608</v>
      </c>
      <c r="B6392" s="192" t="s">
        <v>956</v>
      </c>
      <c r="C6392" s="196">
        <v>-50900</v>
      </c>
      <c r="D6392" s="196">
        <v>0</v>
      </c>
      <c r="E6392" s="196">
        <v>50900</v>
      </c>
      <c r="F6392" s="196">
        <v>-50900</v>
      </c>
      <c r="G6392" s="196">
        <v>-101800</v>
      </c>
    </row>
    <row r="6393" spans="1:7" x14ac:dyDescent="0.3">
      <c r="A6393" s="198">
        <v>1036649513</v>
      </c>
      <c r="B6393" s="192" t="s">
        <v>4502</v>
      </c>
      <c r="C6393" s="196">
        <v>-270000</v>
      </c>
      <c r="D6393" s="196">
        <v>0</v>
      </c>
      <c r="E6393" s="196">
        <v>0</v>
      </c>
      <c r="F6393" s="196">
        <v>0</v>
      </c>
      <c r="G6393" s="196">
        <v>-270000</v>
      </c>
    </row>
    <row r="6394" spans="1:7" x14ac:dyDescent="0.3">
      <c r="A6394" s="198">
        <v>44001499</v>
      </c>
      <c r="B6394" s="192" t="s">
        <v>4503</v>
      </c>
      <c r="C6394" s="196">
        <v>-50900</v>
      </c>
      <c r="D6394" s="196">
        <v>0</v>
      </c>
      <c r="E6394" s="196">
        <v>0</v>
      </c>
      <c r="F6394" s="196">
        <v>0</v>
      </c>
      <c r="G6394" s="196">
        <v>-50900</v>
      </c>
    </row>
    <row r="6395" spans="1:7" x14ac:dyDescent="0.3">
      <c r="A6395" s="198">
        <v>43272354</v>
      </c>
      <c r="B6395" s="192" t="s">
        <v>4504</v>
      </c>
      <c r="C6395" s="196">
        <v>-47400</v>
      </c>
      <c r="D6395" s="196">
        <v>0</v>
      </c>
      <c r="E6395" s="196">
        <v>0</v>
      </c>
      <c r="F6395" s="196">
        <v>0</v>
      </c>
      <c r="G6395" s="196">
        <v>-47400</v>
      </c>
    </row>
    <row r="6396" spans="1:7" x14ac:dyDescent="0.3">
      <c r="A6396" s="198">
        <v>1128282225</v>
      </c>
      <c r="B6396" s="192" t="s">
        <v>4505</v>
      </c>
      <c r="C6396" s="196">
        <v>-98300</v>
      </c>
      <c r="D6396" s="196">
        <v>0</v>
      </c>
      <c r="E6396" s="196">
        <v>0</v>
      </c>
      <c r="F6396" s="196">
        <v>0</v>
      </c>
      <c r="G6396" s="196">
        <v>-98300</v>
      </c>
    </row>
    <row r="6397" spans="1:7" x14ac:dyDescent="0.3">
      <c r="A6397" s="198">
        <v>1036604392</v>
      </c>
      <c r="B6397" s="192" t="s">
        <v>957</v>
      </c>
      <c r="C6397" s="196">
        <v>0</v>
      </c>
      <c r="D6397" s="196">
        <v>0</v>
      </c>
      <c r="E6397" s="196">
        <v>101800</v>
      </c>
      <c r="F6397" s="196">
        <v>-101800</v>
      </c>
      <c r="G6397" s="196">
        <v>-101800</v>
      </c>
    </row>
    <row r="6398" spans="1:7" x14ac:dyDescent="0.3">
      <c r="A6398" s="198">
        <v>1036649798</v>
      </c>
      <c r="B6398" s="192" t="s">
        <v>4506</v>
      </c>
      <c r="C6398" s="196">
        <v>-50900</v>
      </c>
      <c r="D6398" s="196">
        <v>0</v>
      </c>
      <c r="E6398" s="196">
        <v>0</v>
      </c>
      <c r="F6398" s="196">
        <v>0</v>
      </c>
      <c r="G6398" s="196">
        <v>-50900</v>
      </c>
    </row>
    <row r="6399" spans="1:7" x14ac:dyDescent="0.3">
      <c r="A6399" s="198">
        <v>1037636553</v>
      </c>
      <c r="B6399" s="192" t="s">
        <v>4507</v>
      </c>
      <c r="C6399" s="196">
        <v>-50900</v>
      </c>
      <c r="D6399" s="196">
        <v>0</v>
      </c>
      <c r="E6399" s="196">
        <v>0</v>
      </c>
      <c r="F6399" s="196">
        <v>0</v>
      </c>
      <c r="G6399" s="196">
        <v>-50900</v>
      </c>
    </row>
    <row r="6400" spans="1:7" x14ac:dyDescent="0.3">
      <c r="A6400" s="198">
        <v>1040746138</v>
      </c>
      <c r="B6400" s="192" t="s">
        <v>4508</v>
      </c>
      <c r="C6400" s="196">
        <v>-50900</v>
      </c>
      <c r="D6400" s="196">
        <v>0</v>
      </c>
      <c r="E6400" s="196">
        <v>0</v>
      </c>
      <c r="F6400" s="196">
        <v>0</v>
      </c>
      <c r="G6400" s="196">
        <v>-50900</v>
      </c>
    </row>
    <row r="6401" spans="1:7" x14ac:dyDescent="0.3">
      <c r="A6401" s="198">
        <v>1025645849</v>
      </c>
      <c r="B6401" s="192" t="s">
        <v>4509</v>
      </c>
      <c r="C6401" s="196">
        <v>-50900</v>
      </c>
      <c r="D6401" s="196">
        <v>0</v>
      </c>
      <c r="E6401" s="196">
        <v>0</v>
      </c>
      <c r="F6401" s="196">
        <v>0</v>
      </c>
      <c r="G6401" s="196">
        <v>-50900</v>
      </c>
    </row>
    <row r="6402" spans="1:7" x14ac:dyDescent="0.3">
      <c r="A6402" s="198">
        <v>1105377489</v>
      </c>
      <c r="B6402" s="192" t="s">
        <v>4510</v>
      </c>
      <c r="C6402" s="196">
        <v>-114400</v>
      </c>
      <c r="D6402" s="196">
        <v>0</v>
      </c>
      <c r="E6402" s="196">
        <v>0</v>
      </c>
      <c r="F6402" s="196">
        <v>0</v>
      </c>
      <c r="G6402" s="196">
        <v>-114400</v>
      </c>
    </row>
    <row r="6403" spans="1:7" x14ac:dyDescent="0.3">
      <c r="A6403" s="198">
        <v>1039455133</v>
      </c>
      <c r="B6403" s="192" t="s">
        <v>4511</v>
      </c>
      <c r="C6403" s="196">
        <v>-75000</v>
      </c>
      <c r="D6403" s="196">
        <v>0</v>
      </c>
      <c r="E6403" s="196">
        <v>0</v>
      </c>
      <c r="F6403" s="196">
        <v>0</v>
      </c>
      <c r="G6403" s="196">
        <v>-75000</v>
      </c>
    </row>
    <row r="6404" spans="1:7" x14ac:dyDescent="0.3">
      <c r="A6404" s="198">
        <v>1037647585</v>
      </c>
      <c r="B6404" s="192" t="s">
        <v>4512</v>
      </c>
      <c r="C6404" s="196">
        <v>-36000</v>
      </c>
      <c r="D6404" s="196">
        <v>0</v>
      </c>
      <c r="E6404" s="196">
        <v>0</v>
      </c>
      <c r="F6404" s="196">
        <v>0</v>
      </c>
      <c r="G6404" s="196">
        <v>-36000</v>
      </c>
    </row>
    <row r="6405" spans="1:7" x14ac:dyDescent="0.3">
      <c r="A6405" s="198">
        <v>22087221</v>
      </c>
      <c r="B6405" s="192" t="s">
        <v>958</v>
      </c>
      <c r="C6405" s="196">
        <v>-319000</v>
      </c>
      <c r="D6405" s="196">
        <v>0</v>
      </c>
      <c r="E6405" s="196">
        <v>0</v>
      </c>
      <c r="F6405" s="196">
        <v>0</v>
      </c>
      <c r="G6405" s="196">
        <v>-319000</v>
      </c>
    </row>
    <row r="6406" spans="1:7" x14ac:dyDescent="0.3">
      <c r="A6406" s="198">
        <v>1000565710</v>
      </c>
      <c r="B6406" s="192" t="s">
        <v>4513</v>
      </c>
      <c r="C6406" s="196">
        <v>-110000</v>
      </c>
      <c r="D6406" s="196">
        <v>0</v>
      </c>
      <c r="E6406" s="196">
        <v>0</v>
      </c>
      <c r="F6406" s="196">
        <v>0</v>
      </c>
      <c r="G6406" s="196">
        <v>-110000</v>
      </c>
    </row>
    <row r="6407" spans="1:7" x14ac:dyDescent="0.3">
      <c r="A6407" s="198">
        <v>1128400800</v>
      </c>
      <c r="B6407" s="192" t="s">
        <v>4514</v>
      </c>
      <c r="C6407" s="196">
        <v>-297000</v>
      </c>
      <c r="D6407" s="196">
        <v>0</v>
      </c>
      <c r="E6407" s="196">
        <v>0</v>
      </c>
      <c r="F6407" s="196">
        <v>0</v>
      </c>
      <c r="G6407" s="196">
        <v>-297000</v>
      </c>
    </row>
    <row r="6408" spans="1:7" x14ac:dyDescent="0.3">
      <c r="A6408" s="198">
        <v>1036622449</v>
      </c>
      <c r="B6408" s="192" t="s">
        <v>4515</v>
      </c>
      <c r="C6408" s="196">
        <v>-50900</v>
      </c>
      <c r="D6408" s="196">
        <v>0</v>
      </c>
      <c r="E6408" s="196">
        <v>0</v>
      </c>
      <c r="F6408" s="196">
        <v>0</v>
      </c>
      <c r="G6408" s="196">
        <v>-50900</v>
      </c>
    </row>
    <row r="6409" spans="1:7" x14ac:dyDescent="0.3">
      <c r="A6409" s="198">
        <v>1035868053</v>
      </c>
      <c r="B6409" s="192" t="s">
        <v>4516</v>
      </c>
      <c r="C6409" s="196">
        <v>-165000</v>
      </c>
      <c r="D6409" s="196">
        <v>0</v>
      </c>
      <c r="E6409" s="196">
        <v>0</v>
      </c>
      <c r="F6409" s="196">
        <v>0</v>
      </c>
      <c r="G6409" s="196">
        <v>-165000</v>
      </c>
    </row>
    <row r="6410" spans="1:7" x14ac:dyDescent="0.3">
      <c r="A6410" s="198">
        <v>1017247768</v>
      </c>
      <c r="B6410" s="192" t="s">
        <v>4517</v>
      </c>
      <c r="C6410" s="196">
        <v>-110000</v>
      </c>
      <c r="D6410" s="196">
        <v>0</v>
      </c>
      <c r="E6410" s="196">
        <v>0</v>
      </c>
      <c r="F6410" s="196">
        <v>0</v>
      </c>
      <c r="G6410" s="196">
        <v>-110000</v>
      </c>
    </row>
    <row r="6411" spans="1:7" x14ac:dyDescent="0.3">
      <c r="A6411" s="198">
        <v>1032939832</v>
      </c>
      <c r="B6411" s="192" t="s">
        <v>959</v>
      </c>
      <c r="C6411" s="196">
        <v>0</v>
      </c>
      <c r="D6411" s="196">
        <v>0</v>
      </c>
      <c r="E6411" s="196">
        <v>50900</v>
      </c>
      <c r="F6411" s="196">
        <v>-50900</v>
      </c>
      <c r="G6411" s="196">
        <v>-50900</v>
      </c>
    </row>
    <row r="6412" spans="1:7" x14ac:dyDescent="0.3">
      <c r="A6412" s="198">
        <v>1017255903</v>
      </c>
      <c r="B6412" s="192" t="s">
        <v>4518</v>
      </c>
      <c r="C6412" s="196">
        <v>-135000</v>
      </c>
      <c r="D6412" s="196">
        <v>0</v>
      </c>
      <c r="E6412" s="196">
        <v>0</v>
      </c>
      <c r="F6412" s="196">
        <v>0</v>
      </c>
      <c r="G6412" s="196">
        <v>-135000</v>
      </c>
    </row>
    <row r="6413" spans="1:7" x14ac:dyDescent="0.3">
      <c r="A6413" s="198">
        <v>1140870946</v>
      </c>
      <c r="B6413" s="192" t="s">
        <v>4519</v>
      </c>
      <c r="C6413" s="196">
        <v>-114400</v>
      </c>
      <c r="D6413" s="196">
        <v>0</v>
      </c>
      <c r="E6413" s="196">
        <v>0</v>
      </c>
      <c r="F6413" s="196">
        <v>0</v>
      </c>
      <c r="G6413" s="196">
        <v>-114400</v>
      </c>
    </row>
    <row r="6414" spans="1:7" x14ac:dyDescent="0.3">
      <c r="A6414" s="198">
        <v>1035429156</v>
      </c>
      <c r="B6414" s="192" t="s">
        <v>4520</v>
      </c>
      <c r="C6414" s="196">
        <v>-270100</v>
      </c>
      <c r="D6414" s="196">
        <v>0</v>
      </c>
      <c r="E6414" s="196">
        <v>0</v>
      </c>
      <c r="F6414" s="196">
        <v>0</v>
      </c>
      <c r="G6414" s="196">
        <v>-270100</v>
      </c>
    </row>
    <row r="6415" spans="1:7" x14ac:dyDescent="0.3">
      <c r="A6415" s="198">
        <v>1037611923</v>
      </c>
      <c r="B6415" s="192" t="s">
        <v>4521</v>
      </c>
      <c r="C6415" s="196">
        <v>-50900</v>
      </c>
      <c r="D6415" s="196">
        <v>0</v>
      </c>
      <c r="E6415" s="196">
        <v>0</v>
      </c>
      <c r="F6415" s="196">
        <v>0</v>
      </c>
      <c r="G6415" s="196">
        <v>-50900</v>
      </c>
    </row>
    <row r="6416" spans="1:7" x14ac:dyDescent="0.3">
      <c r="A6416" s="198">
        <v>1020810838</v>
      </c>
      <c r="B6416" s="192" t="s">
        <v>960</v>
      </c>
      <c r="C6416" s="196">
        <v>0</v>
      </c>
      <c r="D6416" s="196">
        <v>0</v>
      </c>
      <c r="E6416" s="196">
        <v>50900</v>
      </c>
      <c r="F6416" s="196">
        <v>-50900</v>
      </c>
      <c r="G6416" s="196">
        <v>-50900</v>
      </c>
    </row>
    <row r="6417" spans="1:7" x14ac:dyDescent="0.3">
      <c r="A6417" s="198">
        <v>1037617159</v>
      </c>
      <c r="B6417" s="192" t="s">
        <v>4522</v>
      </c>
      <c r="C6417" s="196">
        <v>-50900</v>
      </c>
      <c r="D6417" s="196">
        <v>0</v>
      </c>
      <c r="E6417" s="196">
        <v>0</v>
      </c>
      <c r="F6417" s="196">
        <v>0</v>
      </c>
      <c r="G6417" s="196">
        <v>-50900</v>
      </c>
    </row>
    <row r="6418" spans="1:7" x14ac:dyDescent="0.3">
      <c r="A6418" s="198">
        <v>1002362079</v>
      </c>
      <c r="B6418" s="192" t="s">
        <v>4523</v>
      </c>
      <c r="C6418" s="196">
        <v>-297000</v>
      </c>
      <c r="D6418" s="196">
        <v>0</v>
      </c>
      <c r="E6418" s="196">
        <v>0</v>
      </c>
      <c r="F6418" s="196">
        <v>0</v>
      </c>
      <c r="G6418" s="196">
        <v>-297000</v>
      </c>
    </row>
    <row r="6419" spans="1:7" x14ac:dyDescent="0.3">
      <c r="A6419" s="198">
        <v>1128273960</v>
      </c>
      <c r="B6419" s="192" t="s">
        <v>4524</v>
      </c>
      <c r="C6419" s="196">
        <v>-47400</v>
      </c>
      <c r="D6419" s="196">
        <v>0</v>
      </c>
      <c r="E6419" s="196">
        <v>0</v>
      </c>
      <c r="F6419" s="196">
        <v>0</v>
      </c>
      <c r="G6419" s="196">
        <v>-47400</v>
      </c>
    </row>
    <row r="6420" spans="1:7" x14ac:dyDescent="0.3">
      <c r="A6420" s="198">
        <v>597850455</v>
      </c>
      <c r="B6420" s="192" t="s">
        <v>4525</v>
      </c>
      <c r="C6420" s="196">
        <v>-162000</v>
      </c>
      <c r="D6420" s="196">
        <v>0</v>
      </c>
      <c r="E6420" s="196">
        <v>0</v>
      </c>
      <c r="F6420" s="196">
        <v>0</v>
      </c>
      <c r="G6420" s="196">
        <v>-162000</v>
      </c>
    </row>
    <row r="6421" spans="1:7" x14ac:dyDescent="0.3">
      <c r="A6421" s="198">
        <v>663858172</v>
      </c>
      <c r="B6421" s="192" t="s">
        <v>4526</v>
      </c>
      <c r="C6421" s="196">
        <v>-297000</v>
      </c>
      <c r="D6421" s="196">
        <v>0</v>
      </c>
      <c r="E6421" s="196">
        <v>0</v>
      </c>
      <c r="F6421" s="196">
        <v>0</v>
      </c>
      <c r="G6421" s="196">
        <v>-297000</v>
      </c>
    </row>
    <row r="6422" spans="1:7" x14ac:dyDescent="0.3">
      <c r="A6422" s="198">
        <v>71387858</v>
      </c>
      <c r="B6422" s="192" t="s">
        <v>4527</v>
      </c>
      <c r="C6422" s="196">
        <v>-207900</v>
      </c>
      <c r="D6422" s="196">
        <v>0</v>
      </c>
      <c r="E6422" s="196">
        <v>0</v>
      </c>
      <c r="F6422" s="196">
        <v>0</v>
      </c>
      <c r="G6422" s="196">
        <v>-207900</v>
      </c>
    </row>
    <row r="6423" spans="1:7" x14ac:dyDescent="0.3">
      <c r="A6423" s="198">
        <v>71385716</v>
      </c>
      <c r="B6423" s="192" t="s">
        <v>4528</v>
      </c>
      <c r="C6423" s="196">
        <v>-297000</v>
      </c>
      <c r="D6423" s="196">
        <v>0</v>
      </c>
      <c r="E6423" s="196">
        <v>0</v>
      </c>
      <c r="F6423" s="196">
        <v>0</v>
      </c>
      <c r="G6423" s="196">
        <v>-297000</v>
      </c>
    </row>
    <row r="6424" spans="1:7" x14ac:dyDescent="0.3">
      <c r="A6424" s="198">
        <v>42886634</v>
      </c>
      <c r="B6424" s="192" t="s">
        <v>4529</v>
      </c>
      <c r="C6424" s="196">
        <v>-54200</v>
      </c>
      <c r="D6424" s="196">
        <v>0</v>
      </c>
      <c r="E6424" s="196">
        <v>0</v>
      </c>
      <c r="F6424" s="196">
        <v>0</v>
      </c>
      <c r="G6424" s="196">
        <v>-54200</v>
      </c>
    </row>
    <row r="6425" spans="1:7" x14ac:dyDescent="0.3">
      <c r="A6425" s="198">
        <v>39449962</v>
      </c>
      <c r="B6425" s="192" t="s">
        <v>4530</v>
      </c>
      <c r="C6425" s="196">
        <v>-150000</v>
      </c>
      <c r="D6425" s="196">
        <v>0</v>
      </c>
      <c r="E6425" s="196">
        <v>0</v>
      </c>
      <c r="F6425" s="196">
        <v>0</v>
      </c>
      <c r="G6425" s="196">
        <v>-150000</v>
      </c>
    </row>
    <row r="6426" spans="1:7" x14ac:dyDescent="0.3">
      <c r="A6426" s="198">
        <v>43152851</v>
      </c>
      <c r="B6426" s="192" t="s">
        <v>4531</v>
      </c>
      <c r="C6426" s="196">
        <v>-38400</v>
      </c>
      <c r="D6426" s="196">
        <v>0</v>
      </c>
      <c r="E6426" s="196">
        <v>0</v>
      </c>
      <c r="F6426" s="196">
        <v>0</v>
      </c>
      <c r="G6426" s="196">
        <v>-38400</v>
      </c>
    </row>
    <row r="6427" spans="1:7" x14ac:dyDescent="0.3">
      <c r="A6427" s="198">
        <v>71699644</v>
      </c>
      <c r="B6427" s="192" t="s">
        <v>4532</v>
      </c>
      <c r="C6427" s="196">
        <v>-297000</v>
      </c>
      <c r="D6427" s="196">
        <v>0</v>
      </c>
      <c r="E6427" s="196">
        <v>0</v>
      </c>
      <c r="F6427" s="196">
        <v>0</v>
      </c>
      <c r="G6427" s="196">
        <v>-297000</v>
      </c>
    </row>
    <row r="6428" spans="1:7" x14ac:dyDescent="0.3">
      <c r="A6428" s="198">
        <v>1046906083</v>
      </c>
      <c r="B6428" s="192" t="s">
        <v>4533</v>
      </c>
      <c r="C6428" s="196">
        <v>-50900</v>
      </c>
      <c r="D6428" s="196">
        <v>0</v>
      </c>
      <c r="E6428" s="196">
        <v>0</v>
      </c>
      <c r="F6428" s="196">
        <v>0</v>
      </c>
      <c r="G6428" s="196">
        <v>-50900</v>
      </c>
    </row>
    <row r="6429" spans="1:7" x14ac:dyDescent="0.3">
      <c r="A6429" s="198">
        <v>43877241</v>
      </c>
      <c r="B6429" s="192" t="s">
        <v>4534</v>
      </c>
      <c r="C6429" s="196">
        <v>-47400</v>
      </c>
      <c r="D6429" s="196">
        <v>0</v>
      </c>
      <c r="E6429" s="196">
        <v>0</v>
      </c>
      <c r="F6429" s="196">
        <v>0</v>
      </c>
      <c r="G6429" s="196">
        <v>-47400</v>
      </c>
    </row>
    <row r="6430" spans="1:7" x14ac:dyDescent="0.3">
      <c r="A6430" s="198">
        <v>1010011686</v>
      </c>
      <c r="B6430" s="192" t="s">
        <v>961</v>
      </c>
      <c r="C6430" s="196">
        <v>0</v>
      </c>
      <c r="D6430" s="196">
        <v>0</v>
      </c>
      <c r="E6430" s="196">
        <v>26500</v>
      </c>
      <c r="F6430" s="196">
        <v>-26500</v>
      </c>
      <c r="G6430" s="196">
        <v>-26500</v>
      </c>
    </row>
    <row r="6431" spans="1:7" x14ac:dyDescent="0.3">
      <c r="A6431" s="198">
        <v>1128446432</v>
      </c>
      <c r="B6431" s="192" t="s">
        <v>962</v>
      </c>
      <c r="C6431" s="196">
        <v>0</v>
      </c>
      <c r="D6431" s="196">
        <v>0</v>
      </c>
      <c r="E6431" s="196">
        <v>319000</v>
      </c>
      <c r="F6431" s="196">
        <v>-319000</v>
      </c>
      <c r="G6431" s="196">
        <v>-319000</v>
      </c>
    </row>
    <row r="6432" spans="1:7" x14ac:dyDescent="0.3">
      <c r="A6432" s="198">
        <v>1110457297</v>
      </c>
      <c r="B6432" s="192" t="s">
        <v>4535</v>
      </c>
      <c r="C6432" s="196">
        <v>-297000</v>
      </c>
      <c r="D6432" s="196">
        <v>0</v>
      </c>
      <c r="E6432" s="196">
        <v>0</v>
      </c>
      <c r="F6432" s="196">
        <v>0</v>
      </c>
      <c r="G6432" s="196">
        <v>-297000</v>
      </c>
    </row>
    <row r="6433" spans="1:7" x14ac:dyDescent="0.3">
      <c r="A6433" s="198">
        <v>1023974259</v>
      </c>
      <c r="B6433" s="192" t="s">
        <v>4536</v>
      </c>
      <c r="C6433" s="196">
        <v>-25100</v>
      </c>
      <c r="D6433" s="196">
        <v>0</v>
      </c>
      <c r="E6433" s="196">
        <v>0</v>
      </c>
      <c r="F6433" s="196">
        <v>0</v>
      </c>
      <c r="G6433" s="196">
        <v>-25100</v>
      </c>
    </row>
    <row r="6434" spans="1:7" x14ac:dyDescent="0.3">
      <c r="A6434" s="198">
        <v>1037448423</v>
      </c>
      <c r="B6434" s="192" t="s">
        <v>4537</v>
      </c>
      <c r="C6434" s="196">
        <v>-275000</v>
      </c>
      <c r="D6434" s="196">
        <v>0</v>
      </c>
      <c r="E6434" s="196">
        <v>0</v>
      </c>
      <c r="F6434" s="196">
        <v>0</v>
      </c>
      <c r="G6434" s="196">
        <v>-275000</v>
      </c>
    </row>
    <row r="6435" spans="1:7" x14ac:dyDescent="0.3">
      <c r="A6435" s="198">
        <v>1128434873</v>
      </c>
      <c r="B6435" s="192" t="s">
        <v>4538</v>
      </c>
      <c r="C6435" s="196">
        <v>-47400</v>
      </c>
      <c r="D6435" s="196">
        <v>0</v>
      </c>
      <c r="E6435" s="196">
        <v>0</v>
      </c>
      <c r="F6435" s="196">
        <v>0</v>
      </c>
      <c r="G6435" s="196">
        <v>-47400</v>
      </c>
    </row>
    <row r="6436" spans="1:7" x14ac:dyDescent="0.3">
      <c r="A6436" s="198">
        <v>1020449324</v>
      </c>
      <c r="B6436" s="192" t="s">
        <v>4539</v>
      </c>
      <c r="C6436" s="196">
        <v>-54200</v>
      </c>
      <c r="D6436" s="196">
        <v>0</v>
      </c>
      <c r="E6436" s="196">
        <v>0</v>
      </c>
      <c r="F6436" s="196">
        <v>0</v>
      </c>
      <c r="G6436" s="196">
        <v>-54200</v>
      </c>
    </row>
    <row r="6437" spans="1:7" x14ac:dyDescent="0.3">
      <c r="A6437" s="198">
        <v>1007722025</v>
      </c>
      <c r="B6437" s="192" t="s">
        <v>4540</v>
      </c>
      <c r="C6437" s="196">
        <v>-110000</v>
      </c>
      <c r="D6437" s="196">
        <v>0</v>
      </c>
      <c r="E6437" s="196">
        <v>0</v>
      </c>
      <c r="F6437" s="196">
        <v>0</v>
      </c>
      <c r="G6437" s="196">
        <v>-110000</v>
      </c>
    </row>
    <row r="6438" spans="1:7" x14ac:dyDescent="0.3">
      <c r="A6438" s="198">
        <v>43988713</v>
      </c>
      <c r="B6438" s="192" t="s">
        <v>965</v>
      </c>
      <c r="C6438" s="196">
        <v>0</v>
      </c>
      <c r="D6438" s="196">
        <v>0</v>
      </c>
      <c r="E6438" s="196">
        <v>297000</v>
      </c>
      <c r="F6438" s="196">
        <v>-297000</v>
      </c>
      <c r="G6438" s="196">
        <v>-297000</v>
      </c>
    </row>
    <row r="6439" spans="1:7" x14ac:dyDescent="0.3">
      <c r="A6439" s="198">
        <v>43257857</v>
      </c>
      <c r="B6439" s="192" t="s">
        <v>4541</v>
      </c>
      <c r="C6439" s="196">
        <v>-50900</v>
      </c>
      <c r="D6439" s="196">
        <v>0</v>
      </c>
      <c r="E6439" s="196">
        <v>0</v>
      </c>
      <c r="F6439" s="196">
        <v>0</v>
      </c>
      <c r="G6439" s="196">
        <v>-50900</v>
      </c>
    </row>
    <row r="6440" spans="1:7" x14ac:dyDescent="0.3">
      <c r="A6440" s="198">
        <v>43167897</v>
      </c>
      <c r="B6440" s="192" t="s">
        <v>4542</v>
      </c>
      <c r="C6440" s="196">
        <v>-57200</v>
      </c>
      <c r="D6440" s="196">
        <v>0</v>
      </c>
      <c r="E6440" s="196">
        <v>0</v>
      </c>
      <c r="F6440" s="196">
        <v>0</v>
      </c>
      <c r="G6440" s="196">
        <v>-57200</v>
      </c>
    </row>
    <row r="6441" spans="1:7" x14ac:dyDescent="0.3">
      <c r="A6441" s="198">
        <v>1152456259</v>
      </c>
      <c r="B6441" s="192" t="s">
        <v>966</v>
      </c>
      <c r="C6441" s="196">
        <v>-190000</v>
      </c>
      <c r="D6441" s="196">
        <v>0</v>
      </c>
      <c r="E6441" s="196">
        <v>0</v>
      </c>
      <c r="F6441" s="196">
        <v>0</v>
      </c>
      <c r="G6441" s="196">
        <v>-190000</v>
      </c>
    </row>
    <row r="6442" spans="1:7" x14ac:dyDescent="0.3">
      <c r="A6442" s="198">
        <v>1128394059</v>
      </c>
      <c r="B6442" s="192" t="s">
        <v>4543</v>
      </c>
      <c r="C6442" s="196">
        <v>-47400</v>
      </c>
      <c r="D6442" s="196">
        <v>0</v>
      </c>
      <c r="E6442" s="196">
        <v>0</v>
      </c>
      <c r="F6442" s="196">
        <v>0</v>
      </c>
      <c r="G6442" s="196">
        <v>-47400</v>
      </c>
    </row>
    <row r="6443" spans="1:7" x14ac:dyDescent="0.3">
      <c r="A6443" s="198">
        <v>1088272477</v>
      </c>
      <c r="B6443" s="192" t="s">
        <v>4544</v>
      </c>
      <c r="C6443" s="196">
        <v>-90500</v>
      </c>
      <c r="D6443" s="196">
        <v>0</v>
      </c>
      <c r="E6443" s="196">
        <v>0</v>
      </c>
      <c r="F6443" s="196">
        <v>0</v>
      </c>
      <c r="G6443" s="196">
        <v>-90500</v>
      </c>
    </row>
    <row r="6444" spans="1:7" x14ac:dyDescent="0.3">
      <c r="A6444" s="198">
        <v>1094887145</v>
      </c>
      <c r="B6444" s="192" t="s">
        <v>968</v>
      </c>
      <c r="C6444" s="196">
        <v>0</v>
      </c>
      <c r="D6444" s="196">
        <v>0</v>
      </c>
      <c r="E6444" s="196">
        <v>110000</v>
      </c>
      <c r="F6444" s="196">
        <v>-110000</v>
      </c>
      <c r="G6444" s="196">
        <v>-110000</v>
      </c>
    </row>
    <row r="6445" spans="1:7" x14ac:dyDescent="0.3">
      <c r="A6445" s="198">
        <v>43832800</v>
      </c>
      <c r="B6445" s="192" t="s">
        <v>4545</v>
      </c>
      <c r="C6445" s="196">
        <v>-270000</v>
      </c>
      <c r="D6445" s="196">
        <v>0</v>
      </c>
      <c r="E6445" s="196">
        <v>0</v>
      </c>
      <c r="F6445" s="196">
        <v>0</v>
      </c>
      <c r="G6445" s="196">
        <v>-270000</v>
      </c>
    </row>
    <row r="6446" spans="1:7" x14ac:dyDescent="0.3">
      <c r="A6446" s="198">
        <v>1045016406</v>
      </c>
      <c r="B6446" s="192" t="s">
        <v>969</v>
      </c>
      <c r="C6446" s="196">
        <v>0</v>
      </c>
      <c r="D6446" s="196">
        <v>0</v>
      </c>
      <c r="E6446" s="196">
        <v>247000</v>
      </c>
      <c r="F6446" s="196">
        <v>-247000</v>
      </c>
      <c r="G6446" s="196">
        <v>-247000</v>
      </c>
    </row>
    <row r="6447" spans="1:7" x14ac:dyDescent="0.3">
      <c r="A6447" s="198">
        <v>1152209095</v>
      </c>
      <c r="B6447" s="192" t="s">
        <v>4546</v>
      </c>
      <c r="C6447" s="196">
        <v>-50900</v>
      </c>
      <c r="D6447" s="196">
        <v>0</v>
      </c>
      <c r="E6447" s="196">
        <v>0</v>
      </c>
      <c r="F6447" s="196">
        <v>0</v>
      </c>
      <c r="G6447" s="196">
        <v>-50900</v>
      </c>
    </row>
    <row r="6448" spans="1:7" x14ac:dyDescent="0.3">
      <c r="A6448" s="198">
        <v>32107895</v>
      </c>
      <c r="B6448" s="192" t="s">
        <v>4547</v>
      </c>
      <c r="C6448" s="196">
        <v>-290000</v>
      </c>
      <c r="D6448" s="196">
        <v>0</v>
      </c>
      <c r="E6448" s="196">
        <v>0</v>
      </c>
      <c r="F6448" s="196">
        <v>0</v>
      </c>
      <c r="G6448" s="196">
        <v>-290000</v>
      </c>
    </row>
    <row r="6449" spans="1:7" x14ac:dyDescent="0.3">
      <c r="A6449" s="198">
        <v>1036635141</v>
      </c>
      <c r="B6449" s="192" t="s">
        <v>4548</v>
      </c>
      <c r="C6449" s="196">
        <v>-207900</v>
      </c>
      <c r="D6449" s="196">
        <v>0</v>
      </c>
      <c r="E6449" s="196">
        <v>0</v>
      </c>
      <c r="F6449" s="196">
        <v>0</v>
      </c>
      <c r="G6449" s="196">
        <v>-207900</v>
      </c>
    </row>
    <row r="6450" spans="1:7" x14ac:dyDescent="0.3">
      <c r="A6450" s="198">
        <v>43991765</v>
      </c>
      <c r="B6450" s="192" t="s">
        <v>4549</v>
      </c>
      <c r="C6450" s="196">
        <v>-207900</v>
      </c>
      <c r="D6450" s="196">
        <v>0</v>
      </c>
      <c r="E6450" s="196">
        <v>0</v>
      </c>
      <c r="F6450" s="196">
        <v>0</v>
      </c>
      <c r="G6450" s="196">
        <v>-207900</v>
      </c>
    </row>
    <row r="6451" spans="1:7" x14ac:dyDescent="0.3">
      <c r="A6451" s="198">
        <v>1036645865</v>
      </c>
      <c r="B6451" s="192" t="s">
        <v>4550</v>
      </c>
      <c r="C6451" s="196">
        <v>-50900</v>
      </c>
      <c r="D6451" s="196">
        <v>0</v>
      </c>
      <c r="E6451" s="196">
        <v>0</v>
      </c>
      <c r="F6451" s="196">
        <v>0</v>
      </c>
      <c r="G6451" s="196">
        <v>-50900</v>
      </c>
    </row>
    <row r="6452" spans="1:7" x14ac:dyDescent="0.3">
      <c r="A6452" s="198">
        <v>1026142506</v>
      </c>
      <c r="B6452" s="192" t="s">
        <v>972</v>
      </c>
      <c r="C6452" s="196">
        <v>0</v>
      </c>
      <c r="D6452" s="196">
        <v>0</v>
      </c>
      <c r="E6452" s="196">
        <v>297000</v>
      </c>
      <c r="F6452" s="196">
        <v>-297000</v>
      </c>
      <c r="G6452" s="196">
        <v>-297000</v>
      </c>
    </row>
    <row r="6453" spans="1:7" x14ac:dyDescent="0.3">
      <c r="A6453" s="192" t="s">
        <v>4551</v>
      </c>
      <c r="B6453" s="192" t="s">
        <v>4552</v>
      </c>
      <c r="C6453" s="196">
        <v>-297000</v>
      </c>
      <c r="D6453" s="196">
        <v>0</v>
      </c>
      <c r="E6453" s="196">
        <v>0</v>
      </c>
      <c r="F6453" s="196">
        <v>0</v>
      </c>
      <c r="G6453" s="196">
        <v>-297000</v>
      </c>
    </row>
    <row r="6454" spans="1:7" x14ac:dyDescent="0.3">
      <c r="A6454" s="198">
        <v>39046188</v>
      </c>
      <c r="B6454" s="192" t="s">
        <v>4553</v>
      </c>
      <c r="C6454" s="196">
        <v>-270000</v>
      </c>
      <c r="D6454" s="196">
        <v>0</v>
      </c>
      <c r="E6454" s="196">
        <v>0</v>
      </c>
      <c r="F6454" s="196">
        <v>0</v>
      </c>
      <c r="G6454" s="196">
        <v>-270000</v>
      </c>
    </row>
    <row r="6455" spans="1:7" x14ac:dyDescent="0.3">
      <c r="A6455" s="192" t="s">
        <v>4554</v>
      </c>
      <c r="B6455" s="192" t="s">
        <v>4555</v>
      </c>
      <c r="C6455" s="196">
        <v>-110000</v>
      </c>
      <c r="D6455" s="196">
        <v>0</v>
      </c>
      <c r="E6455" s="196">
        <v>0</v>
      </c>
      <c r="F6455" s="196">
        <v>0</v>
      </c>
      <c r="G6455" s="196">
        <v>-110000</v>
      </c>
    </row>
    <row r="6456" spans="1:7" x14ac:dyDescent="0.3">
      <c r="A6456" s="198">
        <v>1239490571</v>
      </c>
      <c r="B6456" s="192" t="s">
        <v>973</v>
      </c>
      <c r="C6456" s="196">
        <v>0</v>
      </c>
      <c r="D6456" s="196">
        <v>0</v>
      </c>
      <c r="E6456" s="196">
        <v>50900</v>
      </c>
      <c r="F6456" s="196">
        <v>-50900</v>
      </c>
      <c r="G6456" s="196">
        <v>-50900</v>
      </c>
    </row>
    <row r="6457" spans="1:7" x14ac:dyDescent="0.3">
      <c r="A6457" s="198">
        <v>15369635</v>
      </c>
      <c r="B6457" s="192" t="s">
        <v>4556</v>
      </c>
      <c r="C6457" s="196">
        <v>-54200</v>
      </c>
      <c r="D6457" s="196">
        <v>0</v>
      </c>
      <c r="E6457" s="196">
        <v>0</v>
      </c>
      <c r="F6457" s="196">
        <v>0</v>
      </c>
      <c r="G6457" s="196">
        <v>-54200</v>
      </c>
    </row>
    <row r="6458" spans="1:7" x14ac:dyDescent="0.3">
      <c r="A6458" s="198">
        <v>71171242</v>
      </c>
      <c r="B6458" s="192" t="s">
        <v>4557</v>
      </c>
      <c r="C6458" s="196">
        <v>-44000</v>
      </c>
      <c r="D6458" s="196">
        <v>0</v>
      </c>
      <c r="E6458" s="196">
        <v>0</v>
      </c>
      <c r="F6458" s="196">
        <v>0</v>
      </c>
      <c r="G6458" s="196">
        <v>-44000</v>
      </c>
    </row>
    <row r="6459" spans="1:7" x14ac:dyDescent="0.3">
      <c r="A6459" s="198">
        <v>7253175</v>
      </c>
      <c r="B6459" s="192" t="s">
        <v>4558</v>
      </c>
      <c r="C6459" s="196">
        <v>-47000</v>
      </c>
      <c r="D6459" s="196">
        <v>0</v>
      </c>
      <c r="E6459" s="196">
        <v>0</v>
      </c>
      <c r="F6459" s="196">
        <v>0</v>
      </c>
      <c r="G6459" s="196">
        <v>-47000</v>
      </c>
    </row>
    <row r="6460" spans="1:7" x14ac:dyDescent="0.3">
      <c r="A6460" s="198">
        <v>2000025962</v>
      </c>
      <c r="B6460" s="192" t="s">
        <v>4559</v>
      </c>
      <c r="C6460" s="196">
        <v>-47400</v>
      </c>
      <c r="D6460" s="196">
        <v>0</v>
      </c>
      <c r="E6460" s="196">
        <v>0</v>
      </c>
      <c r="F6460" s="196">
        <v>0</v>
      </c>
      <c r="G6460" s="196">
        <v>-47400</v>
      </c>
    </row>
    <row r="6461" spans="1:7" x14ac:dyDescent="0.3">
      <c r="A6461" s="198">
        <v>8322683</v>
      </c>
      <c r="B6461" s="192" t="s">
        <v>4560</v>
      </c>
      <c r="C6461" s="196">
        <v>-57200</v>
      </c>
      <c r="D6461" s="196">
        <v>0</v>
      </c>
      <c r="E6461" s="196">
        <v>0</v>
      </c>
      <c r="F6461" s="196">
        <v>0</v>
      </c>
      <c r="G6461" s="196">
        <v>-57200</v>
      </c>
    </row>
    <row r="6462" spans="1:7" x14ac:dyDescent="0.3">
      <c r="A6462" s="198">
        <v>1140828704</v>
      </c>
      <c r="B6462" s="192" t="s">
        <v>4561</v>
      </c>
      <c r="C6462" s="196">
        <v>-57200</v>
      </c>
      <c r="D6462" s="196">
        <v>0</v>
      </c>
      <c r="E6462" s="196">
        <v>0</v>
      </c>
      <c r="F6462" s="196">
        <v>0</v>
      </c>
      <c r="G6462" s="196">
        <v>-57200</v>
      </c>
    </row>
    <row r="6463" spans="1:7" x14ac:dyDescent="0.3">
      <c r="A6463" s="198">
        <v>71795273</v>
      </c>
      <c r="B6463" s="192" t="s">
        <v>4562</v>
      </c>
      <c r="C6463" s="196">
        <v>-50900</v>
      </c>
      <c r="D6463" s="196">
        <v>0</v>
      </c>
      <c r="E6463" s="196">
        <v>0</v>
      </c>
      <c r="F6463" s="196">
        <v>0</v>
      </c>
      <c r="G6463" s="196">
        <v>-50900</v>
      </c>
    </row>
    <row r="6464" spans="1:7" x14ac:dyDescent="0.3">
      <c r="A6464" s="192" t="s">
        <v>4563</v>
      </c>
      <c r="B6464" s="192" t="s">
        <v>4564</v>
      </c>
      <c r="C6464" s="196">
        <v>-297000</v>
      </c>
      <c r="D6464" s="196">
        <v>0</v>
      </c>
      <c r="E6464" s="196">
        <v>0</v>
      </c>
      <c r="F6464" s="196">
        <v>0</v>
      </c>
      <c r="G6464" s="196">
        <v>-297000</v>
      </c>
    </row>
    <row r="6465" spans="1:7" x14ac:dyDescent="0.3">
      <c r="A6465" s="198">
        <v>32496983</v>
      </c>
      <c r="B6465" s="192" t="s">
        <v>974</v>
      </c>
      <c r="C6465" s="196">
        <v>0</v>
      </c>
      <c r="D6465" s="196">
        <v>0</v>
      </c>
      <c r="E6465" s="196">
        <v>29700</v>
      </c>
      <c r="F6465" s="196">
        <v>-29700</v>
      </c>
      <c r="G6465" s="196">
        <v>-29700</v>
      </c>
    </row>
    <row r="6466" spans="1:7" x14ac:dyDescent="0.3">
      <c r="A6466" s="198">
        <v>43009955</v>
      </c>
      <c r="B6466" s="192" t="s">
        <v>4565</v>
      </c>
      <c r="C6466" s="196">
        <v>-50900</v>
      </c>
      <c r="D6466" s="196">
        <v>0</v>
      </c>
      <c r="E6466" s="196">
        <v>0</v>
      </c>
      <c r="F6466" s="196">
        <v>0</v>
      </c>
      <c r="G6466" s="196">
        <v>-50900</v>
      </c>
    </row>
    <row r="6467" spans="1:7" x14ac:dyDescent="0.3">
      <c r="A6467" s="198">
        <v>54253573</v>
      </c>
      <c r="B6467" s="192" t="s">
        <v>4566</v>
      </c>
      <c r="C6467" s="196">
        <v>-297000</v>
      </c>
      <c r="D6467" s="196">
        <v>0</v>
      </c>
      <c r="E6467" s="196">
        <v>0</v>
      </c>
      <c r="F6467" s="196">
        <v>0</v>
      </c>
      <c r="G6467" s="196">
        <v>-297000</v>
      </c>
    </row>
    <row r="6468" spans="1:7" x14ac:dyDescent="0.3">
      <c r="A6468" s="198">
        <v>1020395957</v>
      </c>
      <c r="B6468" s="192" t="s">
        <v>975</v>
      </c>
      <c r="C6468" s="196">
        <v>0</v>
      </c>
      <c r="D6468" s="196">
        <v>0</v>
      </c>
      <c r="E6468" s="196">
        <v>50900</v>
      </c>
      <c r="F6468" s="196">
        <v>-50900</v>
      </c>
      <c r="G6468" s="196">
        <v>-50900</v>
      </c>
    </row>
    <row r="6469" spans="1:7" x14ac:dyDescent="0.3">
      <c r="A6469" s="198">
        <v>1232826663</v>
      </c>
      <c r="B6469" s="192" t="s">
        <v>4567</v>
      </c>
      <c r="C6469" s="196">
        <v>-47400</v>
      </c>
      <c r="D6469" s="196">
        <v>0</v>
      </c>
      <c r="E6469" s="196">
        <v>0</v>
      </c>
      <c r="F6469" s="196">
        <v>0</v>
      </c>
      <c r="G6469" s="196">
        <v>-47400</v>
      </c>
    </row>
    <row r="6470" spans="1:7" x14ac:dyDescent="0.3">
      <c r="A6470" s="198">
        <v>1023571559</v>
      </c>
      <c r="B6470" s="192" t="s">
        <v>4568</v>
      </c>
      <c r="C6470" s="196">
        <v>-47400</v>
      </c>
      <c r="D6470" s="196">
        <v>0</v>
      </c>
      <c r="E6470" s="196">
        <v>0</v>
      </c>
      <c r="F6470" s="196">
        <v>0</v>
      </c>
      <c r="G6470" s="196">
        <v>-47400</v>
      </c>
    </row>
    <row r="6471" spans="1:7" x14ac:dyDescent="0.3">
      <c r="A6471" s="198">
        <v>21911590</v>
      </c>
      <c r="B6471" s="192" t="s">
        <v>976</v>
      </c>
      <c r="C6471" s="196">
        <v>0</v>
      </c>
      <c r="D6471" s="196">
        <v>0</v>
      </c>
      <c r="E6471" s="196">
        <v>50900</v>
      </c>
      <c r="F6471" s="196">
        <v>-50900</v>
      </c>
      <c r="G6471" s="196">
        <v>-50900</v>
      </c>
    </row>
    <row r="6472" spans="1:7" x14ac:dyDescent="0.3">
      <c r="A6472" s="198">
        <v>1035016285</v>
      </c>
      <c r="B6472" s="192" t="s">
        <v>4569</v>
      </c>
      <c r="C6472" s="196">
        <v>-50900</v>
      </c>
      <c r="D6472" s="196">
        <v>0</v>
      </c>
      <c r="E6472" s="196">
        <v>0</v>
      </c>
      <c r="F6472" s="196">
        <v>0</v>
      </c>
      <c r="G6472" s="196">
        <v>-50900</v>
      </c>
    </row>
    <row r="6473" spans="1:7" x14ac:dyDescent="0.3">
      <c r="A6473" s="198">
        <v>1216720273</v>
      </c>
      <c r="B6473" s="192" t="s">
        <v>4570</v>
      </c>
      <c r="C6473" s="196">
        <v>-110000</v>
      </c>
      <c r="D6473" s="196">
        <v>0</v>
      </c>
      <c r="E6473" s="196">
        <v>0</v>
      </c>
      <c r="F6473" s="196">
        <v>0</v>
      </c>
      <c r="G6473" s="196">
        <v>-110000</v>
      </c>
    </row>
    <row r="6474" spans="1:7" x14ac:dyDescent="0.3">
      <c r="A6474" s="198">
        <v>1220477632</v>
      </c>
      <c r="B6474" s="192" t="s">
        <v>977</v>
      </c>
      <c r="C6474" s="196">
        <v>-110001</v>
      </c>
      <c r="D6474" s="196">
        <v>0</v>
      </c>
      <c r="E6474" s="196">
        <v>0</v>
      </c>
      <c r="F6474" s="196">
        <v>0</v>
      </c>
      <c r="G6474" s="196">
        <v>-110001</v>
      </c>
    </row>
    <row r="6475" spans="1:7" x14ac:dyDescent="0.3">
      <c r="A6475" s="198">
        <v>1023572806</v>
      </c>
      <c r="B6475" s="192" t="s">
        <v>4571</v>
      </c>
      <c r="C6475" s="196">
        <v>-54200</v>
      </c>
      <c r="D6475" s="196">
        <v>0</v>
      </c>
      <c r="E6475" s="196">
        <v>0</v>
      </c>
      <c r="F6475" s="196">
        <v>0</v>
      </c>
      <c r="G6475" s="196">
        <v>-54200</v>
      </c>
    </row>
    <row r="6476" spans="1:7" x14ac:dyDescent="0.3">
      <c r="A6476" s="198">
        <v>1013389453</v>
      </c>
      <c r="B6476" s="192" t="s">
        <v>4572</v>
      </c>
      <c r="C6476" s="196">
        <v>-340000</v>
      </c>
      <c r="D6476" s="196">
        <v>0</v>
      </c>
      <c r="E6476" s="196">
        <v>0</v>
      </c>
      <c r="F6476" s="196">
        <v>0</v>
      </c>
      <c r="G6476" s="196">
        <v>-340000</v>
      </c>
    </row>
    <row r="6477" spans="1:7" x14ac:dyDescent="0.3">
      <c r="A6477" s="198">
        <v>1085728447</v>
      </c>
      <c r="B6477" s="192" t="s">
        <v>4573</v>
      </c>
      <c r="C6477" s="196">
        <v>-340000</v>
      </c>
      <c r="D6477" s="196">
        <v>0</v>
      </c>
      <c r="E6477" s="196">
        <v>0</v>
      </c>
      <c r="F6477" s="196">
        <v>0</v>
      </c>
      <c r="G6477" s="196">
        <v>-340000</v>
      </c>
    </row>
    <row r="6478" spans="1:7" x14ac:dyDescent="0.3">
      <c r="A6478" s="198">
        <v>8373071</v>
      </c>
      <c r="B6478" s="192" t="s">
        <v>4574</v>
      </c>
      <c r="C6478" s="196">
        <v>-207900</v>
      </c>
      <c r="D6478" s="196">
        <v>0</v>
      </c>
      <c r="E6478" s="196">
        <v>0</v>
      </c>
      <c r="F6478" s="196">
        <v>0</v>
      </c>
      <c r="G6478" s="196">
        <v>-207900</v>
      </c>
    </row>
    <row r="6479" spans="1:7" x14ac:dyDescent="0.3">
      <c r="A6479" s="198">
        <v>3581995</v>
      </c>
      <c r="B6479" s="192" t="s">
        <v>978</v>
      </c>
      <c r="C6479" s="196">
        <v>-270000</v>
      </c>
      <c r="D6479" s="196">
        <v>0</v>
      </c>
      <c r="E6479" s="196">
        <v>297000</v>
      </c>
      <c r="F6479" s="196">
        <v>-297000</v>
      </c>
      <c r="G6479" s="196">
        <v>-567000</v>
      </c>
    </row>
    <row r="6480" spans="1:7" x14ac:dyDescent="0.3">
      <c r="A6480" s="198">
        <v>41599461</v>
      </c>
      <c r="B6480" s="192" t="s">
        <v>979</v>
      </c>
      <c r="C6480" s="196">
        <v>0</v>
      </c>
      <c r="D6480" s="196">
        <v>0</v>
      </c>
      <c r="E6480" s="196">
        <v>49000</v>
      </c>
      <c r="F6480" s="196">
        <v>-49000</v>
      </c>
      <c r="G6480" s="196">
        <v>-49000</v>
      </c>
    </row>
    <row r="6481" spans="1:7" x14ac:dyDescent="0.3">
      <c r="A6481" s="198">
        <v>21718632</v>
      </c>
      <c r="B6481" s="192" t="s">
        <v>4575</v>
      </c>
      <c r="C6481" s="196">
        <v>-57200</v>
      </c>
      <c r="D6481" s="196">
        <v>0</v>
      </c>
      <c r="E6481" s="196">
        <v>0</v>
      </c>
      <c r="F6481" s="196">
        <v>0</v>
      </c>
      <c r="G6481" s="196">
        <v>-57200</v>
      </c>
    </row>
    <row r="6482" spans="1:7" x14ac:dyDescent="0.3">
      <c r="A6482" s="198">
        <v>42786444</v>
      </c>
      <c r="B6482" s="192" t="s">
        <v>4576</v>
      </c>
      <c r="C6482" s="196">
        <v>-29700</v>
      </c>
      <c r="D6482" s="196">
        <v>0</v>
      </c>
      <c r="E6482" s="196">
        <v>0</v>
      </c>
      <c r="F6482" s="196">
        <v>0</v>
      </c>
      <c r="G6482" s="196">
        <v>-29700</v>
      </c>
    </row>
    <row r="6483" spans="1:7" x14ac:dyDescent="0.3">
      <c r="A6483" s="198">
        <v>43712747</v>
      </c>
      <c r="B6483" s="192" t="s">
        <v>4577</v>
      </c>
      <c r="C6483" s="196">
        <v>-290000</v>
      </c>
      <c r="D6483" s="196">
        <v>0</v>
      </c>
      <c r="E6483" s="196">
        <v>0</v>
      </c>
      <c r="F6483" s="196">
        <v>0</v>
      </c>
      <c r="G6483" s="196">
        <v>-290000</v>
      </c>
    </row>
    <row r="6484" spans="1:7" x14ac:dyDescent="0.3">
      <c r="A6484" s="198">
        <v>1087991695</v>
      </c>
      <c r="B6484" s="192" t="s">
        <v>4578</v>
      </c>
      <c r="C6484" s="196">
        <v>-101800</v>
      </c>
      <c r="D6484" s="196">
        <v>0</v>
      </c>
      <c r="E6484" s="196">
        <v>0</v>
      </c>
      <c r="F6484" s="196">
        <v>0</v>
      </c>
      <c r="G6484" s="196">
        <v>-101800</v>
      </c>
    </row>
    <row r="6485" spans="1:7" x14ac:dyDescent="0.3">
      <c r="A6485" s="198">
        <v>30740221</v>
      </c>
      <c r="B6485" s="192" t="s">
        <v>4579</v>
      </c>
      <c r="C6485" s="196">
        <v>-319000</v>
      </c>
      <c r="D6485" s="196">
        <v>0</v>
      </c>
      <c r="E6485" s="196">
        <v>0</v>
      </c>
      <c r="F6485" s="196">
        <v>0</v>
      </c>
      <c r="G6485" s="196">
        <v>-319000</v>
      </c>
    </row>
    <row r="6486" spans="1:7" x14ac:dyDescent="0.3">
      <c r="A6486" s="198">
        <v>64580564</v>
      </c>
      <c r="B6486" s="192" t="s">
        <v>4580</v>
      </c>
      <c r="C6486" s="196">
        <v>-43900</v>
      </c>
      <c r="D6486" s="196">
        <v>0</v>
      </c>
      <c r="E6486" s="196">
        <v>0</v>
      </c>
      <c r="F6486" s="196">
        <v>0</v>
      </c>
      <c r="G6486" s="196">
        <v>-43900</v>
      </c>
    </row>
    <row r="6487" spans="1:7" x14ac:dyDescent="0.3">
      <c r="A6487" s="198">
        <v>21586778</v>
      </c>
      <c r="B6487" s="192" t="s">
        <v>4581</v>
      </c>
      <c r="C6487" s="196">
        <v>-620300</v>
      </c>
      <c r="D6487" s="196">
        <v>0</v>
      </c>
      <c r="E6487" s="196">
        <v>0</v>
      </c>
      <c r="F6487" s="196">
        <v>0</v>
      </c>
      <c r="G6487" s="196">
        <v>-620300</v>
      </c>
    </row>
    <row r="6488" spans="1:7" x14ac:dyDescent="0.3">
      <c r="A6488" s="198">
        <v>42875798</v>
      </c>
      <c r="B6488" s="192" t="s">
        <v>4582</v>
      </c>
      <c r="C6488" s="196">
        <v>-380000</v>
      </c>
      <c r="D6488" s="196">
        <v>0</v>
      </c>
      <c r="E6488" s="196">
        <v>0</v>
      </c>
      <c r="F6488" s="196">
        <v>0</v>
      </c>
      <c r="G6488" s="196">
        <v>-380000</v>
      </c>
    </row>
    <row r="6489" spans="1:7" x14ac:dyDescent="0.3">
      <c r="A6489" s="198">
        <v>21359915</v>
      </c>
      <c r="B6489" s="192" t="s">
        <v>4583</v>
      </c>
      <c r="C6489" s="196">
        <v>-57200</v>
      </c>
      <c r="D6489" s="196">
        <v>0</v>
      </c>
      <c r="E6489" s="196">
        <v>0</v>
      </c>
      <c r="F6489" s="196">
        <v>0</v>
      </c>
      <c r="G6489" s="196">
        <v>-57200</v>
      </c>
    </row>
    <row r="6490" spans="1:7" x14ac:dyDescent="0.3">
      <c r="A6490" s="192" t="s">
        <v>980</v>
      </c>
      <c r="B6490" s="192" t="s">
        <v>981</v>
      </c>
      <c r="C6490" s="196">
        <v>0</v>
      </c>
      <c r="D6490" s="196">
        <v>0</v>
      </c>
      <c r="E6490" s="196">
        <v>340000</v>
      </c>
      <c r="F6490" s="196">
        <v>-340000</v>
      </c>
      <c r="G6490" s="196">
        <v>-340000</v>
      </c>
    </row>
    <row r="6491" spans="1:7" x14ac:dyDescent="0.3">
      <c r="A6491" s="198">
        <v>1020426538</v>
      </c>
      <c r="B6491" s="192" t="s">
        <v>4584</v>
      </c>
      <c r="C6491" s="196">
        <v>-50900</v>
      </c>
      <c r="D6491" s="196">
        <v>0</v>
      </c>
      <c r="E6491" s="196">
        <v>0</v>
      </c>
      <c r="F6491" s="196">
        <v>0</v>
      </c>
      <c r="G6491" s="196">
        <v>-50900</v>
      </c>
    </row>
    <row r="6492" spans="1:7" x14ac:dyDescent="0.3">
      <c r="A6492" s="198">
        <v>43744401</v>
      </c>
      <c r="B6492" s="192" t="s">
        <v>4585</v>
      </c>
      <c r="C6492" s="196">
        <v>-50900</v>
      </c>
      <c r="D6492" s="196">
        <v>0</v>
      </c>
      <c r="E6492" s="196">
        <v>0</v>
      </c>
      <c r="F6492" s="196">
        <v>0</v>
      </c>
      <c r="G6492" s="196">
        <v>-50900</v>
      </c>
    </row>
    <row r="6493" spans="1:7" x14ac:dyDescent="0.3">
      <c r="A6493" s="198">
        <v>1088271746</v>
      </c>
      <c r="B6493" s="192" t="s">
        <v>983</v>
      </c>
      <c r="C6493" s="196">
        <v>0</v>
      </c>
      <c r="D6493" s="196">
        <v>0</v>
      </c>
      <c r="E6493" s="196">
        <v>50900</v>
      </c>
      <c r="F6493" s="196">
        <v>-50900</v>
      </c>
      <c r="G6493" s="196">
        <v>-50900</v>
      </c>
    </row>
    <row r="6494" spans="1:7" x14ac:dyDescent="0.3">
      <c r="A6494" s="198">
        <v>43520306</v>
      </c>
      <c r="B6494" s="192" t="s">
        <v>4586</v>
      </c>
      <c r="C6494" s="196">
        <v>-43900</v>
      </c>
      <c r="D6494" s="196">
        <v>0</v>
      </c>
      <c r="E6494" s="196">
        <v>0</v>
      </c>
      <c r="F6494" s="196">
        <v>0</v>
      </c>
      <c r="G6494" s="196">
        <v>-43900</v>
      </c>
    </row>
    <row r="6495" spans="1:7" x14ac:dyDescent="0.3">
      <c r="A6495" s="198">
        <v>39457207</v>
      </c>
      <c r="B6495" s="192" t="s">
        <v>4587</v>
      </c>
      <c r="C6495" s="196">
        <v>-50900</v>
      </c>
      <c r="D6495" s="196">
        <v>0</v>
      </c>
      <c r="E6495" s="196">
        <v>0</v>
      </c>
      <c r="F6495" s="196">
        <v>0</v>
      </c>
      <c r="G6495" s="196">
        <v>-50900</v>
      </c>
    </row>
    <row r="6496" spans="1:7" x14ac:dyDescent="0.3">
      <c r="A6496" s="198">
        <v>43750281</v>
      </c>
      <c r="B6496" s="192" t="s">
        <v>4588</v>
      </c>
      <c r="C6496" s="196">
        <v>-57200</v>
      </c>
      <c r="D6496" s="196">
        <v>0</v>
      </c>
      <c r="E6496" s="196">
        <v>0</v>
      </c>
      <c r="F6496" s="196">
        <v>0</v>
      </c>
      <c r="G6496" s="196">
        <v>-57200</v>
      </c>
    </row>
    <row r="6497" spans="1:7" x14ac:dyDescent="0.3">
      <c r="A6497" s="198">
        <v>21954245</v>
      </c>
      <c r="B6497" s="192" t="s">
        <v>984</v>
      </c>
      <c r="C6497" s="196">
        <v>0</v>
      </c>
      <c r="D6497" s="196">
        <v>0</v>
      </c>
      <c r="E6497" s="196">
        <v>50000</v>
      </c>
      <c r="F6497" s="196">
        <v>-50000</v>
      </c>
      <c r="G6497" s="196">
        <v>-50000</v>
      </c>
    </row>
    <row r="6498" spans="1:7" x14ac:dyDescent="0.3">
      <c r="A6498" s="198">
        <v>39215892</v>
      </c>
      <c r="B6498" s="192" t="s">
        <v>4589</v>
      </c>
      <c r="C6498" s="196">
        <v>-54200</v>
      </c>
      <c r="D6498" s="196">
        <v>0</v>
      </c>
      <c r="E6498" s="196">
        <v>0</v>
      </c>
      <c r="F6498" s="196">
        <v>0</v>
      </c>
      <c r="G6498" s="196">
        <v>-54200</v>
      </c>
    </row>
    <row r="6499" spans="1:7" x14ac:dyDescent="0.3">
      <c r="A6499" s="198">
        <v>44006936</v>
      </c>
      <c r="B6499" s="192" t="s">
        <v>4590</v>
      </c>
      <c r="C6499" s="196">
        <v>-250000</v>
      </c>
      <c r="D6499" s="196">
        <v>0</v>
      </c>
      <c r="E6499" s="196">
        <v>0</v>
      </c>
      <c r="F6499" s="196">
        <v>0</v>
      </c>
      <c r="G6499" s="196">
        <v>-250000</v>
      </c>
    </row>
    <row r="6500" spans="1:7" x14ac:dyDescent="0.3">
      <c r="A6500" s="198">
        <v>39354916</v>
      </c>
      <c r="B6500" s="192" t="s">
        <v>4591</v>
      </c>
      <c r="C6500" s="196">
        <v>-47400</v>
      </c>
      <c r="D6500" s="196">
        <v>0</v>
      </c>
      <c r="E6500" s="196">
        <v>0</v>
      </c>
      <c r="F6500" s="196">
        <v>0</v>
      </c>
      <c r="G6500" s="196">
        <v>-47400</v>
      </c>
    </row>
    <row r="6501" spans="1:7" x14ac:dyDescent="0.3">
      <c r="A6501" s="198">
        <v>43578324</v>
      </c>
      <c r="B6501" s="192" t="s">
        <v>985</v>
      </c>
      <c r="C6501" s="196">
        <v>-50900</v>
      </c>
      <c r="D6501" s="196">
        <v>0</v>
      </c>
      <c r="E6501" s="196">
        <v>50900</v>
      </c>
      <c r="F6501" s="196">
        <v>-50900</v>
      </c>
      <c r="G6501" s="196">
        <v>-101800</v>
      </c>
    </row>
    <row r="6502" spans="1:7" x14ac:dyDescent="0.3">
      <c r="A6502" s="198">
        <v>43758292</v>
      </c>
      <c r="B6502" s="192" t="s">
        <v>986</v>
      </c>
      <c r="C6502" s="196">
        <v>0</v>
      </c>
      <c r="D6502" s="196">
        <v>0</v>
      </c>
      <c r="E6502" s="196">
        <v>101800</v>
      </c>
      <c r="F6502" s="196">
        <v>-101800</v>
      </c>
      <c r="G6502" s="196">
        <v>-101800</v>
      </c>
    </row>
    <row r="6503" spans="1:7" x14ac:dyDescent="0.3">
      <c r="A6503" s="198">
        <v>42896842</v>
      </c>
      <c r="B6503" s="192" t="s">
        <v>4592</v>
      </c>
      <c r="C6503" s="196">
        <v>-216000</v>
      </c>
      <c r="D6503" s="196">
        <v>0</v>
      </c>
      <c r="E6503" s="196">
        <v>0</v>
      </c>
      <c r="F6503" s="196">
        <v>0</v>
      </c>
      <c r="G6503" s="196">
        <v>-216000</v>
      </c>
    </row>
    <row r="6504" spans="1:7" x14ac:dyDescent="0.3">
      <c r="A6504" s="198">
        <v>43605040</v>
      </c>
      <c r="B6504" s="192" t="s">
        <v>4593</v>
      </c>
      <c r="C6504" s="196">
        <v>-114400</v>
      </c>
      <c r="D6504" s="196">
        <v>0</v>
      </c>
      <c r="E6504" s="196">
        <v>0</v>
      </c>
      <c r="F6504" s="196">
        <v>0</v>
      </c>
      <c r="G6504" s="196">
        <v>-114400</v>
      </c>
    </row>
    <row r="6505" spans="1:7" x14ac:dyDescent="0.3">
      <c r="A6505" s="198">
        <v>22025720</v>
      </c>
      <c r="B6505" s="192" t="s">
        <v>987</v>
      </c>
      <c r="C6505" s="196">
        <v>-165000</v>
      </c>
      <c r="D6505" s="196">
        <v>0</v>
      </c>
      <c r="E6505" s="196">
        <v>0</v>
      </c>
      <c r="F6505" s="196">
        <v>0</v>
      </c>
      <c r="G6505" s="196">
        <v>-165000</v>
      </c>
    </row>
    <row r="6506" spans="1:7" x14ac:dyDescent="0.3">
      <c r="A6506" s="198">
        <v>43736652</v>
      </c>
      <c r="B6506" s="192" t="s">
        <v>4594</v>
      </c>
      <c r="C6506" s="196">
        <v>-50900</v>
      </c>
      <c r="D6506" s="196">
        <v>0</v>
      </c>
      <c r="E6506" s="196">
        <v>0</v>
      </c>
      <c r="F6506" s="196">
        <v>0</v>
      </c>
      <c r="G6506" s="196">
        <v>-50900</v>
      </c>
    </row>
    <row r="6507" spans="1:7" x14ac:dyDescent="0.3">
      <c r="A6507" s="198">
        <v>43636012</v>
      </c>
      <c r="B6507" s="192" t="s">
        <v>4595</v>
      </c>
      <c r="C6507" s="196">
        <v>-57200</v>
      </c>
      <c r="D6507" s="196">
        <v>0</v>
      </c>
      <c r="E6507" s="196">
        <v>0</v>
      </c>
      <c r="F6507" s="196">
        <v>0</v>
      </c>
      <c r="G6507" s="196">
        <v>-57200</v>
      </c>
    </row>
    <row r="6508" spans="1:7" x14ac:dyDescent="0.3">
      <c r="A6508" s="198">
        <v>43731887</v>
      </c>
      <c r="B6508" s="192" t="s">
        <v>4596</v>
      </c>
      <c r="C6508" s="196">
        <v>-263300</v>
      </c>
      <c r="D6508" s="196">
        <v>0</v>
      </c>
      <c r="E6508" s="196">
        <v>0</v>
      </c>
      <c r="F6508" s="196">
        <v>0</v>
      </c>
      <c r="G6508" s="196">
        <v>-263300</v>
      </c>
    </row>
    <row r="6509" spans="1:7" x14ac:dyDescent="0.3">
      <c r="A6509" s="198">
        <v>1020402594</v>
      </c>
      <c r="B6509" s="192" t="s">
        <v>4597</v>
      </c>
      <c r="C6509" s="196">
        <v>-481000</v>
      </c>
      <c r="D6509" s="196">
        <v>0</v>
      </c>
      <c r="E6509" s="196">
        <v>0</v>
      </c>
      <c r="F6509" s="196">
        <v>0</v>
      </c>
      <c r="G6509" s="196">
        <v>-481000</v>
      </c>
    </row>
    <row r="6510" spans="1:7" x14ac:dyDescent="0.3">
      <c r="A6510" s="198">
        <v>43625956</v>
      </c>
      <c r="B6510" s="192" t="s">
        <v>4598</v>
      </c>
      <c r="C6510" s="196">
        <v>-47400</v>
      </c>
      <c r="D6510" s="196">
        <v>0</v>
      </c>
      <c r="E6510" s="196">
        <v>0</v>
      </c>
      <c r="F6510" s="196">
        <v>0</v>
      </c>
      <c r="G6510" s="196">
        <v>-47400</v>
      </c>
    </row>
    <row r="6511" spans="1:7" x14ac:dyDescent="0.3">
      <c r="A6511" s="198">
        <v>43635963</v>
      </c>
      <c r="B6511" s="192" t="s">
        <v>988</v>
      </c>
      <c r="C6511" s="196">
        <v>-50900</v>
      </c>
      <c r="D6511" s="196">
        <v>0</v>
      </c>
      <c r="E6511" s="196">
        <v>380000</v>
      </c>
      <c r="F6511" s="196">
        <v>-380000</v>
      </c>
      <c r="G6511" s="196">
        <v>-430900</v>
      </c>
    </row>
    <row r="6512" spans="1:7" x14ac:dyDescent="0.3">
      <c r="A6512" s="198">
        <v>35546771</v>
      </c>
      <c r="B6512" s="192" t="s">
        <v>4599</v>
      </c>
      <c r="C6512" s="196">
        <v>-20000</v>
      </c>
      <c r="D6512" s="196">
        <v>0</v>
      </c>
      <c r="E6512" s="196">
        <v>0</v>
      </c>
      <c r="F6512" s="196">
        <v>0</v>
      </c>
      <c r="G6512" s="196">
        <v>-20000</v>
      </c>
    </row>
    <row r="6513" spans="1:7" x14ac:dyDescent="0.3">
      <c r="A6513" s="198">
        <v>43977628</v>
      </c>
      <c r="B6513" s="192" t="s">
        <v>990</v>
      </c>
      <c r="C6513" s="196">
        <v>0</v>
      </c>
      <c r="D6513" s="196">
        <v>0</v>
      </c>
      <c r="E6513" s="196">
        <v>54200</v>
      </c>
      <c r="F6513" s="196">
        <v>-54200</v>
      </c>
      <c r="G6513" s="196">
        <v>-54200</v>
      </c>
    </row>
    <row r="6514" spans="1:7" x14ac:dyDescent="0.3">
      <c r="A6514" s="198">
        <v>43262184</v>
      </c>
      <c r="B6514" s="192" t="s">
        <v>4600</v>
      </c>
      <c r="C6514" s="196">
        <v>-50900</v>
      </c>
      <c r="D6514" s="196">
        <v>0</v>
      </c>
      <c r="E6514" s="196">
        <v>0</v>
      </c>
      <c r="F6514" s="196">
        <v>0</v>
      </c>
      <c r="G6514" s="196">
        <v>-50900</v>
      </c>
    </row>
    <row r="6515" spans="1:7" x14ac:dyDescent="0.3">
      <c r="A6515" s="198">
        <v>43627193</v>
      </c>
      <c r="B6515" s="192" t="s">
        <v>4601</v>
      </c>
      <c r="C6515" s="196">
        <v>-50900</v>
      </c>
      <c r="D6515" s="196">
        <v>0</v>
      </c>
      <c r="E6515" s="196">
        <v>0</v>
      </c>
      <c r="F6515" s="196">
        <v>0</v>
      </c>
      <c r="G6515" s="196">
        <v>-50900</v>
      </c>
    </row>
    <row r="6516" spans="1:7" x14ac:dyDescent="0.3">
      <c r="A6516" s="198">
        <v>43265351</v>
      </c>
      <c r="B6516" s="192" t="s">
        <v>4602</v>
      </c>
      <c r="C6516" s="196">
        <v>-50900</v>
      </c>
      <c r="D6516" s="196">
        <v>0</v>
      </c>
      <c r="E6516" s="196">
        <v>0</v>
      </c>
      <c r="F6516" s="196">
        <v>0</v>
      </c>
      <c r="G6516" s="196">
        <v>-50900</v>
      </c>
    </row>
    <row r="6517" spans="1:7" x14ac:dyDescent="0.3">
      <c r="A6517" s="198">
        <v>43780954</v>
      </c>
      <c r="B6517" s="192" t="s">
        <v>4603</v>
      </c>
      <c r="C6517" s="196">
        <v>-57200</v>
      </c>
      <c r="D6517" s="196">
        <v>0</v>
      </c>
      <c r="E6517" s="196">
        <v>0</v>
      </c>
      <c r="F6517" s="196">
        <v>0</v>
      </c>
      <c r="G6517" s="196">
        <v>-57200</v>
      </c>
    </row>
    <row r="6518" spans="1:7" x14ac:dyDescent="0.3">
      <c r="A6518" s="198">
        <v>43551684</v>
      </c>
      <c r="B6518" s="192" t="s">
        <v>4604</v>
      </c>
      <c r="C6518" s="196">
        <v>-38400</v>
      </c>
      <c r="D6518" s="196">
        <v>0</v>
      </c>
      <c r="E6518" s="196">
        <v>0</v>
      </c>
      <c r="F6518" s="196">
        <v>0</v>
      </c>
      <c r="G6518" s="196">
        <v>-38400</v>
      </c>
    </row>
    <row r="6519" spans="1:7" x14ac:dyDescent="0.3">
      <c r="A6519" s="198">
        <v>43756804</v>
      </c>
      <c r="B6519" s="192" t="s">
        <v>4605</v>
      </c>
      <c r="C6519" s="196">
        <v>-50900</v>
      </c>
      <c r="D6519" s="196">
        <v>0</v>
      </c>
      <c r="E6519" s="196">
        <v>0</v>
      </c>
      <c r="F6519" s="196">
        <v>0</v>
      </c>
      <c r="G6519" s="196">
        <v>-50900</v>
      </c>
    </row>
    <row r="6520" spans="1:7" x14ac:dyDescent="0.3">
      <c r="A6520" s="198">
        <v>43841957</v>
      </c>
      <c r="B6520" s="192" t="s">
        <v>4606</v>
      </c>
      <c r="C6520" s="196">
        <v>-50900</v>
      </c>
      <c r="D6520" s="196">
        <v>0</v>
      </c>
      <c r="E6520" s="196">
        <v>0</v>
      </c>
      <c r="F6520" s="196">
        <v>0</v>
      </c>
      <c r="G6520" s="196">
        <v>-50900</v>
      </c>
    </row>
    <row r="6521" spans="1:7" x14ac:dyDescent="0.3">
      <c r="A6521" s="198">
        <v>43618014</v>
      </c>
      <c r="B6521" s="192" t="s">
        <v>4607</v>
      </c>
      <c r="C6521" s="196">
        <v>-50900</v>
      </c>
      <c r="D6521" s="196">
        <v>0</v>
      </c>
      <c r="E6521" s="196">
        <v>0</v>
      </c>
      <c r="F6521" s="196">
        <v>0</v>
      </c>
      <c r="G6521" s="196">
        <v>-50900</v>
      </c>
    </row>
    <row r="6522" spans="1:7" x14ac:dyDescent="0.3">
      <c r="A6522" s="198">
        <v>43605869</v>
      </c>
      <c r="B6522" s="192" t="s">
        <v>4608</v>
      </c>
      <c r="C6522" s="196">
        <v>-57200</v>
      </c>
      <c r="D6522" s="196">
        <v>0</v>
      </c>
      <c r="E6522" s="196">
        <v>0</v>
      </c>
      <c r="F6522" s="196">
        <v>0</v>
      </c>
      <c r="G6522" s="196">
        <v>-57200</v>
      </c>
    </row>
    <row r="6523" spans="1:7" x14ac:dyDescent="0.3">
      <c r="A6523" s="198">
        <v>43151695</v>
      </c>
      <c r="B6523" s="192" t="s">
        <v>991</v>
      </c>
      <c r="C6523" s="196">
        <v>0</v>
      </c>
      <c r="D6523" s="196">
        <v>0</v>
      </c>
      <c r="E6523" s="196">
        <v>319000</v>
      </c>
      <c r="F6523" s="196">
        <v>-319000</v>
      </c>
      <c r="G6523" s="196">
        <v>-319000</v>
      </c>
    </row>
    <row r="6524" spans="1:7" x14ac:dyDescent="0.3">
      <c r="A6524" s="198">
        <v>43538684</v>
      </c>
      <c r="B6524" s="192" t="s">
        <v>4609</v>
      </c>
      <c r="C6524" s="196">
        <v>-297000</v>
      </c>
      <c r="D6524" s="196">
        <v>0</v>
      </c>
      <c r="E6524" s="196">
        <v>0</v>
      </c>
      <c r="F6524" s="196">
        <v>0</v>
      </c>
      <c r="G6524" s="196">
        <v>-297000</v>
      </c>
    </row>
    <row r="6525" spans="1:7" x14ac:dyDescent="0.3">
      <c r="A6525" s="198">
        <v>30333560</v>
      </c>
      <c r="B6525" s="192" t="s">
        <v>4610</v>
      </c>
      <c r="C6525" s="196">
        <v>-57200</v>
      </c>
      <c r="D6525" s="196">
        <v>0</v>
      </c>
      <c r="E6525" s="196">
        <v>0</v>
      </c>
      <c r="F6525" s="196">
        <v>0</v>
      </c>
      <c r="G6525" s="196">
        <v>-57200</v>
      </c>
    </row>
    <row r="6526" spans="1:7" x14ac:dyDescent="0.3">
      <c r="A6526" s="198">
        <v>1128455563</v>
      </c>
      <c r="B6526" s="192" t="s">
        <v>992</v>
      </c>
      <c r="C6526" s="196">
        <v>0</v>
      </c>
      <c r="D6526" s="196">
        <v>0</v>
      </c>
      <c r="E6526" s="196">
        <v>110000</v>
      </c>
      <c r="F6526" s="196">
        <v>-110000</v>
      </c>
      <c r="G6526" s="196">
        <v>-110000</v>
      </c>
    </row>
    <row r="6527" spans="1:7" x14ac:dyDescent="0.3">
      <c r="A6527" s="198">
        <v>1032485691</v>
      </c>
      <c r="B6527" s="192" t="s">
        <v>4611</v>
      </c>
      <c r="C6527" s="196">
        <v>-29000</v>
      </c>
      <c r="D6527" s="196">
        <v>0</v>
      </c>
      <c r="E6527" s="196">
        <v>0</v>
      </c>
      <c r="F6527" s="196">
        <v>0</v>
      </c>
      <c r="G6527" s="196">
        <v>-29000</v>
      </c>
    </row>
    <row r="6528" spans="1:7" x14ac:dyDescent="0.3">
      <c r="A6528" s="198">
        <v>52902083</v>
      </c>
      <c r="B6528" s="192" t="s">
        <v>4612</v>
      </c>
      <c r="C6528" s="196">
        <v>-57200</v>
      </c>
      <c r="D6528" s="196">
        <v>0</v>
      </c>
      <c r="E6528" s="196">
        <v>0</v>
      </c>
      <c r="F6528" s="196">
        <v>0</v>
      </c>
      <c r="G6528" s="196">
        <v>-57200</v>
      </c>
    </row>
    <row r="6529" spans="1:7" x14ac:dyDescent="0.3">
      <c r="A6529" s="198">
        <v>1045049480</v>
      </c>
      <c r="B6529" s="192" t="s">
        <v>4613</v>
      </c>
      <c r="C6529" s="196">
        <v>-100000</v>
      </c>
      <c r="D6529" s="196">
        <v>0</v>
      </c>
      <c r="E6529" s="196">
        <v>0</v>
      </c>
      <c r="F6529" s="196">
        <v>0</v>
      </c>
      <c r="G6529" s="196">
        <v>-100000</v>
      </c>
    </row>
    <row r="6530" spans="1:7" x14ac:dyDescent="0.3">
      <c r="A6530" s="198">
        <v>1218465024</v>
      </c>
      <c r="B6530" s="192" t="s">
        <v>993</v>
      </c>
      <c r="C6530" s="196">
        <v>0</v>
      </c>
      <c r="D6530" s="196">
        <v>0</v>
      </c>
      <c r="E6530" s="196">
        <v>319000</v>
      </c>
      <c r="F6530" s="196">
        <v>-319000</v>
      </c>
      <c r="G6530" s="196">
        <v>-319000</v>
      </c>
    </row>
    <row r="6531" spans="1:7" x14ac:dyDescent="0.3">
      <c r="A6531" s="198">
        <v>1020468638</v>
      </c>
      <c r="B6531" s="192" t="s">
        <v>4614</v>
      </c>
      <c r="C6531" s="196">
        <v>-50900</v>
      </c>
      <c r="D6531" s="196">
        <v>0</v>
      </c>
      <c r="E6531" s="196">
        <v>0</v>
      </c>
      <c r="F6531" s="196">
        <v>0</v>
      </c>
      <c r="G6531" s="196">
        <v>-50900</v>
      </c>
    </row>
    <row r="6532" spans="1:7" x14ac:dyDescent="0.3">
      <c r="A6532" s="198">
        <v>32445964</v>
      </c>
      <c r="B6532" s="192" t="s">
        <v>994</v>
      </c>
      <c r="C6532" s="196">
        <v>-114400</v>
      </c>
      <c r="D6532" s="196">
        <v>0</v>
      </c>
      <c r="E6532" s="196">
        <v>0</v>
      </c>
      <c r="F6532" s="196">
        <v>0</v>
      </c>
      <c r="G6532" s="196">
        <v>-114400</v>
      </c>
    </row>
    <row r="6533" spans="1:7" x14ac:dyDescent="0.3">
      <c r="A6533" s="198">
        <v>1038333310</v>
      </c>
      <c r="B6533" s="192" t="s">
        <v>995</v>
      </c>
      <c r="C6533" s="196">
        <v>0</v>
      </c>
      <c r="D6533" s="196">
        <v>0</v>
      </c>
      <c r="E6533" s="196">
        <v>50900</v>
      </c>
      <c r="F6533" s="196">
        <v>-50900</v>
      </c>
      <c r="G6533" s="196">
        <v>-50900</v>
      </c>
    </row>
    <row r="6534" spans="1:7" x14ac:dyDescent="0.3">
      <c r="A6534" s="198">
        <v>42993963</v>
      </c>
      <c r="B6534" s="192" t="s">
        <v>4615</v>
      </c>
      <c r="C6534" s="196">
        <v>-297000</v>
      </c>
      <c r="D6534" s="196">
        <v>0</v>
      </c>
      <c r="E6534" s="196">
        <v>0</v>
      </c>
      <c r="F6534" s="196">
        <v>0</v>
      </c>
      <c r="G6534" s="196">
        <v>-297000</v>
      </c>
    </row>
    <row r="6535" spans="1:7" x14ac:dyDescent="0.3">
      <c r="A6535" s="198">
        <v>1085308063</v>
      </c>
      <c r="B6535" s="192" t="s">
        <v>4616</v>
      </c>
      <c r="C6535" s="196">
        <v>-101800</v>
      </c>
      <c r="D6535" s="196">
        <v>0</v>
      </c>
      <c r="E6535" s="196">
        <v>0</v>
      </c>
      <c r="F6535" s="196">
        <v>0</v>
      </c>
      <c r="G6535" s="196">
        <v>-101800</v>
      </c>
    </row>
    <row r="6536" spans="1:7" x14ac:dyDescent="0.3">
      <c r="A6536" s="198">
        <v>123162033</v>
      </c>
      <c r="B6536" s="192" t="s">
        <v>4617</v>
      </c>
      <c r="C6536" s="196">
        <v>-162000</v>
      </c>
      <c r="D6536" s="196">
        <v>0</v>
      </c>
      <c r="E6536" s="196">
        <v>0</v>
      </c>
      <c r="F6536" s="196">
        <v>0</v>
      </c>
      <c r="G6536" s="196">
        <v>-162000</v>
      </c>
    </row>
    <row r="6537" spans="1:7" x14ac:dyDescent="0.3">
      <c r="A6537" s="198">
        <v>52522300</v>
      </c>
      <c r="B6537" s="192" t="s">
        <v>4618</v>
      </c>
      <c r="C6537" s="196">
        <v>-57200</v>
      </c>
      <c r="D6537" s="196">
        <v>0</v>
      </c>
      <c r="E6537" s="196">
        <v>0</v>
      </c>
      <c r="F6537" s="196">
        <v>0</v>
      </c>
      <c r="G6537" s="196">
        <v>-57200</v>
      </c>
    </row>
    <row r="6538" spans="1:7" x14ac:dyDescent="0.3">
      <c r="A6538" s="198">
        <v>1036619229</v>
      </c>
      <c r="B6538" s="192" t="s">
        <v>4619</v>
      </c>
      <c r="C6538" s="196">
        <v>-319000</v>
      </c>
      <c r="D6538" s="196">
        <v>0</v>
      </c>
      <c r="E6538" s="196">
        <v>0</v>
      </c>
      <c r="F6538" s="196">
        <v>0</v>
      </c>
      <c r="G6538" s="196">
        <v>-319000</v>
      </c>
    </row>
    <row r="6539" spans="1:7" x14ac:dyDescent="0.3">
      <c r="A6539" s="198">
        <v>31177958</v>
      </c>
      <c r="B6539" s="192" t="s">
        <v>996</v>
      </c>
      <c r="C6539" s="196">
        <v>-57200</v>
      </c>
      <c r="D6539" s="196">
        <v>0</v>
      </c>
      <c r="E6539" s="196">
        <v>57200</v>
      </c>
      <c r="F6539" s="196">
        <v>-57200</v>
      </c>
      <c r="G6539" s="196">
        <v>-114400</v>
      </c>
    </row>
    <row r="6540" spans="1:7" x14ac:dyDescent="0.3">
      <c r="A6540" s="198">
        <v>43896089</v>
      </c>
      <c r="B6540" s="192" t="s">
        <v>997</v>
      </c>
      <c r="C6540" s="196">
        <v>-223300</v>
      </c>
      <c r="D6540" s="196">
        <v>0</v>
      </c>
      <c r="E6540" s="196">
        <v>140000</v>
      </c>
      <c r="F6540" s="196">
        <v>-140000</v>
      </c>
      <c r="G6540" s="196">
        <v>-363300</v>
      </c>
    </row>
    <row r="6541" spans="1:7" x14ac:dyDescent="0.3">
      <c r="A6541" s="198">
        <v>1037628021</v>
      </c>
      <c r="B6541" s="192" t="s">
        <v>4620</v>
      </c>
      <c r="C6541" s="196">
        <v>-50900</v>
      </c>
      <c r="D6541" s="196">
        <v>0</v>
      </c>
      <c r="E6541" s="196">
        <v>0</v>
      </c>
      <c r="F6541" s="196">
        <v>0</v>
      </c>
      <c r="G6541" s="196">
        <v>-50900</v>
      </c>
    </row>
    <row r="6542" spans="1:7" x14ac:dyDescent="0.3">
      <c r="A6542" s="198">
        <v>42799886</v>
      </c>
      <c r="B6542" s="192" t="s">
        <v>999</v>
      </c>
      <c r="C6542" s="196">
        <v>0</v>
      </c>
      <c r="D6542" s="196">
        <v>0</v>
      </c>
      <c r="E6542" s="196">
        <v>110000</v>
      </c>
      <c r="F6542" s="196">
        <v>-110000</v>
      </c>
      <c r="G6542" s="196">
        <v>-110000</v>
      </c>
    </row>
    <row r="6543" spans="1:7" x14ac:dyDescent="0.3">
      <c r="A6543" s="198">
        <v>1037614498</v>
      </c>
      <c r="B6543" s="192" t="s">
        <v>4621</v>
      </c>
      <c r="C6543" s="196">
        <v>-76000</v>
      </c>
      <c r="D6543" s="196">
        <v>0</v>
      </c>
      <c r="E6543" s="196">
        <v>0</v>
      </c>
      <c r="F6543" s="196">
        <v>0</v>
      </c>
      <c r="G6543" s="196">
        <v>-76000</v>
      </c>
    </row>
    <row r="6544" spans="1:7" x14ac:dyDescent="0.3">
      <c r="A6544" s="198">
        <v>43281632</v>
      </c>
      <c r="B6544" s="192" t="s">
        <v>4622</v>
      </c>
      <c r="C6544" s="196">
        <v>-50500</v>
      </c>
      <c r="D6544" s="196">
        <v>0</v>
      </c>
      <c r="E6544" s="196">
        <v>0</v>
      </c>
      <c r="F6544" s="196">
        <v>0</v>
      </c>
      <c r="G6544" s="196">
        <v>-50500</v>
      </c>
    </row>
    <row r="6545" spans="1:7" x14ac:dyDescent="0.3">
      <c r="A6545" s="198">
        <v>711885</v>
      </c>
      <c r="B6545" s="192" t="s">
        <v>1000</v>
      </c>
      <c r="C6545" s="196">
        <v>-84000</v>
      </c>
      <c r="D6545" s="196">
        <v>0</v>
      </c>
      <c r="E6545" s="196">
        <v>42000</v>
      </c>
      <c r="F6545" s="196">
        <v>-42000</v>
      </c>
      <c r="G6545" s="196">
        <v>-126000</v>
      </c>
    </row>
    <row r="6546" spans="1:7" x14ac:dyDescent="0.3">
      <c r="A6546" s="198">
        <v>43973507</v>
      </c>
      <c r="B6546" s="192" t="s">
        <v>1001</v>
      </c>
      <c r="C6546" s="196">
        <v>0</v>
      </c>
      <c r="D6546" s="196">
        <v>0</v>
      </c>
      <c r="E6546" s="196">
        <v>57200</v>
      </c>
      <c r="F6546" s="196">
        <v>-57200</v>
      </c>
      <c r="G6546" s="196">
        <v>-57200</v>
      </c>
    </row>
    <row r="6547" spans="1:7" x14ac:dyDescent="0.3">
      <c r="A6547" s="198">
        <v>43874700</v>
      </c>
      <c r="B6547" s="192" t="s">
        <v>4623</v>
      </c>
      <c r="C6547" s="196">
        <v>-50900</v>
      </c>
      <c r="D6547" s="196">
        <v>0</v>
      </c>
      <c r="E6547" s="196">
        <v>0</v>
      </c>
      <c r="F6547" s="196">
        <v>0</v>
      </c>
      <c r="G6547" s="196">
        <v>-50900</v>
      </c>
    </row>
    <row r="6548" spans="1:7" x14ac:dyDescent="0.3">
      <c r="A6548" s="192" t="s">
        <v>4624</v>
      </c>
      <c r="B6548" s="192" t="s">
        <v>4625</v>
      </c>
      <c r="C6548" s="196">
        <v>-270000</v>
      </c>
      <c r="D6548" s="196">
        <v>0</v>
      </c>
      <c r="E6548" s="196">
        <v>0</v>
      </c>
      <c r="F6548" s="196">
        <v>0</v>
      </c>
      <c r="G6548" s="196">
        <v>-270000</v>
      </c>
    </row>
    <row r="6549" spans="1:7" x14ac:dyDescent="0.3">
      <c r="A6549" s="198">
        <v>1035026093</v>
      </c>
      <c r="B6549" s="192" t="s">
        <v>1002</v>
      </c>
      <c r="C6549" s="196">
        <v>0</v>
      </c>
      <c r="D6549" s="196">
        <v>0</v>
      </c>
      <c r="E6549" s="196">
        <v>50900</v>
      </c>
      <c r="F6549" s="196">
        <v>-50900</v>
      </c>
      <c r="G6549" s="196">
        <v>-50900</v>
      </c>
    </row>
    <row r="6550" spans="1:7" x14ac:dyDescent="0.3">
      <c r="A6550" s="198">
        <v>1035023435</v>
      </c>
      <c r="B6550" s="192" t="s">
        <v>4626</v>
      </c>
      <c r="C6550" s="196">
        <v>-47400</v>
      </c>
      <c r="D6550" s="196">
        <v>0</v>
      </c>
      <c r="E6550" s="196">
        <v>0</v>
      </c>
      <c r="F6550" s="196">
        <v>0</v>
      </c>
      <c r="G6550" s="196">
        <v>-47400</v>
      </c>
    </row>
    <row r="6551" spans="1:7" x14ac:dyDescent="0.3">
      <c r="A6551" s="198">
        <v>1034997193</v>
      </c>
      <c r="B6551" s="192" t="s">
        <v>4627</v>
      </c>
      <c r="C6551" s="196">
        <v>-50900</v>
      </c>
      <c r="D6551" s="196">
        <v>0</v>
      </c>
      <c r="E6551" s="196">
        <v>0</v>
      </c>
      <c r="F6551" s="196">
        <v>0</v>
      </c>
      <c r="G6551" s="196">
        <v>-50900</v>
      </c>
    </row>
    <row r="6552" spans="1:7" x14ac:dyDescent="0.3">
      <c r="A6552" s="198">
        <v>1035020342</v>
      </c>
      <c r="B6552" s="192" t="s">
        <v>4628</v>
      </c>
      <c r="C6552" s="196">
        <v>-50900</v>
      </c>
      <c r="D6552" s="196">
        <v>0</v>
      </c>
      <c r="E6552" s="196">
        <v>0</v>
      </c>
      <c r="F6552" s="196">
        <v>0</v>
      </c>
      <c r="G6552" s="196">
        <v>-50900</v>
      </c>
    </row>
    <row r="6553" spans="1:7" x14ac:dyDescent="0.3">
      <c r="A6553" s="198">
        <v>1034996212</v>
      </c>
      <c r="B6553" s="192" t="s">
        <v>4629</v>
      </c>
      <c r="C6553" s="196">
        <v>-50900</v>
      </c>
      <c r="D6553" s="196">
        <v>0</v>
      </c>
      <c r="E6553" s="196">
        <v>0</v>
      </c>
      <c r="F6553" s="196">
        <v>0</v>
      </c>
      <c r="G6553" s="196">
        <v>-50900</v>
      </c>
    </row>
    <row r="6554" spans="1:7" x14ac:dyDescent="0.3">
      <c r="A6554" s="198">
        <v>1027666504</v>
      </c>
      <c r="B6554" s="192" t="s">
        <v>4630</v>
      </c>
      <c r="C6554" s="196">
        <v>-47400</v>
      </c>
      <c r="D6554" s="196">
        <v>0</v>
      </c>
      <c r="E6554" s="196">
        <v>0</v>
      </c>
      <c r="F6554" s="196">
        <v>0</v>
      </c>
      <c r="G6554" s="196">
        <v>-47400</v>
      </c>
    </row>
    <row r="6555" spans="1:7" x14ac:dyDescent="0.3">
      <c r="A6555" s="198">
        <v>1035021423</v>
      </c>
      <c r="B6555" s="192" t="s">
        <v>4631</v>
      </c>
      <c r="C6555" s="196">
        <v>-35000</v>
      </c>
      <c r="D6555" s="196">
        <v>0</v>
      </c>
      <c r="E6555" s="196">
        <v>0</v>
      </c>
      <c r="F6555" s="196">
        <v>0</v>
      </c>
      <c r="G6555" s="196">
        <v>-35000</v>
      </c>
    </row>
    <row r="6556" spans="1:7" x14ac:dyDescent="0.3">
      <c r="A6556" s="198">
        <v>1035017728</v>
      </c>
      <c r="B6556" s="192" t="s">
        <v>4632</v>
      </c>
      <c r="C6556" s="196">
        <v>-47000</v>
      </c>
      <c r="D6556" s="196">
        <v>0</v>
      </c>
      <c r="E6556" s="196">
        <v>0</v>
      </c>
      <c r="F6556" s="196">
        <v>0</v>
      </c>
      <c r="G6556" s="196">
        <v>-47000</v>
      </c>
    </row>
    <row r="6557" spans="1:7" x14ac:dyDescent="0.3">
      <c r="A6557" s="198">
        <v>1034995651</v>
      </c>
      <c r="B6557" s="192" t="s">
        <v>4633</v>
      </c>
      <c r="C6557" s="196">
        <v>-50900</v>
      </c>
      <c r="D6557" s="196">
        <v>0</v>
      </c>
      <c r="E6557" s="196">
        <v>0</v>
      </c>
      <c r="F6557" s="196">
        <v>0</v>
      </c>
      <c r="G6557" s="196">
        <v>-50900</v>
      </c>
    </row>
    <row r="6558" spans="1:7" x14ac:dyDescent="0.3">
      <c r="A6558" s="198">
        <v>1017943377</v>
      </c>
      <c r="B6558" s="192" t="s">
        <v>4634</v>
      </c>
      <c r="C6558" s="196">
        <v>-50900</v>
      </c>
      <c r="D6558" s="196">
        <v>0</v>
      </c>
      <c r="E6558" s="196">
        <v>0</v>
      </c>
      <c r="F6558" s="196">
        <v>0</v>
      </c>
      <c r="G6558" s="196">
        <v>-50900</v>
      </c>
    </row>
    <row r="6559" spans="1:7" x14ac:dyDescent="0.3">
      <c r="A6559" s="198">
        <v>1035026156</v>
      </c>
      <c r="B6559" s="192" t="s">
        <v>4635</v>
      </c>
      <c r="C6559" s="196">
        <v>-340000</v>
      </c>
      <c r="D6559" s="196">
        <v>0</v>
      </c>
      <c r="E6559" s="196">
        <v>0</v>
      </c>
      <c r="F6559" s="196">
        <v>0</v>
      </c>
      <c r="G6559" s="196">
        <v>-340000</v>
      </c>
    </row>
    <row r="6560" spans="1:7" x14ac:dyDescent="0.3">
      <c r="A6560" s="198">
        <v>1020128964</v>
      </c>
      <c r="B6560" s="192" t="s">
        <v>4636</v>
      </c>
      <c r="C6560" s="196">
        <v>-50900</v>
      </c>
      <c r="D6560" s="196">
        <v>0</v>
      </c>
      <c r="E6560" s="196">
        <v>0</v>
      </c>
      <c r="F6560" s="196">
        <v>0</v>
      </c>
      <c r="G6560" s="196">
        <v>-50900</v>
      </c>
    </row>
    <row r="6561" spans="1:7" x14ac:dyDescent="0.3">
      <c r="A6561" s="198">
        <v>55986098</v>
      </c>
      <c r="B6561" s="192" t="s">
        <v>4637</v>
      </c>
      <c r="C6561" s="196">
        <v>-50900</v>
      </c>
      <c r="D6561" s="196">
        <v>0</v>
      </c>
      <c r="E6561" s="196">
        <v>0</v>
      </c>
      <c r="F6561" s="196">
        <v>0</v>
      </c>
      <c r="G6561" s="196">
        <v>-50900</v>
      </c>
    </row>
    <row r="6562" spans="1:7" x14ac:dyDescent="0.3">
      <c r="A6562" s="198">
        <v>1035024681</v>
      </c>
      <c r="B6562" s="192" t="s">
        <v>4638</v>
      </c>
      <c r="C6562" s="196">
        <v>-50900</v>
      </c>
      <c r="D6562" s="196">
        <v>0</v>
      </c>
      <c r="E6562" s="196">
        <v>0</v>
      </c>
      <c r="F6562" s="196">
        <v>0</v>
      </c>
      <c r="G6562" s="196">
        <v>-50900</v>
      </c>
    </row>
    <row r="6563" spans="1:7" x14ac:dyDescent="0.3">
      <c r="A6563" s="198">
        <v>1017158673</v>
      </c>
      <c r="B6563" s="192" t="s">
        <v>4639</v>
      </c>
      <c r="C6563" s="196">
        <v>-50900</v>
      </c>
      <c r="D6563" s="196">
        <v>0</v>
      </c>
      <c r="E6563" s="196">
        <v>0</v>
      </c>
      <c r="F6563" s="196">
        <v>0</v>
      </c>
      <c r="G6563" s="196">
        <v>-50900</v>
      </c>
    </row>
    <row r="6564" spans="1:7" x14ac:dyDescent="0.3">
      <c r="A6564" s="198">
        <v>1030705147</v>
      </c>
      <c r="B6564" s="192" t="s">
        <v>4640</v>
      </c>
      <c r="C6564" s="196">
        <v>-29000</v>
      </c>
      <c r="D6564" s="196">
        <v>0</v>
      </c>
      <c r="E6564" s="196">
        <v>0</v>
      </c>
      <c r="F6564" s="196">
        <v>0</v>
      </c>
      <c r="G6564" s="196">
        <v>-29000</v>
      </c>
    </row>
    <row r="6565" spans="1:7" x14ac:dyDescent="0.3">
      <c r="A6565" s="198">
        <v>1035025510</v>
      </c>
      <c r="B6565" s="192" t="s">
        <v>4641</v>
      </c>
      <c r="C6565" s="196">
        <v>-47400</v>
      </c>
      <c r="D6565" s="196">
        <v>0</v>
      </c>
      <c r="E6565" s="196">
        <v>0</v>
      </c>
      <c r="F6565" s="196">
        <v>0</v>
      </c>
      <c r="G6565" s="196">
        <v>-47400</v>
      </c>
    </row>
    <row r="6566" spans="1:7" x14ac:dyDescent="0.3">
      <c r="A6566" s="198">
        <v>1092863951</v>
      </c>
      <c r="B6566" s="192" t="s">
        <v>4642</v>
      </c>
      <c r="C6566" s="196">
        <v>-50900</v>
      </c>
      <c r="D6566" s="196">
        <v>0</v>
      </c>
      <c r="E6566" s="196">
        <v>0</v>
      </c>
      <c r="F6566" s="196">
        <v>0</v>
      </c>
      <c r="G6566" s="196">
        <v>-50900</v>
      </c>
    </row>
    <row r="6567" spans="1:7" x14ac:dyDescent="0.3">
      <c r="A6567" s="198">
        <v>1037676773</v>
      </c>
      <c r="B6567" s="192" t="s">
        <v>1003</v>
      </c>
      <c r="C6567" s="196">
        <v>0</v>
      </c>
      <c r="D6567" s="196">
        <v>0</v>
      </c>
      <c r="E6567" s="196">
        <v>41400</v>
      </c>
      <c r="F6567" s="196">
        <v>-41400</v>
      </c>
      <c r="G6567" s="196">
        <v>-41400</v>
      </c>
    </row>
    <row r="6568" spans="1:7" x14ac:dyDescent="0.3">
      <c r="A6568" s="198">
        <v>1014880526</v>
      </c>
      <c r="B6568" s="192" t="s">
        <v>4643</v>
      </c>
      <c r="C6568" s="196">
        <v>-36600</v>
      </c>
      <c r="D6568" s="196">
        <v>0</v>
      </c>
      <c r="E6568" s="196">
        <v>0</v>
      </c>
      <c r="F6568" s="196">
        <v>0</v>
      </c>
      <c r="G6568" s="196">
        <v>-36600</v>
      </c>
    </row>
    <row r="6569" spans="1:7" x14ac:dyDescent="0.3">
      <c r="A6569" s="198">
        <v>1193038769</v>
      </c>
      <c r="B6569" s="192" t="s">
        <v>129</v>
      </c>
      <c r="C6569" s="196">
        <v>-616000</v>
      </c>
      <c r="D6569" s="196">
        <v>0</v>
      </c>
      <c r="E6569" s="196">
        <v>0</v>
      </c>
      <c r="F6569" s="196">
        <v>0</v>
      </c>
      <c r="G6569" s="196">
        <v>-616000</v>
      </c>
    </row>
    <row r="6570" spans="1:7" x14ac:dyDescent="0.3">
      <c r="A6570" s="198">
        <v>1013462925</v>
      </c>
      <c r="B6570" s="192" t="s">
        <v>4644</v>
      </c>
      <c r="C6570" s="196">
        <v>-50900</v>
      </c>
      <c r="D6570" s="196">
        <v>0</v>
      </c>
      <c r="E6570" s="196">
        <v>0</v>
      </c>
      <c r="F6570" s="196">
        <v>0</v>
      </c>
      <c r="G6570" s="196">
        <v>-50900</v>
      </c>
    </row>
    <row r="6571" spans="1:7" x14ac:dyDescent="0.3">
      <c r="A6571" s="198">
        <v>1035010863</v>
      </c>
      <c r="B6571" s="192" t="s">
        <v>1004</v>
      </c>
      <c r="C6571" s="196">
        <v>0</v>
      </c>
      <c r="D6571" s="196">
        <v>0</v>
      </c>
      <c r="E6571" s="196">
        <v>57200</v>
      </c>
      <c r="F6571" s="196">
        <v>-57200</v>
      </c>
      <c r="G6571" s="196">
        <v>-57200</v>
      </c>
    </row>
    <row r="6572" spans="1:7" x14ac:dyDescent="0.3">
      <c r="A6572" s="198">
        <v>1035018672</v>
      </c>
      <c r="B6572" s="192" t="s">
        <v>4645</v>
      </c>
      <c r="C6572" s="196">
        <v>-50900</v>
      </c>
      <c r="D6572" s="196">
        <v>0</v>
      </c>
      <c r="E6572" s="196">
        <v>0</v>
      </c>
      <c r="F6572" s="196">
        <v>0</v>
      </c>
      <c r="G6572" s="196">
        <v>-50900</v>
      </c>
    </row>
    <row r="6573" spans="1:7" x14ac:dyDescent="0.3">
      <c r="A6573" s="198">
        <v>1239491745</v>
      </c>
      <c r="B6573" s="192" t="s">
        <v>4646</v>
      </c>
      <c r="C6573" s="196">
        <v>-43900</v>
      </c>
      <c r="D6573" s="196">
        <v>0</v>
      </c>
      <c r="E6573" s="196">
        <v>0</v>
      </c>
      <c r="F6573" s="196">
        <v>0</v>
      </c>
      <c r="G6573" s="196">
        <v>-43900</v>
      </c>
    </row>
    <row r="6574" spans="1:7" x14ac:dyDescent="0.3">
      <c r="A6574" s="198">
        <v>1059785009</v>
      </c>
      <c r="B6574" s="192" t="s">
        <v>1005</v>
      </c>
      <c r="C6574" s="196">
        <v>0</v>
      </c>
      <c r="D6574" s="196">
        <v>0</v>
      </c>
      <c r="E6574" s="196">
        <v>50900</v>
      </c>
      <c r="F6574" s="196">
        <v>-50900</v>
      </c>
      <c r="G6574" s="196">
        <v>-50900</v>
      </c>
    </row>
    <row r="6575" spans="1:7" x14ac:dyDescent="0.3">
      <c r="A6575" s="198">
        <v>32504586</v>
      </c>
      <c r="B6575" s="192" t="s">
        <v>4647</v>
      </c>
      <c r="C6575" s="196">
        <v>-50900</v>
      </c>
      <c r="D6575" s="196">
        <v>0</v>
      </c>
      <c r="E6575" s="196">
        <v>0</v>
      </c>
      <c r="F6575" s="196">
        <v>0</v>
      </c>
      <c r="G6575" s="196">
        <v>-50900</v>
      </c>
    </row>
    <row r="6576" spans="1:7" x14ac:dyDescent="0.3">
      <c r="A6576" s="198">
        <v>42873634</v>
      </c>
      <c r="B6576" s="192" t="s">
        <v>1006</v>
      </c>
      <c r="C6576" s="196">
        <v>0</v>
      </c>
      <c r="D6576" s="196">
        <v>0</v>
      </c>
      <c r="E6576" s="196">
        <v>50900</v>
      </c>
      <c r="F6576" s="196">
        <v>-50900</v>
      </c>
      <c r="G6576" s="196">
        <v>-50900</v>
      </c>
    </row>
    <row r="6577" spans="1:7" x14ac:dyDescent="0.3">
      <c r="A6577" s="198">
        <v>1076816858</v>
      </c>
      <c r="B6577" s="192" t="s">
        <v>4648</v>
      </c>
      <c r="C6577" s="196">
        <v>-297000</v>
      </c>
      <c r="D6577" s="196">
        <v>0</v>
      </c>
      <c r="E6577" s="196">
        <v>0</v>
      </c>
      <c r="F6577" s="196">
        <v>0</v>
      </c>
      <c r="G6577" s="196">
        <v>-297000</v>
      </c>
    </row>
    <row r="6578" spans="1:7" x14ac:dyDescent="0.3">
      <c r="A6578" s="198">
        <v>21419538</v>
      </c>
      <c r="B6578" s="192" t="s">
        <v>4649</v>
      </c>
      <c r="C6578" s="196">
        <v>-50900</v>
      </c>
      <c r="D6578" s="196">
        <v>0</v>
      </c>
      <c r="E6578" s="196">
        <v>0</v>
      </c>
      <c r="F6578" s="196">
        <v>0</v>
      </c>
      <c r="G6578" s="196">
        <v>-50900</v>
      </c>
    </row>
    <row r="6579" spans="1:7" x14ac:dyDescent="0.3">
      <c r="A6579" s="198">
        <v>21463718</v>
      </c>
      <c r="B6579" s="192" t="s">
        <v>4650</v>
      </c>
      <c r="C6579" s="196">
        <v>-38400</v>
      </c>
      <c r="D6579" s="196">
        <v>0</v>
      </c>
      <c r="E6579" s="196">
        <v>0</v>
      </c>
      <c r="F6579" s="196">
        <v>0</v>
      </c>
      <c r="G6579" s="196">
        <v>-38400</v>
      </c>
    </row>
    <row r="6580" spans="1:7" x14ac:dyDescent="0.3">
      <c r="A6580" s="198">
        <v>22069916</v>
      </c>
      <c r="B6580" s="192" t="s">
        <v>4651</v>
      </c>
      <c r="C6580" s="196">
        <v>-165000</v>
      </c>
      <c r="D6580" s="196">
        <v>0</v>
      </c>
      <c r="E6580" s="196">
        <v>0</v>
      </c>
      <c r="F6580" s="196">
        <v>0</v>
      </c>
      <c r="G6580" s="196">
        <v>-165000</v>
      </c>
    </row>
    <row r="6581" spans="1:7" x14ac:dyDescent="0.3">
      <c r="A6581" s="198">
        <v>21738467</v>
      </c>
      <c r="B6581" s="192" t="s">
        <v>4652</v>
      </c>
      <c r="C6581" s="196">
        <v>-297000</v>
      </c>
      <c r="D6581" s="196">
        <v>0</v>
      </c>
      <c r="E6581" s="196">
        <v>0</v>
      </c>
      <c r="F6581" s="196">
        <v>0</v>
      </c>
      <c r="G6581" s="196">
        <v>-297000</v>
      </c>
    </row>
    <row r="6582" spans="1:7" x14ac:dyDescent="0.3">
      <c r="A6582" s="198">
        <v>1003233130</v>
      </c>
      <c r="B6582" s="192" t="s">
        <v>1007</v>
      </c>
      <c r="C6582" s="196">
        <v>0</v>
      </c>
      <c r="D6582" s="196">
        <v>0</v>
      </c>
      <c r="E6582" s="196">
        <v>297000</v>
      </c>
      <c r="F6582" s="196">
        <v>-297000</v>
      </c>
      <c r="G6582" s="196">
        <v>-297000</v>
      </c>
    </row>
    <row r="6583" spans="1:7" x14ac:dyDescent="0.3">
      <c r="A6583" s="198">
        <v>1037610024</v>
      </c>
      <c r="B6583" s="192" t="s">
        <v>4653</v>
      </c>
      <c r="C6583" s="196">
        <v>-319000</v>
      </c>
      <c r="D6583" s="196">
        <v>0</v>
      </c>
      <c r="E6583" s="196">
        <v>0</v>
      </c>
      <c r="F6583" s="196">
        <v>0</v>
      </c>
      <c r="G6583" s="196">
        <v>-319000</v>
      </c>
    </row>
    <row r="6584" spans="1:7" x14ac:dyDescent="0.3">
      <c r="A6584" s="198">
        <v>1035020370</v>
      </c>
      <c r="B6584" s="192" t="s">
        <v>4654</v>
      </c>
      <c r="C6584" s="196">
        <v>-35000</v>
      </c>
      <c r="D6584" s="196">
        <v>0</v>
      </c>
      <c r="E6584" s="196">
        <v>0</v>
      </c>
      <c r="F6584" s="196">
        <v>0</v>
      </c>
      <c r="G6584" s="196">
        <v>-35000</v>
      </c>
    </row>
    <row r="6585" spans="1:7" x14ac:dyDescent="0.3">
      <c r="A6585" s="198">
        <v>1035004251</v>
      </c>
      <c r="B6585" s="192" t="s">
        <v>1008</v>
      </c>
      <c r="C6585" s="196">
        <v>0</v>
      </c>
      <c r="D6585" s="196">
        <v>0</v>
      </c>
      <c r="E6585" s="196">
        <v>50900</v>
      </c>
      <c r="F6585" s="196">
        <v>-50900</v>
      </c>
      <c r="G6585" s="196">
        <v>-50900</v>
      </c>
    </row>
    <row r="6586" spans="1:7" x14ac:dyDescent="0.3">
      <c r="A6586" s="198">
        <v>1128273158</v>
      </c>
      <c r="B6586" s="192" t="s">
        <v>4655</v>
      </c>
      <c r="C6586" s="196">
        <v>-47400</v>
      </c>
      <c r="D6586" s="196">
        <v>0</v>
      </c>
      <c r="E6586" s="196">
        <v>0</v>
      </c>
      <c r="F6586" s="196">
        <v>0</v>
      </c>
      <c r="G6586" s="196">
        <v>-47400</v>
      </c>
    </row>
    <row r="6587" spans="1:7" x14ac:dyDescent="0.3">
      <c r="A6587" s="198">
        <v>1035024378</v>
      </c>
      <c r="B6587" s="192" t="s">
        <v>4656</v>
      </c>
      <c r="C6587" s="196">
        <v>-50900</v>
      </c>
      <c r="D6587" s="196">
        <v>0</v>
      </c>
      <c r="E6587" s="196">
        <v>0</v>
      </c>
      <c r="F6587" s="196">
        <v>0</v>
      </c>
      <c r="G6587" s="196">
        <v>-50900</v>
      </c>
    </row>
    <row r="6588" spans="1:7" x14ac:dyDescent="0.3">
      <c r="A6588" s="198">
        <v>1036462523</v>
      </c>
      <c r="B6588" s="192" t="s">
        <v>4657</v>
      </c>
      <c r="C6588" s="196">
        <v>-50900</v>
      </c>
      <c r="D6588" s="196">
        <v>0</v>
      </c>
      <c r="E6588" s="196">
        <v>0</v>
      </c>
      <c r="F6588" s="196">
        <v>0</v>
      </c>
      <c r="G6588" s="196">
        <v>-50900</v>
      </c>
    </row>
    <row r="6589" spans="1:7" x14ac:dyDescent="0.3">
      <c r="A6589" s="198">
        <v>1022008912</v>
      </c>
      <c r="B6589" s="192" t="s">
        <v>4658</v>
      </c>
      <c r="C6589" s="196">
        <v>-38400</v>
      </c>
      <c r="D6589" s="196">
        <v>0</v>
      </c>
      <c r="E6589" s="196">
        <v>0</v>
      </c>
      <c r="F6589" s="196">
        <v>0</v>
      </c>
      <c r="G6589" s="196">
        <v>-38400</v>
      </c>
    </row>
    <row r="6590" spans="1:7" x14ac:dyDescent="0.3">
      <c r="A6590" s="198">
        <v>1035014356</v>
      </c>
      <c r="B6590" s="192" t="s">
        <v>4659</v>
      </c>
      <c r="C6590" s="196">
        <v>-54200</v>
      </c>
      <c r="D6590" s="196">
        <v>0</v>
      </c>
      <c r="E6590" s="196">
        <v>0</v>
      </c>
      <c r="F6590" s="196">
        <v>0</v>
      </c>
      <c r="G6590" s="196">
        <v>-54200</v>
      </c>
    </row>
    <row r="6591" spans="1:7" x14ac:dyDescent="0.3">
      <c r="A6591" s="198">
        <v>1021946222</v>
      </c>
      <c r="B6591" s="192" t="s">
        <v>4660</v>
      </c>
      <c r="C6591" s="196">
        <v>-47400</v>
      </c>
      <c r="D6591" s="196">
        <v>0</v>
      </c>
      <c r="E6591" s="196">
        <v>0</v>
      </c>
      <c r="F6591" s="196">
        <v>0</v>
      </c>
      <c r="G6591" s="196">
        <v>-47400</v>
      </c>
    </row>
    <row r="6592" spans="1:7" x14ac:dyDescent="0.3">
      <c r="A6592" s="198">
        <v>1023544572</v>
      </c>
      <c r="B6592" s="192" t="s">
        <v>4661</v>
      </c>
      <c r="C6592" s="196">
        <v>-46400</v>
      </c>
      <c r="D6592" s="196">
        <v>0</v>
      </c>
      <c r="E6592" s="196">
        <v>0</v>
      </c>
      <c r="F6592" s="196">
        <v>0</v>
      </c>
      <c r="G6592" s="196">
        <v>-46400</v>
      </c>
    </row>
    <row r="6593" spans="1:7" x14ac:dyDescent="0.3">
      <c r="A6593" s="198">
        <v>1091998741</v>
      </c>
      <c r="B6593" s="192" t="s">
        <v>4662</v>
      </c>
      <c r="C6593" s="196">
        <v>-38400</v>
      </c>
      <c r="D6593" s="196">
        <v>0</v>
      </c>
      <c r="E6593" s="196">
        <v>0</v>
      </c>
      <c r="F6593" s="196">
        <v>0</v>
      </c>
      <c r="G6593" s="196">
        <v>-38400</v>
      </c>
    </row>
    <row r="6594" spans="1:7" x14ac:dyDescent="0.3">
      <c r="A6594" s="198">
        <v>1035018838</v>
      </c>
      <c r="B6594" s="192" t="s">
        <v>4663</v>
      </c>
      <c r="C6594" s="196">
        <v>-30000</v>
      </c>
      <c r="D6594" s="196">
        <v>0</v>
      </c>
      <c r="E6594" s="196">
        <v>0</v>
      </c>
      <c r="F6594" s="196">
        <v>0</v>
      </c>
      <c r="G6594" s="196">
        <v>-30000</v>
      </c>
    </row>
    <row r="6595" spans="1:7" x14ac:dyDescent="0.3">
      <c r="A6595" s="198">
        <v>1015079736</v>
      </c>
      <c r="B6595" s="192" t="s">
        <v>4664</v>
      </c>
      <c r="C6595" s="196">
        <v>-57200</v>
      </c>
      <c r="D6595" s="196">
        <v>0</v>
      </c>
      <c r="E6595" s="196">
        <v>0</v>
      </c>
      <c r="F6595" s="196">
        <v>0</v>
      </c>
      <c r="G6595" s="196">
        <v>-57200</v>
      </c>
    </row>
    <row r="6596" spans="1:7" x14ac:dyDescent="0.3">
      <c r="A6596" s="198">
        <v>1027808544</v>
      </c>
      <c r="B6596" s="192" t="s">
        <v>4665</v>
      </c>
      <c r="C6596" s="196">
        <v>-50900</v>
      </c>
      <c r="D6596" s="196">
        <v>0</v>
      </c>
      <c r="E6596" s="196">
        <v>0</v>
      </c>
      <c r="F6596" s="196">
        <v>0</v>
      </c>
      <c r="G6596" s="196">
        <v>-50900</v>
      </c>
    </row>
    <row r="6597" spans="1:7" x14ac:dyDescent="0.3">
      <c r="A6597" s="198">
        <v>43160506</v>
      </c>
      <c r="B6597" s="192" t="s">
        <v>4666</v>
      </c>
      <c r="C6597" s="196">
        <v>-50900</v>
      </c>
      <c r="D6597" s="196">
        <v>0</v>
      </c>
      <c r="E6597" s="196">
        <v>0</v>
      </c>
      <c r="F6597" s="196">
        <v>0</v>
      </c>
      <c r="G6597" s="196">
        <v>-50900</v>
      </c>
    </row>
    <row r="6598" spans="1:7" x14ac:dyDescent="0.3">
      <c r="A6598" s="198">
        <v>1127954652</v>
      </c>
      <c r="B6598" s="192" t="s">
        <v>4667</v>
      </c>
      <c r="C6598" s="196">
        <v>-50900</v>
      </c>
      <c r="D6598" s="196">
        <v>0</v>
      </c>
      <c r="E6598" s="196">
        <v>0</v>
      </c>
      <c r="F6598" s="196">
        <v>0</v>
      </c>
      <c r="G6598" s="196">
        <v>-50900</v>
      </c>
    </row>
    <row r="6599" spans="1:7" x14ac:dyDescent="0.3">
      <c r="A6599" s="198">
        <v>1034992690</v>
      </c>
      <c r="B6599" s="192" t="s">
        <v>1009</v>
      </c>
      <c r="C6599" s="196">
        <v>0</v>
      </c>
      <c r="D6599" s="196">
        <v>50899</v>
      </c>
      <c r="E6599" s="196">
        <v>105100</v>
      </c>
      <c r="F6599" s="196">
        <v>-54201</v>
      </c>
      <c r="G6599" s="196">
        <v>-54201</v>
      </c>
    </row>
    <row r="6600" spans="1:7" x14ac:dyDescent="0.3">
      <c r="A6600" s="198">
        <v>1030695884</v>
      </c>
      <c r="B6600" s="192" t="s">
        <v>4668</v>
      </c>
      <c r="C6600" s="196">
        <v>-170000</v>
      </c>
      <c r="D6600" s="196">
        <v>0</v>
      </c>
      <c r="E6600" s="196">
        <v>0</v>
      </c>
      <c r="F6600" s="196">
        <v>0</v>
      </c>
      <c r="G6600" s="196">
        <v>-170000</v>
      </c>
    </row>
    <row r="6601" spans="1:7" x14ac:dyDescent="0.3">
      <c r="A6601" s="198">
        <v>1034995403</v>
      </c>
      <c r="B6601" s="192" t="s">
        <v>1010</v>
      </c>
      <c r="C6601" s="196">
        <v>0</v>
      </c>
      <c r="D6601" s="196">
        <v>0</v>
      </c>
      <c r="E6601" s="196">
        <v>50900</v>
      </c>
      <c r="F6601" s="196">
        <v>-50900</v>
      </c>
      <c r="G6601" s="196">
        <v>-50900</v>
      </c>
    </row>
    <row r="6602" spans="1:7" x14ac:dyDescent="0.3">
      <c r="A6602" s="198">
        <v>1027804923</v>
      </c>
      <c r="B6602" s="192" t="s">
        <v>4669</v>
      </c>
      <c r="C6602" s="196">
        <v>-54200</v>
      </c>
      <c r="D6602" s="196">
        <v>0</v>
      </c>
      <c r="E6602" s="196">
        <v>0</v>
      </c>
      <c r="F6602" s="196">
        <v>0</v>
      </c>
      <c r="G6602" s="196">
        <v>-54200</v>
      </c>
    </row>
    <row r="6603" spans="1:7" x14ac:dyDescent="0.3">
      <c r="A6603" s="198">
        <v>1023572979</v>
      </c>
      <c r="B6603" s="192" t="s">
        <v>4670</v>
      </c>
      <c r="C6603" s="196">
        <v>-50900</v>
      </c>
      <c r="D6603" s="196">
        <v>0</v>
      </c>
      <c r="E6603" s="196">
        <v>0</v>
      </c>
      <c r="F6603" s="196">
        <v>0</v>
      </c>
      <c r="G6603" s="196">
        <v>-50900</v>
      </c>
    </row>
    <row r="6604" spans="1:7" x14ac:dyDescent="0.3">
      <c r="A6604" s="198">
        <v>1027664121</v>
      </c>
      <c r="B6604" s="192" t="s">
        <v>4671</v>
      </c>
      <c r="C6604" s="196">
        <v>-36600</v>
      </c>
      <c r="D6604" s="196">
        <v>0</v>
      </c>
      <c r="E6604" s="196">
        <v>0</v>
      </c>
      <c r="F6604" s="196">
        <v>0</v>
      </c>
      <c r="G6604" s="196">
        <v>-36600</v>
      </c>
    </row>
    <row r="6605" spans="1:7" x14ac:dyDescent="0.3">
      <c r="A6605" s="198">
        <v>1035016000</v>
      </c>
      <c r="B6605" s="192" t="s">
        <v>4672</v>
      </c>
      <c r="C6605" s="196">
        <v>-50900</v>
      </c>
      <c r="D6605" s="196">
        <v>0</v>
      </c>
      <c r="E6605" s="196">
        <v>0</v>
      </c>
      <c r="F6605" s="196">
        <v>0</v>
      </c>
      <c r="G6605" s="196">
        <v>-50900</v>
      </c>
    </row>
    <row r="6606" spans="1:7" x14ac:dyDescent="0.3">
      <c r="A6606" s="198">
        <v>1020238909</v>
      </c>
      <c r="B6606" s="192" t="s">
        <v>1011</v>
      </c>
      <c r="C6606" s="196">
        <v>-297000</v>
      </c>
      <c r="D6606" s="196">
        <v>0</v>
      </c>
      <c r="E6606" s="196">
        <v>43000</v>
      </c>
      <c r="F6606" s="196">
        <v>-43000</v>
      </c>
      <c r="G6606" s="196">
        <v>-340000</v>
      </c>
    </row>
    <row r="6607" spans="1:7" x14ac:dyDescent="0.3">
      <c r="A6607" s="198">
        <v>1027741701</v>
      </c>
      <c r="B6607" s="192" t="s">
        <v>4673</v>
      </c>
      <c r="C6607" s="196">
        <v>-57200</v>
      </c>
      <c r="D6607" s="196">
        <v>0</v>
      </c>
      <c r="E6607" s="196">
        <v>0</v>
      </c>
      <c r="F6607" s="196">
        <v>0</v>
      </c>
      <c r="G6607" s="196">
        <v>-57200</v>
      </c>
    </row>
    <row r="6608" spans="1:7" x14ac:dyDescent="0.3">
      <c r="A6608" s="198">
        <v>1035007044</v>
      </c>
      <c r="B6608" s="192" t="s">
        <v>1012</v>
      </c>
      <c r="C6608" s="196">
        <v>-47400</v>
      </c>
      <c r="D6608" s="196">
        <v>0</v>
      </c>
      <c r="E6608" s="196">
        <v>50900</v>
      </c>
      <c r="F6608" s="196">
        <v>-50900</v>
      </c>
      <c r="G6608" s="196">
        <v>-98300</v>
      </c>
    </row>
    <row r="6609" spans="1:7" x14ac:dyDescent="0.3">
      <c r="A6609" s="198">
        <v>1035013560</v>
      </c>
      <c r="B6609" s="192" t="s">
        <v>4674</v>
      </c>
      <c r="C6609" s="196">
        <v>-50900</v>
      </c>
      <c r="D6609" s="196">
        <v>0</v>
      </c>
      <c r="E6609" s="196">
        <v>0</v>
      </c>
      <c r="F6609" s="196">
        <v>0</v>
      </c>
      <c r="G6609" s="196">
        <v>-50900</v>
      </c>
    </row>
    <row r="6610" spans="1:7" x14ac:dyDescent="0.3">
      <c r="A6610" s="198">
        <v>1017935451</v>
      </c>
      <c r="B6610" s="192" t="s">
        <v>4675</v>
      </c>
      <c r="C6610" s="196">
        <v>-57200</v>
      </c>
      <c r="D6610" s="196">
        <v>0</v>
      </c>
      <c r="E6610" s="196">
        <v>0</v>
      </c>
      <c r="F6610" s="196">
        <v>0</v>
      </c>
      <c r="G6610" s="196">
        <v>-57200</v>
      </c>
    </row>
    <row r="6611" spans="1:7" x14ac:dyDescent="0.3">
      <c r="A6611" s="198">
        <v>1238939249</v>
      </c>
      <c r="B6611" s="192" t="s">
        <v>4676</v>
      </c>
      <c r="C6611" s="196">
        <v>-50900</v>
      </c>
      <c r="D6611" s="196">
        <v>0</v>
      </c>
      <c r="E6611" s="196">
        <v>0</v>
      </c>
      <c r="F6611" s="196">
        <v>0</v>
      </c>
      <c r="G6611" s="196">
        <v>-50900</v>
      </c>
    </row>
    <row r="6612" spans="1:7" x14ac:dyDescent="0.3">
      <c r="A6612" s="198">
        <v>1020244972</v>
      </c>
      <c r="B6612" s="192" t="s">
        <v>4677</v>
      </c>
      <c r="C6612" s="196">
        <v>-50900</v>
      </c>
      <c r="D6612" s="196">
        <v>0</v>
      </c>
      <c r="E6612" s="196">
        <v>0</v>
      </c>
      <c r="F6612" s="196">
        <v>0</v>
      </c>
      <c r="G6612" s="196">
        <v>-50900</v>
      </c>
    </row>
    <row r="6613" spans="1:7" x14ac:dyDescent="0.3">
      <c r="A6613" s="198">
        <v>1220476987</v>
      </c>
      <c r="B6613" s="192" t="s">
        <v>4678</v>
      </c>
      <c r="C6613" s="196">
        <v>-380000</v>
      </c>
      <c r="D6613" s="196">
        <v>0</v>
      </c>
      <c r="E6613" s="196">
        <v>0</v>
      </c>
      <c r="F6613" s="196">
        <v>0</v>
      </c>
      <c r="G6613" s="196">
        <v>-380000</v>
      </c>
    </row>
    <row r="6614" spans="1:7" x14ac:dyDescent="0.3">
      <c r="A6614" s="198">
        <v>1033272504</v>
      </c>
      <c r="B6614" s="192" t="s">
        <v>4679</v>
      </c>
      <c r="C6614" s="196">
        <v>-41400</v>
      </c>
      <c r="D6614" s="196">
        <v>0</v>
      </c>
      <c r="E6614" s="196">
        <v>0</v>
      </c>
      <c r="F6614" s="196">
        <v>0</v>
      </c>
      <c r="G6614" s="196">
        <v>-41400</v>
      </c>
    </row>
    <row r="6615" spans="1:7" x14ac:dyDescent="0.3">
      <c r="A6615" s="198">
        <v>1035022978</v>
      </c>
      <c r="B6615" s="192" t="s">
        <v>4680</v>
      </c>
      <c r="C6615" s="196">
        <v>-50900</v>
      </c>
      <c r="D6615" s="196">
        <v>0</v>
      </c>
      <c r="E6615" s="196">
        <v>0</v>
      </c>
      <c r="F6615" s="196">
        <v>0</v>
      </c>
      <c r="G6615" s="196">
        <v>-50900</v>
      </c>
    </row>
    <row r="6616" spans="1:7" x14ac:dyDescent="0.3">
      <c r="A6616" s="198">
        <v>32425925</v>
      </c>
      <c r="B6616" s="192" t="s">
        <v>4681</v>
      </c>
      <c r="C6616" s="196">
        <v>-319000</v>
      </c>
      <c r="D6616" s="196">
        <v>0</v>
      </c>
      <c r="E6616" s="196">
        <v>0</v>
      </c>
      <c r="F6616" s="196">
        <v>0</v>
      </c>
      <c r="G6616" s="196">
        <v>-319000</v>
      </c>
    </row>
    <row r="6617" spans="1:7" x14ac:dyDescent="0.3">
      <c r="A6617" s="198">
        <v>32458976</v>
      </c>
      <c r="B6617" s="192" t="s">
        <v>4682</v>
      </c>
      <c r="C6617" s="196">
        <v>-52700</v>
      </c>
      <c r="D6617" s="196">
        <v>0</v>
      </c>
      <c r="E6617" s="196">
        <v>0</v>
      </c>
      <c r="F6617" s="196">
        <v>0</v>
      </c>
      <c r="G6617" s="196">
        <v>-52700</v>
      </c>
    </row>
    <row r="6618" spans="1:7" x14ac:dyDescent="0.3">
      <c r="A6618" s="198">
        <v>42490729</v>
      </c>
      <c r="B6618" s="192" t="s">
        <v>4683</v>
      </c>
      <c r="C6618" s="196">
        <v>-50900</v>
      </c>
      <c r="D6618" s="196">
        <v>0</v>
      </c>
      <c r="E6618" s="196">
        <v>0</v>
      </c>
      <c r="F6618" s="196">
        <v>0</v>
      </c>
      <c r="G6618" s="196">
        <v>-50900</v>
      </c>
    </row>
    <row r="6619" spans="1:7" x14ac:dyDescent="0.3">
      <c r="A6619" s="198">
        <v>8114909</v>
      </c>
      <c r="B6619" s="192" t="s">
        <v>4684</v>
      </c>
      <c r="C6619" s="196">
        <v>-290000</v>
      </c>
      <c r="D6619" s="196">
        <v>0</v>
      </c>
      <c r="E6619" s="196">
        <v>0</v>
      </c>
      <c r="F6619" s="196">
        <v>0</v>
      </c>
      <c r="G6619" s="196">
        <v>-290000</v>
      </c>
    </row>
    <row r="6620" spans="1:7" x14ac:dyDescent="0.3">
      <c r="A6620" s="198">
        <v>1035024679</v>
      </c>
      <c r="B6620" s="192" t="s">
        <v>1013</v>
      </c>
      <c r="C6620" s="196">
        <v>0</v>
      </c>
      <c r="D6620" s="196">
        <v>0</v>
      </c>
      <c r="E6620" s="196">
        <v>50900</v>
      </c>
      <c r="F6620" s="196">
        <v>-50900</v>
      </c>
      <c r="G6620" s="196">
        <v>-50900</v>
      </c>
    </row>
    <row r="6621" spans="1:7" x14ac:dyDescent="0.3">
      <c r="A6621" s="198">
        <v>1035025159</v>
      </c>
      <c r="B6621" s="192" t="s">
        <v>1014</v>
      </c>
      <c r="C6621" s="196">
        <v>0</v>
      </c>
      <c r="D6621" s="196">
        <v>0</v>
      </c>
      <c r="E6621" s="196">
        <v>50900</v>
      </c>
      <c r="F6621" s="196">
        <v>-50900</v>
      </c>
      <c r="G6621" s="196">
        <v>-50900</v>
      </c>
    </row>
    <row r="6622" spans="1:7" x14ac:dyDescent="0.3">
      <c r="A6622" s="198">
        <v>1015079813</v>
      </c>
      <c r="B6622" s="192" t="s">
        <v>1015</v>
      </c>
      <c r="C6622" s="196">
        <v>0</v>
      </c>
      <c r="D6622" s="196">
        <v>0</v>
      </c>
      <c r="E6622" s="196">
        <v>50900</v>
      </c>
      <c r="F6622" s="196">
        <v>-50900</v>
      </c>
      <c r="G6622" s="196">
        <v>-50900</v>
      </c>
    </row>
    <row r="6623" spans="1:7" x14ac:dyDescent="0.3">
      <c r="A6623" s="198">
        <v>1036462613</v>
      </c>
      <c r="B6623" s="192" t="s">
        <v>4685</v>
      </c>
      <c r="C6623" s="196">
        <v>-50900</v>
      </c>
      <c r="D6623" s="196">
        <v>0</v>
      </c>
      <c r="E6623" s="196">
        <v>0</v>
      </c>
      <c r="F6623" s="196">
        <v>0</v>
      </c>
      <c r="G6623" s="196">
        <v>-50900</v>
      </c>
    </row>
    <row r="6624" spans="1:7" x14ac:dyDescent="0.3">
      <c r="A6624" s="198">
        <v>1035019951</v>
      </c>
      <c r="B6624" s="192" t="s">
        <v>4686</v>
      </c>
      <c r="C6624" s="196">
        <v>-50900</v>
      </c>
      <c r="D6624" s="196">
        <v>0</v>
      </c>
      <c r="E6624" s="196">
        <v>0</v>
      </c>
      <c r="F6624" s="196">
        <v>0</v>
      </c>
      <c r="G6624" s="196">
        <v>-50900</v>
      </c>
    </row>
    <row r="6625" spans="1:7" x14ac:dyDescent="0.3">
      <c r="A6625" s="198">
        <v>27956261</v>
      </c>
      <c r="B6625" s="192" t="s">
        <v>4687</v>
      </c>
      <c r="C6625" s="196">
        <v>-223300</v>
      </c>
      <c r="D6625" s="196">
        <v>0</v>
      </c>
      <c r="E6625" s="196">
        <v>0</v>
      </c>
      <c r="F6625" s="196">
        <v>0</v>
      </c>
      <c r="G6625" s="196">
        <v>-223300</v>
      </c>
    </row>
    <row r="6626" spans="1:7" x14ac:dyDescent="0.3">
      <c r="A6626" s="198">
        <v>38144500</v>
      </c>
      <c r="B6626" s="192" t="s">
        <v>1016</v>
      </c>
      <c r="C6626" s="196">
        <v>-131700</v>
      </c>
      <c r="D6626" s="196">
        <v>0</v>
      </c>
      <c r="E6626" s="196">
        <v>43900</v>
      </c>
      <c r="F6626" s="196">
        <v>-43900</v>
      </c>
      <c r="G6626" s="196">
        <v>-175600</v>
      </c>
    </row>
    <row r="6627" spans="1:7" x14ac:dyDescent="0.3">
      <c r="A6627" s="198">
        <v>1085904017</v>
      </c>
      <c r="B6627" s="192" t="s">
        <v>4688</v>
      </c>
      <c r="C6627" s="196">
        <v>-41400</v>
      </c>
      <c r="D6627" s="196">
        <v>0</v>
      </c>
      <c r="E6627" s="196">
        <v>0</v>
      </c>
      <c r="F6627" s="196">
        <v>0</v>
      </c>
      <c r="G6627" s="196">
        <v>-41400</v>
      </c>
    </row>
    <row r="6628" spans="1:7" x14ac:dyDescent="0.3">
      <c r="A6628" s="198">
        <v>34544897</v>
      </c>
      <c r="B6628" s="192" t="s">
        <v>1017</v>
      </c>
      <c r="C6628" s="196">
        <v>0</v>
      </c>
      <c r="D6628" s="196">
        <v>0</v>
      </c>
      <c r="E6628" s="196">
        <v>319000</v>
      </c>
      <c r="F6628" s="196">
        <v>-319000</v>
      </c>
      <c r="G6628" s="196">
        <v>-319000</v>
      </c>
    </row>
    <row r="6629" spans="1:7" x14ac:dyDescent="0.3">
      <c r="A6629" s="192" t="s">
        <v>4689</v>
      </c>
      <c r="B6629" s="192" t="s">
        <v>4690</v>
      </c>
      <c r="C6629" s="196">
        <v>-297000</v>
      </c>
      <c r="D6629" s="196">
        <v>0</v>
      </c>
      <c r="E6629" s="196">
        <v>0</v>
      </c>
      <c r="F6629" s="196">
        <v>0</v>
      </c>
      <c r="G6629" s="196">
        <v>-297000</v>
      </c>
    </row>
    <row r="6630" spans="1:7" x14ac:dyDescent="0.3">
      <c r="A6630" s="192" t="s">
        <v>4691</v>
      </c>
      <c r="B6630" s="192" t="s">
        <v>4692</v>
      </c>
      <c r="C6630" s="196">
        <v>-638000</v>
      </c>
      <c r="D6630" s="196">
        <v>0</v>
      </c>
      <c r="E6630" s="196">
        <v>0</v>
      </c>
      <c r="F6630" s="196">
        <v>0</v>
      </c>
      <c r="G6630" s="196">
        <v>-638000</v>
      </c>
    </row>
    <row r="6631" spans="1:7" x14ac:dyDescent="0.3">
      <c r="A6631" s="198">
        <v>10265145</v>
      </c>
      <c r="B6631" s="192" t="s">
        <v>4693</v>
      </c>
      <c r="C6631" s="196">
        <v>-464000</v>
      </c>
      <c r="D6631" s="196">
        <v>0</v>
      </c>
      <c r="E6631" s="196">
        <v>0</v>
      </c>
      <c r="F6631" s="196">
        <v>0</v>
      </c>
      <c r="G6631" s="196">
        <v>-464000</v>
      </c>
    </row>
    <row r="6632" spans="1:7" x14ac:dyDescent="0.3">
      <c r="A6632" s="198">
        <v>15422938</v>
      </c>
      <c r="B6632" s="192" t="s">
        <v>4694</v>
      </c>
      <c r="C6632" s="196">
        <v>-152700</v>
      </c>
      <c r="D6632" s="196">
        <v>0</v>
      </c>
      <c r="E6632" s="196">
        <v>0</v>
      </c>
      <c r="F6632" s="196">
        <v>0</v>
      </c>
      <c r="G6632" s="196">
        <v>-152700</v>
      </c>
    </row>
    <row r="6633" spans="1:7" x14ac:dyDescent="0.3">
      <c r="A6633" s="198">
        <v>71314688</v>
      </c>
      <c r="B6633" s="192" t="s">
        <v>4695</v>
      </c>
      <c r="C6633" s="196">
        <v>-50900</v>
      </c>
      <c r="D6633" s="196">
        <v>0</v>
      </c>
      <c r="E6633" s="196">
        <v>0</v>
      </c>
      <c r="F6633" s="196">
        <v>0</v>
      </c>
      <c r="G6633" s="196">
        <v>-50900</v>
      </c>
    </row>
    <row r="6634" spans="1:7" x14ac:dyDescent="0.3">
      <c r="A6634" s="198">
        <v>1037666961</v>
      </c>
      <c r="B6634" s="192" t="s">
        <v>4696</v>
      </c>
      <c r="C6634" s="196">
        <v>-50900</v>
      </c>
      <c r="D6634" s="196">
        <v>0</v>
      </c>
      <c r="E6634" s="196">
        <v>0</v>
      </c>
      <c r="F6634" s="196">
        <v>0</v>
      </c>
      <c r="G6634" s="196">
        <v>-50900</v>
      </c>
    </row>
    <row r="6635" spans="1:7" x14ac:dyDescent="0.3">
      <c r="A6635" s="198">
        <v>1020828971</v>
      </c>
      <c r="B6635" s="192" t="s">
        <v>4697</v>
      </c>
      <c r="C6635" s="196">
        <v>-98300</v>
      </c>
      <c r="D6635" s="196">
        <v>0</v>
      </c>
      <c r="E6635" s="196">
        <v>0</v>
      </c>
      <c r="F6635" s="196">
        <v>0</v>
      </c>
      <c r="G6635" s="196">
        <v>-98300</v>
      </c>
    </row>
    <row r="6636" spans="1:7" x14ac:dyDescent="0.3">
      <c r="A6636" s="198">
        <v>71769728</v>
      </c>
      <c r="B6636" s="192" t="s">
        <v>4698</v>
      </c>
      <c r="C6636" s="196">
        <v>-209900</v>
      </c>
      <c r="D6636" s="196">
        <v>0</v>
      </c>
      <c r="E6636" s="196">
        <v>0</v>
      </c>
      <c r="F6636" s="196">
        <v>0</v>
      </c>
      <c r="G6636" s="196">
        <v>-209900</v>
      </c>
    </row>
    <row r="6637" spans="1:7" x14ac:dyDescent="0.3">
      <c r="A6637" s="198">
        <v>98553438</v>
      </c>
      <c r="B6637" s="192" t="s">
        <v>4699</v>
      </c>
      <c r="C6637" s="196">
        <v>-173500</v>
      </c>
      <c r="D6637" s="196">
        <v>0</v>
      </c>
      <c r="E6637" s="196">
        <v>0</v>
      </c>
      <c r="F6637" s="196">
        <v>0</v>
      </c>
      <c r="G6637" s="196">
        <v>-173500</v>
      </c>
    </row>
    <row r="6638" spans="1:7" x14ac:dyDescent="0.3">
      <c r="A6638" s="198">
        <v>1037482799</v>
      </c>
      <c r="B6638" s="192" t="s">
        <v>1018</v>
      </c>
      <c r="C6638" s="196">
        <v>0</v>
      </c>
      <c r="D6638" s="196">
        <v>0</v>
      </c>
      <c r="E6638" s="196">
        <v>27000</v>
      </c>
      <c r="F6638" s="196">
        <v>-27000</v>
      </c>
      <c r="G6638" s="196">
        <v>-27000</v>
      </c>
    </row>
    <row r="6639" spans="1:7" x14ac:dyDescent="0.3">
      <c r="A6639" s="198">
        <v>330336</v>
      </c>
      <c r="B6639" s="192" t="s">
        <v>1020</v>
      </c>
      <c r="C6639" s="196">
        <v>0</v>
      </c>
      <c r="D6639" s="196">
        <v>0</v>
      </c>
      <c r="E6639" s="196">
        <v>50900</v>
      </c>
      <c r="F6639" s="196">
        <v>-50900</v>
      </c>
      <c r="G6639" s="196">
        <v>-50900</v>
      </c>
    </row>
    <row r="6640" spans="1:7" x14ac:dyDescent="0.3">
      <c r="A6640" s="198">
        <v>2000028533</v>
      </c>
      <c r="B6640" s="192" t="s">
        <v>1021</v>
      </c>
      <c r="C6640" s="196">
        <v>0</v>
      </c>
      <c r="D6640" s="196">
        <v>0</v>
      </c>
      <c r="E6640" s="196">
        <v>43900</v>
      </c>
      <c r="F6640" s="196">
        <v>-43900</v>
      </c>
      <c r="G6640" s="196">
        <v>-43900</v>
      </c>
    </row>
    <row r="6641" spans="1:7" x14ac:dyDescent="0.3">
      <c r="A6641" s="198">
        <v>9168226</v>
      </c>
      <c r="B6641" s="192" t="s">
        <v>4700</v>
      </c>
      <c r="C6641" s="196">
        <v>-108000</v>
      </c>
      <c r="D6641" s="196">
        <v>0</v>
      </c>
      <c r="E6641" s="196">
        <v>0</v>
      </c>
      <c r="F6641" s="196">
        <v>0</v>
      </c>
      <c r="G6641" s="196">
        <v>-108000</v>
      </c>
    </row>
    <row r="6642" spans="1:7" x14ac:dyDescent="0.3">
      <c r="A6642" s="198">
        <v>1017216578</v>
      </c>
      <c r="B6642" s="192" t="s">
        <v>4701</v>
      </c>
      <c r="C6642" s="196">
        <v>-29000</v>
      </c>
      <c r="D6642" s="196">
        <v>0</v>
      </c>
      <c r="E6642" s="196">
        <v>0</v>
      </c>
      <c r="F6642" s="196">
        <v>0</v>
      </c>
      <c r="G6642" s="196">
        <v>-29000</v>
      </c>
    </row>
    <row r="6643" spans="1:7" x14ac:dyDescent="0.3">
      <c r="A6643" s="198">
        <v>98549447</v>
      </c>
      <c r="B6643" s="192" t="s">
        <v>4702</v>
      </c>
      <c r="C6643" s="196">
        <v>-50900</v>
      </c>
      <c r="D6643" s="196">
        <v>0</v>
      </c>
      <c r="E6643" s="196">
        <v>0</v>
      </c>
      <c r="F6643" s="196">
        <v>0</v>
      </c>
      <c r="G6643" s="196">
        <v>-50900</v>
      </c>
    </row>
    <row r="6644" spans="1:7" x14ac:dyDescent="0.3">
      <c r="A6644" s="198">
        <v>70698495</v>
      </c>
      <c r="B6644" s="192" t="s">
        <v>1022</v>
      </c>
      <c r="C6644" s="196">
        <v>0</v>
      </c>
      <c r="D6644" s="196">
        <v>0</v>
      </c>
      <c r="E6644" s="196">
        <v>297000</v>
      </c>
      <c r="F6644" s="196">
        <v>-297000</v>
      </c>
      <c r="G6644" s="196">
        <v>-297000</v>
      </c>
    </row>
    <row r="6645" spans="1:7" x14ac:dyDescent="0.3">
      <c r="A6645" s="198">
        <v>71605520</v>
      </c>
      <c r="B6645" s="192" t="s">
        <v>4703</v>
      </c>
      <c r="C6645" s="196">
        <v>-270000</v>
      </c>
      <c r="D6645" s="196">
        <v>0</v>
      </c>
      <c r="E6645" s="196">
        <v>0</v>
      </c>
      <c r="F6645" s="196">
        <v>0</v>
      </c>
      <c r="G6645" s="196">
        <v>-270000</v>
      </c>
    </row>
    <row r="6646" spans="1:7" x14ac:dyDescent="0.3">
      <c r="A6646" s="198">
        <v>92534643</v>
      </c>
      <c r="B6646" s="192" t="s">
        <v>4704</v>
      </c>
      <c r="C6646" s="196">
        <v>-50900</v>
      </c>
      <c r="D6646" s="196">
        <v>0</v>
      </c>
      <c r="E6646" s="196">
        <v>0</v>
      </c>
      <c r="F6646" s="196">
        <v>0</v>
      </c>
      <c r="G6646" s="196">
        <v>-50900</v>
      </c>
    </row>
    <row r="6647" spans="1:7" x14ac:dyDescent="0.3">
      <c r="A6647" s="198">
        <v>71399481</v>
      </c>
      <c r="B6647" s="192" t="s">
        <v>4705</v>
      </c>
      <c r="C6647" s="196">
        <v>-54200</v>
      </c>
      <c r="D6647" s="196">
        <v>0</v>
      </c>
      <c r="E6647" s="196">
        <v>0</v>
      </c>
      <c r="F6647" s="196">
        <v>0</v>
      </c>
      <c r="G6647" s="196">
        <v>-54200</v>
      </c>
    </row>
    <row r="6648" spans="1:7" x14ac:dyDescent="0.3">
      <c r="A6648" s="198">
        <v>8417045</v>
      </c>
      <c r="B6648" s="192" t="s">
        <v>4706</v>
      </c>
      <c r="C6648" s="196">
        <v>-520300</v>
      </c>
      <c r="D6648" s="196">
        <v>0</v>
      </c>
      <c r="E6648" s="196">
        <v>0</v>
      </c>
      <c r="F6648" s="196">
        <v>0</v>
      </c>
      <c r="G6648" s="196">
        <v>-520300</v>
      </c>
    </row>
    <row r="6649" spans="1:7" x14ac:dyDescent="0.3">
      <c r="A6649" s="198">
        <v>8401360</v>
      </c>
      <c r="B6649" s="192" t="s">
        <v>4707</v>
      </c>
      <c r="C6649" s="196">
        <v>-40000</v>
      </c>
      <c r="D6649" s="196">
        <v>0</v>
      </c>
      <c r="E6649" s="196">
        <v>0</v>
      </c>
      <c r="F6649" s="196">
        <v>0</v>
      </c>
      <c r="G6649" s="196">
        <v>-40000</v>
      </c>
    </row>
    <row r="6650" spans="1:7" x14ac:dyDescent="0.3">
      <c r="A6650" s="198">
        <v>1035427760</v>
      </c>
      <c r="B6650" s="192" t="s">
        <v>4708</v>
      </c>
      <c r="C6650" s="196">
        <v>-43900</v>
      </c>
      <c r="D6650" s="196">
        <v>0</v>
      </c>
      <c r="E6650" s="196">
        <v>0</v>
      </c>
      <c r="F6650" s="196">
        <v>0</v>
      </c>
      <c r="G6650" s="196">
        <v>-43900</v>
      </c>
    </row>
    <row r="6651" spans="1:7" x14ac:dyDescent="0.3">
      <c r="A6651" s="198">
        <v>72186793</v>
      </c>
      <c r="B6651" s="192" t="s">
        <v>2411</v>
      </c>
      <c r="C6651" s="196">
        <v>-57200</v>
      </c>
      <c r="D6651" s="196">
        <v>0</v>
      </c>
      <c r="E6651" s="196">
        <v>0</v>
      </c>
      <c r="F6651" s="196">
        <v>0</v>
      </c>
      <c r="G6651" s="196">
        <v>-57200</v>
      </c>
    </row>
    <row r="6652" spans="1:7" x14ac:dyDescent="0.3">
      <c r="A6652" s="198">
        <v>3362844</v>
      </c>
      <c r="B6652" s="192" t="s">
        <v>4709</v>
      </c>
      <c r="C6652" s="196">
        <v>-149200</v>
      </c>
      <c r="D6652" s="196">
        <v>0</v>
      </c>
      <c r="E6652" s="196">
        <v>0</v>
      </c>
      <c r="F6652" s="196">
        <v>0</v>
      </c>
      <c r="G6652" s="196">
        <v>-149200</v>
      </c>
    </row>
    <row r="6653" spans="1:7" x14ac:dyDescent="0.3">
      <c r="A6653" s="198">
        <v>70563535</v>
      </c>
      <c r="B6653" s="192" t="s">
        <v>4710</v>
      </c>
      <c r="C6653" s="196">
        <v>-50900</v>
      </c>
      <c r="D6653" s="196">
        <v>0</v>
      </c>
      <c r="E6653" s="196">
        <v>0</v>
      </c>
      <c r="F6653" s="196">
        <v>0</v>
      </c>
      <c r="G6653" s="196">
        <v>-50900</v>
      </c>
    </row>
    <row r="6654" spans="1:7" x14ac:dyDescent="0.3">
      <c r="A6654" s="198">
        <v>1017240218</v>
      </c>
      <c r="B6654" s="192" t="s">
        <v>4711</v>
      </c>
      <c r="C6654" s="196">
        <v>-42000</v>
      </c>
      <c r="D6654" s="196">
        <v>0</v>
      </c>
      <c r="E6654" s="196">
        <v>0</v>
      </c>
      <c r="F6654" s="196">
        <v>0</v>
      </c>
      <c r="G6654" s="196">
        <v>-42000</v>
      </c>
    </row>
    <row r="6655" spans="1:7" x14ac:dyDescent="0.3">
      <c r="A6655" s="198">
        <v>1040870902</v>
      </c>
      <c r="B6655" s="192" t="s">
        <v>4712</v>
      </c>
      <c r="C6655" s="196">
        <v>-110000</v>
      </c>
      <c r="D6655" s="196">
        <v>0</v>
      </c>
      <c r="E6655" s="196">
        <v>0</v>
      </c>
      <c r="F6655" s="196">
        <v>0</v>
      </c>
      <c r="G6655" s="196">
        <v>-110000</v>
      </c>
    </row>
    <row r="6656" spans="1:7" x14ac:dyDescent="0.3">
      <c r="A6656" s="198">
        <v>9869128</v>
      </c>
      <c r="B6656" s="192" t="s">
        <v>4713</v>
      </c>
      <c r="C6656" s="196">
        <v>-47400</v>
      </c>
      <c r="D6656" s="196">
        <v>0</v>
      </c>
      <c r="E6656" s="196">
        <v>0</v>
      </c>
      <c r="F6656" s="196">
        <v>0</v>
      </c>
      <c r="G6656" s="196">
        <v>-47400</v>
      </c>
    </row>
    <row r="6657" spans="1:7" x14ac:dyDescent="0.3">
      <c r="A6657" s="198">
        <v>8359618</v>
      </c>
      <c r="B6657" s="192" t="s">
        <v>4714</v>
      </c>
      <c r="C6657" s="196">
        <v>-335000</v>
      </c>
      <c r="D6657" s="196">
        <v>0</v>
      </c>
      <c r="E6657" s="196">
        <v>0</v>
      </c>
      <c r="F6657" s="196">
        <v>0</v>
      </c>
      <c r="G6657" s="196">
        <v>-335000</v>
      </c>
    </row>
    <row r="6658" spans="1:7" x14ac:dyDescent="0.3">
      <c r="A6658" s="198">
        <v>71772504</v>
      </c>
      <c r="B6658" s="192" t="s">
        <v>4715</v>
      </c>
      <c r="C6658" s="196">
        <v>-50900</v>
      </c>
      <c r="D6658" s="196">
        <v>0</v>
      </c>
      <c r="E6658" s="196">
        <v>0</v>
      </c>
      <c r="F6658" s="196">
        <v>0</v>
      </c>
      <c r="G6658" s="196">
        <v>-50900</v>
      </c>
    </row>
    <row r="6659" spans="1:7" x14ac:dyDescent="0.3">
      <c r="A6659" s="198">
        <v>98551899</v>
      </c>
      <c r="B6659" s="192" t="s">
        <v>4716</v>
      </c>
      <c r="C6659" s="196">
        <v>-254500</v>
      </c>
      <c r="D6659" s="196">
        <v>0</v>
      </c>
      <c r="E6659" s="196">
        <v>0</v>
      </c>
      <c r="F6659" s="196">
        <v>0</v>
      </c>
      <c r="G6659" s="196">
        <v>-254500</v>
      </c>
    </row>
    <row r="6660" spans="1:7" x14ac:dyDescent="0.3">
      <c r="A6660" s="198">
        <v>73008411</v>
      </c>
      <c r="B6660" s="192" t="s">
        <v>4717</v>
      </c>
      <c r="C6660" s="196">
        <v>-119000</v>
      </c>
      <c r="D6660" s="196">
        <v>0</v>
      </c>
      <c r="E6660" s="196">
        <v>0</v>
      </c>
      <c r="F6660" s="196">
        <v>0</v>
      </c>
      <c r="G6660" s="196">
        <v>-119000</v>
      </c>
    </row>
    <row r="6661" spans="1:7" x14ac:dyDescent="0.3">
      <c r="A6661" s="198">
        <v>19463214</v>
      </c>
      <c r="B6661" s="192" t="s">
        <v>4718</v>
      </c>
      <c r="C6661" s="196">
        <v>-319000</v>
      </c>
      <c r="D6661" s="196">
        <v>0</v>
      </c>
      <c r="E6661" s="196">
        <v>0</v>
      </c>
      <c r="F6661" s="196">
        <v>0</v>
      </c>
      <c r="G6661" s="196">
        <v>-319000</v>
      </c>
    </row>
    <row r="6662" spans="1:7" x14ac:dyDescent="0.3">
      <c r="A6662" s="198">
        <v>98461887</v>
      </c>
      <c r="B6662" s="192" t="s">
        <v>1023</v>
      </c>
      <c r="C6662" s="196">
        <v>-50900</v>
      </c>
      <c r="D6662" s="196">
        <v>0</v>
      </c>
      <c r="E6662" s="196">
        <v>50900</v>
      </c>
      <c r="F6662" s="196">
        <v>-50900</v>
      </c>
      <c r="G6662" s="196">
        <v>-101800</v>
      </c>
    </row>
    <row r="6663" spans="1:7" x14ac:dyDescent="0.3">
      <c r="A6663" s="198">
        <v>71624832</v>
      </c>
      <c r="B6663" s="192" t="s">
        <v>1024</v>
      </c>
      <c r="C6663" s="196">
        <v>0</v>
      </c>
      <c r="D6663" s="196">
        <v>0</v>
      </c>
      <c r="E6663" s="196">
        <v>50900</v>
      </c>
      <c r="F6663" s="196">
        <v>-50900</v>
      </c>
      <c r="G6663" s="196">
        <v>-50900</v>
      </c>
    </row>
    <row r="6664" spans="1:7" x14ac:dyDescent="0.3">
      <c r="A6664" s="198">
        <v>70080971</v>
      </c>
      <c r="B6664" s="192" t="s">
        <v>4719</v>
      </c>
      <c r="C6664" s="196">
        <v>-50900</v>
      </c>
      <c r="D6664" s="196">
        <v>0</v>
      </c>
      <c r="E6664" s="196">
        <v>0</v>
      </c>
      <c r="F6664" s="196">
        <v>0</v>
      </c>
      <c r="G6664" s="196">
        <v>-50900</v>
      </c>
    </row>
    <row r="6665" spans="1:7" x14ac:dyDescent="0.3">
      <c r="A6665" s="198">
        <v>2730022</v>
      </c>
      <c r="B6665" s="192" t="s">
        <v>4720</v>
      </c>
      <c r="C6665" s="196">
        <v>-526900</v>
      </c>
      <c r="D6665" s="196">
        <v>0</v>
      </c>
      <c r="E6665" s="196">
        <v>0</v>
      </c>
      <c r="F6665" s="196">
        <v>0</v>
      </c>
      <c r="G6665" s="196">
        <v>-526900</v>
      </c>
    </row>
    <row r="6666" spans="1:7" x14ac:dyDescent="0.3">
      <c r="A6666" s="198">
        <v>1151949658</v>
      </c>
      <c r="B6666" s="192" t="s">
        <v>4721</v>
      </c>
      <c r="C6666" s="196">
        <v>-50900</v>
      </c>
      <c r="D6666" s="196">
        <v>0</v>
      </c>
      <c r="E6666" s="196">
        <v>0</v>
      </c>
      <c r="F6666" s="196">
        <v>0</v>
      </c>
      <c r="G6666" s="196">
        <v>-50900</v>
      </c>
    </row>
    <row r="6667" spans="1:7" x14ac:dyDescent="0.3">
      <c r="A6667" s="198">
        <v>98591742</v>
      </c>
      <c r="B6667" s="192" t="s">
        <v>1026</v>
      </c>
      <c r="C6667" s="196">
        <v>-114200</v>
      </c>
      <c r="D6667" s="196">
        <v>0</v>
      </c>
      <c r="E6667" s="196">
        <v>0</v>
      </c>
      <c r="F6667" s="196">
        <v>0</v>
      </c>
      <c r="G6667" s="196">
        <v>-114200</v>
      </c>
    </row>
    <row r="6668" spans="1:7" x14ac:dyDescent="0.3">
      <c r="A6668" s="198">
        <v>8302639</v>
      </c>
      <c r="B6668" s="192" t="s">
        <v>4722</v>
      </c>
      <c r="C6668" s="196">
        <v>-101800</v>
      </c>
      <c r="D6668" s="196">
        <v>0</v>
      </c>
      <c r="E6668" s="196">
        <v>0</v>
      </c>
      <c r="F6668" s="196">
        <v>0</v>
      </c>
      <c r="G6668" s="196">
        <v>-101800</v>
      </c>
    </row>
    <row r="6669" spans="1:7" x14ac:dyDescent="0.3">
      <c r="A6669" s="198">
        <v>70002360</v>
      </c>
      <c r="B6669" s="192" t="s">
        <v>4723</v>
      </c>
      <c r="C6669" s="196">
        <v>-43900</v>
      </c>
      <c r="D6669" s="196">
        <v>0</v>
      </c>
      <c r="E6669" s="196">
        <v>0</v>
      </c>
      <c r="F6669" s="196">
        <v>0</v>
      </c>
      <c r="G6669" s="196">
        <v>-43900</v>
      </c>
    </row>
    <row r="6670" spans="1:7" x14ac:dyDescent="0.3">
      <c r="A6670" s="198">
        <v>98546376</v>
      </c>
      <c r="B6670" s="192" t="s">
        <v>4724</v>
      </c>
      <c r="C6670" s="196">
        <v>-162000</v>
      </c>
      <c r="D6670" s="196">
        <v>0</v>
      </c>
      <c r="E6670" s="196">
        <v>0</v>
      </c>
      <c r="F6670" s="196">
        <v>0</v>
      </c>
      <c r="G6670" s="196">
        <v>-162000</v>
      </c>
    </row>
    <row r="6671" spans="1:7" x14ac:dyDescent="0.3">
      <c r="A6671" s="198">
        <v>70720755</v>
      </c>
      <c r="B6671" s="192" t="s">
        <v>4725</v>
      </c>
      <c r="C6671" s="196">
        <v>-326900</v>
      </c>
      <c r="D6671" s="196">
        <v>0</v>
      </c>
      <c r="E6671" s="196">
        <v>0</v>
      </c>
      <c r="F6671" s="196">
        <v>0</v>
      </c>
      <c r="G6671" s="196">
        <v>-326900</v>
      </c>
    </row>
    <row r="6672" spans="1:7" x14ac:dyDescent="0.3">
      <c r="A6672" s="198">
        <v>71727458</v>
      </c>
      <c r="B6672" s="192" t="s">
        <v>4726</v>
      </c>
      <c r="C6672" s="196">
        <v>-38400</v>
      </c>
      <c r="D6672" s="196">
        <v>0</v>
      </c>
      <c r="E6672" s="196">
        <v>0</v>
      </c>
      <c r="F6672" s="196">
        <v>0</v>
      </c>
      <c r="G6672" s="196">
        <v>-38400</v>
      </c>
    </row>
    <row r="6673" spans="1:7" x14ac:dyDescent="0.3">
      <c r="A6673" s="198">
        <v>19260345</v>
      </c>
      <c r="B6673" s="192" t="s">
        <v>4727</v>
      </c>
      <c r="C6673" s="196">
        <v>-57200</v>
      </c>
      <c r="D6673" s="196">
        <v>0</v>
      </c>
      <c r="E6673" s="196">
        <v>0</v>
      </c>
      <c r="F6673" s="196">
        <v>0</v>
      </c>
      <c r="G6673" s="196">
        <v>-57200</v>
      </c>
    </row>
    <row r="6674" spans="1:7" x14ac:dyDescent="0.3">
      <c r="A6674" s="198">
        <v>15172204</v>
      </c>
      <c r="B6674" s="192" t="s">
        <v>4728</v>
      </c>
      <c r="C6674" s="196">
        <v>-616000</v>
      </c>
      <c r="D6674" s="196">
        <v>0</v>
      </c>
      <c r="E6674" s="196">
        <v>0</v>
      </c>
      <c r="F6674" s="196">
        <v>0</v>
      </c>
      <c r="G6674" s="196">
        <v>-616000</v>
      </c>
    </row>
    <row r="6675" spans="1:7" x14ac:dyDescent="0.3">
      <c r="A6675" s="198">
        <v>71747420</v>
      </c>
      <c r="B6675" s="192" t="s">
        <v>1027</v>
      </c>
      <c r="C6675" s="196">
        <v>-57200</v>
      </c>
      <c r="D6675" s="196">
        <v>0</v>
      </c>
      <c r="E6675" s="196">
        <v>57200</v>
      </c>
      <c r="F6675" s="196">
        <v>-57200</v>
      </c>
      <c r="G6675" s="196">
        <v>-114400</v>
      </c>
    </row>
    <row r="6676" spans="1:7" x14ac:dyDescent="0.3">
      <c r="A6676" s="198">
        <v>79699534</v>
      </c>
      <c r="B6676" s="192" t="s">
        <v>4729</v>
      </c>
      <c r="C6676" s="196">
        <v>-101800</v>
      </c>
      <c r="D6676" s="196">
        <v>0</v>
      </c>
      <c r="E6676" s="196">
        <v>0</v>
      </c>
      <c r="F6676" s="196">
        <v>0</v>
      </c>
      <c r="G6676" s="196">
        <v>-101800</v>
      </c>
    </row>
    <row r="6677" spans="1:7" x14ac:dyDescent="0.3">
      <c r="A6677" s="198">
        <v>71575612</v>
      </c>
      <c r="B6677" s="192" t="s">
        <v>4730</v>
      </c>
      <c r="C6677" s="196">
        <v>-50900</v>
      </c>
      <c r="D6677" s="196">
        <v>0</v>
      </c>
      <c r="E6677" s="196">
        <v>0</v>
      </c>
      <c r="F6677" s="196">
        <v>0</v>
      </c>
      <c r="G6677" s="196">
        <v>-50900</v>
      </c>
    </row>
    <row r="6678" spans="1:7" x14ac:dyDescent="0.3">
      <c r="A6678" s="198">
        <v>71575294</v>
      </c>
      <c r="B6678" s="192" t="s">
        <v>4731</v>
      </c>
      <c r="C6678" s="196">
        <v>-57200</v>
      </c>
      <c r="D6678" s="196">
        <v>0</v>
      </c>
      <c r="E6678" s="196">
        <v>0</v>
      </c>
      <c r="F6678" s="196">
        <v>0</v>
      </c>
      <c r="G6678" s="196">
        <v>-57200</v>
      </c>
    </row>
    <row r="6679" spans="1:7" x14ac:dyDescent="0.3">
      <c r="A6679" s="198">
        <v>1115062935</v>
      </c>
      <c r="B6679" s="192" t="s">
        <v>4732</v>
      </c>
      <c r="C6679" s="196">
        <v>-110000</v>
      </c>
      <c r="D6679" s="196">
        <v>0</v>
      </c>
      <c r="E6679" s="196">
        <v>0</v>
      </c>
      <c r="F6679" s="196">
        <v>0</v>
      </c>
      <c r="G6679" s="196">
        <v>-110000</v>
      </c>
    </row>
    <row r="6680" spans="1:7" x14ac:dyDescent="0.3">
      <c r="A6680" s="198">
        <v>75067074</v>
      </c>
      <c r="B6680" s="192" t="s">
        <v>4733</v>
      </c>
      <c r="C6680" s="196">
        <v>-50900</v>
      </c>
      <c r="D6680" s="196">
        <v>0</v>
      </c>
      <c r="E6680" s="196">
        <v>0</v>
      </c>
      <c r="F6680" s="196">
        <v>0</v>
      </c>
      <c r="G6680" s="196">
        <v>-50900</v>
      </c>
    </row>
    <row r="6681" spans="1:7" x14ac:dyDescent="0.3">
      <c r="A6681" s="198">
        <v>70120340</v>
      </c>
      <c r="B6681" s="192" t="s">
        <v>4734</v>
      </c>
      <c r="C6681" s="196">
        <v>-114400</v>
      </c>
      <c r="D6681" s="196">
        <v>0</v>
      </c>
      <c r="E6681" s="196">
        <v>0</v>
      </c>
      <c r="F6681" s="196">
        <v>0</v>
      </c>
      <c r="G6681" s="196">
        <v>-114400</v>
      </c>
    </row>
    <row r="6682" spans="1:7" x14ac:dyDescent="0.3">
      <c r="A6682" s="198">
        <v>9311983</v>
      </c>
      <c r="B6682" s="192" t="s">
        <v>4735</v>
      </c>
      <c r="C6682" s="196">
        <v>-114400</v>
      </c>
      <c r="D6682" s="196">
        <v>0</v>
      </c>
      <c r="E6682" s="196">
        <v>0</v>
      </c>
      <c r="F6682" s="196">
        <v>0</v>
      </c>
      <c r="G6682" s="196">
        <v>-114400</v>
      </c>
    </row>
    <row r="6683" spans="1:7" x14ac:dyDescent="0.3">
      <c r="A6683" s="198">
        <v>98668265</v>
      </c>
      <c r="B6683" s="192" t="s">
        <v>4736</v>
      </c>
      <c r="C6683" s="196">
        <v>-47400</v>
      </c>
      <c r="D6683" s="196">
        <v>0</v>
      </c>
      <c r="E6683" s="196">
        <v>0</v>
      </c>
      <c r="F6683" s="196">
        <v>0</v>
      </c>
      <c r="G6683" s="196">
        <v>-47400</v>
      </c>
    </row>
    <row r="6684" spans="1:7" x14ac:dyDescent="0.3">
      <c r="A6684" s="198">
        <v>15241338</v>
      </c>
      <c r="B6684" s="192" t="s">
        <v>4737</v>
      </c>
      <c r="C6684" s="196">
        <v>-57200</v>
      </c>
      <c r="D6684" s="196">
        <v>0</v>
      </c>
      <c r="E6684" s="196">
        <v>0</v>
      </c>
      <c r="F6684" s="196">
        <v>0</v>
      </c>
      <c r="G6684" s="196">
        <v>-57200</v>
      </c>
    </row>
    <row r="6685" spans="1:7" x14ac:dyDescent="0.3">
      <c r="A6685" s="198">
        <v>8269185</v>
      </c>
      <c r="B6685" s="192" t="s">
        <v>4738</v>
      </c>
      <c r="C6685" s="196">
        <v>-50900</v>
      </c>
      <c r="D6685" s="196">
        <v>0</v>
      </c>
      <c r="E6685" s="196">
        <v>0</v>
      </c>
      <c r="F6685" s="196">
        <v>0</v>
      </c>
      <c r="G6685" s="196">
        <v>-50900</v>
      </c>
    </row>
    <row r="6686" spans="1:7" x14ac:dyDescent="0.3">
      <c r="A6686" s="198">
        <v>8312275</v>
      </c>
      <c r="B6686" s="192" t="s">
        <v>4739</v>
      </c>
      <c r="C6686" s="196">
        <v>-57200</v>
      </c>
      <c r="D6686" s="196">
        <v>0</v>
      </c>
      <c r="E6686" s="196">
        <v>0</v>
      </c>
      <c r="F6686" s="196">
        <v>0</v>
      </c>
      <c r="G6686" s="196">
        <v>-57200</v>
      </c>
    </row>
    <row r="6687" spans="1:7" x14ac:dyDescent="0.3">
      <c r="A6687" s="198">
        <v>8161563</v>
      </c>
      <c r="B6687" s="192" t="s">
        <v>4740</v>
      </c>
      <c r="C6687" s="196">
        <v>-50900</v>
      </c>
      <c r="D6687" s="196">
        <v>0</v>
      </c>
      <c r="E6687" s="196">
        <v>0</v>
      </c>
      <c r="F6687" s="196">
        <v>0</v>
      </c>
      <c r="G6687" s="196">
        <v>-50900</v>
      </c>
    </row>
    <row r="6688" spans="1:7" x14ac:dyDescent="0.3">
      <c r="A6688" s="198">
        <v>2000031010</v>
      </c>
      <c r="B6688" s="192" t="s">
        <v>1028</v>
      </c>
      <c r="C6688" s="196">
        <v>0</v>
      </c>
      <c r="D6688" s="196">
        <v>0</v>
      </c>
      <c r="E6688" s="196">
        <v>50900</v>
      </c>
      <c r="F6688" s="196">
        <v>-50900</v>
      </c>
      <c r="G6688" s="196">
        <v>-50900</v>
      </c>
    </row>
    <row r="6689" spans="1:7" x14ac:dyDescent="0.3">
      <c r="A6689" s="198">
        <v>12973190</v>
      </c>
      <c r="B6689" s="192" t="s">
        <v>1029</v>
      </c>
      <c r="C6689" s="196">
        <v>-50900</v>
      </c>
      <c r="D6689" s="196">
        <v>0</v>
      </c>
      <c r="E6689" s="196">
        <v>0</v>
      </c>
      <c r="F6689" s="196">
        <v>0</v>
      </c>
      <c r="G6689" s="196">
        <v>-50900</v>
      </c>
    </row>
    <row r="6690" spans="1:7" x14ac:dyDescent="0.3">
      <c r="A6690" s="198">
        <v>1036253358</v>
      </c>
      <c r="B6690" s="192" t="s">
        <v>4741</v>
      </c>
      <c r="C6690" s="196">
        <v>-50900</v>
      </c>
      <c r="D6690" s="196">
        <v>0</v>
      </c>
      <c r="E6690" s="196">
        <v>0</v>
      </c>
      <c r="F6690" s="196">
        <v>0</v>
      </c>
      <c r="G6690" s="196">
        <v>-50900</v>
      </c>
    </row>
    <row r="6691" spans="1:7" x14ac:dyDescent="0.3">
      <c r="A6691" s="198">
        <v>1127166269</v>
      </c>
      <c r="B6691" s="192" t="s">
        <v>4742</v>
      </c>
      <c r="C6691" s="196">
        <v>-36600</v>
      </c>
      <c r="D6691" s="196">
        <v>0</v>
      </c>
      <c r="E6691" s="196">
        <v>0</v>
      </c>
      <c r="F6691" s="196">
        <v>0</v>
      </c>
      <c r="G6691" s="196">
        <v>-36600</v>
      </c>
    </row>
    <row r="6692" spans="1:7" x14ac:dyDescent="0.3">
      <c r="A6692" s="198">
        <v>1036423892</v>
      </c>
      <c r="B6692" s="192" t="s">
        <v>4743</v>
      </c>
      <c r="C6692" s="196">
        <v>-50900</v>
      </c>
      <c r="D6692" s="196">
        <v>0</v>
      </c>
      <c r="E6692" s="196">
        <v>0</v>
      </c>
      <c r="F6692" s="196">
        <v>0</v>
      </c>
      <c r="G6692" s="196">
        <v>-50900</v>
      </c>
    </row>
    <row r="6693" spans="1:7" x14ac:dyDescent="0.3">
      <c r="A6693" s="198">
        <v>1021923067</v>
      </c>
      <c r="B6693" s="192" t="s">
        <v>4744</v>
      </c>
      <c r="C6693" s="196">
        <v>-100000</v>
      </c>
      <c r="D6693" s="196">
        <v>0</v>
      </c>
      <c r="E6693" s="196">
        <v>0</v>
      </c>
      <c r="F6693" s="196">
        <v>0</v>
      </c>
      <c r="G6693" s="196">
        <v>-100000</v>
      </c>
    </row>
    <row r="6694" spans="1:7" x14ac:dyDescent="0.3">
      <c r="A6694" s="198">
        <v>1001366855</v>
      </c>
      <c r="B6694" s="192" t="s">
        <v>4745</v>
      </c>
      <c r="C6694" s="196">
        <v>-50900</v>
      </c>
      <c r="D6694" s="196">
        <v>0</v>
      </c>
      <c r="E6694" s="196">
        <v>0</v>
      </c>
      <c r="F6694" s="196">
        <v>0</v>
      </c>
      <c r="G6694" s="196">
        <v>-50900</v>
      </c>
    </row>
    <row r="6695" spans="1:7" x14ac:dyDescent="0.3">
      <c r="A6695" s="198">
        <v>1034998521</v>
      </c>
      <c r="B6695" s="192" t="s">
        <v>4746</v>
      </c>
      <c r="C6695" s="196">
        <v>-57200</v>
      </c>
      <c r="D6695" s="196">
        <v>0</v>
      </c>
      <c r="E6695" s="196">
        <v>0</v>
      </c>
      <c r="F6695" s="196">
        <v>0</v>
      </c>
      <c r="G6695" s="196">
        <v>-57200</v>
      </c>
    </row>
    <row r="6696" spans="1:7" x14ac:dyDescent="0.3">
      <c r="A6696" s="198">
        <v>1017276204</v>
      </c>
      <c r="B6696" s="192" t="s">
        <v>4747</v>
      </c>
      <c r="C6696" s="196">
        <v>-33400</v>
      </c>
      <c r="D6696" s="196">
        <v>0</v>
      </c>
      <c r="E6696" s="196">
        <v>0</v>
      </c>
      <c r="F6696" s="196">
        <v>0</v>
      </c>
      <c r="G6696" s="196">
        <v>-33400</v>
      </c>
    </row>
    <row r="6697" spans="1:7" x14ac:dyDescent="0.3">
      <c r="A6697" s="198">
        <v>1036927360</v>
      </c>
      <c r="B6697" s="192" t="s">
        <v>4748</v>
      </c>
      <c r="C6697" s="196">
        <v>-50900</v>
      </c>
      <c r="D6697" s="196">
        <v>0</v>
      </c>
      <c r="E6697" s="196">
        <v>0</v>
      </c>
      <c r="F6697" s="196">
        <v>0</v>
      </c>
      <c r="G6697" s="196">
        <v>-50900</v>
      </c>
    </row>
    <row r="6698" spans="1:7" x14ac:dyDescent="0.3">
      <c r="A6698" s="198">
        <v>1020305460</v>
      </c>
      <c r="B6698" s="192" t="s">
        <v>4749</v>
      </c>
      <c r="C6698" s="196">
        <v>-36000</v>
      </c>
      <c r="D6698" s="196">
        <v>0</v>
      </c>
      <c r="E6698" s="196">
        <v>0</v>
      </c>
      <c r="F6698" s="196">
        <v>0</v>
      </c>
      <c r="G6698" s="196">
        <v>-36000</v>
      </c>
    </row>
    <row r="6699" spans="1:7" x14ac:dyDescent="0.3">
      <c r="A6699" s="198">
        <v>1017224559</v>
      </c>
      <c r="B6699" s="192" t="s">
        <v>4750</v>
      </c>
      <c r="C6699" s="196">
        <v>-100000</v>
      </c>
      <c r="D6699" s="196">
        <v>0</v>
      </c>
      <c r="E6699" s="196">
        <v>0</v>
      </c>
      <c r="F6699" s="196">
        <v>0</v>
      </c>
      <c r="G6699" s="196">
        <v>-100000</v>
      </c>
    </row>
    <row r="6700" spans="1:7" x14ac:dyDescent="0.3">
      <c r="A6700" s="198">
        <v>1121201388</v>
      </c>
      <c r="B6700" s="192" t="s">
        <v>4751</v>
      </c>
      <c r="C6700" s="196">
        <v>-297000</v>
      </c>
      <c r="D6700" s="196">
        <v>0</v>
      </c>
      <c r="E6700" s="196">
        <v>0</v>
      </c>
      <c r="F6700" s="196">
        <v>0</v>
      </c>
      <c r="G6700" s="196">
        <v>-297000</v>
      </c>
    </row>
    <row r="6701" spans="1:7" x14ac:dyDescent="0.3">
      <c r="A6701" s="198">
        <v>1037587786</v>
      </c>
      <c r="B6701" s="192" t="s">
        <v>1031</v>
      </c>
      <c r="C6701" s="196">
        <v>-47400</v>
      </c>
      <c r="D6701" s="196">
        <v>0</v>
      </c>
      <c r="E6701" s="196">
        <v>50900</v>
      </c>
      <c r="F6701" s="196">
        <v>-50900</v>
      </c>
      <c r="G6701" s="196">
        <v>-98300</v>
      </c>
    </row>
    <row r="6702" spans="1:7" x14ac:dyDescent="0.3">
      <c r="A6702" s="198">
        <v>1128416015</v>
      </c>
      <c r="B6702" s="192" t="s">
        <v>1032</v>
      </c>
      <c r="C6702" s="196">
        <v>0</v>
      </c>
      <c r="D6702" s="196">
        <v>0</v>
      </c>
      <c r="E6702" s="196">
        <v>50900</v>
      </c>
      <c r="F6702" s="196">
        <v>-50900</v>
      </c>
      <c r="G6702" s="196">
        <v>-50900</v>
      </c>
    </row>
    <row r="6703" spans="1:7" x14ac:dyDescent="0.3">
      <c r="A6703" s="198">
        <v>43627841</v>
      </c>
      <c r="B6703" s="192" t="s">
        <v>1033</v>
      </c>
      <c r="C6703" s="196">
        <v>0</v>
      </c>
      <c r="D6703" s="196">
        <v>0</v>
      </c>
      <c r="E6703" s="196">
        <v>43900</v>
      </c>
      <c r="F6703" s="196">
        <v>-43900</v>
      </c>
      <c r="G6703" s="196">
        <v>-43900</v>
      </c>
    </row>
    <row r="6704" spans="1:7" x14ac:dyDescent="0.3">
      <c r="A6704" s="198">
        <v>43255953</v>
      </c>
      <c r="B6704" s="192" t="s">
        <v>4752</v>
      </c>
      <c r="C6704" s="196">
        <v>-297000</v>
      </c>
      <c r="D6704" s="196">
        <v>0</v>
      </c>
      <c r="E6704" s="196">
        <v>0</v>
      </c>
      <c r="F6704" s="196">
        <v>0</v>
      </c>
      <c r="G6704" s="196">
        <v>-297000</v>
      </c>
    </row>
    <row r="6705" spans="1:7" x14ac:dyDescent="0.3">
      <c r="A6705" s="198">
        <v>30233033</v>
      </c>
      <c r="B6705" s="192" t="s">
        <v>1034</v>
      </c>
      <c r="C6705" s="196">
        <v>0</v>
      </c>
      <c r="D6705" s="196">
        <v>0</v>
      </c>
      <c r="E6705" s="196">
        <v>101800</v>
      </c>
      <c r="F6705" s="196">
        <v>-101800</v>
      </c>
      <c r="G6705" s="196">
        <v>-101800</v>
      </c>
    </row>
    <row r="6706" spans="1:7" x14ac:dyDescent="0.3">
      <c r="A6706" s="198">
        <v>1017259596</v>
      </c>
      <c r="B6706" s="192" t="s">
        <v>4753</v>
      </c>
      <c r="C6706" s="196">
        <v>-50900</v>
      </c>
      <c r="D6706" s="196">
        <v>0</v>
      </c>
      <c r="E6706" s="196">
        <v>0</v>
      </c>
      <c r="F6706" s="196">
        <v>0</v>
      </c>
      <c r="G6706" s="196">
        <v>-50900</v>
      </c>
    </row>
    <row r="6707" spans="1:7" x14ac:dyDescent="0.3">
      <c r="A6707" s="198">
        <v>1152225160</v>
      </c>
      <c r="B6707" s="192" t="s">
        <v>4754</v>
      </c>
      <c r="C6707" s="196">
        <v>-37000</v>
      </c>
      <c r="D6707" s="196">
        <v>0</v>
      </c>
      <c r="E6707" s="196">
        <v>0</v>
      </c>
      <c r="F6707" s="196">
        <v>0</v>
      </c>
      <c r="G6707" s="196">
        <v>-37000</v>
      </c>
    </row>
    <row r="6708" spans="1:7" x14ac:dyDescent="0.3">
      <c r="A6708" s="198">
        <v>1036664669</v>
      </c>
      <c r="B6708" s="192" t="s">
        <v>4755</v>
      </c>
      <c r="C6708" s="196">
        <v>-50900</v>
      </c>
      <c r="D6708" s="196">
        <v>0</v>
      </c>
      <c r="E6708" s="196">
        <v>0</v>
      </c>
      <c r="F6708" s="196">
        <v>0</v>
      </c>
      <c r="G6708" s="196">
        <v>-50900</v>
      </c>
    </row>
    <row r="6709" spans="1:7" x14ac:dyDescent="0.3">
      <c r="A6709" s="198">
        <v>32243588</v>
      </c>
      <c r="B6709" s="192" t="s">
        <v>4756</v>
      </c>
      <c r="C6709" s="196">
        <v>-152700</v>
      </c>
      <c r="D6709" s="196">
        <v>0</v>
      </c>
      <c r="E6709" s="196">
        <v>0</v>
      </c>
      <c r="F6709" s="196">
        <v>0</v>
      </c>
      <c r="G6709" s="196">
        <v>-152700</v>
      </c>
    </row>
    <row r="6710" spans="1:7" x14ac:dyDescent="0.3">
      <c r="A6710" s="198">
        <v>1036939580</v>
      </c>
      <c r="B6710" s="192" t="s">
        <v>1035</v>
      </c>
      <c r="C6710" s="196">
        <v>-165000</v>
      </c>
      <c r="D6710" s="196">
        <v>0</v>
      </c>
      <c r="E6710" s="196">
        <v>85000</v>
      </c>
      <c r="F6710" s="196">
        <v>-85000</v>
      </c>
      <c r="G6710" s="196">
        <v>-250000</v>
      </c>
    </row>
    <row r="6711" spans="1:7" x14ac:dyDescent="0.3">
      <c r="A6711" s="198">
        <v>1214713097</v>
      </c>
      <c r="B6711" s="192" t="s">
        <v>4757</v>
      </c>
      <c r="C6711" s="196">
        <v>-50900</v>
      </c>
      <c r="D6711" s="196">
        <v>0</v>
      </c>
      <c r="E6711" s="196">
        <v>0</v>
      </c>
      <c r="F6711" s="196">
        <v>0</v>
      </c>
      <c r="G6711" s="196">
        <v>-50900</v>
      </c>
    </row>
    <row r="6712" spans="1:7" x14ac:dyDescent="0.3">
      <c r="A6712" s="198">
        <v>52387024</v>
      </c>
      <c r="B6712" s="192" t="s">
        <v>4758</v>
      </c>
      <c r="C6712" s="196">
        <v>-207900</v>
      </c>
      <c r="D6712" s="196">
        <v>0</v>
      </c>
      <c r="E6712" s="196">
        <v>0</v>
      </c>
      <c r="F6712" s="196">
        <v>0</v>
      </c>
      <c r="G6712" s="196">
        <v>-207900</v>
      </c>
    </row>
    <row r="6713" spans="1:7" x14ac:dyDescent="0.3">
      <c r="A6713" s="198">
        <v>1152445573</v>
      </c>
      <c r="B6713" s="192" t="s">
        <v>4759</v>
      </c>
      <c r="C6713" s="196">
        <v>-50900</v>
      </c>
      <c r="D6713" s="196">
        <v>0</v>
      </c>
      <c r="E6713" s="196">
        <v>0</v>
      </c>
      <c r="F6713" s="196">
        <v>0</v>
      </c>
      <c r="G6713" s="196">
        <v>-50900</v>
      </c>
    </row>
    <row r="6714" spans="1:7" x14ac:dyDescent="0.3">
      <c r="A6714" s="198">
        <v>43749093</v>
      </c>
      <c r="B6714" s="192" t="s">
        <v>4760</v>
      </c>
      <c r="C6714" s="196">
        <v>-57200</v>
      </c>
      <c r="D6714" s="196">
        <v>0</v>
      </c>
      <c r="E6714" s="196">
        <v>0</v>
      </c>
      <c r="F6714" s="196">
        <v>0</v>
      </c>
      <c r="G6714" s="196">
        <v>-57200</v>
      </c>
    </row>
    <row r="6715" spans="1:7" x14ac:dyDescent="0.3">
      <c r="A6715" s="198">
        <v>43221085</v>
      </c>
      <c r="B6715" s="192" t="s">
        <v>4761</v>
      </c>
      <c r="C6715" s="196">
        <v>-50900</v>
      </c>
      <c r="D6715" s="196">
        <v>0</v>
      </c>
      <c r="E6715" s="196">
        <v>0</v>
      </c>
      <c r="F6715" s="196">
        <v>0</v>
      </c>
      <c r="G6715" s="196">
        <v>-50900</v>
      </c>
    </row>
    <row r="6716" spans="1:7" x14ac:dyDescent="0.3">
      <c r="A6716" s="198">
        <v>1232392651</v>
      </c>
      <c r="B6716" s="192" t="s">
        <v>1037</v>
      </c>
      <c r="C6716" s="196">
        <v>0</v>
      </c>
      <c r="D6716" s="196">
        <v>0</v>
      </c>
      <c r="E6716" s="196">
        <v>50900</v>
      </c>
      <c r="F6716" s="196">
        <v>-50900</v>
      </c>
      <c r="G6716" s="196">
        <v>-50900</v>
      </c>
    </row>
    <row r="6717" spans="1:7" x14ac:dyDescent="0.3">
      <c r="A6717" s="198">
        <v>1037502739</v>
      </c>
      <c r="B6717" s="192" t="s">
        <v>4762</v>
      </c>
      <c r="C6717" s="196">
        <v>-50900</v>
      </c>
      <c r="D6717" s="196">
        <v>0</v>
      </c>
      <c r="E6717" s="196">
        <v>0</v>
      </c>
      <c r="F6717" s="196">
        <v>0</v>
      </c>
      <c r="G6717" s="196">
        <v>-50900</v>
      </c>
    </row>
    <row r="6718" spans="1:7" x14ac:dyDescent="0.3">
      <c r="A6718" s="198">
        <v>1055751682</v>
      </c>
      <c r="B6718" s="192" t="s">
        <v>4763</v>
      </c>
      <c r="C6718" s="196">
        <v>-50900</v>
      </c>
      <c r="D6718" s="196">
        <v>0</v>
      </c>
      <c r="E6718" s="196">
        <v>0</v>
      </c>
      <c r="F6718" s="196">
        <v>0</v>
      </c>
      <c r="G6718" s="196">
        <v>-50900</v>
      </c>
    </row>
    <row r="6719" spans="1:7" x14ac:dyDescent="0.3">
      <c r="A6719" s="198">
        <v>1001414214</v>
      </c>
      <c r="B6719" s="192" t="s">
        <v>4764</v>
      </c>
      <c r="C6719" s="196">
        <v>-46400</v>
      </c>
      <c r="D6719" s="196">
        <v>0</v>
      </c>
      <c r="E6719" s="196">
        <v>0</v>
      </c>
      <c r="F6719" s="196">
        <v>0</v>
      </c>
      <c r="G6719" s="196">
        <v>-46400</v>
      </c>
    </row>
    <row r="6720" spans="1:7" x14ac:dyDescent="0.3">
      <c r="A6720" s="198">
        <v>1026140853</v>
      </c>
      <c r="B6720" s="192" t="s">
        <v>1039</v>
      </c>
      <c r="C6720" s="196">
        <v>0</v>
      </c>
      <c r="D6720" s="196">
        <v>0</v>
      </c>
      <c r="E6720" s="196">
        <v>110000</v>
      </c>
      <c r="F6720" s="196">
        <v>-110000</v>
      </c>
      <c r="G6720" s="196">
        <v>-110000</v>
      </c>
    </row>
    <row r="6721" spans="1:7" x14ac:dyDescent="0.3">
      <c r="A6721" s="198">
        <v>43872432</v>
      </c>
      <c r="B6721" s="192" t="s">
        <v>4765</v>
      </c>
      <c r="C6721" s="196">
        <v>-54200</v>
      </c>
      <c r="D6721" s="196">
        <v>0</v>
      </c>
      <c r="E6721" s="196">
        <v>0</v>
      </c>
      <c r="F6721" s="196">
        <v>0</v>
      </c>
      <c r="G6721" s="196">
        <v>-54200</v>
      </c>
    </row>
    <row r="6722" spans="1:7" x14ac:dyDescent="0.3">
      <c r="A6722" s="198">
        <v>1036457616</v>
      </c>
      <c r="B6722" s="192" t="s">
        <v>1040</v>
      </c>
      <c r="C6722" s="196">
        <v>0</v>
      </c>
      <c r="D6722" s="196">
        <v>0</v>
      </c>
      <c r="E6722" s="196">
        <v>50900</v>
      </c>
      <c r="F6722" s="196">
        <v>-50900</v>
      </c>
      <c r="G6722" s="196">
        <v>-50900</v>
      </c>
    </row>
    <row r="6723" spans="1:7" x14ac:dyDescent="0.3">
      <c r="A6723" s="198">
        <v>1129604457</v>
      </c>
      <c r="B6723" s="192" t="s">
        <v>4766</v>
      </c>
      <c r="C6723" s="196">
        <v>-47400</v>
      </c>
      <c r="D6723" s="196">
        <v>0</v>
      </c>
      <c r="E6723" s="196">
        <v>0</v>
      </c>
      <c r="F6723" s="196">
        <v>0</v>
      </c>
      <c r="G6723" s="196">
        <v>-47400</v>
      </c>
    </row>
    <row r="6724" spans="1:7" x14ac:dyDescent="0.3">
      <c r="A6724" s="198">
        <v>1035024170</v>
      </c>
      <c r="B6724" s="192" t="s">
        <v>4767</v>
      </c>
      <c r="C6724" s="196">
        <v>-47400</v>
      </c>
      <c r="D6724" s="196">
        <v>0</v>
      </c>
      <c r="E6724" s="196">
        <v>0</v>
      </c>
      <c r="F6724" s="196">
        <v>0</v>
      </c>
      <c r="G6724" s="196">
        <v>-47400</v>
      </c>
    </row>
    <row r="6725" spans="1:7" x14ac:dyDescent="0.3">
      <c r="A6725" s="198">
        <v>1042581788</v>
      </c>
      <c r="B6725" s="192" t="s">
        <v>4768</v>
      </c>
      <c r="C6725" s="196">
        <v>-41400</v>
      </c>
      <c r="D6725" s="196">
        <v>0</v>
      </c>
      <c r="E6725" s="196">
        <v>0</v>
      </c>
      <c r="F6725" s="196">
        <v>0</v>
      </c>
      <c r="G6725" s="196">
        <v>-41400</v>
      </c>
    </row>
    <row r="6726" spans="1:7" x14ac:dyDescent="0.3">
      <c r="A6726" s="198">
        <v>665927691</v>
      </c>
      <c r="B6726" s="192" t="s">
        <v>4769</v>
      </c>
      <c r="C6726" s="196">
        <v>-297000</v>
      </c>
      <c r="D6726" s="196">
        <v>0</v>
      </c>
      <c r="E6726" s="196">
        <v>0</v>
      </c>
      <c r="F6726" s="196">
        <v>0</v>
      </c>
      <c r="G6726" s="196">
        <v>-297000</v>
      </c>
    </row>
    <row r="6727" spans="1:7" x14ac:dyDescent="0.3">
      <c r="A6727" s="198">
        <v>1035026698</v>
      </c>
      <c r="B6727" s="192" t="s">
        <v>4770</v>
      </c>
      <c r="C6727" s="196">
        <v>-48000</v>
      </c>
      <c r="D6727" s="196">
        <v>0</v>
      </c>
      <c r="E6727" s="196">
        <v>0</v>
      </c>
      <c r="F6727" s="196">
        <v>0</v>
      </c>
      <c r="G6727" s="196">
        <v>-48000</v>
      </c>
    </row>
    <row r="6728" spans="1:7" x14ac:dyDescent="0.3">
      <c r="A6728" s="198">
        <v>1017258215</v>
      </c>
      <c r="B6728" s="192" t="s">
        <v>4771</v>
      </c>
      <c r="C6728" s="196">
        <v>-57800</v>
      </c>
      <c r="D6728" s="196">
        <v>0</v>
      </c>
      <c r="E6728" s="196">
        <v>0</v>
      </c>
      <c r="F6728" s="196">
        <v>0</v>
      </c>
      <c r="G6728" s="196">
        <v>-57800</v>
      </c>
    </row>
    <row r="6729" spans="1:7" x14ac:dyDescent="0.3">
      <c r="A6729" s="198">
        <v>43978307</v>
      </c>
      <c r="B6729" s="192" t="s">
        <v>4772</v>
      </c>
      <c r="C6729" s="196">
        <v>-47400</v>
      </c>
      <c r="D6729" s="196">
        <v>0</v>
      </c>
      <c r="E6729" s="196">
        <v>0</v>
      </c>
      <c r="F6729" s="196">
        <v>0</v>
      </c>
      <c r="G6729" s="196">
        <v>-47400</v>
      </c>
    </row>
    <row r="6730" spans="1:7" x14ac:dyDescent="0.3">
      <c r="A6730" s="198">
        <v>42899186</v>
      </c>
      <c r="B6730" s="192" t="s">
        <v>4773</v>
      </c>
      <c r="C6730" s="196">
        <v>-43000</v>
      </c>
      <c r="D6730" s="196">
        <v>0</v>
      </c>
      <c r="E6730" s="196">
        <v>0</v>
      </c>
      <c r="F6730" s="196">
        <v>0</v>
      </c>
      <c r="G6730" s="196">
        <v>-43000</v>
      </c>
    </row>
    <row r="6731" spans="1:7" x14ac:dyDescent="0.3">
      <c r="A6731" s="198">
        <v>22056652</v>
      </c>
      <c r="B6731" s="192" t="s">
        <v>4774</v>
      </c>
      <c r="C6731" s="196">
        <v>-119000</v>
      </c>
      <c r="D6731" s="196">
        <v>0</v>
      </c>
      <c r="E6731" s="196">
        <v>0</v>
      </c>
      <c r="F6731" s="196">
        <v>0</v>
      </c>
      <c r="G6731" s="196">
        <v>-119000</v>
      </c>
    </row>
    <row r="6732" spans="1:7" x14ac:dyDescent="0.3">
      <c r="A6732" s="198">
        <v>57423123</v>
      </c>
      <c r="B6732" s="192" t="s">
        <v>1041</v>
      </c>
      <c r="C6732" s="196">
        <v>0</v>
      </c>
      <c r="D6732" s="196">
        <v>0</v>
      </c>
      <c r="E6732" s="196">
        <v>57200</v>
      </c>
      <c r="F6732" s="196">
        <v>-57200</v>
      </c>
      <c r="G6732" s="196">
        <v>-57200</v>
      </c>
    </row>
    <row r="6733" spans="1:7" x14ac:dyDescent="0.3">
      <c r="A6733" s="198">
        <v>26271896</v>
      </c>
      <c r="B6733" s="192" t="s">
        <v>4775</v>
      </c>
      <c r="C6733" s="196">
        <v>-50900</v>
      </c>
      <c r="D6733" s="196">
        <v>0</v>
      </c>
      <c r="E6733" s="196">
        <v>0</v>
      </c>
      <c r="F6733" s="196">
        <v>0</v>
      </c>
      <c r="G6733" s="196">
        <v>-50900</v>
      </c>
    </row>
    <row r="6734" spans="1:7" x14ac:dyDescent="0.3">
      <c r="A6734" s="198">
        <v>42871485</v>
      </c>
      <c r="B6734" s="192" t="s">
        <v>4776</v>
      </c>
      <c r="C6734" s="196">
        <v>-50900</v>
      </c>
      <c r="D6734" s="196">
        <v>0</v>
      </c>
      <c r="E6734" s="196">
        <v>0</v>
      </c>
      <c r="F6734" s="196">
        <v>0</v>
      </c>
      <c r="G6734" s="196">
        <v>-50900</v>
      </c>
    </row>
    <row r="6735" spans="1:7" x14ac:dyDescent="0.3">
      <c r="A6735" s="198">
        <v>1023625891</v>
      </c>
      <c r="B6735" s="192" t="s">
        <v>1043</v>
      </c>
      <c r="C6735" s="196">
        <v>0</v>
      </c>
      <c r="D6735" s="196">
        <v>0</v>
      </c>
      <c r="E6735" s="196">
        <v>297000</v>
      </c>
      <c r="F6735" s="196">
        <v>-297000</v>
      </c>
      <c r="G6735" s="196">
        <v>-297000</v>
      </c>
    </row>
    <row r="6736" spans="1:7" x14ac:dyDescent="0.3">
      <c r="A6736" s="198">
        <v>32310479</v>
      </c>
      <c r="B6736" s="192" t="s">
        <v>4777</v>
      </c>
      <c r="C6736" s="196">
        <v>-57200</v>
      </c>
      <c r="D6736" s="196">
        <v>0</v>
      </c>
      <c r="E6736" s="196">
        <v>0</v>
      </c>
      <c r="F6736" s="196">
        <v>0</v>
      </c>
      <c r="G6736" s="196">
        <v>-57200</v>
      </c>
    </row>
    <row r="6737" spans="1:7" x14ac:dyDescent="0.3">
      <c r="A6737" s="198">
        <v>1040518695</v>
      </c>
      <c r="B6737" s="192" t="s">
        <v>4778</v>
      </c>
      <c r="C6737" s="196">
        <v>-110000</v>
      </c>
      <c r="D6737" s="196">
        <v>0</v>
      </c>
      <c r="E6737" s="196">
        <v>0</v>
      </c>
      <c r="F6737" s="196">
        <v>0</v>
      </c>
      <c r="G6737" s="196">
        <v>-110000</v>
      </c>
    </row>
    <row r="6738" spans="1:7" x14ac:dyDescent="0.3">
      <c r="A6738" s="198">
        <v>43094703</v>
      </c>
      <c r="B6738" s="192" t="s">
        <v>1044</v>
      </c>
      <c r="C6738" s="196">
        <v>0</v>
      </c>
      <c r="D6738" s="196">
        <v>0</v>
      </c>
      <c r="E6738" s="196">
        <v>520300</v>
      </c>
      <c r="F6738" s="196">
        <v>-520300</v>
      </c>
      <c r="G6738" s="196">
        <v>-520300</v>
      </c>
    </row>
    <row r="6739" spans="1:7" x14ac:dyDescent="0.3">
      <c r="A6739" s="198">
        <v>43515037</v>
      </c>
      <c r="B6739" s="192" t="s">
        <v>4779</v>
      </c>
      <c r="C6739" s="196">
        <v>-319000</v>
      </c>
      <c r="D6739" s="196">
        <v>0</v>
      </c>
      <c r="E6739" s="196">
        <v>0</v>
      </c>
      <c r="F6739" s="196">
        <v>0</v>
      </c>
      <c r="G6739" s="196">
        <v>-319000</v>
      </c>
    </row>
    <row r="6740" spans="1:7" x14ac:dyDescent="0.3">
      <c r="A6740" s="198">
        <v>21830934</v>
      </c>
      <c r="B6740" s="192" t="s">
        <v>1045</v>
      </c>
      <c r="C6740" s="196">
        <v>-297000</v>
      </c>
      <c r="D6740" s="196">
        <v>0</v>
      </c>
      <c r="E6740" s="196">
        <v>0</v>
      </c>
      <c r="F6740" s="196">
        <v>0</v>
      </c>
      <c r="G6740" s="196">
        <v>-297000</v>
      </c>
    </row>
    <row r="6741" spans="1:7" x14ac:dyDescent="0.3">
      <c r="A6741" s="198">
        <v>43342114</v>
      </c>
      <c r="B6741" s="192" t="s">
        <v>4780</v>
      </c>
      <c r="C6741" s="196">
        <v>-270000</v>
      </c>
      <c r="D6741" s="196">
        <v>0</v>
      </c>
      <c r="E6741" s="196">
        <v>0</v>
      </c>
      <c r="F6741" s="196">
        <v>0</v>
      </c>
      <c r="G6741" s="196">
        <v>-270000</v>
      </c>
    </row>
    <row r="6742" spans="1:7" x14ac:dyDescent="0.3">
      <c r="A6742" s="198">
        <v>21462043</v>
      </c>
      <c r="B6742" s="192" t="s">
        <v>4781</v>
      </c>
      <c r="C6742" s="196">
        <v>-114400</v>
      </c>
      <c r="D6742" s="196">
        <v>0</v>
      </c>
      <c r="E6742" s="196">
        <v>0</v>
      </c>
      <c r="F6742" s="196">
        <v>0</v>
      </c>
      <c r="G6742" s="196">
        <v>-114400</v>
      </c>
    </row>
    <row r="6743" spans="1:7" x14ac:dyDescent="0.3">
      <c r="A6743" s="198">
        <v>39164680</v>
      </c>
      <c r="B6743" s="192" t="s">
        <v>1046</v>
      </c>
      <c r="C6743" s="196">
        <v>-228800</v>
      </c>
      <c r="D6743" s="196">
        <v>0</v>
      </c>
      <c r="E6743" s="196">
        <v>57200</v>
      </c>
      <c r="F6743" s="196">
        <v>-57200</v>
      </c>
      <c r="G6743" s="196">
        <v>-286000</v>
      </c>
    </row>
    <row r="6744" spans="1:7" x14ac:dyDescent="0.3">
      <c r="A6744" s="198">
        <v>21828761</v>
      </c>
      <c r="B6744" s="192" t="s">
        <v>4782</v>
      </c>
      <c r="C6744" s="196">
        <v>-41400</v>
      </c>
      <c r="D6744" s="196">
        <v>0</v>
      </c>
      <c r="E6744" s="196">
        <v>0</v>
      </c>
      <c r="F6744" s="196">
        <v>0</v>
      </c>
      <c r="G6744" s="196">
        <v>-41400</v>
      </c>
    </row>
    <row r="6745" spans="1:7" x14ac:dyDescent="0.3">
      <c r="A6745" s="198">
        <v>43506356</v>
      </c>
      <c r="B6745" s="192" t="s">
        <v>4783</v>
      </c>
      <c r="C6745" s="196">
        <v>-297000</v>
      </c>
      <c r="D6745" s="196">
        <v>0</v>
      </c>
      <c r="E6745" s="196">
        <v>0</v>
      </c>
      <c r="F6745" s="196">
        <v>0</v>
      </c>
      <c r="G6745" s="196">
        <v>-297000</v>
      </c>
    </row>
    <row r="6746" spans="1:7" x14ac:dyDescent="0.3">
      <c r="A6746" s="198">
        <v>42964600</v>
      </c>
      <c r="B6746" s="192" t="s">
        <v>4784</v>
      </c>
      <c r="C6746" s="196">
        <v>-297000</v>
      </c>
      <c r="D6746" s="196">
        <v>0</v>
      </c>
      <c r="E6746" s="196">
        <v>0</v>
      </c>
      <c r="F6746" s="196">
        <v>0</v>
      </c>
      <c r="G6746" s="196">
        <v>-297000</v>
      </c>
    </row>
    <row r="6747" spans="1:7" x14ac:dyDescent="0.3">
      <c r="A6747" s="198">
        <v>21343087</v>
      </c>
      <c r="B6747" s="192" t="s">
        <v>4785</v>
      </c>
      <c r="C6747" s="196">
        <v>-57200</v>
      </c>
      <c r="D6747" s="196">
        <v>0</v>
      </c>
      <c r="E6747" s="196">
        <v>0</v>
      </c>
      <c r="F6747" s="196">
        <v>0</v>
      </c>
      <c r="G6747" s="196">
        <v>-57200</v>
      </c>
    </row>
    <row r="6748" spans="1:7" x14ac:dyDescent="0.3">
      <c r="A6748" s="198">
        <v>21776940</v>
      </c>
      <c r="B6748" s="192" t="s">
        <v>4786</v>
      </c>
      <c r="C6748" s="196">
        <v>-297000</v>
      </c>
      <c r="D6748" s="196">
        <v>0</v>
      </c>
      <c r="E6748" s="196">
        <v>0</v>
      </c>
      <c r="F6748" s="196">
        <v>0</v>
      </c>
      <c r="G6748" s="196">
        <v>-297000</v>
      </c>
    </row>
    <row r="6749" spans="1:7" x14ac:dyDescent="0.3">
      <c r="A6749" s="198">
        <v>21998987</v>
      </c>
      <c r="B6749" s="192" t="s">
        <v>1048</v>
      </c>
      <c r="C6749" s="196">
        <v>-290501</v>
      </c>
      <c r="D6749" s="196">
        <v>0</v>
      </c>
      <c r="E6749" s="196">
        <v>178200</v>
      </c>
      <c r="F6749" s="196">
        <v>-178200</v>
      </c>
      <c r="G6749" s="196">
        <v>-468701</v>
      </c>
    </row>
    <row r="6750" spans="1:7" x14ac:dyDescent="0.3">
      <c r="A6750" s="198">
        <v>30563567</v>
      </c>
      <c r="B6750" s="192" t="s">
        <v>4787</v>
      </c>
      <c r="C6750" s="196">
        <v>-297000</v>
      </c>
      <c r="D6750" s="196">
        <v>0</v>
      </c>
      <c r="E6750" s="196">
        <v>0</v>
      </c>
      <c r="F6750" s="196">
        <v>0</v>
      </c>
      <c r="G6750" s="196">
        <v>-297000</v>
      </c>
    </row>
    <row r="6751" spans="1:7" x14ac:dyDescent="0.3">
      <c r="A6751" s="198">
        <v>43529555</v>
      </c>
      <c r="B6751" s="192" t="s">
        <v>4788</v>
      </c>
      <c r="C6751" s="196">
        <v>-50900</v>
      </c>
      <c r="D6751" s="196">
        <v>0</v>
      </c>
      <c r="E6751" s="196">
        <v>0</v>
      </c>
      <c r="F6751" s="196">
        <v>0</v>
      </c>
      <c r="G6751" s="196">
        <v>-50900</v>
      </c>
    </row>
    <row r="6752" spans="1:7" x14ac:dyDescent="0.3">
      <c r="A6752" s="198">
        <v>32512012</v>
      </c>
      <c r="B6752" s="192" t="s">
        <v>4789</v>
      </c>
      <c r="C6752" s="196">
        <v>-290000</v>
      </c>
      <c r="D6752" s="196">
        <v>0</v>
      </c>
      <c r="E6752" s="196">
        <v>0</v>
      </c>
      <c r="F6752" s="196">
        <v>0</v>
      </c>
      <c r="G6752" s="196">
        <v>-290000</v>
      </c>
    </row>
    <row r="6753" spans="1:7" x14ac:dyDescent="0.3">
      <c r="A6753" s="198">
        <v>21690671</v>
      </c>
      <c r="B6753" s="192" t="s">
        <v>4790</v>
      </c>
      <c r="C6753" s="196">
        <v>-319000</v>
      </c>
      <c r="D6753" s="196">
        <v>0</v>
      </c>
      <c r="E6753" s="196">
        <v>0</v>
      </c>
      <c r="F6753" s="196">
        <v>0</v>
      </c>
      <c r="G6753" s="196">
        <v>-319000</v>
      </c>
    </row>
    <row r="6754" spans="1:7" x14ac:dyDescent="0.3">
      <c r="A6754" s="198">
        <v>51729535</v>
      </c>
      <c r="B6754" s="192" t="s">
        <v>1051</v>
      </c>
      <c r="C6754" s="196">
        <v>0</v>
      </c>
      <c r="D6754" s="196">
        <v>0</v>
      </c>
      <c r="E6754" s="196">
        <v>319000</v>
      </c>
      <c r="F6754" s="196">
        <v>-319000</v>
      </c>
      <c r="G6754" s="196">
        <v>-319000</v>
      </c>
    </row>
    <row r="6755" spans="1:7" x14ac:dyDescent="0.3">
      <c r="A6755" s="198">
        <v>42869883</v>
      </c>
      <c r="B6755" s="192" t="s">
        <v>4791</v>
      </c>
      <c r="C6755" s="196">
        <v>-228800</v>
      </c>
      <c r="D6755" s="196">
        <v>0</v>
      </c>
      <c r="E6755" s="196">
        <v>0</v>
      </c>
      <c r="F6755" s="196">
        <v>0</v>
      </c>
      <c r="G6755" s="196">
        <v>-228800</v>
      </c>
    </row>
    <row r="6756" spans="1:7" x14ac:dyDescent="0.3">
      <c r="A6756" s="198">
        <v>32505336</v>
      </c>
      <c r="B6756" s="192" t="s">
        <v>4792</v>
      </c>
      <c r="C6756" s="196">
        <v>-223300</v>
      </c>
      <c r="D6756" s="196">
        <v>0</v>
      </c>
      <c r="E6756" s="196">
        <v>0</v>
      </c>
      <c r="F6756" s="196">
        <v>0</v>
      </c>
      <c r="G6756" s="196">
        <v>-223300</v>
      </c>
    </row>
    <row r="6757" spans="1:7" x14ac:dyDescent="0.3">
      <c r="A6757" s="198">
        <v>1035428898</v>
      </c>
      <c r="B6757" s="192" t="s">
        <v>4793</v>
      </c>
      <c r="C6757" s="196">
        <v>-101800</v>
      </c>
      <c r="D6757" s="196">
        <v>0</v>
      </c>
      <c r="E6757" s="196">
        <v>0</v>
      </c>
      <c r="F6757" s="196">
        <v>0</v>
      </c>
      <c r="G6757" s="196">
        <v>-101800</v>
      </c>
    </row>
    <row r="6758" spans="1:7" x14ac:dyDescent="0.3">
      <c r="A6758" s="198">
        <v>40912313</v>
      </c>
      <c r="B6758" s="192" t="s">
        <v>4794</v>
      </c>
      <c r="C6758" s="196">
        <v>-319000</v>
      </c>
      <c r="D6758" s="196">
        <v>0</v>
      </c>
      <c r="E6758" s="196">
        <v>0</v>
      </c>
      <c r="F6758" s="196">
        <v>0</v>
      </c>
      <c r="G6758" s="196">
        <v>-319000</v>
      </c>
    </row>
    <row r="6759" spans="1:7" x14ac:dyDescent="0.3">
      <c r="A6759" s="198">
        <v>43478745</v>
      </c>
      <c r="B6759" s="192" t="s">
        <v>4795</v>
      </c>
      <c r="C6759" s="196">
        <v>-319000</v>
      </c>
      <c r="D6759" s="196">
        <v>0</v>
      </c>
      <c r="E6759" s="196">
        <v>0</v>
      </c>
      <c r="F6759" s="196">
        <v>0</v>
      </c>
      <c r="G6759" s="196">
        <v>-319000</v>
      </c>
    </row>
    <row r="6760" spans="1:7" x14ac:dyDescent="0.3">
      <c r="A6760" s="198">
        <v>30297593</v>
      </c>
      <c r="B6760" s="192" t="s">
        <v>4796</v>
      </c>
      <c r="C6760" s="196">
        <v>-270000</v>
      </c>
      <c r="D6760" s="196">
        <v>0</v>
      </c>
      <c r="E6760" s="196">
        <v>0</v>
      </c>
      <c r="F6760" s="196">
        <v>0</v>
      </c>
      <c r="G6760" s="196">
        <v>-270000</v>
      </c>
    </row>
    <row r="6761" spans="1:7" x14ac:dyDescent="0.3">
      <c r="A6761" s="198">
        <v>43049370</v>
      </c>
      <c r="B6761" s="192" t="s">
        <v>4797</v>
      </c>
      <c r="C6761" s="196">
        <v>-319000</v>
      </c>
      <c r="D6761" s="196">
        <v>0</v>
      </c>
      <c r="E6761" s="196">
        <v>0</v>
      </c>
      <c r="F6761" s="196">
        <v>0</v>
      </c>
      <c r="G6761" s="196">
        <v>-319000</v>
      </c>
    </row>
    <row r="6762" spans="1:7" x14ac:dyDescent="0.3">
      <c r="A6762" s="198">
        <v>39327117</v>
      </c>
      <c r="B6762" s="192" t="s">
        <v>4798</v>
      </c>
      <c r="C6762" s="196">
        <v>-297000</v>
      </c>
      <c r="D6762" s="196">
        <v>0</v>
      </c>
      <c r="E6762" s="196">
        <v>0</v>
      </c>
      <c r="F6762" s="196">
        <v>0</v>
      </c>
      <c r="G6762" s="196">
        <v>-297000</v>
      </c>
    </row>
    <row r="6763" spans="1:7" x14ac:dyDescent="0.3">
      <c r="A6763" s="198">
        <v>43020696</v>
      </c>
      <c r="B6763" s="192" t="s">
        <v>4799</v>
      </c>
      <c r="C6763" s="196">
        <v>-50500</v>
      </c>
      <c r="D6763" s="196">
        <v>0</v>
      </c>
      <c r="E6763" s="196">
        <v>0</v>
      </c>
      <c r="F6763" s="196">
        <v>0</v>
      </c>
      <c r="G6763" s="196">
        <v>-50500</v>
      </c>
    </row>
    <row r="6764" spans="1:7" x14ac:dyDescent="0.3">
      <c r="A6764" s="198">
        <v>65772815</v>
      </c>
      <c r="B6764" s="192" t="s">
        <v>4800</v>
      </c>
      <c r="C6764" s="196">
        <v>-50900</v>
      </c>
      <c r="D6764" s="196">
        <v>0</v>
      </c>
      <c r="E6764" s="196">
        <v>0</v>
      </c>
      <c r="F6764" s="196">
        <v>0</v>
      </c>
      <c r="G6764" s="196">
        <v>-50900</v>
      </c>
    </row>
    <row r="6765" spans="1:7" x14ac:dyDescent="0.3">
      <c r="A6765" s="198">
        <v>32503400</v>
      </c>
      <c r="B6765" s="192" t="s">
        <v>4801</v>
      </c>
      <c r="C6765" s="196">
        <v>-88000</v>
      </c>
      <c r="D6765" s="196">
        <v>0</v>
      </c>
      <c r="E6765" s="196">
        <v>0</v>
      </c>
      <c r="F6765" s="196">
        <v>0</v>
      </c>
      <c r="G6765" s="196">
        <v>-88000</v>
      </c>
    </row>
    <row r="6766" spans="1:7" x14ac:dyDescent="0.3">
      <c r="A6766" s="198">
        <v>42974023</v>
      </c>
      <c r="B6766" s="192" t="s">
        <v>4802</v>
      </c>
      <c r="C6766" s="196">
        <v>-46400</v>
      </c>
      <c r="D6766" s="196">
        <v>0</v>
      </c>
      <c r="E6766" s="196">
        <v>0</v>
      </c>
      <c r="F6766" s="196">
        <v>0</v>
      </c>
      <c r="G6766" s="196">
        <v>-46400</v>
      </c>
    </row>
    <row r="6767" spans="1:7" x14ac:dyDescent="0.3">
      <c r="A6767" s="198">
        <v>42676896</v>
      </c>
      <c r="B6767" s="192" t="s">
        <v>4803</v>
      </c>
      <c r="C6767" s="196">
        <v>-50900</v>
      </c>
      <c r="D6767" s="196">
        <v>0</v>
      </c>
      <c r="E6767" s="196">
        <v>0</v>
      </c>
      <c r="F6767" s="196">
        <v>0</v>
      </c>
      <c r="G6767" s="196">
        <v>-50900</v>
      </c>
    </row>
    <row r="6768" spans="1:7" x14ac:dyDescent="0.3">
      <c r="A6768" s="198">
        <v>32435126</v>
      </c>
      <c r="B6768" s="192" t="s">
        <v>1052</v>
      </c>
      <c r="C6768" s="196">
        <v>0</v>
      </c>
      <c r="D6768" s="196">
        <v>0</v>
      </c>
      <c r="E6768" s="196">
        <v>319000</v>
      </c>
      <c r="F6768" s="196">
        <v>-319000</v>
      </c>
      <c r="G6768" s="196">
        <v>-319000</v>
      </c>
    </row>
    <row r="6769" spans="1:7" x14ac:dyDescent="0.3">
      <c r="A6769" s="198">
        <v>24728641</v>
      </c>
      <c r="B6769" s="192" t="s">
        <v>4804</v>
      </c>
      <c r="C6769" s="196">
        <v>-28900</v>
      </c>
      <c r="D6769" s="196">
        <v>0</v>
      </c>
      <c r="E6769" s="196">
        <v>0</v>
      </c>
      <c r="F6769" s="196">
        <v>0</v>
      </c>
      <c r="G6769" s="196">
        <v>-28900</v>
      </c>
    </row>
    <row r="6770" spans="1:7" x14ac:dyDescent="0.3">
      <c r="A6770" s="198">
        <v>1036622714</v>
      </c>
      <c r="B6770" s="192" t="s">
        <v>4805</v>
      </c>
      <c r="C6770" s="196">
        <v>-38400</v>
      </c>
      <c r="D6770" s="196">
        <v>0</v>
      </c>
      <c r="E6770" s="196">
        <v>0</v>
      </c>
      <c r="F6770" s="196">
        <v>0</v>
      </c>
      <c r="G6770" s="196">
        <v>-38400</v>
      </c>
    </row>
    <row r="6771" spans="1:7" x14ac:dyDescent="0.3">
      <c r="A6771" s="198">
        <v>39288462</v>
      </c>
      <c r="B6771" s="192" t="s">
        <v>4806</v>
      </c>
      <c r="C6771" s="196">
        <v>-297000</v>
      </c>
      <c r="D6771" s="196">
        <v>0</v>
      </c>
      <c r="E6771" s="196">
        <v>0</v>
      </c>
      <c r="F6771" s="196">
        <v>0</v>
      </c>
      <c r="G6771" s="196">
        <v>-297000</v>
      </c>
    </row>
    <row r="6772" spans="1:7" x14ac:dyDescent="0.3">
      <c r="A6772" s="198">
        <v>22226580</v>
      </c>
      <c r="B6772" s="192" t="s">
        <v>4807</v>
      </c>
      <c r="C6772" s="196">
        <v>-297000</v>
      </c>
      <c r="D6772" s="196">
        <v>0</v>
      </c>
      <c r="E6772" s="196">
        <v>0</v>
      </c>
      <c r="F6772" s="196">
        <v>0</v>
      </c>
      <c r="G6772" s="196">
        <v>-297000</v>
      </c>
    </row>
    <row r="6773" spans="1:7" x14ac:dyDescent="0.3">
      <c r="A6773" s="198">
        <v>22229760</v>
      </c>
      <c r="B6773" s="192" t="s">
        <v>1054</v>
      </c>
      <c r="C6773" s="196">
        <v>-493300</v>
      </c>
      <c r="D6773" s="196">
        <v>0</v>
      </c>
      <c r="E6773" s="196">
        <v>140000</v>
      </c>
      <c r="F6773" s="196">
        <v>-140000</v>
      </c>
      <c r="G6773" s="196">
        <v>-633300</v>
      </c>
    </row>
    <row r="6774" spans="1:7" x14ac:dyDescent="0.3">
      <c r="A6774" s="198">
        <v>32451719</v>
      </c>
      <c r="B6774" s="192" t="s">
        <v>4808</v>
      </c>
      <c r="C6774" s="196">
        <v>-50900</v>
      </c>
      <c r="D6774" s="196">
        <v>0</v>
      </c>
      <c r="E6774" s="196">
        <v>0</v>
      </c>
      <c r="F6774" s="196">
        <v>0</v>
      </c>
      <c r="G6774" s="196">
        <v>-50900</v>
      </c>
    </row>
    <row r="6775" spans="1:7" x14ac:dyDescent="0.3">
      <c r="A6775" s="198">
        <v>32461055</v>
      </c>
      <c r="B6775" s="192" t="s">
        <v>1055</v>
      </c>
      <c r="C6775" s="196">
        <v>-47000</v>
      </c>
      <c r="D6775" s="196">
        <v>0</v>
      </c>
      <c r="E6775" s="196">
        <v>47000</v>
      </c>
      <c r="F6775" s="196">
        <v>-47000</v>
      </c>
      <c r="G6775" s="196">
        <v>-94000</v>
      </c>
    </row>
    <row r="6776" spans="1:7" x14ac:dyDescent="0.3">
      <c r="A6776" s="198">
        <v>32430224</v>
      </c>
      <c r="B6776" s="192" t="s">
        <v>1056</v>
      </c>
      <c r="C6776" s="196">
        <v>0</v>
      </c>
      <c r="D6776" s="196">
        <v>0</v>
      </c>
      <c r="E6776" s="196">
        <v>162000</v>
      </c>
      <c r="F6776" s="196">
        <v>-162000</v>
      </c>
      <c r="G6776" s="196">
        <v>-162000</v>
      </c>
    </row>
    <row r="6777" spans="1:7" x14ac:dyDescent="0.3">
      <c r="A6777" s="198">
        <v>31271158</v>
      </c>
      <c r="B6777" s="192" t="s">
        <v>4809</v>
      </c>
      <c r="C6777" s="196">
        <v>-29700</v>
      </c>
      <c r="D6777" s="196">
        <v>0</v>
      </c>
      <c r="E6777" s="196">
        <v>0</v>
      </c>
      <c r="F6777" s="196">
        <v>0</v>
      </c>
      <c r="G6777" s="196">
        <v>-29700</v>
      </c>
    </row>
    <row r="6778" spans="1:7" x14ac:dyDescent="0.3">
      <c r="A6778" s="198">
        <v>32489078</v>
      </c>
      <c r="B6778" s="192" t="s">
        <v>4810</v>
      </c>
      <c r="C6778" s="196">
        <v>-50900</v>
      </c>
      <c r="D6778" s="196">
        <v>0</v>
      </c>
      <c r="E6778" s="196">
        <v>0</v>
      </c>
      <c r="F6778" s="196">
        <v>0</v>
      </c>
      <c r="G6778" s="196">
        <v>-50900</v>
      </c>
    </row>
    <row r="6779" spans="1:7" x14ac:dyDescent="0.3">
      <c r="A6779" s="198">
        <v>32346675</v>
      </c>
      <c r="B6779" s="192" t="s">
        <v>4811</v>
      </c>
      <c r="C6779" s="196">
        <v>-223300</v>
      </c>
      <c r="D6779" s="196">
        <v>0</v>
      </c>
      <c r="E6779" s="196">
        <v>0</v>
      </c>
      <c r="F6779" s="196">
        <v>0</v>
      </c>
      <c r="G6779" s="196">
        <v>-223300</v>
      </c>
    </row>
    <row r="6780" spans="1:7" x14ac:dyDescent="0.3">
      <c r="A6780" s="198">
        <v>43667251</v>
      </c>
      <c r="B6780" s="192" t="s">
        <v>4812</v>
      </c>
      <c r="C6780" s="196">
        <v>-50900</v>
      </c>
      <c r="D6780" s="196">
        <v>0</v>
      </c>
      <c r="E6780" s="196">
        <v>0</v>
      </c>
      <c r="F6780" s="196">
        <v>0</v>
      </c>
      <c r="G6780" s="196">
        <v>-50900</v>
      </c>
    </row>
    <row r="6781" spans="1:7" x14ac:dyDescent="0.3">
      <c r="A6781" s="198">
        <v>22227922</v>
      </c>
      <c r="B6781" s="192" t="s">
        <v>4813</v>
      </c>
      <c r="C6781" s="196">
        <v>-297000</v>
      </c>
      <c r="D6781" s="196">
        <v>0</v>
      </c>
      <c r="E6781" s="196">
        <v>0</v>
      </c>
      <c r="F6781" s="196">
        <v>0</v>
      </c>
      <c r="G6781" s="196">
        <v>-297000</v>
      </c>
    </row>
    <row r="6782" spans="1:7" x14ac:dyDescent="0.3">
      <c r="A6782" s="198">
        <v>43507216</v>
      </c>
      <c r="B6782" s="192" t="s">
        <v>1058</v>
      </c>
      <c r="C6782" s="196">
        <v>-50900</v>
      </c>
      <c r="D6782" s="196">
        <v>0</v>
      </c>
      <c r="E6782" s="196">
        <v>33200</v>
      </c>
      <c r="F6782" s="196">
        <v>-33200</v>
      </c>
      <c r="G6782" s="196">
        <v>-84100</v>
      </c>
    </row>
    <row r="6783" spans="1:7" x14ac:dyDescent="0.3">
      <c r="A6783" s="198">
        <v>43521130</v>
      </c>
      <c r="B6783" s="192" t="s">
        <v>4814</v>
      </c>
      <c r="C6783" s="196">
        <v>-50900</v>
      </c>
      <c r="D6783" s="196">
        <v>0</v>
      </c>
      <c r="E6783" s="196">
        <v>0</v>
      </c>
      <c r="F6783" s="196">
        <v>0</v>
      </c>
      <c r="G6783" s="196">
        <v>-50900</v>
      </c>
    </row>
    <row r="6784" spans="1:7" x14ac:dyDescent="0.3">
      <c r="A6784" s="198">
        <v>43437610</v>
      </c>
      <c r="B6784" s="192" t="s">
        <v>1059</v>
      </c>
      <c r="C6784" s="196">
        <v>0</v>
      </c>
      <c r="D6784" s="196">
        <v>0</v>
      </c>
      <c r="E6784" s="196">
        <v>57200</v>
      </c>
      <c r="F6784" s="196">
        <v>-57200</v>
      </c>
      <c r="G6784" s="196">
        <v>-57200</v>
      </c>
    </row>
    <row r="6785" spans="1:7" x14ac:dyDescent="0.3">
      <c r="A6785" s="198">
        <v>32275584</v>
      </c>
      <c r="B6785" s="192" t="s">
        <v>1060</v>
      </c>
      <c r="C6785" s="196">
        <v>-297000</v>
      </c>
      <c r="D6785" s="196">
        <v>0</v>
      </c>
      <c r="E6785" s="196">
        <v>119000</v>
      </c>
      <c r="F6785" s="196">
        <v>-119000</v>
      </c>
      <c r="G6785" s="196">
        <v>-416000</v>
      </c>
    </row>
    <row r="6786" spans="1:7" x14ac:dyDescent="0.3">
      <c r="A6786" s="198">
        <v>42750545</v>
      </c>
      <c r="B6786" s="192" t="s">
        <v>4815</v>
      </c>
      <c r="C6786" s="196">
        <v>-101800</v>
      </c>
      <c r="D6786" s="196">
        <v>0</v>
      </c>
      <c r="E6786" s="196">
        <v>0</v>
      </c>
      <c r="F6786" s="196">
        <v>0</v>
      </c>
      <c r="G6786" s="196">
        <v>-101800</v>
      </c>
    </row>
    <row r="6787" spans="1:7" x14ac:dyDescent="0.3">
      <c r="A6787" s="198">
        <v>43050534</v>
      </c>
      <c r="B6787" s="192" t="s">
        <v>4816</v>
      </c>
      <c r="C6787" s="196">
        <v>-57200</v>
      </c>
      <c r="D6787" s="196">
        <v>0</v>
      </c>
      <c r="E6787" s="196">
        <v>0</v>
      </c>
      <c r="F6787" s="196">
        <v>0</v>
      </c>
      <c r="G6787" s="196">
        <v>-57200</v>
      </c>
    </row>
    <row r="6788" spans="1:7" x14ac:dyDescent="0.3">
      <c r="A6788" s="198">
        <v>22154243</v>
      </c>
      <c r="B6788" s="192" t="s">
        <v>4817</v>
      </c>
      <c r="C6788" s="196">
        <v>-98000</v>
      </c>
      <c r="D6788" s="196">
        <v>0</v>
      </c>
      <c r="E6788" s="196">
        <v>0</v>
      </c>
      <c r="F6788" s="196">
        <v>0</v>
      </c>
      <c r="G6788" s="196">
        <v>-98000</v>
      </c>
    </row>
    <row r="6789" spans="1:7" x14ac:dyDescent="0.3">
      <c r="A6789" s="198">
        <v>42748761</v>
      </c>
      <c r="B6789" s="192" t="s">
        <v>1061</v>
      </c>
      <c r="C6789" s="196">
        <v>0</v>
      </c>
      <c r="D6789" s="196">
        <v>0</v>
      </c>
      <c r="E6789" s="196">
        <v>20000</v>
      </c>
      <c r="F6789" s="196">
        <v>-20000</v>
      </c>
      <c r="G6789" s="196">
        <v>-20000</v>
      </c>
    </row>
    <row r="6790" spans="1:7" x14ac:dyDescent="0.3">
      <c r="A6790" s="198">
        <v>21552175</v>
      </c>
      <c r="B6790" s="192" t="s">
        <v>4818</v>
      </c>
      <c r="C6790" s="196">
        <v>-380000</v>
      </c>
      <c r="D6790" s="196">
        <v>0</v>
      </c>
      <c r="E6790" s="196">
        <v>0</v>
      </c>
      <c r="F6790" s="196">
        <v>0</v>
      </c>
      <c r="G6790" s="196">
        <v>-380000</v>
      </c>
    </row>
    <row r="6791" spans="1:7" x14ac:dyDescent="0.3">
      <c r="A6791" s="198">
        <v>24568350</v>
      </c>
      <c r="B6791" s="192" t="s">
        <v>4819</v>
      </c>
      <c r="C6791" s="196">
        <v>-319000</v>
      </c>
      <c r="D6791" s="196">
        <v>0</v>
      </c>
      <c r="E6791" s="196">
        <v>0</v>
      </c>
      <c r="F6791" s="196">
        <v>0</v>
      </c>
      <c r="G6791" s="196">
        <v>-319000</v>
      </c>
    </row>
    <row r="6792" spans="1:7" x14ac:dyDescent="0.3">
      <c r="A6792" s="198">
        <v>43847048</v>
      </c>
      <c r="B6792" s="192" t="s">
        <v>4820</v>
      </c>
      <c r="C6792" s="196">
        <v>-290000</v>
      </c>
      <c r="D6792" s="196">
        <v>0</v>
      </c>
      <c r="E6792" s="196">
        <v>0</v>
      </c>
      <c r="F6792" s="196">
        <v>0</v>
      </c>
      <c r="G6792" s="196">
        <v>-290000</v>
      </c>
    </row>
    <row r="6793" spans="1:7" x14ac:dyDescent="0.3">
      <c r="A6793" s="198">
        <v>32490963</v>
      </c>
      <c r="B6793" s="192" t="s">
        <v>4821</v>
      </c>
      <c r="C6793" s="196">
        <v>-57200</v>
      </c>
      <c r="D6793" s="196">
        <v>0</v>
      </c>
      <c r="E6793" s="196">
        <v>0</v>
      </c>
      <c r="F6793" s="196">
        <v>0</v>
      </c>
      <c r="G6793" s="196">
        <v>-57200</v>
      </c>
    </row>
    <row r="6794" spans="1:7" x14ac:dyDescent="0.3">
      <c r="A6794" s="198">
        <v>32240781</v>
      </c>
      <c r="B6794" s="192" t="s">
        <v>4822</v>
      </c>
      <c r="C6794" s="196">
        <v>-50900</v>
      </c>
      <c r="D6794" s="196">
        <v>0</v>
      </c>
      <c r="E6794" s="196">
        <v>0</v>
      </c>
      <c r="F6794" s="196">
        <v>0</v>
      </c>
      <c r="G6794" s="196">
        <v>-50900</v>
      </c>
    </row>
    <row r="6795" spans="1:7" x14ac:dyDescent="0.3">
      <c r="A6795" s="198">
        <v>21832800</v>
      </c>
      <c r="B6795" s="192" t="s">
        <v>4823</v>
      </c>
      <c r="C6795" s="196">
        <v>-270000</v>
      </c>
      <c r="D6795" s="196">
        <v>0</v>
      </c>
      <c r="E6795" s="196">
        <v>0</v>
      </c>
      <c r="F6795" s="196">
        <v>0</v>
      </c>
      <c r="G6795" s="196">
        <v>-270000</v>
      </c>
    </row>
    <row r="6796" spans="1:7" x14ac:dyDescent="0.3">
      <c r="A6796" s="198">
        <v>1037574793</v>
      </c>
      <c r="B6796" s="192" t="s">
        <v>4824</v>
      </c>
      <c r="C6796" s="196">
        <v>-50900</v>
      </c>
      <c r="D6796" s="196">
        <v>0</v>
      </c>
      <c r="E6796" s="196">
        <v>0</v>
      </c>
      <c r="F6796" s="196">
        <v>0</v>
      </c>
      <c r="G6796" s="196">
        <v>-50900</v>
      </c>
    </row>
    <row r="6797" spans="1:7" x14ac:dyDescent="0.3">
      <c r="A6797" s="198">
        <v>39328525</v>
      </c>
      <c r="B6797" s="192" t="s">
        <v>4825</v>
      </c>
      <c r="C6797" s="196">
        <v>-297000</v>
      </c>
      <c r="D6797" s="196">
        <v>0</v>
      </c>
      <c r="E6797" s="196">
        <v>0</v>
      </c>
      <c r="F6797" s="196">
        <v>0</v>
      </c>
      <c r="G6797" s="196">
        <v>-297000</v>
      </c>
    </row>
    <row r="6798" spans="1:7" x14ac:dyDescent="0.3">
      <c r="A6798" s="198">
        <v>42823212</v>
      </c>
      <c r="B6798" s="192" t="s">
        <v>4826</v>
      </c>
      <c r="C6798" s="196">
        <v>-50900</v>
      </c>
      <c r="D6798" s="196">
        <v>0</v>
      </c>
      <c r="E6798" s="196">
        <v>0</v>
      </c>
      <c r="F6798" s="196">
        <v>0</v>
      </c>
      <c r="G6798" s="196">
        <v>-50900</v>
      </c>
    </row>
    <row r="6799" spans="1:7" x14ac:dyDescent="0.3">
      <c r="A6799" s="198">
        <v>5656447</v>
      </c>
      <c r="B6799" s="192" t="s">
        <v>4827</v>
      </c>
      <c r="C6799" s="196">
        <v>-297000</v>
      </c>
      <c r="D6799" s="196">
        <v>0</v>
      </c>
      <c r="E6799" s="196">
        <v>0</v>
      </c>
      <c r="F6799" s="196">
        <v>0</v>
      </c>
      <c r="G6799" s="196">
        <v>-297000</v>
      </c>
    </row>
    <row r="6800" spans="1:7" x14ac:dyDescent="0.3">
      <c r="A6800" s="198">
        <v>1045748648</v>
      </c>
      <c r="B6800" s="192" t="s">
        <v>1062</v>
      </c>
      <c r="C6800" s="196">
        <v>0</v>
      </c>
      <c r="D6800" s="196">
        <v>0</v>
      </c>
      <c r="E6800" s="196">
        <v>215900</v>
      </c>
      <c r="F6800" s="196">
        <v>-215900</v>
      </c>
      <c r="G6800" s="196">
        <v>-215900</v>
      </c>
    </row>
    <row r="6801" spans="1:7" x14ac:dyDescent="0.3">
      <c r="A6801" s="198">
        <v>39357310</v>
      </c>
      <c r="B6801" s="192" t="s">
        <v>4828</v>
      </c>
      <c r="C6801" s="196">
        <v>-41900</v>
      </c>
      <c r="D6801" s="196">
        <v>0</v>
      </c>
      <c r="E6801" s="196">
        <v>0</v>
      </c>
      <c r="F6801" s="196">
        <v>0</v>
      </c>
      <c r="G6801" s="196">
        <v>-41900</v>
      </c>
    </row>
    <row r="6802" spans="1:7" x14ac:dyDescent="0.3">
      <c r="A6802" s="198">
        <v>43258733</v>
      </c>
      <c r="B6802" s="192" t="s">
        <v>4829</v>
      </c>
      <c r="C6802" s="196">
        <v>-50900</v>
      </c>
      <c r="D6802" s="196">
        <v>0</v>
      </c>
      <c r="E6802" s="196">
        <v>0</v>
      </c>
      <c r="F6802" s="196">
        <v>0</v>
      </c>
      <c r="G6802" s="196">
        <v>-50900</v>
      </c>
    </row>
    <row r="6803" spans="1:7" x14ac:dyDescent="0.3">
      <c r="A6803" s="198">
        <v>42822124</v>
      </c>
      <c r="B6803" s="192" t="s">
        <v>4830</v>
      </c>
      <c r="C6803" s="196">
        <v>-20000</v>
      </c>
      <c r="D6803" s="196">
        <v>0</v>
      </c>
      <c r="E6803" s="196">
        <v>0</v>
      </c>
      <c r="F6803" s="196">
        <v>0</v>
      </c>
      <c r="G6803" s="196">
        <v>-20000</v>
      </c>
    </row>
    <row r="6804" spans="1:7" x14ac:dyDescent="0.3">
      <c r="A6804" s="198">
        <v>1000654854</v>
      </c>
      <c r="B6804" s="192" t="s">
        <v>4831</v>
      </c>
      <c r="C6804" s="196">
        <v>-83300</v>
      </c>
      <c r="D6804" s="196">
        <v>0</v>
      </c>
      <c r="E6804" s="196">
        <v>0</v>
      </c>
      <c r="F6804" s="196">
        <v>0</v>
      </c>
      <c r="G6804" s="196">
        <v>-83300</v>
      </c>
    </row>
    <row r="6805" spans="1:7" x14ac:dyDescent="0.3">
      <c r="A6805" s="198">
        <v>661002215</v>
      </c>
      <c r="B6805" s="192" t="s">
        <v>4832</v>
      </c>
      <c r="C6805" s="196">
        <v>-297000</v>
      </c>
      <c r="D6805" s="196">
        <v>0</v>
      </c>
      <c r="E6805" s="196">
        <v>0</v>
      </c>
      <c r="F6805" s="196">
        <v>0</v>
      </c>
      <c r="G6805" s="196">
        <v>-297000</v>
      </c>
    </row>
    <row r="6806" spans="1:7" x14ac:dyDescent="0.3">
      <c r="A6806" s="198">
        <v>24937791</v>
      </c>
      <c r="B6806" s="192" t="s">
        <v>4833</v>
      </c>
      <c r="C6806" s="196">
        <v>-57200</v>
      </c>
      <c r="D6806" s="196">
        <v>0</v>
      </c>
      <c r="E6806" s="196">
        <v>0</v>
      </c>
      <c r="F6806" s="196">
        <v>0</v>
      </c>
      <c r="G6806" s="196">
        <v>-57200</v>
      </c>
    </row>
    <row r="6807" spans="1:7" x14ac:dyDescent="0.3">
      <c r="A6807" s="198">
        <v>1035023380</v>
      </c>
      <c r="B6807" s="192" t="s">
        <v>4834</v>
      </c>
      <c r="C6807" s="196">
        <v>-47400</v>
      </c>
      <c r="D6807" s="196">
        <v>0</v>
      </c>
      <c r="E6807" s="196">
        <v>0</v>
      </c>
      <c r="F6807" s="196">
        <v>0</v>
      </c>
      <c r="G6807" s="196">
        <v>-47400</v>
      </c>
    </row>
    <row r="6808" spans="1:7" x14ac:dyDescent="0.3">
      <c r="A6808" s="198">
        <v>1035019504</v>
      </c>
      <c r="B6808" s="192" t="s">
        <v>1064</v>
      </c>
      <c r="C6808" s="196">
        <v>0</v>
      </c>
      <c r="D6808" s="196">
        <v>0</v>
      </c>
      <c r="E6808" s="196">
        <v>50900</v>
      </c>
      <c r="F6808" s="196">
        <v>-50900</v>
      </c>
      <c r="G6808" s="196">
        <v>-50900</v>
      </c>
    </row>
    <row r="6809" spans="1:7" x14ac:dyDescent="0.3">
      <c r="A6809" s="198">
        <v>1023564098</v>
      </c>
      <c r="B6809" s="192" t="s">
        <v>4835</v>
      </c>
      <c r="C6809" s="196">
        <v>-50900</v>
      </c>
      <c r="D6809" s="196">
        <v>0</v>
      </c>
      <c r="E6809" s="196">
        <v>0</v>
      </c>
      <c r="F6809" s="196">
        <v>0</v>
      </c>
      <c r="G6809" s="196">
        <v>-50900</v>
      </c>
    </row>
    <row r="6810" spans="1:7" x14ac:dyDescent="0.3">
      <c r="A6810" s="198">
        <v>1035025471</v>
      </c>
      <c r="B6810" s="192" t="s">
        <v>4836</v>
      </c>
      <c r="C6810" s="196">
        <v>-47400</v>
      </c>
      <c r="D6810" s="196">
        <v>0</v>
      </c>
      <c r="E6810" s="196">
        <v>0</v>
      </c>
      <c r="F6810" s="196">
        <v>0</v>
      </c>
      <c r="G6810" s="196">
        <v>-47400</v>
      </c>
    </row>
    <row r="6811" spans="1:7" x14ac:dyDescent="0.3">
      <c r="A6811" s="198">
        <v>1022007927</v>
      </c>
      <c r="B6811" s="192" t="s">
        <v>1065</v>
      </c>
      <c r="C6811" s="196">
        <v>0</v>
      </c>
      <c r="D6811" s="196">
        <v>0</v>
      </c>
      <c r="E6811" s="196">
        <v>50900</v>
      </c>
      <c r="F6811" s="196">
        <v>-50900</v>
      </c>
      <c r="G6811" s="196">
        <v>-50900</v>
      </c>
    </row>
    <row r="6812" spans="1:7" x14ac:dyDescent="0.3">
      <c r="A6812" s="198">
        <v>1035026198</v>
      </c>
      <c r="B6812" s="192" t="s">
        <v>1066</v>
      </c>
      <c r="C6812" s="196">
        <v>0</v>
      </c>
      <c r="D6812" s="196">
        <v>0</v>
      </c>
      <c r="E6812" s="196">
        <v>50900</v>
      </c>
      <c r="F6812" s="196">
        <v>-50900</v>
      </c>
      <c r="G6812" s="196">
        <v>-50900</v>
      </c>
    </row>
    <row r="6813" spans="1:7" x14ac:dyDescent="0.3">
      <c r="A6813" s="198">
        <v>1035018646</v>
      </c>
      <c r="B6813" s="192" t="s">
        <v>4837</v>
      </c>
      <c r="C6813" s="196">
        <v>-50900</v>
      </c>
      <c r="D6813" s="196">
        <v>0</v>
      </c>
      <c r="E6813" s="196">
        <v>0</v>
      </c>
      <c r="F6813" s="196">
        <v>0</v>
      </c>
      <c r="G6813" s="196">
        <v>-50900</v>
      </c>
    </row>
    <row r="6814" spans="1:7" x14ac:dyDescent="0.3">
      <c r="A6814" s="192" t="s">
        <v>4838</v>
      </c>
      <c r="B6814" s="192" t="s">
        <v>4839</v>
      </c>
      <c r="C6814" s="196">
        <v>-110000</v>
      </c>
      <c r="D6814" s="196">
        <v>0</v>
      </c>
      <c r="E6814" s="196">
        <v>0</v>
      </c>
      <c r="F6814" s="196">
        <v>0</v>
      </c>
      <c r="G6814" s="196">
        <v>-110000</v>
      </c>
    </row>
    <row r="6815" spans="1:7" x14ac:dyDescent="0.3">
      <c r="A6815" s="198">
        <v>562602222</v>
      </c>
      <c r="B6815" s="192" t="s">
        <v>4840</v>
      </c>
      <c r="C6815" s="196">
        <v>-297000</v>
      </c>
      <c r="D6815" s="196">
        <v>0</v>
      </c>
      <c r="E6815" s="196">
        <v>0</v>
      </c>
      <c r="F6815" s="196">
        <v>0</v>
      </c>
      <c r="G6815" s="196">
        <v>-297000</v>
      </c>
    </row>
    <row r="6816" spans="1:7" x14ac:dyDescent="0.3">
      <c r="A6816" s="198">
        <v>1003286661</v>
      </c>
      <c r="B6816" s="192" t="s">
        <v>1067</v>
      </c>
      <c r="C6816" s="196">
        <v>-340000</v>
      </c>
      <c r="D6816" s="196">
        <v>0</v>
      </c>
      <c r="E6816" s="196">
        <v>0</v>
      </c>
      <c r="F6816" s="196">
        <v>0</v>
      </c>
      <c r="G6816" s="196">
        <v>-340000</v>
      </c>
    </row>
    <row r="6817" spans="1:7" x14ac:dyDescent="0.3">
      <c r="A6817" s="198">
        <v>43653406</v>
      </c>
      <c r="B6817" s="192" t="s">
        <v>1068</v>
      </c>
      <c r="C6817" s="196">
        <v>0</v>
      </c>
      <c r="D6817" s="196">
        <v>0</v>
      </c>
      <c r="E6817" s="196">
        <v>50900</v>
      </c>
      <c r="F6817" s="196">
        <v>-50900</v>
      </c>
      <c r="G6817" s="196">
        <v>-50900</v>
      </c>
    </row>
    <row r="6818" spans="1:7" x14ac:dyDescent="0.3">
      <c r="A6818" s="198">
        <v>52224493</v>
      </c>
      <c r="B6818" s="192" t="s">
        <v>4841</v>
      </c>
      <c r="C6818" s="196">
        <v>-165000</v>
      </c>
      <c r="D6818" s="196">
        <v>0</v>
      </c>
      <c r="E6818" s="196">
        <v>0</v>
      </c>
      <c r="F6818" s="196">
        <v>0</v>
      </c>
      <c r="G6818" s="196">
        <v>-165000</v>
      </c>
    </row>
    <row r="6819" spans="1:7" x14ac:dyDescent="0.3">
      <c r="A6819" s="198">
        <v>21853677</v>
      </c>
      <c r="B6819" s="192" t="s">
        <v>4842</v>
      </c>
      <c r="C6819" s="196">
        <v>-297000</v>
      </c>
      <c r="D6819" s="196">
        <v>0</v>
      </c>
      <c r="E6819" s="196">
        <v>0</v>
      </c>
      <c r="F6819" s="196">
        <v>0</v>
      </c>
      <c r="G6819" s="196">
        <v>-297000</v>
      </c>
    </row>
    <row r="6820" spans="1:7" x14ac:dyDescent="0.3">
      <c r="A6820" s="198">
        <v>42901095</v>
      </c>
      <c r="B6820" s="192" t="s">
        <v>1069</v>
      </c>
      <c r="C6820" s="196">
        <v>-50900</v>
      </c>
      <c r="D6820" s="196">
        <v>0</v>
      </c>
      <c r="E6820" s="196">
        <v>0</v>
      </c>
      <c r="F6820" s="196">
        <v>0</v>
      </c>
      <c r="G6820" s="196">
        <v>-50900</v>
      </c>
    </row>
    <row r="6821" spans="1:7" x14ac:dyDescent="0.3">
      <c r="A6821" s="198">
        <v>43049121</v>
      </c>
      <c r="B6821" s="192" t="s">
        <v>4843</v>
      </c>
      <c r="C6821" s="196">
        <v>-297000</v>
      </c>
      <c r="D6821" s="196">
        <v>0</v>
      </c>
      <c r="E6821" s="196">
        <v>0</v>
      </c>
      <c r="F6821" s="196">
        <v>0</v>
      </c>
      <c r="G6821" s="196">
        <v>-297000</v>
      </c>
    </row>
    <row r="6822" spans="1:7" x14ac:dyDescent="0.3">
      <c r="A6822" s="198">
        <v>1035025702</v>
      </c>
      <c r="B6822" s="192" t="s">
        <v>4844</v>
      </c>
      <c r="C6822" s="196">
        <v>-47400</v>
      </c>
      <c r="D6822" s="196">
        <v>0</v>
      </c>
      <c r="E6822" s="196">
        <v>0</v>
      </c>
      <c r="F6822" s="196">
        <v>0</v>
      </c>
      <c r="G6822" s="196">
        <v>-47400</v>
      </c>
    </row>
    <row r="6823" spans="1:7" x14ac:dyDescent="0.3">
      <c r="A6823" s="198">
        <v>1115448418</v>
      </c>
      <c r="B6823" s="192" t="s">
        <v>4845</v>
      </c>
      <c r="C6823" s="196">
        <v>-57200</v>
      </c>
      <c r="D6823" s="196">
        <v>0</v>
      </c>
      <c r="E6823" s="196">
        <v>0</v>
      </c>
      <c r="F6823" s="196">
        <v>0</v>
      </c>
      <c r="G6823" s="196">
        <v>-57200</v>
      </c>
    </row>
    <row r="6824" spans="1:7" x14ac:dyDescent="0.3">
      <c r="A6824" s="198">
        <v>1030578670</v>
      </c>
      <c r="B6824" s="192" t="s">
        <v>4846</v>
      </c>
      <c r="C6824" s="196">
        <v>-297000</v>
      </c>
      <c r="D6824" s="196">
        <v>0</v>
      </c>
      <c r="E6824" s="196">
        <v>0</v>
      </c>
      <c r="F6824" s="196">
        <v>0</v>
      </c>
      <c r="G6824" s="196">
        <v>-297000</v>
      </c>
    </row>
    <row r="6825" spans="1:7" x14ac:dyDescent="0.3">
      <c r="A6825" s="198">
        <v>1045680500</v>
      </c>
      <c r="B6825" s="192" t="s">
        <v>4847</v>
      </c>
      <c r="C6825" s="196">
        <v>-297000</v>
      </c>
      <c r="D6825" s="196">
        <v>0</v>
      </c>
      <c r="E6825" s="196">
        <v>0</v>
      </c>
      <c r="F6825" s="196">
        <v>0</v>
      </c>
      <c r="G6825" s="196">
        <v>-297000</v>
      </c>
    </row>
    <row r="6826" spans="1:7" x14ac:dyDescent="0.3">
      <c r="A6826" s="198">
        <v>1052961687</v>
      </c>
      <c r="B6826" s="192" t="s">
        <v>4848</v>
      </c>
      <c r="C6826" s="196">
        <v>-50900</v>
      </c>
      <c r="D6826" s="196">
        <v>0</v>
      </c>
      <c r="E6826" s="196">
        <v>0</v>
      </c>
      <c r="F6826" s="196">
        <v>0</v>
      </c>
      <c r="G6826" s="196">
        <v>-50900</v>
      </c>
    </row>
    <row r="6827" spans="1:7" x14ac:dyDescent="0.3">
      <c r="A6827" s="198">
        <v>16223656</v>
      </c>
      <c r="B6827" s="192" t="s">
        <v>1070</v>
      </c>
      <c r="C6827" s="196">
        <v>0</v>
      </c>
      <c r="D6827" s="196">
        <v>0</v>
      </c>
      <c r="E6827" s="196">
        <v>319000</v>
      </c>
      <c r="F6827" s="196">
        <v>-319000</v>
      </c>
      <c r="G6827" s="196">
        <v>-319000</v>
      </c>
    </row>
    <row r="6828" spans="1:7" x14ac:dyDescent="0.3">
      <c r="A6828" s="198">
        <v>1034992773</v>
      </c>
      <c r="B6828" s="192" t="s">
        <v>1071</v>
      </c>
      <c r="C6828" s="196">
        <v>0</v>
      </c>
      <c r="D6828" s="196">
        <v>0</v>
      </c>
      <c r="E6828" s="196">
        <v>50900</v>
      </c>
      <c r="F6828" s="196">
        <v>-50900</v>
      </c>
      <c r="G6828" s="196">
        <v>-50900</v>
      </c>
    </row>
    <row r="6829" spans="1:7" x14ac:dyDescent="0.3">
      <c r="A6829" s="198">
        <v>7470769</v>
      </c>
      <c r="B6829" s="192" t="s">
        <v>4849</v>
      </c>
      <c r="C6829" s="196">
        <v>-520300</v>
      </c>
      <c r="D6829" s="196">
        <v>0</v>
      </c>
      <c r="E6829" s="196">
        <v>0</v>
      </c>
      <c r="F6829" s="196">
        <v>0</v>
      </c>
      <c r="G6829" s="196">
        <v>-520300</v>
      </c>
    </row>
    <row r="6830" spans="1:7" x14ac:dyDescent="0.3">
      <c r="A6830" s="198">
        <v>1069462232</v>
      </c>
      <c r="B6830" s="192" t="s">
        <v>1072</v>
      </c>
      <c r="C6830" s="196">
        <v>-203000</v>
      </c>
      <c r="D6830" s="196">
        <v>0</v>
      </c>
      <c r="E6830" s="196">
        <v>223300</v>
      </c>
      <c r="F6830" s="196">
        <v>-223300</v>
      </c>
      <c r="G6830" s="196">
        <v>-426300</v>
      </c>
    </row>
    <row r="6831" spans="1:7" x14ac:dyDescent="0.3">
      <c r="A6831" s="198">
        <v>80664812</v>
      </c>
      <c r="B6831" s="192" t="s">
        <v>4850</v>
      </c>
      <c r="C6831" s="196">
        <v>-47400</v>
      </c>
      <c r="D6831" s="196">
        <v>0</v>
      </c>
      <c r="E6831" s="196">
        <v>0</v>
      </c>
      <c r="F6831" s="196">
        <v>0</v>
      </c>
      <c r="G6831" s="196">
        <v>-47400</v>
      </c>
    </row>
    <row r="6832" spans="1:7" x14ac:dyDescent="0.3">
      <c r="A6832" s="198">
        <v>15362638</v>
      </c>
      <c r="B6832" s="192" t="s">
        <v>4851</v>
      </c>
      <c r="C6832" s="196">
        <v>-290000</v>
      </c>
      <c r="D6832" s="196">
        <v>0</v>
      </c>
      <c r="E6832" s="196">
        <v>0</v>
      </c>
      <c r="F6832" s="196">
        <v>0</v>
      </c>
      <c r="G6832" s="196">
        <v>-290000</v>
      </c>
    </row>
    <row r="6833" spans="1:7" x14ac:dyDescent="0.3">
      <c r="A6833" s="198">
        <v>91472962</v>
      </c>
      <c r="B6833" s="192" t="s">
        <v>4852</v>
      </c>
      <c r="C6833" s="196">
        <v>-50900</v>
      </c>
      <c r="D6833" s="196">
        <v>0</v>
      </c>
      <c r="E6833" s="196">
        <v>0</v>
      </c>
      <c r="F6833" s="196">
        <v>0</v>
      </c>
      <c r="G6833" s="196">
        <v>-50900</v>
      </c>
    </row>
    <row r="6834" spans="1:7" x14ac:dyDescent="0.3">
      <c r="A6834" s="198">
        <v>70034537</v>
      </c>
      <c r="B6834" s="192" t="s">
        <v>4853</v>
      </c>
      <c r="C6834" s="196">
        <v>-45000</v>
      </c>
      <c r="D6834" s="196">
        <v>0</v>
      </c>
      <c r="E6834" s="196">
        <v>0</v>
      </c>
      <c r="F6834" s="196">
        <v>0</v>
      </c>
      <c r="G6834" s="196">
        <v>-45000</v>
      </c>
    </row>
    <row r="6835" spans="1:7" x14ac:dyDescent="0.3">
      <c r="A6835" s="192" t="s">
        <v>4854</v>
      </c>
      <c r="B6835" s="192" t="s">
        <v>4855</v>
      </c>
      <c r="C6835" s="196">
        <v>-207000</v>
      </c>
      <c r="D6835" s="196">
        <v>0</v>
      </c>
      <c r="E6835" s="196">
        <v>0</v>
      </c>
      <c r="F6835" s="196">
        <v>0</v>
      </c>
      <c r="G6835" s="196">
        <v>-207000</v>
      </c>
    </row>
    <row r="6836" spans="1:7" x14ac:dyDescent="0.3">
      <c r="A6836" s="198">
        <v>1001367337</v>
      </c>
      <c r="B6836" s="192" t="s">
        <v>4856</v>
      </c>
      <c r="C6836" s="196">
        <v>-50900</v>
      </c>
      <c r="D6836" s="196">
        <v>0</v>
      </c>
      <c r="E6836" s="196">
        <v>0</v>
      </c>
      <c r="F6836" s="196">
        <v>0</v>
      </c>
      <c r="G6836" s="196">
        <v>-50900</v>
      </c>
    </row>
    <row r="6837" spans="1:7" x14ac:dyDescent="0.3">
      <c r="A6837" s="198">
        <v>1053856951</v>
      </c>
      <c r="B6837" s="192" t="s">
        <v>4857</v>
      </c>
      <c r="C6837" s="196">
        <v>-50900</v>
      </c>
      <c r="D6837" s="196">
        <v>0</v>
      </c>
      <c r="E6837" s="196">
        <v>0</v>
      </c>
      <c r="F6837" s="196">
        <v>0</v>
      </c>
      <c r="G6837" s="196">
        <v>-50900</v>
      </c>
    </row>
    <row r="6838" spans="1:7" x14ac:dyDescent="0.3">
      <c r="A6838" s="198">
        <v>1000653735</v>
      </c>
      <c r="B6838" s="192" t="s">
        <v>4858</v>
      </c>
      <c r="C6838" s="196">
        <v>-54200</v>
      </c>
      <c r="D6838" s="196">
        <v>0</v>
      </c>
      <c r="E6838" s="196">
        <v>0</v>
      </c>
      <c r="F6838" s="196">
        <v>0</v>
      </c>
      <c r="G6838" s="196">
        <v>-54200</v>
      </c>
    </row>
    <row r="6839" spans="1:7" x14ac:dyDescent="0.3">
      <c r="A6839" s="198">
        <v>1037645053</v>
      </c>
      <c r="B6839" s="192" t="s">
        <v>4859</v>
      </c>
      <c r="C6839" s="196">
        <v>-50900</v>
      </c>
      <c r="D6839" s="196">
        <v>0</v>
      </c>
      <c r="E6839" s="196">
        <v>0</v>
      </c>
      <c r="F6839" s="196">
        <v>0</v>
      </c>
      <c r="G6839" s="196">
        <v>-50900</v>
      </c>
    </row>
    <row r="6840" spans="1:7" x14ac:dyDescent="0.3">
      <c r="A6840" s="198">
        <v>1038540158</v>
      </c>
      <c r="B6840" s="192" t="s">
        <v>1074</v>
      </c>
      <c r="C6840" s="196">
        <v>-110000</v>
      </c>
      <c r="D6840" s="196">
        <v>0</v>
      </c>
      <c r="E6840" s="196">
        <v>0</v>
      </c>
      <c r="F6840" s="196">
        <v>0</v>
      </c>
      <c r="G6840" s="196">
        <v>-110000</v>
      </c>
    </row>
    <row r="6841" spans="1:7" x14ac:dyDescent="0.3">
      <c r="A6841" s="198">
        <v>1076334018</v>
      </c>
      <c r="B6841" s="192" t="s">
        <v>4860</v>
      </c>
      <c r="C6841" s="196">
        <v>-297000</v>
      </c>
      <c r="D6841" s="196">
        <v>0</v>
      </c>
      <c r="E6841" s="196">
        <v>0</v>
      </c>
      <c r="F6841" s="196">
        <v>0</v>
      </c>
      <c r="G6841" s="196">
        <v>-297000</v>
      </c>
    </row>
    <row r="6842" spans="1:7" x14ac:dyDescent="0.3">
      <c r="A6842" s="198">
        <v>1152434657</v>
      </c>
      <c r="B6842" s="192" t="s">
        <v>4861</v>
      </c>
      <c r="C6842" s="196">
        <v>-50900</v>
      </c>
      <c r="D6842" s="196">
        <v>0</v>
      </c>
      <c r="E6842" s="196">
        <v>0</v>
      </c>
      <c r="F6842" s="196">
        <v>0</v>
      </c>
      <c r="G6842" s="196">
        <v>-50900</v>
      </c>
    </row>
    <row r="6843" spans="1:7" x14ac:dyDescent="0.3">
      <c r="A6843" s="198">
        <v>1017142686</v>
      </c>
      <c r="B6843" s="192" t="s">
        <v>4862</v>
      </c>
      <c r="C6843" s="196">
        <v>-50900</v>
      </c>
      <c r="D6843" s="196">
        <v>0</v>
      </c>
      <c r="E6843" s="196">
        <v>0</v>
      </c>
      <c r="F6843" s="196">
        <v>0</v>
      </c>
      <c r="G6843" s="196">
        <v>-50900</v>
      </c>
    </row>
    <row r="6844" spans="1:7" x14ac:dyDescent="0.3">
      <c r="A6844" s="198">
        <v>1018350214</v>
      </c>
      <c r="B6844" s="192" t="s">
        <v>1076</v>
      </c>
      <c r="C6844" s="196">
        <v>0</v>
      </c>
      <c r="D6844" s="196">
        <v>0</v>
      </c>
      <c r="E6844" s="196">
        <v>50900</v>
      </c>
      <c r="F6844" s="196">
        <v>-50900</v>
      </c>
      <c r="G6844" s="196">
        <v>-50900</v>
      </c>
    </row>
    <row r="6845" spans="1:7" x14ac:dyDescent="0.3">
      <c r="A6845" s="198">
        <v>1152212517</v>
      </c>
      <c r="B6845" s="192" t="s">
        <v>4863</v>
      </c>
      <c r="C6845" s="196">
        <v>-50900</v>
      </c>
      <c r="D6845" s="196">
        <v>0</v>
      </c>
      <c r="E6845" s="196">
        <v>0</v>
      </c>
      <c r="F6845" s="196">
        <v>0</v>
      </c>
      <c r="G6845" s="196">
        <v>-50900</v>
      </c>
    </row>
    <row r="6846" spans="1:7" x14ac:dyDescent="0.3">
      <c r="A6846" s="198">
        <v>1152463049</v>
      </c>
      <c r="B6846" s="192" t="s">
        <v>4864</v>
      </c>
      <c r="C6846" s="196">
        <v>-46400</v>
      </c>
      <c r="D6846" s="196">
        <v>0</v>
      </c>
      <c r="E6846" s="196">
        <v>0</v>
      </c>
      <c r="F6846" s="196">
        <v>0</v>
      </c>
      <c r="G6846" s="196">
        <v>-46400</v>
      </c>
    </row>
    <row r="6847" spans="1:7" x14ac:dyDescent="0.3">
      <c r="A6847" s="198">
        <v>43867582</v>
      </c>
      <c r="B6847" s="192" t="s">
        <v>2417</v>
      </c>
      <c r="C6847" s="196">
        <v>-47400</v>
      </c>
      <c r="D6847" s="196">
        <v>0</v>
      </c>
      <c r="E6847" s="196">
        <v>0</v>
      </c>
      <c r="F6847" s="196">
        <v>0</v>
      </c>
      <c r="G6847" s="196">
        <v>-47400</v>
      </c>
    </row>
    <row r="6848" spans="1:7" x14ac:dyDescent="0.3">
      <c r="A6848" s="198">
        <v>1039464725</v>
      </c>
      <c r="B6848" s="192" t="s">
        <v>4865</v>
      </c>
      <c r="C6848" s="196">
        <v>-297000</v>
      </c>
      <c r="D6848" s="196">
        <v>0</v>
      </c>
      <c r="E6848" s="196">
        <v>0</v>
      </c>
      <c r="F6848" s="196">
        <v>0</v>
      </c>
      <c r="G6848" s="196">
        <v>-297000</v>
      </c>
    </row>
    <row r="6849" spans="1:7" x14ac:dyDescent="0.3">
      <c r="A6849" s="198">
        <v>1017247601</v>
      </c>
      <c r="B6849" s="192" t="s">
        <v>4866</v>
      </c>
      <c r="C6849" s="196">
        <v>-33400</v>
      </c>
      <c r="D6849" s="196">
        <v>0</v>
      </c>
      <c r="E6849" s="196">
        <v>0</v>
      </c>
      <c r="F6849" s="196">
        <v>0</v>
      </c>
      <c r="G6849" s="196">
        <v>-33400</v>
      </c>
    </row>
    <row r="6850" spans="1:7" x14ac:dyDescent="0.3">
      <c r="A6850" s="198">
        <v>1017930640</v>
      </c>
      <c r="B6850" s="192" t="s">
        <v>4867</v>
      </c>
      <c r="C6850" s="196">
        <v>-46400</v>
      </c>
      <c r="D6850" s="196">
        <v>0</v>
      </c>
      <c r="E6850" s="196">
        <v>0</v>
      </c>
      <c r="F6850" s="196">
        <v>0</v>
      </c>
      <c r="G6850" s="196">
        <v>-46400</v>
      </c>
    </row>
    <row r="6851" spans="1:7" x14ac:dyDescent="0.3">
      <c r="A6851" s="198">
        <v>1037585869</v>
      </c>
      <c r="B6851" s="192" t="s">
        <v>4868</v>
      </c>
      <c r="C6851" s="196">
        <v>-50900</v>
      </c>
      <c r="D6851" s="196">
        <v>0</v>
      </c>
      <c r="E6851" s="196">
        <v>0</v>
      </c>
      <c r="F6851" s="196">
        <v>0</v>
      </c>
      <c r="G6851" s="196">
        <v>-50900</v>
      </c>
    </row>
    <row r="6852" spans="1:7" x14ac:dyDescent="0.3">
      <c r="A6852" s="198">
        <v>1036689374</v>
      </c>
      <c r="B6852" s="192" t="s">
        <v>4869</v>
      </c>
      <c r="C6852" s="196">
        <v>-50900</v>
      </c>
      <c r="D6852" s="196">
        <v>0</v>
      </c>
      <c r="E6852" s="196">
        <v>0</v>
      </c>
      <c r="F6852" s="196">
        <v>0</v>
      </c>
      <c r="G6852" s="196">
        <v>-50900</v>
      </c>
    </row>
    <row r="6853" spans="1:7" x14ac:dyDescent="0.3">
      <c r="A6853" s="198">
        <v>1035002387</v>
      </c>
      <c r="B6853" s="192" t="s">
        <v>4870</v>
      </c>
      <c r="C6853" s="196">
        <v>-50900</v>
      </c>
      <c r="D6853" s="196">
        <v>0</v>
      </c>
      <c r="E6853" s="196">
        <v>0</v>
      </c>
      <c r="F6853" s="196">
        <v>0</v>
      </c>
      <c r="G6853" s="196">
        <v>-50900</v>
      </c>
    </row>
    <row r="6854" spans="1:7" x14ac:dyDescent="0.3">
      <c r="A6854" s="198">
        <v>1017160139</v>
      </c>
      <c r="B6854" s="192" t="s">
        <v>4871</v>
      </c>
      <c r="C6854" s="196">
        <v>-50900</v>
      </c>
      <c r="D6854" s="196">
        <v>0</v>
      </c>
      <c r="E6854" s="196">
        <v>0</v>
      </c>
      <c r="F6854" s="196">
        <v>0</v>
      </c>
      <c r="G6854" s="196">
        <v>-50900</v>
      </c>
    </row>
    <row r="6855" spans="1:7" x14ac:dyDescent="0.3">
      <c r="A6855" s="198">
        <v>1020478617</v>
      </c>
      <c r="B6855" s="192" t="s">
        <v>1078</v>
      </c>
      <c r="C6855" s="196">
        <v>-297000</v>
      </c>
      <c r="D6855" s="196">
        <v>0</v>
      </c>
      <c r="E6855" s="196">
        <v>0</v>
      </c>
      <c r="F6855" s="196">
        <v>0</v>
      </c>
      <c r="G6855" s="196">
        <v>-297000</v>
      </c>
    </row>
    <row r="6856" spans="1:7" x14ac:dyDescent="0.3">
      <c r="A6856" s="198">
        <v>1017932394</v>
      </c>
      <c r="B6856" s="192" t="s">
        <v>4872</v>
      </c>
      <c r="C6856" s="196">
        <v>-50900</v>
      </c>
      <c r="D6856" s="196">
        <v>0</v>
      </c>
      <c r="E6856" s="196">
        <v>0</v>
      </c>
      <c r="F6856" s="196">
        <v>0</v>
      </c>
      <c r="G6856" s="196">
        <v>-50900</v>
      </c>
    </row>
    <row r="6857" spans="1:7" x14ac:dyDescent="0.3">
      <c r="A6857" s="198">
        <v>1034990623</v>
      </c>
      <c r="B6857" s="192" t="s">
        <v>4873</v>
      </c>
      <c r="C6857" s="196">
        <v>-101800</v>
      </c>
      <c r="D6857" s="196">
        <v>0</v>
      </c>
      <c r="E6857" s="196">
        <v>0</v>
      </c>
      <c r="F6857" s="196">
        <v>0</v>
      </c>
      <c r="G6857" s="196">
        <v>-101800</v>
      </c>
    </row>
    <row r="6858" spans="1:7" x14ac:dyDescent="0.3">
      <c r="A6858" s="198">
        <v>1000405196</v>
      </c>
      <c r="B6858" s="192" t="s">
        <v>4874</v>
      </c>
      <c r="C6858" s="196">
        <v>-207900</v>
      </c>
      <c r="D6858" s="196">
        <v>0</v>
      </c>
      <c r="E6858" s="196">
        <v>0</v>
      </c>
      <c r="F6858" s="196">
        <v>0</v>
      </c>
      <c r="G6858" s="196">
        <v>-207900</v>
      </c>
    </row>
    <row r="6859" spans="1:7" x14ac:dyDescent="0.3">
      <c r="A6859" s="198">
        <v>1035023443</v>
      </c>
      <c r="B6859" s="192" t="s">
        <v>4875</v>
      </c>
      <c r="C6859" s="196">
        <v>-50900</v>
      </c>
      <c r="D6859" s="196">
        <v>0</v>
      </c>
      <c r="E6859" s="196">
        <v>0</v>
      </c>
      <c r="F6859" s="196">
        <v>0</v>
      </c>
      <c r="G6859" s="196">
        <v>-50900</v>
      </c>
    </row>
    <row r="6860" spans="1:7" x14ac:dyDescent="0.3">
      <c r="A6860" s="198">
        <v>1035025347</v>
      </c>
      <c r="B6860" s="192" t="s">
        <v>4876</v>
      </c>
      <c r="C6860" s="196">
        <v>-47400</v>
      </c>
      <c r="D6860" s="196">
        <v>0</v>
      </c>
      <c r="E6860" s="196">
        <v>0</v>
      </c>
      <c r="F6860" s="196">
        <v>0</v>
      </c>
      <c r="G6860" s="196">
        <v>-47400</v>
      </c>
    </row>
    <row r="6861" spans="1:7" x14ac:dyDescent="0.3">
      <c r="A6861" s="198">
        <v>43155720</v>
      </c>
      <c r="B6861" s="192" t="s">
        <v>4877</v>
      </c>
      <c r="C6861" s="196">
        <v>-50900</v>
      </c>
      <c r="D6861" s="196">
        <v>0</v>
      </c>
      <c r="E6861" s="196">
        <v>0</v>
      </c>
      <c r="F6861" s="196">
        <v>0</v>
      </c>
      <c r="G6861" s="196">
        <v>-50900</v>
      </c>
    </row>
    <row r="6862" spans="1:7" x14ac:dyDescent="0.3">
      <c r="A6862" s="198">
        <v>43188823</v>
      </c>
      <c r="B6862" s="192" t="s">
        <v>1080</v>
      </c>
      <c r="C6862" s="196">
        <v>0</v>
      </c>
      <c r="D6862" s="196">
        <v>0</v>
      </c>
      <c r="E6862" s="196">
        <v>247000</v>
      </c>
      <c r="F6862" s="196">
        <v>-247000</v>
      </c>
      <c r="G6862" s="196">
        <v>-247000</v>
      </c>
    </row>
    <row r="6863" spans="1:7" x14ac:dyDescent="0.3">
      <c r="A6863" s="198">
        <v>43570429</v>
      </c>
      <c r="B6863" s="192" t="s">
        <v>4878</v>
      </c>
      <c r="C6863" s="196">
        <v>-50900</v>
      </c>
      <c r="D6863" s="196">
        <v>0</v>
      </c>
      <c r="E6863" s="196">
        <v>0</v>
      </c>
      <c r="F6863" s="196">
        <v>0</v>
      </c>
      <c r="G6863" s="196">
        <v>-50900</v>
      </c>
    </row>
    <row r="6864" spans="1:7" x14ac:dyDescent="0.3">
      <c r="A6864" s="198">
        <v>43626398</v>
      </c>
      <c r="B6864" s="192" t="s">
        <v>4879</v>
      </c>
      <c r="C6864" s="196">
        <v>-101800</v>
      </c>
      <c r="D6864" s="196">
        <v>0</v>
      </c>
      <c r="E6864" s="196">
        <v>0</v>
      </c>
      <c r="F6864" s="196">
        <v>0</v>
      </c>
      <c r="G6864" s="196">
        <v>-101800</v>
      </c>
    </row>
    <row r="6865" spans="1:7" x14ac:dyDescent="0.3">
      <c r="A6865" s="198">
        <v>43866085</v>
      </c>
      <c r="B6865" s="192" t="s">
        <v>1081</v>
      </c>
      <c r="C6865" s="196">
        <v>-50900</v>
      </c>
      <c r="D6865" s="196">
        <v>0</v>
      </c>
      <c r="E6865" s="196">
        <v>50900</v>
      </c>
      <c r="F6865" s="196">
        <v>-50900</v>
      </c>
      <c r="G6865" s="196">
        <v>-101800</v>
      </c>
    </row>
    <row r="6866" spans="1:7" x14ac:dyDescent="0.3">
      <c r="A6866" s="198">
        <v>43765465</v>
      </c>
      <c r="B6866" s="192" t="s">
        <v>4880</v>
      </c>
      <c r="C6866" s="196">
        <v>-363300</v>
      </c>
      <c r="D6866" s="196">
        <v>0</v>
      </c>
      <c r="E6866" s="196">
        <v>0</v>
      </c>
      <c r="F6866" s="196">
        <v>0</v>
      </c>
      <c r="G6866" s="196">
        <v>-363300</v>
      </c>
    </row>
    <row r="6867" spans="1:7" x14ac:dyDescent="0.3">
      <c r="A6867" s="198">
        <v>50903912</v>
      </c>
      <c r="B6867" s="192" t="s">
        <v>4881</v>
      </c>
      <c r="C6867" s="196">
        <v>-50900</v>
      </c>
      <c r="D6867" s="196">
        <v>0</v>
      </c>
      <c r="E6867" s="196">
        <v>0</v>
      </c>
      <c r="F6867" s="196">
        <v>0</v>
      </c>
      <c r="G6867" s="196">
        <v>-50900</v>
      </c>
    </row>
    <row r="6868" spans="1:7" x14ac:dyDescent="0.3">
      <c r="A6868" s="198">
        <v>43870685</v>
      </c>
      <c r="B6868" s="192" t="s">
        <v>4882</v>
      </c>
      <c r="C6868" s="196">
        <v>-50900</v>
      </c>
      <c r="D6868" s="196">
        <v>0</v>
      </c>
      <c r="E6868" s="196">
        <v>0</v>
      </c>
      <c r="F6868" s="196">
        <v>0</v>
      </c>
      <c r="G6868" s="196">
        <v>-50900</v>
      </c>
    </row>
    <row r="6869" spans="1:7" x14ac:dyDescent="0.3">
      <c r="A6869" s="198">
        <v>32108229</v>
      </c>
      <c r="B6869" s="192" t="s">
        <v>4883</v>
      </c>
      <c r="C6869" s="196">
        <v>-50900</v>
      </c>
      <c r="D6869" s="196">
        <v>0</v>
      </c>
      <c r="E6869" s="196">
        <v>0</v>
      </c>
      <c r="F6869" s="196">
        <v>0</v>
      </c>
      <c r="G6869" s="196">
        <v>-50900</v>
      </c>
    </row>
    <row r="6870" spans="1:7" x14ac:dyDescent="0.3">
      <c r="A6870" s="198">
        <v>43811637</v>
      </c>
      <c r="B6870" s="192" t="s">
        <v>4884</v>
      </c>
      <c r="C6870" s="196">
        <v>-50900</v>
      </c>
      <c r="D6870" s="196">
        <v>0</v>
      </c>
      <c r="E6870" s="196">
        <v>0</v>
      </c>
      <c r="F6870" s="196">
        <v>0</v>
      </c>
      <c r="G6870" s="196">
        <v>-50900</v>
      </c>
    </row>
    <row r="6871" spans="1:7" x14ac:dyDescent="0.3">
      <c r="A6871" s="198">
        <v>1128268826</v>
      </c>
      <c r="B6871" s="192" t="s">
        <v>1082</v>
      </c>
      <c r="C6871" s="196">
        <v>-50900</v>
      </c>
      <c r="D6871" s="196">
        <v>0</v>
      </c>
      <c r="E6871" s="196">
        <v>215900</v>
      </c>
      <c r="F6871" s="196">
        <v>-215900</v>
      </c>
      <c r="G6871" s="196">
        <v>-266800</v>
      </c>
    </row>
    <row r="6872" spans="1:7" x14ac:dyDescent="0.3">
      <c r="A6872" s="198">
        <v>1128264618</v>
      </c>
      <c r="B6872" s="192" t="s">
        <v>4885</v>
      </c>
      <c r="C6872" s="196">
        <v>-41400</v>
      </c>
      <c r="D6872" s="196">
        <v>0</v>
      </c>
      <c r="E6872" s="196">
        <v>0</v>
      </c>
      <c r="F6872" s="196">
        <v>0</v>
      </c>
      <c r="G6872" s="196">
        <v>-41400</v>
      </c>
    </row>
    <row r="6873" spans="1:7" x14ac:dyDescent="0.3">
      <c r="A6873" s="198">
        <v>43987234</v>
      </c>
      <c r="B6873" s="192" t="s">
        <v>4886</v>
      </c>
      <c r="C6873" s="196">
        <v>-50900</v>
      </c>
      <c r="D6873" s="196">
        <v>0</v>
      </c>
      <c r="E6873" s="196">
        <v>0</v>
      </c>
      <c r="F6873" s="196">
        <v>0</v>
      </c>
      <c r="G6873" s="196">
        <v>-50900</v>
      </c>
    </row>
    <row r="6874" spans="1:7" x14ac:dyDescent="0.3">
      <c r="A6874" s="198">
        <v>24712513</v>
      </c>
      <c r="B6874" s="192" t="s">
        <v>4887</v>
      </c>
      <c r="C6874" s="196">
        <v>-319000</v>
      </c>
      <c r="D6874" s="196">
        <v>0</v>
      </c>
      <c r="E6874" s="196">
        <v>0</v>
      </c>
      <c r="F6874" s="196">
        <v>0</v>
      </c>
      <c r="G6874" s="196">
        <v>-319000</v>
      </c>
    </row>
    <row r="6875" spans="1:7" x14ac:dyDescent="0.3">
      <c r="A6875" s="198">
        <v>1128275209</v>
      </c>
      <c r="B6875" s="192" t="s">
        <v>4888</v>
      </c>
      <c r="C6875" s="196">
        <v>-399200</v>
      </c>
      <c r="D6875" s="196">
        <v>0</v>
      </c>
      <c r="E6875" s="196">
        <v>0</v>
      </c>
      <c r="F6875" s="196">
        <v>0</v>
      </c>
      <c r="G6875" s="196">
        <v>-399200</v>
      </c>
    </row>
    <row r="6876" spans="1:7" x14ac:dyDescent="0.3">
      <c r="A6876" s="198">
        <v>1039452953</v>
      </c>
      <c r="B6876" s="192" t="s">
        <v>4889</v>
      </c>
      <c r="C6876" s="196">
        <v>-50900</v>
      </c>
      <c r="D6876" s="196">
        <v>0</v>
      </c>
      <c r="E6876" s="196">
        <v>0</v>
      </c>
      <c r="F6876" s="196">
        <v>0</v>
      </c>
      <c r="G6876" s="196">
        <v>-50900</v>
      </c>
    </row>
    <row r="6877" spans="1:7" x14ac:dyDescent="0.3">
      <c r="A6877" s="198">
        <v>1036644422</v>
      </c>
      <c r="B6877" s="192" t="s">
        <v>1083</v>
      </c>
      <c r="C6877" s="196">
        <v>0</v>
      </c>
      <c r="D6877" s="196">
        <v>0</v>
      </c>
      <c r="E6877" s="196">
        <v>275000</v>
      </c>
      <c r="F6877" s="196">
        <v>-275000</v>
      </c>
      <c r="G6877" s="196">
        <v>-275000</v>
      </c>
    </row>
    <row r="6878" spans="1:7" x14ac:dyDescent="0.3">
      <c r="A6878" s="198">
        <v>1017124901</v>
      </c>
      <c r="B6878" s="192" t="s">
        <v>4890</v>
      </c>
      <c r="C6878" s="196">
        <v>-50500</v>
      </c>
      <c r="D6878" s="196">
        <v>0</v>
      </c>
      <c r="E6878" s="196">
        <v>0</v>
      </c>
      <c r="F6878" s="196">
        <v>0</v>
      </c>
      <c r="G6878" s="196">
        <v>-50500</v>
      </c>
    </row>
    <row r="6879" spans="1:7" x14ac:dyDescent="0.3">
      <c r="A6879" s="198">
        <v>1036781794</v>
      </c>
      <c r="B6879" s="192" t="s">
        <v>4891</v>
      </c>
      <c r="C6879" s="196">
        <v>-212400</v>
      </c>
      <c r="D6879" s="196">
        <v>0</v>
      </c>
      <c r="E6879" s="196">
        <v>0</v>
      </c>
      <c r="F6879" s="196">
        <v>0</v>
      </c>
      <c r="G6879" s="196">
        <v>-212400</v>
      </c>
    </row>
    <row r="6880" spans="1:7" x14ac:dyDescent="0.3">
      <c r="A6880" s="198">
        <v>43593818</v>
      </c>
      <c r="B6880" s="192" t="s">
        <v>4892</v>
      </c>
      <c r="C6880" s="196">
        <v>-50900</v>
      </c>
      <c r="D6880" s="196">
        <v>0</v>
      </c>
      <c r="E6880" s="196">
        <v>0</v>
      </c>
      <c r="F6880" s="196">
        <v>0</v>
      </c>
      <c r="G6880" s="196">
        <v>-50900</v>
      </c>
    </row>
    <row r="6881" spans="1:7" x14ac:dyDescent="0.3">
      <c r="A6881" s="198">
        <v>32242561</v>
      </c>
      <c r="B6881" s="192" t="s">
        <v>4893</v>
      </c>
      <c r="C6881" s="196">
        <v>-98300</v>
      </c>
      <c r="D6881" s="196">
        <v>0</v>
      </c>
      <c r="E6881" s="196">
        <v>0</v>
      </c>
      <c r="F6881" s="196">
        <v>0</v>
      </c>
      <c r="G6881" s="196">
        <v>-98300</v>
      </c>
    </row>
    <row r="6882" spans="1:7" x14ac:dyDescent="0.3">
      <c r="A6882" s="198">
        <v>43203569</v>
      </c>
      <c r="B6882" s="192" t="s">
        <v>4894</v>
      </c>
      <c r="C6882" s="196">
        <v>-47400</v>
      </c>
      <c r="D6882" s="196">
        <v>0</v>
      </c>
      <c r="E6882" s="196">
        <v>0</v>
      </c>
      <c r="F6882" s="196">
        <v>0</v>
      </c>
      <c r="G6882" s="196">
        <v>-47400</v>
      </c>
    </row>
    <row r="6883" spans="1:7" x14ac:dyDescent="0.3">
      <c r="A6883" s="198">
        <v>1000922587</v>
      </c>
      <c r="B6883" s="192" t="s">
        <v>4895</v>
      </c>
      <c r="C6883" s="196">
        <v>-100000</v>
      </c>
      <c r="D6883" s="196">
        <v>0</v>
      </c>
      <c r="E6883" s="196">
        <v>0</v>
      </c>
      <c r="F6883" s="196">
        <v>0</v>
      </c>
      <c r="G6883" s="196">
        <v>-100000</v>
      </c>
    </row>
    <row r="6884" spans="1:7" x14ac:dyDescent="0.3">
      <c r="A6884" s="198">
        <v>30303833</v>
      </c>
      <c r="B6884" s="192" t="s">
        <v>4896</v>
      </c>
      <c r="C6884" s="196">
        <v>-92200</v>
      </c>
      <c r="D6884" s="196">
        <v>0</v>
      </c>
      <c r="E6884" s="196">
        <v>0</v>
      </c>
      <c r="F6884" s="196">
        <v>0</v>
      </c>
      <c r="G6884" s="196">
        <v>-92200</v>
      </c>
    </row>
    <row r="6885" spans="1:7" x14ac:dyDescent="0.3">
      <c r="A6885" s="198">
        <v>1023546841</v>
      </c>
      <c r="B6885" s="192" t="s">
        <v>4897</v>
      </c>
      <c r="C6885" s="196">
        <v>-47000</v>
      </c>
      <c r="D6885" s="196">
        <v>0</v>
      </c>
      <c r="E6885" s="196">
        <v>0</v>
      </c>
      <c r="F6885" s="196">
        <v>0</v>
      </c>
      <c r="G6885" s="196">
        <v>-47000</v>
      </c>
    </row>
    <row r="6886" spans="1:7" x14ac:dyDescent="0.3">
      <c r="A6886" s="198">
        <v>1018276516</v>
      </c>
      <c r="B6886" s="192" t="s">
        <v>4898</v>
      </c>
      <c r="C6886" s="196">
        <v>-340000</v>
      </c>
      <c r="D6886" s="196">
        <v>0</v>
      </c>
      <c r="E6886" s="196">
        <v>0</v>
      </c>
      <c r="F6886" s="196">
        <v>0</v>
      </c>
      <c r="G6886" s="196">
        <v>-340000</v>
      </c>
    </row>
    <row r="6887" spans="1:7" x14ac:dyDescent="0.3">
      <c r="A6887" s="198">
        <v>71334976</v>
      </c>
      <c r="B6887" s="192" t="s">
        <v>4899</v>
      </c>
      <c r="C6887" s="196">
        <v>-101800</v>
      </c>
      <c r="D6887" s="196">
        <v>0</v>
      </c>
      <c r="E6887" s="196">
        <v>0</v>
      </c>
      <c r="F6887" s="196">
        <v>0</v>
      </c>
      <c r="G6887" s="196">
        <v>-101800</v>
      </c>
    </row>
    <row r="6888" spans="1:7" x14ac:dyDescent="0.3">
      <c r="A6888" s="192" t="s">
        <v>1085</v>
      </c>
      <c r="B6888" s="192" t="s">
        <v>1086</v>
      </c>
      <c r="C6888" s="196">
        <v>-38400</v>
      </c>
      <c r="D6888" s="196">
        <v>0</v>
      </c>
      <c r="E6888" s="196">
        <v>38400</v>
      </c>
      <c r="F6888" s="196">
        <v>-38400</v>
      </c>
      <c r="G6888" s="196">
        <v>-76800</v>
      </c>
    </row>
    <row r="6889" spans="1:7" x14ac:dyDescent="0.3">
      <c r="A6889" s="198">
        <v>80194867</v>
      </c>
      <c r="B6889" s="192" t="s">
        <v>4900</v>
      </c>
      <c r="C6889" s="196">
        <v>-30000</v>
      </c>
      <c r="D6889" s="196">
        <v>0</v>
      </c>
      <c r="E6889" s="196">
        <v>0</v>
      </c>
      <c r="F6889" s="196">
        <v>0</v>
      </c>
      <c r="G6889" s="196">
        <v>-30000</v>
      </c>
    </row>
    <row r="6890" spans="1:7" x14ac:dyDescent="0.3">
      <c r="A6890" s="198">
        <v>8200882</v>
      </c>
      <c r="B6890" s="192" t="s">
        <v>1087</v>
      </c>
      <c r="C6890" s="196">
        <v>-982000</v>
      </c>
      <c r="D6890" s="196">
        <v>0</v>
      </c>
      <c r="E6890" s="196">
        <v>119000</v>
      </c>
      <c r="F6890" s="196">
        <v>-119000</v>
      </c>
      <c r="G6890" s="196">
        <v>-1101000</v>
      </c>
    </row>
    <row r="6891" spans="1:7" x14ac:dyDescent="0.3">
      <c r="A6891" s="198">
        <v>1035026364</v>
      </c>
      <c r="B6891" s="192" t="s">
        <v>4901</v>
      </c>
      <c r="C6891" s="196">
        <v>-50900</v>
      </c>
      <c r="D6891" s="196">
        <v>0</v>
      </c>
      <c r="E6891" s="196">
        <v>0</v>
      </c>
      <c r="F6891" s="196">
        <v>0</v>
      </c>
      <c r="G6891" s="196">
        <v>-50900</v>
      </c>
    </row>
    <row r="6892" spans="1:7" x14ac:dyDescent="0.3">
      <c r="A6892" s="198">
        <v>71374062</v>
      </c>
      <c r="B6892" s="192" t="s">
        <v>1088</v>
      </c>
      <c r="C6892" s="196">
        <v>0</v>
      </c>
      <c r="D6892" s="196">
        <v>0</v>
      </c>
      <c r="E6892" s="196">
        <v>50900</v>
      </c>
      <c r="F6892" s="196">
        <v>-50900</v>
      </c>
      <c r="G6892" s="196">
        <v>-50900</v>
      </c>
    </row>
    <row r="6893" spans="1:7" x14ac:dyDescent="0.3">
      <c r="A6893" s="198">
        <v>1037620870</v>
      </c>
      <c r="B6893" s="192" t="s">
        <v>1089</v>
      </c>
      <c r="C6893" s="196">
        <v>-50900</v>
      </c>
      <c r="D6893" s="196">
        <v>0</v>
      </c>
      <c r="E6893" s="196">
        <v>50900</v>
      </c>
      <c r="F6893" s="196">
        <v>-50900</v>
      </c>
      <c r="G6893" s="196">
        <v>-101800</v>
      </c>
    </row>
    <row r="6894" spans="1:7" x14ac:dyDescent="0.3">
      <c r="A6894" s="192" t="s">
        <v>4902</v>
      </c>
      <c r="B6894" s="192" t="s">
        <v>4903</v>
      </c>
      <c r="C6894" s="196">
        <v>-196600</v>
      </c>
      <c r="D6894" s="196">
        <v>0</v>
      </c>
      <c r="E6894" s="196">
        <v>0</v>
      </c>
      <c r="F6894" s="196">
        <v>0</v>
      </c>
      <c r="G6894" s="196">
        <v>-196600</v>
      </c>
    </row>
    <row r="6895" spans="1:7" x14ac:dyDescent="0.3">
      <c r="A6895" s="198">
        <v>1020244049</v>
      </c>
      <c r="B6895" s="192" t="s">
        <v>4904</v>
      </c>
      <c r="C6895" s="196">
        <v>-34800</v>
      </c>
      <c r="D6895" s="196">
        <v>0</v>
      </c>
      <c r="E6895" s="196">
        <v>0</v>
      </c>
      <c r="F6895" s="196">
        <v>0</v>
      </c>
      <c r="G6895" s="196">
        <v>-34800</v>
      </c>
    </row>
    <row r="6896" spans="1:7" x14ac:dyDescent="0.3">
      <c r="A6896" s="198">
        <v>37787002</v>
      </c>
      <c r="B6896" s="192" t="s">
        <v>4905</v>
      </c>
      <c r="C6896" s="196">
        <v>-110000</v>
      </c>
      <c r="D6896" s="196">
        <v>0</v>
      </c>
      <c r="E6896" s="196">
        <v>0</v>
      </c>
      <c r="F6896" s="196">
        <v>0</v>
      </c>
      <c r="G6896" s="196">
        <v>-110000</v>
      </c>
    </row>
    <row r="6897" spans="1:7" x14ac:dyDescent="0.3">
      <c r="A6897" s="198">
        <v>510546671</v>
      </c>
      <c r="B6897" s="192" t="s">
        <v>2418</v>
      </c>
      <c r="C6897" s="196">
        <v>-50900</v>
      </c>
      <c r="D6897" s="196">
        <v>0</v>
      </c>
      <c r="E6897" s="196">
        <v>0</v>
      </c>
      <c r="F6897" s="196">
        <v>0</v>
      </c>
      <c r="G6897" s="196">
        <v>-50900</v>
      </c>
    </row>
    <row r="6898" spans="1:7" x14ac:dyDescent="0.3">
      <c r="A6898" s="192" t="s">
        <v>1091</v>
      </c>
      <c r="B6898" s="192" t="s">
        <v>1092</v>
      </c>
      <c r="C6898" s="196">
        <v>-50900</v>
      </c>
      <c r="D6898" s="196">
        <v>0</v>
      </c>
      <c r="E6898" s="196">
        <v>0</v>
      </c>
      <c r="F6898" s="196">
        <v>0</v>
      </c>
      <c r="G6898" s="196">
        <v>-50900</v>
      </c>
    </row>
    <row r="6899" spans="1:7" x14ac:dyDescent="0.3">
      <c r="A6899" s="198">
        <v>56074997</v>
      </c>
      <c r="B6899" s="192" t="s">
        <v>1093</v>
      </c>
      <c r="C6899" s="196">
        <v>-203600</v>
      </c>
      <c r="D6899" s="196">
        <v>0</v>
      </c>
      <c r="E6899" s="196">
        <v>50900</v>
      </c>
      <c r="F6899" s="196">
        <v>-50900</v>
      </c>
      <c r="G6899" s="196">
        <v>-254500</v>
      </c>
    </row>
    <row r="6900" spans="1:7" x14ac:dyDescent="0.3">
      <c r="A6900" s="198">
        <v>32103303</v>
      </c>
      <c r="B6900" s="192" t="s">
        <v>1094</v>
      </c>
      <c r="C6900" s="196">
        <v>0</v>
      </c>
      <c r="D6900" s="196">
        <v>207899</v>
      </c>
      <c r="E6900" s="196">
        <v>587900</v>
      </c>
      <c r="F6900" s="196">
        <v>-380001</v>
      </c>
      <c r="G6900" s="196">
        <v>-380001</v>
      </c>
    </row>
    <row r="6901" spans="1:7" x14ac:dyDescent="0.3">
      <c r="A6901" s="198">
        <v>21307767</v>
      </c>
      <c r="B6901" s="192" t="s">
        <v>4906</v>
      </c>
      <c r="C6901" s="196">
        <v>-140000</v>
      </c>
      <c r="D6901" s="196">
        <v>0</v>
      </c>
      <c r="E6901" s="196">
        <v>0</v>
      </c>
      <c r="F6901" s="196">
        <v>0</v>
      </c>
      <c r="G6901" s="196">
        <v>-140000</v>
      </c>
    </row>
    <row r="6902" spans="1:7" x14ac:dyDescent="0.3">
      <c r="A6902" s="198">
        <v>43018068</v>
      </c>
      <c r="B6902" s="192" t="s">
        <v>4907</v>
      </c>
      <c r="C6902" s="196">
        <v>-114400</v>
      </c>
      <c r="D6902" s="196">
        <v>0</v>
      </c>
      <c r="E6902" s="196">
        <v>0</v>
      </c>
      <c r="F6902" s="196">
        <v>0</v>
      </c>
      <c r="G6902" s="196">
        <v>-114400</v>
      </c>
    </row>
    <row r="6903" spans="1:7" x14ac:dyDescent="0.3">
      <c r="A6903" s="198">
        <v>39450412</v>
      </c>
      <c r="B6903" s="192" t="s">
        <v>4908</v>
      </c>
      <c r="C6903" s="196">
        <v>-57200</v>
      </c>
      <c r="D6903" s="196">
        <v>0</v>
      </c>
      <c r="E6903" s="196">
        <v>0</v>
      </c>
      <c r="F6903" s="196">
        <v>0</v>
      </c>
      <c r="G6903" s="196">
        <v>-57200</v>
      </c>
    </row>
    <row r="6904" spans="1:7" x14ac:dyDescent="0.3">
      <c r="A6904" s="198">
        <v>43090026</v>
      </c>
      <c r="B6904" s="192" t="s">
        <v>4909</v>
      </c>
      <c r="C6904" s="196">
        <v>-36600</v>
      </c>
      <c r="D6904" s="196">
        <v>0</v>
      </c>
      <c r="E6904" s="196">
        <v>0</v>
      </c>
      <c r="F6904" s="196">
        <v>0</v>
      </c>
      <c r="G6904" s="196">
        <v>-36600</v>
      </c>
    </row>
    <row r="6905" spans="1:7" x14ac:dyDescent="0.3">
      <c r="A6905" s="198">
        <v>43976372</v>
      </c>
      <c r="B6905" s="192" t="s">
        <v>4910</v>
      </c>
      <c r="C6905" s="196">
        <v>-50900</v>
      </c>
      <c r="D6905" s="196">
        <v>0</v>
      </c>
      <c r="E6905" s="196">
        <v>0</v>
      </c>
      <c r="F6905" s="196">
        <v>0</v>
      </c>
      <c r="G6905" s="196">
        <v>-50900</v>
      </c>
    </row>
    <row r="6906" spans="1:7" x14ac:dyDescent="0.3">
      <c r="A6906" s="198">
        <v>43976066</v>
      </c>
      <c r="B6906" s="192" t="s">
        <v>4911</v>
      </c>
      <c r="C6906" s="196">
        <v>-101800</v>
      </c>
      <c r="D6906" s="196">
        <v>0</v>
      </c>
      <c r="E6906" s="196">
        <v>0</v>
      </c>
      <c r="F6906" s="196">
        <v>0</v>
      </c>
      <c r="G6906" s="196">
        <v>-101800</v>
      </c>
    </row>
    <row r="6907" spans="1:7" x14ac:dyDescent="0.3">
      <c r="A6907" s="198">
        <v>42985474</v>
      </c>
      <c r="B6907" s="192" t="s">
        <v>4912</v>
      </c>
      <c r="C6907" s="196">
        <v>-50900</v>
      </c>
      <c r="D6907" s="196">
        <v>0</v>
      </c>
      <c r="E6907" s="196">
        <v>0</v>
      </c>
      <c r="F6907" s="196">
        <v>0</v>
      </c>
      <c r="G6907" s="196">
        <v>-50900</v>
      </c>
    </row>
    <row r="6908" spans="1:7" x14ac:dyDescent="0.3">
      <c r="A6908" s="198">
        <v>42890624</v>
      </c>
      <c r="B6908" s="192" t="s">
        <v>4913</v>
      </c>
      <c r="C6908" s="196">
        <v>-152700</v>
      </c>
      <c r="D6908" s="196">
        <v>0</v>
      </c>
      <c r="E6908" s="196">
        <v>0</v>
      </c>
      <c r="F6908" s="196">
        <v>0</v>
      </c>
      <c r="G6908" s="196">
        <v>-152700</v>
      </c>
    </row>
    <row r="6909" spans="1:7" x14ac:dyDescent="0.3">
      <c r="A6909" s="198">
        <v>39433286</v>
      </c>
      <c r="B6909" s="192" t="s">
        <v>4914</v>
      </c>
      <c r="C6909" s="196">
        <v>-200100</v>
      </c>
      <c r="D6909" s="196">
        <v>0</v>
      </c>
      <c r="E6909" s="196">
        <v>0</v>
      </c>
      <c r="F6909" s="196">
        <v>0</v>
      </c>
      <c r="G6909" s="196">
        <v>-200100</v>
      </c>
    </row>
    <row r="6910" spans="1:7" x14ac:dyDescent="0.3">
      <c r="A6910" s="198">
        <v>32446873</v>
      </c>
      <c r="B6910" s="192" t="s">
        <v>4915</v>
      </c>
      <c r="C6910" s="196">
        <v>-45000</v>
      </c>
      <c r="D6910" s="196">
        <v>0</v>
      </c>
      <c r="E6910" s="196">
        <v>0</v>
      </c>
      <c r="F6910" s="196">
        <v>0</v>
      </c>
      <c r="G6910" s="196">
        <v>-45000</v>
      </c>
    </row>
    <row r="6911" spans="1:7" x14ac:dyDescent="0.3">
      <c r="A6911" s="198">
        <v>1037592243</v>
      </c>
      <c r="B6911" s="192" t="s">
        <v>4916</v>
      </c>
      <c r="C6911" s="196">
        <v>-21950</v>
      </c>
      <c r="D6911" s="196">
        <v>0</v>
      </c>
      <c r="E6911" s="196">
        <v>0</v>
      </c>
      <c r="F6911" s="196">
        <v>0</v>
      </c>
      <c r="G6911" s="196">
        <v>-21950</v>
      </c>
    </row>
    <row r="6912" spans="1:7" x14ac:dyDescent="0.3">
      <c r="A6912" s="198">
        <v>42877353</v>
      </c>
      <c r="B6912" s="192" t="s">
        <v>4917</v>
      </c>
      <c r="C6912" s="196">
        <v>-57200</v>
      </c>
      <c r="D6912" s="196">
        <v>0</v>
      </c>
      <c r="E6912" s="196">
        <v>0</v>
      </c>
      <c r="F6912" s="196">
        <v>0</v>
      </c>
      <c r="G6912" s="196">
        <v>-57200</v>
      </c>
    </row>
    <row r="6913" spans="1:7" x14ac:dyDescent="0.3">
      <c r="A6913" s="198">
        <v>1037575368</v>
      </c>
      <c r="B6913" s="192" t="s">
        <v>1096</v>
      </c>
      <c r="C6913" s="196">
        <v>0</v>
      </c>
      <c r="D6913" s="196">
        <v>0</v>
      </c>
      <c r="E6913" s="196">
        <v>165000</v>
      </c>
      <c r="F6913" s="196">
        <v>-165000</v>
      </c>
      <c r="G6913" s="196">
        <v>-165000</v>
      </c>
    </row>
    <row r="6914" spans="1:7" x14ac:dyDescent="0.3">
      <c r="A6914" s="198">
        <v>21310940</v>
      </c>
      <c r="B6914" s="192" t="s">
        <v>4918</v>
      </c>
      <c r="C6914" s="196">
        <v>-99500</v>
      </c>
      <c r="D6914" s="196">
        <v>0</v>
      </c>
      <c r="E6914" s="196">
        <v>0</v>
      </c>
      <c r="F6914" s="196">
        <v>0</v>
      </c>
      <c r="G6914" s="196">
        <v>-99500</v>
      </c>
    </row>
    <row r="6915" spans="1:7" x14ac:dyDescent="0.3">
      <c r="A6915" s="198">
        <v>21994217</v>
      </c>
      <c r="B6915" s="192" t="s">
        <v>4919</v>
      </c>
      <c r="C6915" s="196">
        <v>-297000</v>
      </c>
      <c r="D6915" s="196">
        <v>0</v>
      </c>
      <c r="E6915" s="196">
        <v>0</v>
      </c>
      <c r="F6915" s="196">
        <v>0</v>
      </c>
      <c r="G6915" s="196">
        <v>-297000</v>
      </c>
    </row>
    <row r="6916" spans="1:7" x14ac:dyDescent="0.3">
      <c r="A6916" s="198">
        <v>1128422599</v>
      </c>
      <c r="B6916" s="192" t="s">
        <v>1098</v>
      </c>
      <c r="C6916" s="196">
        <v>0</v>
      </c>
      <c r="D6916" s="196">
        <v>0</v>
      </c>
      <c r="E6916" s="196">
        <v>50900</v>
      </c>
      <c r="F6916" s="196">
        <v>-50900</v>
      </c>
      <c r="G6916" s="196">
        <v>-50900</v>
      </c>
    </row>
    <row r="6917" spans="1:7" x14ac:dyDescent="0.3">
      <c r="A6917" s="198">
        <v>7481813</v>
      </c>
      <c r="B6917" s="192" t="s">
        <v>4920</v>
      </c>
      <c r="C6917" s="196">
        <v>-50900</v>
      </c>
      <c r="D6917" s="196">
        <v>0</v>
      </c>
      <c r="E6917" s="196">
        <v>0</v>
      </c>
      <c r="F6917" s="196">
        <v>0</v>
      </c>
      <c r="G6917" s="196">
        <v>-50900</v>
      </c>
    </row>
    <row r="6918" spans="1:7" x14ac:dyDescent="0.3">
      <c r="A6918" s="198">
        <v>32422436</v>
      </c>
      <c r="B6918" s="192" t="s">
        <v>4921</v>
      </c>
      <c r="C6918" s="196">
        <v>-203600</v>
      </c>
      <c r="D6918" s="196">
        <v>0</v>
      </c>
      <c r="E6918" s="196">
        <v>0</v>
      </c>
      <c r="F6918" s="196">
        <v>0</v>
      </c>
      <c r="G6918" s="196">
        <v>-203600</v>
      </c>
    </row>
    <row r="6919" spans="1:7" x14ac:dyDescent="0.3">
      <c r="A6919" s="198">
        <v>42824777</v>
      </c>
      <c r="B6919" s="192" t="s">
        <v>4922</v>
      </c>
      <c r="C6919" s="196">
        <v>-50900</v>
      </c>
      <c r="D6919" s="196">
        <v>0</v>
      </c>
      <c r="E6919" s="196">
        <v>0</v>
      </c>
      <c r="F6919" s="196">
        <v>0</v>
      </c>
      <c r="G6919" s="196">
        <v>-50900</v>
      </c>
    </row>
    <row r="6920" spans="1:7" x14ac:dyDescent="0.3">
      <c r="A6920" s="198">
        <v>21837970</v>
      </c>
      <c r="B6920" s="192" t="s">
        <v>4923</v>
      </c>
      <c r="C6920" s="196">
        <v>-57200</v>
      </c>
      <c r="D6920" s="196">
        <v>0</v>
      </c>
      <c r="E6920" s="196">
        <v>0</v>
      </c>
      <c r="F6920" s="196">
        <v>0</v>
      </c>
      <c r="G6920" s="196">
        <v>-57200</v>
      </c>
    </row>
    <row r="6921" spans="1:7" x14ac:dyDescent="0.3">
      <c r="A6921" s="198">
        <v>1037615140</v>
      </c>
      <c r="B6921" s="192" t="s">
        <v>4924</v>
      </c>
      <c r="C6921" s="196">
        <v>-50900</v>
      </c>
      <c r="D6921" s="196">
        <v>0</v>
      </c>
      <c r="E6921" s="196">
        <v>0</v>
      </c>
      <c r="F6921" s="196">
        <v>0</v>
      </c>
      <c r="G6921" s="196">
        <v>-50900</v>
      </c>
    </row>
    <row r="6922" spans="1:7" x14ac:dyDescent="0.3">
      <c r="A6922" s="198">
        <v>43582397</v>
      </c>
      <c r="B6922" s="192" t="s">
        <v>4925</v>
      </c>
      <c r="C6922" s="196">
        <v>-50900</v>
      </c>
      <c r="D6922" s="196">
        <v>0</v>
      </c>
      <c r="E6922" s="196">
        <v>0</v>
      </c>
      <c r="F6922" s="196">
        <v>0</v>
      </c>
      <c r="G6922" s="196">
        <v>-50900</v>
      </c>
    </row>
    <row r="6923" spans="1:7" x14ac:dyDescent="0.3">
      <c r="A6923" s="198">
        <v>43626087</v>
      </c>
      <c r="B6923" s="192" t="s">
        <v>4926</v>
      </c>
      <c r="C6923" s="196">
        <v>-50900</v>
      </c>
      <c r="D6923" s="196">
        <v>0</v>
      </c>
      <c r="E6923" s="196">
        <v>0</v>
      </c>
      <c r="F6923" s="196">
        <v>0</v>
      </c>
      <c r="G6923" s="196">
        <v>-50900</v>
      </c>
    </row>
    <row r="6924" spans="1:7" x14ac:dyDescent="0.3">
      <c r="A6924" s="198">
        <v>1017128494</v>
      </c>
      <c r="B6924" s="192" t="s">
        <v>4927</v>
      </c>
      <c r="C6924" s="196">
        <v>-50900</v>
      </c>
      <c r="D6924" s="196">
        <v>0</v>
      </c>
      <c r="E6924" s="196">
        <v>0</v>
      </c>
      <c r="F6924" s="196">
        <v>0</v>
      </c>
      <c r="G6924" s="196">
        <v>-50900</v>
      </c>
    </row>
    <row r="6925" spans="1:7" x14ac:dyDescent="0.3">
      <c r="A6925" s="198">
        <v>24324065</v>
      </c>
      <c r="B6925" s="192" t="s">
        <v>1100</v>
      </c>
      <c r="C6925" s="196">
        <v>-114400</v>
      </c>
      <c r="D6925" s="196">
        <v>0</v>
      </c>
      <c r="E6925" s="196">
        <v>57200</v>
      </c>
      <c r="F6925" s="196">
        <v>-57200</v>
      </c>
      <c r="G6925" s="196">
        <v>-171600</v>
      </c>
    </row>
    <row r="6926" spans="1:7" x14ac:dyDescent="0.3">
      <c r="A6926" s="198">
        <v>21823524</v>
      </c>
      <c r="B6926" s="192" t="s">
        <v>2419</v>
      </c>
      <c r="C6926" s="196">
        <v>-114400</v>
      </c>
      <c r="D6926" s="196">
        <v>0</v>
      </c>
      <c r="E6926" s="196">
        <v>0</v>
      </c>
      <c r="F6926" s="196">
        <v>0</v>
      </c>
      <c r="G6926" s="196">
        <v>-114400</v>
      </c>
    </row>
    <row r="6927" spans="1:7" x14ac:dyDescent="0.3">
      <c r="A6927" s="198">
        <v>1128416031</v>
      </c>
      <c r="B6927" s="192" t="s">
        <v>1101</v>
      </c>
      <c r="C6927" s="196">
        <v>0</v>
      </c>
      <c r="D6927" s="196">
        <v>0</v>
      </c>
      <c r="E6927" s="196">
        <v>101800</v>
      </c>
      <c r="F6927" s="196">
        <v>-101800</v>
      </c>
      <c r="G6927" s="196">
        <v>-101800</v>
      </c>
    </row>
    <row r="6928" spans="1:7" x14ac:dyDescent="0.3">
      <c r="A6928" s="198">
        <v>1152200375</v>
      </c>
      <c r="B6928" s="192" t="s">
        <v>4928</v>
      </c>
      <c r="C6928" s="196">
        <v>-47400</v>
      </c>
      <c r="D6928" s="196">
        <v>0</v>
      </c>
      <c r="E6928" s="196">
        <v>0</v>
      </c>
      <c r="F6928" s="196">
        <v>0</v>
      </c>
      <c r="G6928" s="196">
        <v>-47400</v>
      </c>
    </row>
    <row r="6929" spans="1:7" x14ac:dyDescent="0.3">
      <c r="A6929" s="198">
        <v>1039461121</v>
      </c>
      <c r="B6929" s="192" t="s">
        <v>4929</v>
      </c>
      <c r="C6929" s="196">
        <v>-47400</v>
      </c>
      <c r="D6929" s="196">
        <v>0</v>
      </c>
      <c r="E6929" s="196">
        <v>0</v>
      </c>
      <c r="F6929" s="196">
        <v>0</v>
      </c>
      <c r="G6929" s="196">
        <v>-47400</v>
      </c>
    </row>
    <row r="6930" spans="1:7" x14ac:dyDescent="0.3">
      <c r="A6930" s="198">
        <v>1037623046</v>
      </c>
      <c r="B6930" s="192" t="s">
        <v>1102</v>
      </c>
      <c r="C6930" s="196">
        <v>0</v>
      </c>
      <c r="D6930" s="196">
        <v>0</v>
      </c>
      <c r="E6930" s="196">
        <v>41400</v>
      </c>
      <c r="F6930" s="196">
        <v>-41400</v>
      </c>
      <c r="G6930" s="196">
        <v>-41400</v>
      </c>
    </row>
    <row r="6931" spans="1:7" x14ac:dyDescent="0.3">
      <c r="A6931" s="198">
        <v>1037572728</v>
      </c>
      <c r="B6931" s="192" t="s">
        <v>1104</v>
      </c>
      <c r="C6931" s="196">
        <v>0</v>
      </c>
      <c r="D6931" s="196">
        <v>0</v>
      </c>
      <c r="E6931" s="196">
        <v>50900</v>
      </c>
      <c r="F6931" s="196">
        <v>-50900</v>
      </c>
      <c r="G6931" s="196">
        <v>-50900</v>
      </c>
    </row>
    <row r="6932" spans="1:7" x14ac:dyDescent="0.3">
      <c r="A6932" s="198">
        <v>1020452454</v>
      </c>
      <c r="B6932" s="192" t="s">
        <v>4930</v>
      </c>
      <c r="C6932" s="196">
        <v>-70000</v>
      </c>
      <c r="D6932" s="196">
        <v>0</v>
      </c>
      <c r="E6932" s="196">
        <v>0</v>
      </c>
      <c r="F6932" s="196">
        <v>0</v>
      </c>
      <c r="G6932" s="196">
        <v>-70000</v>
      </c>
    </row>
    <row r="6933" spans="1:7" x14ac:dyDescent="0.3">
      <c r="A6933" s="198">
        <v>1035864867</v>
      </c>
      <c r="B6933" s="192" t="s">
        <v>4931</v>
      </c>
      <c r="C6933" s="196">
        <v>-45000</v>
      </c>
      <c r="D6933" s="196">
        <v>0</v>
      </c>
      <c r="E6933" s="196">
        <v>0</v>
      </c>
      <c r="F6933" s="196">
        <v>0</v>
      </c>
      <c r="G6933" s="196">
        <v>-45000</v>
      </c>
    </row>
    <row r="6934" spans="1:7" x14ac:dyDescent="0.3">
      <c r="A6934" s="198">
        <v>1040047438</v>
      </c>
      <c r="B6934" s="192" t="s">
        <v>4932</v>
      </c>
      <c r="C6934" s="196">
        <v>-150000</v>
      </c>
      <c r="D6934" s="196">
        <v>0</v>
      </c>
      <c r="E6934" s="196">
        <v>0</v>
      </c>
      <c r="F6934" s="196">
        <v>0</v>
      </c>
      <c r="G6934" s="196">
        <v>-150000</v>
      </c>
    </row>
    <row r="6935" spans="1:7" x14ac:dyDescent="0.3">
      <c r="A6935" s="198">
        <v>1019907455</v>
      </c>
      <c r="B6935" s="192" t="s">
        <v>1106</v>
      </c>
      <c r="C6935" s="196">
        <v>0</v>
      </c>
      <c r="D6935" s="196">
        <v>0</v>
      </c>
      <c r="E6935" s="196">
        <v>50900</v>
      </c>
      <c r="F6935" s="196">
        <v>-50900</v>
      </c>
      <c r="G6935" s="196">
        <v>-50900</v>
      </c>
    </row>
    <row r="6936" spans="1:7" x14ac:dyDescent="0.3">
      <c r="A6936" s="198">
        <v>1144061450</v>
      </c>
      <c r="B6936" s="192" t="s">
        <v>4933</v>
      </c>
      <c r="C6936" s="196">
        <v>-47400</v>
      </c>
      <c r="D6936" s="196">
        <v>0</v>
      </c>
      <c r="E6936" s="196">
        <v>0</v>
      </c>
      <c r="F6936" s="196">
        <v>0</v>
      </c>
      <c r="G6936" s="196">
        <v>-47400</v>
      </c>
    </row>
    <row r="6937" spans="1:7" x14ac:dyDescent="0.3">
      <c r="A6937" s="198">
        <v>1039472958</v>
      </c>
      <c r="B6937" s="192" t="s">
        <v>1107</v>
      </c>
      <c r="C6937" s="196">
        <v>0</v>
      </c>
      <c r="D6937" s="196">
        <v>0</v>
      </c>
      <c r="E6937" s="196">
        <v>36600</v>
      </c>
      <c r="F6937" s="196">
        <v>-36600</v>
      </c>
      <c r="G6937" s="196">
        <v>-36600</v>
      </c>
    </row>
    <row r="6938" spans="1:7" x14ac:dyDescent="0.3">
      <c r="A6938" s="198">
        <v>1034987621</v>
      </c>
      <c r="B6938" s="192" t="s">
        <v>4934</v>
      </c>
      <c r="C6938" s="196">
        <v>-57200</v>
      </c>
      <c r="D6938" s="196">
        <v>0</v>
      </c>
      <c r="E6938" s="196">
        <v>0</v>
      </c>
      <c r="F6938" s="196">
        <v>0</v>
      </c>
      <c r="G6938" s="196">
        <v>-57200</v>
      </c>
    </row>
    <row r="6939" spans="1:7" x14ac:dyDescent="0.3">
      <c r="A6939" s="198">
        <v>1037628637</v>
      </c>
      <c r="B6939" s="192" t="s">
        <v>4935</v>
      </c>
      <c r="C6939" s="196">
        <v>-47400</v>
      </c>
      <c r="D6939" s="196">
        <v>0</v>
      </c>
      <c r="E6939" s="196">
        <v>0</v>
      </c>
      <c r="F6939" s="196">
        <v>0</v>
      </c>
      <c r="G6939" s="196">
        <v>-47400</v>
      </c>
    </row>
    <row r="6940" spans="1:7" x14ac:dyDescent="0.3">
      <c r="A6940" s="198">
        <v>1045018418</v>
      </c>
      <c r="B6940" s="192" t="s">
        <v>4936</v>
      </c>
      <c r="C6940" s="196">
        <v>-52700</v>
      </c>
      <c r="D6940" s="196">
        <v>0</v>
      </c>
      <c r="E6940" s="196">
        <v>0</v>
      </c>
      <c r="F6940" s="196">
        <v>0</v>
      </c>
      <c r="G6940" s="196">
        <v>-52700</v>
      </c>
    </row>
    <row r="6941" spans="1:7" x14ac:dyDescent="0.3">
      <c r="A6941" s="198">
        <v>1017145171</v>
      </c>
      <c r="B6941" s="192" t="s">
        <v>1109</v>
      </c>
      <c r="C6941" s="196">
        <v>0</v>
      </c>
      <c r="D6941" s="196">
        <v>0</v>
      </c>
      <c r="E6941" s="196">
        <v>50900</v>
      </c>
      <c r="F6941" s="196">
        <v>-50900</v>
      </c>
      <c r="G6941" s="196">
        <v>-50900</v>
      </c>
    </row>
    <row r="6942" spans="1:7" x14ac:dyDescent="0.3">
      <c r="A6942" s="198">
        <v>1001013998</v>
      </c>
      <c r="B6942" s="192" t="s">
        <v>4937</v>
      </c>
      <c r="C6942" s="196">
        <v>-275000</v>
      </c>
      <c r="D6942" s="196">
        <v>0</v>
      </c>
      <c r="E6942" s="196">
        <v>0</v>
      </c>
      <c r="F6942" s="196">
        <v>0</v>
      </c>
      <c r="G6942" s="196">
        <v>-275000</v>
      </c>
    </row>
    <row r="6943" spans="1:7" x14ac:dyDescent="0.3">
      <c r="A6943" s="198">
        <v>43702249</v>
      </c>
      <c r="B6943" s="192" t="s">
        <v>4938</v>
      </c>
      <c r="C6943" s="196">
        <v>-520300</v>
      </c>
      <c r="D6943" s="196">
        <v>0</v>
      </c>
      <c r="E6943" s="196">
        <v>0</v>
      </c>
      <c r="F6943" s="196">
        <v>0</v>
      </c>
      <c r="G6943" s="196">
        <v>-520300</v>
      </c>
    </row>
    <row r="6944" spans="1:7" x14ac:dyDescent="0.3">
      <c r="A6944" s="198">
        <v>43738583</v>
      </c>
      <c r="B6944" s="192" t="s">
        <v>4939</v>
      </c>
      <c r="C6944" s="196">
        <v>-520300</v>
      </c>
      <c r="D6944" s="196">
        <v>0</v>
      </c>
      <c r="E6944" s="196">
        <v>0</v>
      </c>
      <c r="F6944" s="196">
        <v>0</v>
      </c>
      <c r="G6944" s="196">
        <v>-520300</v>
      </c>
    </row>
    <row r="6945" spans="1:7" x14ac:dyDescent="0.3">
      <c r="A6945" s="198">
        <v>21638029</v>
      </c>
      <c r="B6945" s="192" t="s">
        <v>4940</v>
      </c>
      <c r="C6945" s="196">
        <v>-101800</v>
      </c>
      <c r="D6945" s="196">
        <v>0</v>
      </c>
      <c r="E6945" s="196">
        <v>0</v>
      </c>
      <c r="F6945" s="196">
        <v>0</v>
      </c>
      <c r="G6945" s="196">
        <v>-101800</v>
      </c>
    </row>
    <row r="6946" spans="1:7" x14ac:dyDescent="0.3">
      <c r="A6946" s="198">
        <v>22023025</v>
      </c>
      <c r="B6946" s="192" t="s">
        <v>4941</v>
      </c>
      <c r="C6946" s="196">
        <v>-297000</v>
      </c>
      <c r="D6946" s="196">
        <v>0</v>
      </c>
      <c r="E6946" s="196">
        <v>0</v>
      </c>
      <c r="F6946" s="196">
        <v>0</v>
      </c>
      <c r="G6946" s="196">
        <v>-297000</v>
      </c>
    </row>
    <row r="6947" spans="1:7" x14ac:dyDescent="0.3">
      <c r="A6947" s="198">
        <v>1222703013</v>
      </c>
      <c r="B6947" s="192" t="s">
        <v>4942</v>
      </c>
      <c r="C6947" s="196">
        <v>-101800</v>
      </c>
      <c r="D6947" s="196">
        <v>0</v>
      </c>
      <c r="E6947" s="196">
        <v>0</v>
      </c>
      <c r="F6947" s="196">
        <v>0</v>
      </c>
      <c r="G6947" s="196">
        <v>-101800</v>
      </c>
    </row>
    <row r="6948" spans="1:7" x14ac:dyDescent="0.3">
      <c r="A6948" s="198">
        <v>1020306407</v>
      </c>
      <c r="B6948" s="192" t="s">
        <v>4943</v>
      </c>
      <c r="C6948" s="196">
        <v>-57200</v>
      </c>
      <c r="D6948" s="196">
        <v>0</v>
      </c>
      <c r="E6948" s="196">
        <v>0</v>
      </c>
      <c r="F6948" s="196">
        <v>0</v>
      </c>
      <c r="G6948" s="196">
        <v>-57200</v>
      </c>
    </row>
    <row r="6949" spans="1:7" x14ac:dyDescent="0.3">
      <c r="A6949" s="198">
        <v>1033203066</v>
      </c>
      <c r="B6949" s="192" t="s">
        <v>4944</v>
      </c>
      <c r="C6949" s="196">
        <v>-57200</v>
      </c>
      <c r="D6949" s="196">
        <v>0</v>
      </c>
      <c r="E6949" s="196">
        <v>0</v>
      </c>
      <c r="F6949" s="196">
        <v>0</v>
      </c>
      <c r="G6949" s="196">
        <v>-57200</v>
      </c>
    </row>
    <row r="6950" spans="1:7" x14ac:dyDescent="0.3">
      <c r="A6950" s="198">
        <v>1047404344</v>
      </c>
      <c r="B6950" s="192" t="s">
        <v>4945</v>
      </c>
      <c r="C6950" s="196">
        <v>-50900</v>
      </c>
      <c r="D6950" s="196">
        <v>0</v>
      </c>
      <c r="E6950" s="196">
        <v>0</v>
      </c>
      <c r="F6950" s="196">
        <v>0</v>
      </c>
      <c r="G6950" s="196">
        <v>-50900</v>
      </c>
    </row>
    <row r="6951" spans="1:7" x14ac:dyDescent="0.3">
      <c r="A6951" s="192" t="s">
        <v>1110</v>
      </c>
      <c r="B6951" s="192" t="s">
        <v>1111</v>
      </c>
      <c r="C6951" s="196">
        <v>0</v>
      </c>
      <c r="D6951" s="196">
        <v>0</v>
      </c>
      <c r="E6951" s="196">
        <v>162000</v>
      </c>
      <c r="F6951" s="196">
        <v>-162000</v>
      </c>
      <c r="G6951" s="196">
        <v>-162000</v>
      </c>
    </row>
    <row r="6952" spans="1:7" x14ac:dyDescent="0.3">
      <c r="A6952" s="198">
        <v>1105387802</v>
      </c>
      <c r="B6952" s="192" t="s">
        <v>4946</v>
      </c>
      <c r="C6952" s="196">
        <v>-50900</v>
      </c>
      <c r="D6952" s="196">
        <v>0</v>
      </c>
      <c r="E6952" s="196">
        <v>0</v>
      </c>
      <c r="F6952" s="196">
        <v>0</v>
      </c>
      <c r="G6952" s="196">
        <v>-50900</v>
      </c>
    </row>
    <row r="6953" spans="1:7" x14ac:dyDescent="0.3">
      <c r="A6953" s="198">
        <v>1020230907</v>
      </c>
      <c r="B6953" s="192" t="s">
        <v>4947</v>
      </c>
      <c r="C6953" s="196">
        <v>-41400</v>
      </c>
      <c r="D6953" s="196">
        <v>0</v>
      </c>
      <c r="E6953" s="196">
        <v>0</v>
      </c>
      <c r="F6953" s="196">
        <v>0</v>
      </c>
      <c r="G6953" s="196">
        <v>-41400</v>
      </c>
    </row>
    <row r="6954" spans="1:7" x14ac:dyDescent="0.3">
      <c r="A6954" s="198">
        <v>1020306039</v>
      </c>
      <c r="B6954" s="192" t="s">
        <v>4948</v>
      </c>
      <c r="C6954" s="196">
        <v>-50900</v>
      </c>
      <c r="D6954" s="196">
        <v>0</v>
      </c>
      <c r="E6954" s="196">
        <v>0</v>
      </c>
      <c r="F6954" s="196">
        <v>0</v>
      </c>
      <c r="G6954" s="196">
        <v>-50900</v>
      </c>
    </row>
    <row r="6955" spans="1:7" x14ac:dyDescent="0.3">
      <c r="A6955" s="198">
        <v>1023596127</v>
      </c>
      <c r="B6955" s="192" t="s">
        <v>4949</v>
      </c>
      <c r="C6955" s="196">
        <v>-50900</v>
      </c>
      <c r="D6955" s="196">
        <v>0</v>
      </c>
      <c r="E6955" s="196">
        <v>0</v>
      </c>
      <c r="F6955" s="196">
        <v>0</v>
      </c>
      <c r="G6955" s="196">
        <v>-50900</v>
      </c>
    </row>
    <row r="6956" spans="1:7" x14ac:dyDescent="0.3">
      <c r="A6956" s="198">
        <v>1034995604</v>
      </c>
      <c r="B6956" s="192" t="s">
        <v>4950</v>
      </c>
      <c r="C6956" s="196">
        <v>-96000</v>
      </c>
      <c r="D6956" s="196">
        <v>0</v>
      </c>
      <c r="E6956" s="196">
        <v>0</v>
      </c>
      <c r="F6956" s="196">
        <v>0</v>
      </c>
      <c r="G6956" s="196">
        <v>-96000</v>
      </c>
    </row>
    <row r="6957" spans="1:7" x14ac:dyDescent="0.3">
      <c r="A6957" s="198">
        <v>1035010261</v>
      </c>
      <c r="B6957" s="192" t="s">
        <v>4951</v>
      </c>
      <c r="C6957" s="196">
        <v>-57200</v>
      </c>
      <c r="D6957" s="196">
        <v>0</v>
      </c>
      <c r="E6957" s="196">
        <v>0</v>
      </c>
      <c r="F6957" s="196">
        <v>0</v>
      </c>
      <c r="G6957" s="196">
        <v>-57200</v>
      </c>
    </row>
    <row r="6958" spans="1:7" x14ac:dyDescent="0.3">
      <c r="A6958" s="198">
        <v>1034997534</v>
      </c>
      <c r="B6958" s="192" t="s">
        <v>4952</v>
      </c>
      <c r="C6958" s="196">
        <v>-50900</v>
      </c>
      <c r="D6958" s="196">
        <v>0</v>
      </c>
      <c r="E6958" s="196">
        <v>0</v>
      </c>
      <c r="F6958" s="196">
        <v>0</v>
      </c>
      <c r="G6958" s="196">
        <v>-50900</v>
      </c>
    </row>
    <row r="6959" spans="1:7" x14ac:dyDescent="0.3">
      <c r="A6959" s="198">
        <v>1011404776</v>
      </c>
      <c r="B6959" s="192" t="s">
        <v>4953</v>
      </c>
      <c r="C6959" s="196">
        <v>-43900</v>
      </c>
      <c r="D6959" s="196">
        <v>0</v>
      </c>
      <c r="E6959" s="196">
        <v>0</v>
      </c>
      <c r="F6959" s="196">
        <v>0</v>
      </c>
      <c r="G6959" s="196">
        <v>-43900</v>
      </c>
    </row>
    <row r="6960" spans="1:7" x14ac:dyDescent="0.3">
      <c r="A6960" s="198">
        <v>1035020840</v>
      </c>
      <c r="B6960" s="192" t="s">
        <v>4954</v>
      </c>
      <c r="C6960" s="196">
        <v>-25000</v>
      </c>
      <c r="D6960" s="196">
        <v>0</v>
      </c>
      <c r="E6960" s="196">
        <v>0</v>
      </c>
      <c r="F6960" s="196">
        <v>0</v>
      </c>
      <c r="G6960" s="196">
        <v>-25000</v>
      </c>
    </row>
    <row r="6961" spans="1:7" x14ac:dyDescent="0.3">
      <c r="A6961" s="198">
        <v>1013463802</v>
      </c>
      <c r="B6961" s="192" t="s">
        <v>4955</v>
      </c>
      <c r="C6961" s="196">
        <v>-23000</v>
      </c>
      <c r="D6961" s="196">
        <v>0</v>
      </c>
      <c r="E6961" s="196">
        <v>0</v>
      </c>
      <c r="F6961" s="196">
        <v>0</v>
      </c>
      <c r="G6961" s="196">
        <v>-23000</v>
      </c>
    </row>
    <row r="6962" spans="1:7" x14ac:dyDescent="0.3">
      <c r="A6962" s="198">
        <v>37880106</v>
      </c>
      <c r="B6962" s="192" t="s">
        <v>4956</v>
      </c>
      <c r="C6962" s="196">
        <v>-640000</v>
      </c>
      <c r="D6962" s="196">
        <v>0</v>
      </c>
      <c r="E6962" s="196">
        <v>0</v>
      </c>
      <c r="F6962" s="196">
        <v>0</v>
      </c>
      <c r="G6962" s="196">
        <v>-640000</v>
      </c>
    </row>
    <row r="6963" spans="1:7" x14ac:dyDescent="0.3">
      <c r="A6963" s="198">
        <v>1036460172</v>
      </c>
      <c r="B6963" s="192" t="s">
        <v>4957</v>
      </c>
      <c r="C6963" s="196">
        <v>-57200</v>
      </c>
      <c r="D6963" s="196">
        <v>0</v>
      </c>
      <c r="E6963" s="196">
        <v>0</v>
      </c>
      <c r="F6963" s="196">
        <v>0</v>
      </c>
      <c r="G6963" s="196">
        <v>-57200</v>
      </c>
    </row>
    <row r="6964" spans="1:7" x14ac:dyDescent="0.3">
      <c r="A6964" s="198">
        <v>1036950564</v>
      </c>
      <c r="B6964" s="192" t="s">
        <v>4958</v>
      </c>
      <c r="C6964" s="196">
        <v>-50900</v>
      </c>
      <c r="D6964" s="196">
        <v>0</v>
      </c>
      <c r="E6964" s="196">
        <v>0</v>
      </c>
      <c r="F6964" s="196">
        <v>0</v>
      </c>
      <c r="G6964" s="196">
        <v>-50900</v>
      </c>
    </row>
    <row r="6965" spans="1:7" x14ac:dyDescent="0.3">
      <c r="A6965" s="198">
        <v>1151949400</v>
      </c>
      <c r="B6965" s="192" t="s">
        <v>4959</v>
      </c>
      <c r="C6965" s="196">
        <v>-50900</v>
      </c>
      <c r="D6965" s="196">
        <v>0</v>
      </c>
      <c r="E6965" s="196">
        <v>0</v>
      </c>
      <c r="F6965" s="196">
        <v>0</v>
      </c>
      <c r="G6965" s="196">
        <v>-50900</v>
      </c>
    </row>
    <row r="6966" spans="1:7" x14ac:dyDescent="0.3">
      <c r="A6966" s="198">
        <v>21823038</v>
      </c>
      <c r="B6966" s="192" t="s">
        <v>1112</v>
      </c>
      <c r="C6966" s="196">
        <v>-57200</v>
      </c>
      <c r="D6966" s="196">
        <v>0</v>
      </c>
      <c r="E6966" s="196">
        <v>0</v>
      </c>
      <c r="F6966" s="196">
        <v>0</v>
      </c>
      <c r="G6966" s="196">
        <v>-57200</v>
      </c>
    </row>
    <row r="6967" spans="1:7" x14ac:dyDescent="0.3">
      <c r="A6967" s="198">
        <v>63393643</v>
      </c>
      <c r="B6967" s="192" t="s">
        <v>1113</v>
      </c>
      <c r="C6967" s="196">
        <v>0</v>
      </c>
      <c r="D6967" s="196">
        <v>0</v>
      </c>
      <c r="E6967" s="196">
        <v>50900</v>
      </c>
      <c r="F6967" s="196">
        <v>-50900</v>
      </c>
      <c r="G6967" s="196">
        <v>-50900</v>
      </c>
    </row>
    <row r="6968" spans="1:7" x14ac:dyDescent="0.3">
      <c r="A6968" s="198">
        <v>1035008835</v>
      </c>
      <c r="B6968" s="192" t="s">
        <v>4960</v>
      </c>
      <c r="C6968" s="196">
        <v>-50900</v>
      </c>
      <c r="D6968" s="196">
        <v>0</v>
      </c>
      <c r="E6968" s="196">
        <v>0</v>
      </c>
      <c r="F6968" s="196">
        <v>0</v>
      </c>
      <c r="G6968" s="196">
        <v>-50900</v>
      </c>
    </row>
    <row r="6969" spans="1:7" x14ac:dyDescent="0.3">
      <c r="A6969" s="198">
        <v>21513873</v>
      </c>
      <c r="B6969" s="192" t="s">
        <v>4961</v>
      </c>
      <c r="C6969" s="196">
        <v>-297000</v>
      </c>
      <c r="D6969" s="196">
        <v>0</v>
      </c>
      <c r="E6969" s="196">
        <v>0</v>
      </c>
      <c r="F6969" s="196">
        <v>0</v>
      </c>
      <c r="G6969" s="196">
        <v>-297000</v>
      </c>
    </row>
    <row r="6970" spans="1:7" x14ac:dyDescent="0.3">
      <c r="A6970" s="198">
        <v>39181781</v>
      </c>
      <c r="B6970" s="192" t="s">
        <v>4962</v>
      </c>
      <c r="C6970" s="196">
        <v>-47000</v>
      </c>
      <c r="D6970" s="196">
        <v>0</v>
      </c>
      <c r="E6970" s="196">
        <v>0</v>
      </c>
      <c r="F6970" s="196">
        <v>0</v>
      </c>
      <c r="G6970" s="196">
        <v>-47000</v>
      </c>
    </row>
    <row r="6971" spans="1:7" x14ac:dyDescent="0.3">
      <c r="A6971" s="198">
        <v>32527807</v>
      </c>
      <c r="B6971" s="192" t="s">
        <v>4963</v>
      </c>
      <c r="C6971" s="196">
        <v>-50900</v>
      </c>
      <c r="D6971" s="196">
        <v>0</v>
      </c>
      <c r="E6971" s="196">
        <v>0</v>
      </c>
      <c r="F6971" s="196">
        <v>0</v>
      </c>
      <c r="G6971" s="196">
        <v>-50900</v>
      </c>
    </row>
    <row r="6972" spans="1:7" x14ac:dyDescent="0.3">
      <c r="A6972" s="198">
        <v>1034517976</v>
      </c>
      <c r="B6972" s="192" t="s">
        <v>4964</v>
      </c>
      <c r="C6972" s="196">
        <v>-82800</v>
      </c>
      <c r="D6972" s="196">
        <v>0</v>
      </c>
      <c r="E6972" s="196">
        <v>0</v>
      </c>
      <c r="F6972" s="196">
        <v>0</v>
      </c>
      <c r="G6972" s="196">
        <v>-82800</v>
      </c>
    </row>
    <row r="6973" spans="1:7" x14ac:dyDescent="0.3">
      <c r="A6973" s="198">
        <v>1035230115</v>
      </c>
      <c r="B6973" s="192" t="s">
        <v>4965</v>
      </c>
      <c r="C6973" s="196">
        <v>-37600</v>
      </c>
      <c r="D6973" s="196">
        <v>0</v>
      </c>
      <c r="E6973" s="196">
        <v>0</v>
      </c>
      <c r="F6973" s="196">
        <v>0</v>
      </c>
      <c r="G6973" s="196">
        <v>-37600</v>
      </c>
    </row>
    <row r="6974" spans="1:7" x14ac:dyDescent="0.3">
      <c r="A6974" s="198">
        <v>1152455277</v>
      </c>
      <c r="B6974" s="192" t="s">
        <v>4966</v>
      </c>
      <c r="C6974" s="196">
        <v>-47400</v>
      </c>
      <c r="D6974" s="196">
        <v>0</v>
      </c>
      <c r="E6974" s="196">
        <v>0</v>
      </c>
      <c r="F6974" s="196">
        <v>0</v>
      </c>
      <c r="G6974" s="196">
        <v>-47400</v>
      </c>
    </row>
    <row r="6975" spans="1:7" x14ac:dyDescent="0.3">
      <c r="A6975" s="198">
        <v>1000549443</v>
      </c>
      <c r="B6975" s="192" t="s">
        <v>1114</v>
      </c>
      <c r="C6975" s="196">
        <v>0</v>
      </c>
      <c r="D6975" s="196">
        <v>0</v>
      </c>
      <c r="E6975" s="196">
        <v>54200</v>
      </c>
      <c r="F6975" s="196">
        <v>-54200</v>
      </c>
      <c r="G6975" s="196">
        <v>-54200</v>
      </c>
    </row>
    <row r="6976" spans="1:7" x14ac:dyDescent="0.3">
      <c r="A6976" s="198">
        <v>1239488366</v>
      </c>
      <c r="B6976" s="192" t="s">
        <v>4967</v>
      </c>
      <c r="C6976" s="196">
        <v>-50900</v>
      </c>
      <c r="D6976" s="196">
        <v>0</v>
      </c>
      <c r="E6976" s="196">
        <v>0</v>
      </c>
      <c r="F6976" s="196">
        <v>0</v>
      </c>
      <c r="G6976" s="196">
        <v>-50900</v>
      </c>
    </row>
    <row r="6977" spans="1:7" x14ac:dyDescent="0.3">
      <c r="A6977" s="198">
        <v>1000639623</v>
      </c>
      <c r="B6977" s="192" t="s">
        <v>1115</v>
      </c>
      <c r="C6977" s="196">
        <v>0</v>
      </c>
      <c r="D6977" s="196">
        <v>0</v>
      </c>
      <c r="E6977" s="196">
        <v>190000</v>
      </c>
      <c r="F6977" s="196">
        <v>-190000</v>
      </c>
      <c r="G6977" s="196">
        <v>-190000</v>
      </c>
    </row>
    <row r="6978" spans="1:7" x14ac:dyDescent="0.3">
      <c r="A6978" s="198">
        <v>1045735108</v>
      </c>
      <c r="B6978" s="192" t="s">
        <v>4968</v>
      </c>
      <c r="C6978" s="196">
        <v>-270000</v>
      </c>
      <c r="D6978" s="196">
        <v>0</v>
      </c>
      <c r="E6978" s="196">
        <v>0</v>
      </c>
      <c r="F6978" s="196">
        <v>0</v>
      </c>
      <c r="G6978" s="196">
        <v>-270000</v>
      </c>
    </row>
    <row r="6979" spans="1:7" x14ac:dyDescent="0.3">
      <c r="A6979" s="198">
        <v>1001420013</v>
      </c>
      <c r="B6979" s="192" t="s">
        <v>1116</v>
      </c>
      <c r="C6979" s="196">
        <v>-162000</v>
      </c>
      <c r="D6979" s="196">
        <v>0</v>
      </c>
      <c r="E6979" s="196">
        <v>0</v>
      </c>
      <c r="F6979" s="196">
        <v>0</v>
      </c>
      <c r="G6979" s="196">
        <v>-162000</v>
      </c>
    </row>
    <row r="6980" spans="1:7" x14ac:dyDescent="0.3">
      <c r="A6980" s="198">
        <v>1152458605</v>
      </c>
      <c r="B6980" s="192" t="s">
        <v>4969</v>
      </c>
      <c r="C6980" s="196">
        <v>-101800</v>
      </c>
      <c r="D6980" s="196">
        <v>0</v>
      </c>
      <c r="E6980" s="196">
        <v>0</v>
      </c>
      <c r="F6980" s="196">
        <v>0</v>
      </c>
      <c r="G6980" s="196">
        <v>-101800</v>
      </c>
    </row>
    <row r="6981" spans="1:7" x14ac:dyDescent="0.3">
      <c r="A6981" s="198">
        <v>1035878119</v>
      </c>
      <c r="B6981" s="192" t="s">
        <v>4970</v>
      </c>
      <c r="C6981" s="196">
        <v>-135000</v>
      </c>
      <c r="D6981" s="196">
        <v>0</v>
      </c>
      <c r="E6981" s="196">
        <v>0</v>
      </c>
      <c r="F6981" s="196">
        <v>0</v>
      </c>
      <c r="G6981" s="196">
        <v>-135000</v>
      </c>
    </row>
    <row r="6982" spans="1:7" x14ac:dyDescent="0.3">
      <c r="A6982" s="198">
        <v>43209723</v>
      </c>
      <c r="B6982" s="192" t="s">
        <v>1117</v>
      </c>
      <c r="C6982" s="196">
        <v>0</v>
      </c>
      <c r="D6982" s="196">
        <v>0</v>
      </c>
      <c r="E6982" s="196">
        <v>50900</v>
      </c>
      <c r="F6982" s="196">
        <v>-50900</v>
      </c>
      <c r="G6982" s="196">
        <v>-50900</v>
      </c>
    </row>
    <row r="6983" spans="1:7" x14ac:dyDescent="0.3">
      <c r="A6983" s="198">
        <v>1031943683</v>
      </c>
      <c r="B6983" s="192" t="s">
        <v>1118</v>
      </c>
      <c r="C6983" s="196">
        <v>0</v>
      </c>
      <c r="D6983" s="196">
        <v>0</v>
      </c>
      <c r="E6983" s="196">
        <v>57200</v>
      </c>
      <c r="F6983" s="196">
        <v>-57200</v>
      </c>
      <c r="G6983" s="196">
        <v>-57200</v>
      </c>
    </row>
    <row r="6984" spans="1:7" x14ac:dyDescent="0.3">
      <c r="A6984" s="198">
        <v>1032251436</v>
      </c>
      <c r="B6984" s="192" t="s">
        <v>4971</v>
      </c>
      <c r="C6984" s="196">
        <v>-319000</v>
      </c>
      <c r="D6984" s="196">
        <v>0</v>
      </c>
      <c r="E6984" s="196">
        <v>0</v>
      </c>
      <c r="F6984" s="196">
        <v>0</v>
      </c>
      <c r="G6984" s="196">
        <v>-319000</v>
      </c>
    </row>
    <row r="6985" spans="1:7" x14ac:dyDescent="0.3">
      <c r="A6985" s="198">
        <v>43221656</v>
      </c>
      <c r="B6985" s="192" t="s">
        <v>4972</v>
      </c>
      <c r="C6985" s="196">
        <v>-57200</v>
      </c>
      <c r="D6985" s="196">
        <v>0</v>
      </c>
      <c r="E6985" s="196">
        <v>0</v>
      </c>
      <c r="F6985" s="196">
        <v>0</v>
      </c>
      <c r="G6985" s="196">
        <v>-57200</v>
      </c>
    </row>
    <row r="6986" spans="1:7" x14ac:dyDescent="0.3">
      <c r="A6986" s="198">
        <v>1000570109</v>
      </c>
      <c r="B6986" s="192" t="s">
        <v>4973</v>
      </c>
      <c r="C6986" s="196">
        <v>-47400</v>
      </c>
      <c r="D6986" s="196">
        <v>0</v>
      </c>
      <c r="E6986" s="196">
        <v>0</v>
      </c>
      <c r="F6986" s="196">
        <v>0</v>
      </c>
      <c r="G6986" s="196">
        <v>-47400</v>
      </c>
    </row>
    <row r="6987" spans="1:7" x14ac:dyDescent="0.3">
      <c r="A6987" s="198">
        <v>1152208854</v>
      </c>
      <c r="B6987" s="192" t="s">
        <v>4974</v>
      </c>
      <c r="C6987" s="196">
        <v>-50900</v>
      </c>
      <c r="D6987" s="196">
        <v>0</v>
      </c>
      <c r="E6987" s="196">
        <v>0</v>
      </c>
      <c r="F6987" s="196">
        <v>0</v>
      </c>
      <c r="G6987" s="196">
        <v>-50900</v>
      </c>
    </row>
    <row r="6988" spans="1:7" x14ac:dyDescent="0.3">
      <c r="A6988" s="198">
        <v>1017149668</v>
      </c>
      <c r="B6988" s="192" t="s">
        <v>1119</v>
      </c>
      <c r="C6988" s="196">
        <v>0</v>
      </c>
      <c r="D6988" s="196">
        <v>0</v>
      </c>
      <c r="E6988" s="196">
        <v>50900</v>
      </c>
      <c r="F6988" s="196">
        <v>-50900</v>
      </c>
      <c r="G6988" s="196">
        <v>-50900</v>
      </c>
    </row>
    <row r="6989" spans="1:7" x14ac:dyDescent="0.3">
      <c r="A6989" s="198">
        <v>1098731315</v>
      </c>
      <c r="B6989" s="192" t="s">
        <v>4975</v>
      </c>
      <c r="C6989" s="196">
        <v>-270000</v>
      </c>
      <c r="D6989" s="196">
        <v>0</v>
      </c>
      <c r="E6989" s="196">
        <v>0</v>
      </c>
      <c r="F6989" s="196">
        <v>0</v>
      </c>
      <c r="G6989" s="196">
        <v>-270000</v>
      </c>
    </row>
    <row r="6990" spans="1:7" x14ac:dyDescent="0.3">
      <c r="A6990" s="198">
        <v>1152215004</v>
      </c>
      <c r="B6990" s="192" t="s">
        <v>4976</v>
      </c>
      <c r="C6990" s="196">
        <v>-30000</v>
      </c>
      <c r="D6990" s="196">
        <v>0</v>
      </c>
      <c r="E6990" s="196">
        <v>0</v>
      </c>
      <c r="F6990" s="196">
        <v>0</v>
      </c>
      <c r="G6990" s="196">
        <v>-30000</v>
      </c>
    </row>
    <row r="6991" spans="1:7" x14ac:dyDescent="0.3">
      <c r="A6991" s="198">
        <v>1032443558</v>
      </c>
      <c r="B6991" s="192" t="s">
        <v>4977</v>
      </c>
      <c r="C6991" s="196">
        <v>-50900</v>
      </c>
      <c r="D6991" s="196">
        <v>0</v>
      </c>
      <c r="E6991" s="196">
        <v>0</v>
      </c>
      <c r="F6991" s="196">
        <v>0</v>
      </c>
      <c r="G6991" s="196">
        <v>-50900</v>
      </c>
    </row>
    <row r="6992" spans="1:7" x14ac:dyDescent="0.3">
      <c r="A6992" s="198">
        <v>1035392403</v>
      </c>
      <c r="B6992" s="192" t="s">
        <v>4978</v>
      </c>
      <c r="C6992" s="196">
        <v>-297000</v>
      </c>
      <c r="D6992" s="196">
        <v>0</v>
      </c>
      <c r="E6992" s="196">
        <v>0</v>
      </c>
      <c r="F6992" s="196">
        <v>0</v>
      </c>
      <c r="G6992" s="196">
        <v>-297000</v>
      </c>
    </row>
    <row r="6993" spans="1:7" x14ac:dyDescent="0.3">
      <c r="A6993" s="198">
        <v>1011093445</v>
      </c>
      <c r="B6993" s="192" t="s">
        <v>4979</v>
      </c>
      <c r="C6993" s="196">
        <v>-50900</v>
      </c>
      <c r="D6993" s="196">
        <v>0</v>
      </c>
      <c r="E6993" s="196">
        <v>0</v>
      </c>
      <c r="F6993" s="196">
        <v>0</v>
      </c>
      <c r="G6993" s="196">
        <v>-50900</v>
      </c>
    </row>
    <row r="6994" spans="1:7" x14ac:dyDescent="0.3">
      <c r="A6994" s="198">
        <v>1020322579</v>
      </c>
      <c r="B6994" s="192" t="s">
        <v>4980</v>
      </c>
      <c r="C6994" s="196">
        <v>-50900</v>
      </c>
      <c r="D6994" s="196">
        <v>0</v>
      </c>
      <c r="E6994" s="196">
        <v>0</v>
      </c>
      <c r="F6994" s="196">
        <v>0</v>
      </c>
      <c r="G6994" s="196">
        <v>-50900</v>
      </c>
    </row>
    <row r="6995" spans="1:7" x14ac:dyDescent="0.3">
      <c r="A6995" s="198">
        <v>1037615050</v>
      </c>
      <c r="B6995" s="192" t="s">
        <v>4981</v>
      </c>
      <c r="C6995" s="196">
        <v>-50900</v>
      </c>
      <c r="D6995" s="196">
        <v>0</v>
      </c>
      <c r="E6995" s="196">
        <v>0</v>
      </c>
      <c r="F6995" s="196">
        <v>0</v>
      </c>
      <c r="G6995" s="196">
        <v>-50900</v>
      </c>
    </row>
    <row r="6996" spans="1:7" x14ac:dyDescent="0.3">
      <c r="A6996" s="198">
        <v>1036682502</v>
      </c>
      <c r="B6996" s="192" t="s">
        <v>4982</v>
      </c>
      <c r="C6996" s="196">
        <v>-57200</v>
      </c>
      <c r="D6996" s="196">
        <v>0</v>
      </c>
      <c r="E6996" s="196">
        <v>0</v>
      </c>
      <c r="F6996" s="196">
        <v>0</v>
      </c>
      <c r="G6996" s="196">
        <v>-57200</v>
      </c>
    </row>
    <row r="6997" spans="1:7" x14ac:dyDescent="0.3">
      <c r="A6997" s="198">
        <v>52995290</v>
      </c>
      <c r="B6997" s="192" t="s">
        <v>4983</v>
      </c>
      <c r="C6997" s="196">
        <v>-50900</v>
      </c>
      <c r="D6997" s="196">
        <v>0</v>
      </c>
      <c r="E6997" s="196">
        <v>0</v>
      </c>
      <c r="F6997" s="196">
        <v>0</v>
      </c>
      <c r="G6997" s="196">
        <v>-50900</v>
      </c>
    </row>
    <row r="6998" spans="1:7" x14ac:dyDescent="0.3">
      <c r="A6998" s="198">
        <v>4864291</v>
      </c>
      <c r="B6998" s="192" t="s">
        <v>4984</v>
      </c>
      <c r="C6998" s="196">
        <v>-50900</v>
      </c>
      <c r="D6998" s="196">
        <v>0</v>
      </c>
      <c r="E6998" s="196">
        <v>0</v>
      </c>
      <c r="F6998" s="196">
        <v>0</v>
      </c>
      <c r="G6998" s="196">
        <v>-50900</v>
      </c>
    </row>
    <row r="6999" spans="1:7" x14ac:dyDescent="0.3">
      <c r="A6999" s="198">
        <v>43628067</v>
      </c>
      <c r="B6999" s="192" t="s">
        <v>4985</v>
      </c>
      <c r="C6999" s="196">
        <v>-50900</v>
      </c>
      <c r="D6999" s="196">
        <v>0</v>
      </c>
      <c r="E6999" s="196">
        <v>0</v>
      </c>
      <c r="F6999" s="196">
        <v>0</v>
      </c>
      <c r="G6999" s="196">
        <v>-50900</v>
      </c>
    </row>
    <row r="7000" spans="1:7" x14ac:dyDescent="0.3">
      <c r="A7000" s="198">
        <v>1037611822</v>
      </c>
      <c r="B7000" s="192" t="s">
        <v>1124</v>
      </c>
      <c r="C7000" s="196">
        <v>-297000</v>
      </c>
      <c r="D7000" s="196">
        <v>0</v>
      </c>
      <c r="E7000" s="196">
        <v>319000</v>
      </c>
      <c r="F7000" s="196">
        <v>-319000</v>
      </c>
      <c r="G7000" s="196">
        <v>-616000</v>
      </c>
    </row>
    <row r="7001" spans="1:7" x14ac:dyDescent="0.3">
      <c r="A7001" s="198">
        <v>32469653</v>
      </c>
      <c r="B7001" s="192" t="s">
        <v>4986</v>
      </c>
      <c r="C7001" s="196">
        <v>-50900</v>
      </c>
      <c r="D7001" s="196">
        <v>0</v>
      </c>
      <c r="E7001" s="196">
        <v>0</v>
      </c>
      <c r="F7001" s="196">
        <v>0</v>
      </c>
      <c r="G7001" s="196">
        <v>-50900</v>
      </c>
    </row>
    <row r="7002" spans="1:7" x14ac:dyDescent="0.3">
      <c r="A7002" s="198">
        <v>1025662557</v>
      </c>
      <c r="B7002" s="192" t="s">
        <v>4987</v>
      </c>
      <c r="C7002" s="196">
        <v>-38400</v>
      </c>
      <c r="D7002" s="196">
        <v>0</v>
      </c>
      <c r="E7002" s="196">
        <v>0</v>
      </c>
      <c r="F7002" s="196">
        <v>0</v>
      </c>
      <c r="G7002" s="196">
        <v>-38400</v>
      </c>
    </row>
    <row r="7003" spans="1:7" x14ac:dyDescent="0.3">
      <c r="A7003" s="198">
        <v>1067636707</v>
      </c>
      <c r="B7003" s="192" t="s">
        <v>4988</v>
      </c>
      <c r="C7003" s="196">
        <v>-340000</v>
      </c>
      <c r="D7003" s="196">
        <v>0</v>
      </c>
      <c r="E7003" s="196">
        <v>0</v>
      </c>
      <c r="F7003" s="196">
        <v>0</v>
      </c>
      <c r="G7003" s="196">
        <v>-340000</v>
      </c>
    </row>
    <row r="7004" spans="1:7" x14ac:dyDescent="0.3">
      <c r="A7004" s="198">
        <v>1037654272</v>
      </c>
      <c r="B7004" s="192" t="s">
        <v>4989</v>
      </c>
      <c r="C7004" s="196">
        <v>-47400</v>
      </c>
      <c r="D7004" s="196">
        <v>0</v>
      </c>
      <c r="E7004" s="196">
        <v>0</v>
      </c>
      <c r="F7004" s="196">
        <v>0</v>
      </c>
      <c r="G7004" s="196">
        <v>-47400</v>
      </c>
    </row>
    <row r="7005" spans="1:7" x14ac:dyDescent="0.3">
      <c r="A7005" s="198">
        <v>1013466934</v>
      </c>
      <c r="B7005" s="192" t="s">
        <v>4990</v>
      </c>
      <c r="C7005" s="196">
        <v>-50900</v>
      </c>
      <c r="D7005" s="196">
        <v>0</v>
      </c>
      <c r="E7005" s="196">
        <v>0</v>
      </c>
      <c r="F7005" s="196">
        <v>0</v>
      </c>
      <c r="G7005" s="196">
        <v>-50900</v>
      </c>
    </row>
    <row r="7006" spans="1:7" x14ac:dyDescent="0.3">
      <c r="A7006" s="198">
        <v>1125229920</v>
      </c>
      <c r="B7006" s="192" t="s">
        <v>4991</v>
      </c>
      <c r="C7006" s="196">
        <v>-50900</v>
      </c>
      <c r="D7006" s="196">
        <v>0</v>
      </c>
      <c r="E7006" s="196">
        <v>0</v>
      </c>
      <c r="F7006" s="196">
        <v>0</v>
      </c>
      <c r="G7006" s="196">
        <v>-50900</v>
      </c>
    </row>
    <row r="7007" spans="1:7" x14ac:dyDescent="0.3">
      <c r="A7007" s="198">
        <v>43875109</v>
      </c>
      <c r="B7007" s="192" t="s">
        <v>4992</v>
      </c>
      <c r="C7007" s="196">
        <v>-50900</v>
      </c>
      <c r="D7007" s="196">
        <v>0</v>
      </c>
      <c r="E7007" s="196">
        <v>0</v>
      </c>
      <c r="F7007" s="196">
        <v>0</v>
      </c>
      <c r="G7007" s="196">
        <v>-50900</v>
      </c>
    </row>
    <row r="7008" spans="1:7" x14ac:dyDescent="0.3">
      <c r="A7008" s="198">
        <v>43993079</v>
      </c>
      <c r="B7008" s="192" t="s">
        <v>4993</v>
      </c>
      <c r="C7008" s="196">
        <v>-47400</v>
      </c>
      <c r="D7008" s="196">
        <v>0</v>
      </c>
      <c r="E7008" s="196">
        <v>0</v>
      </c>
      <c r="F7008" s="196">
        <v>0</v>
      </c>
      <c r="G7008" s="196">
        <v>-47400</v>
      </c>
    </row>
    <row r="7009" spans="1:7" x14ac:dyDescent="0.3">
      <c r="A7009" s="198">
        <v>1037667883</v>
      </c>
      <c r="B7009" s="192" t="s">
        <v>4994</v>
      </c>
      <c r="C7009" s="196">
        <v>-47000</v>
      </c>
      <c r="D7009" s="196">
        <v>0</v>
      </c>
      <c r="E7009" s="196">
        <v>0</v>
      </c>
      <c r="F7009" s="196">
        <v>0</v>
      </c>
      <c r="G7009" s="196">
        <v>-47000</v>
      </c>
    </row>
    <row r="7010" spans="1:7" x14ac:dyDescent="0.3">
      <c r="A7010" s="198">
        <v>1000409849</v>
      </c>
      <c r="B7010" s="192" t="s">
        <v>4995</v>
      </c>
      <c r="C7010" s="196">
        <v>-50900</v>
      </c>
      <c r="D7010" s="196">
        <v>0</v>
      </c>
      <c r="E7010" s="196">
        <v>0</v>
      </c>
      <c r="F7010" s="196">
        <v>0</v>
      </c>
      <c r="G7010" s="196">
        <v>-50900</v>
      </c>
    </row>
    <row r="7011" spans="1:7" x14ac:dyDescent="0.3">
      <c r="A7011" s="198">
        <v>43759906</v>
      </c>
      <c r="B7011" s="192" t="s">
        <v>4996</v>
      </c>
      <c r="C7011" s="196">
        <v>-380000</v>
      </c>
      <c r="D7011" s="196">
        <v>0</v>
      </c>
      <c r="E7011" s="196">
        <v>0</v>
      </c>
      <c r="F7011" s="196">
        <v>0</v>
      </c>
      <c r="G7011" s="196">
        <v>-380000</v>
      </c>
    </row>
    <row r="7012" spans="1:7" x14ac:dyDescent="0.3">
      <c r="A7012" s="198">
        <v>1034996987</v>
      </c>
      <c r="B7012" s="192" t="s">
        <v>4997</v>
      </c>
      <c r="C7012" s="196">
        <v>-54200</v>
      </c>
      <c r="D7012" s="196">
        <v>0</v>
      </c>
      <c r="E7012" s="196">
        <v>0</v>
      </c>
      <c r="F7012" s="196">
        <v>0</v>
      </c>
      <c r="G7012" s="196">
        <v>-54200</v>
      </c>
    </row>
    <row r="7013" spans="1:7" x14ac:dyDescent="0.3">
      <c r="A7013" s="198">
        <v>1001368377</v>
      </c>
      <c r="B7013" s="192" t="s">
        <v>1125</v>
      </c>
      <c r="C7013" s="196">
        <v>0</v>
      </c>
      <c r="D7013" s="196">
        <v>0</v>
      </c>
      <c r="E7013" s="196">
        <v>57200</v>
      </c>
      <c r="F7013" s="196">
        <v>-57200</v>
      </c>
      <c r="G7013" s="196">
        <v>-57200</v>
      </c>
    </row>
    <row r="7014" spans="1:7" x14ac:dyDescent="0.3">
      <c r="A7014" s="198">
        <v>1152205930</v>
      </c>
      <c r="B7014" s="192" t="s">
        <v>4998</v>
      </c>
      <c r="C7014" s="196">
        <v>-100000</v>
      </c>
      <c r="D7014" s="196">
        <v>0</v>
      </c>
      <c r="E7014" s="196">
        <v>0</v>
      </c>
      <c r="F7014" s="196">
        <v>0</v>
      </c>
      <c r="G7014" s="196">
        <v>-100000</v>
      </c>
    </row>
    <row r="7015" spans="1:7" x14ac:dyDescent="0.3">
      <c r="A7015" s="198">
        <v>1047479753</v>
      </c>
      <c r="B7015" s="192" t="s">
        <v>4999</v>
      </c>
      <c r="C7015" s="196">
        <v>-290000</v>
      </c>
      <c r="D7015" s="196">
        <v>0</v>
      </c>
      <c r="E7015" s="196">
        <v>0</v>
      </c>
      <c r="F7015" s="196">
        <v>0</v>
      </c>
      <c r="G7015" s="196">
        <v>-290000</v>
      </c>
    </row>
    <row r="7016" spans="1:7" x14ac:dyDescent="0.3">
      <c r="A7016" s="198">
        <v>42866598</v>
      </c>
      <c r="B7016" s="192" t="s">
        <v>5000</v>
      </c>
      <c r="C7016" s="196">
        <v>-50900</v>
      </c>
      <c r="D7016" s="196">
        <v>0</v>
      </c>
      <c r="E7016" s="196">
        <v>0</v>
      </c>
      <c r="F7016" s="196">
        <v>0</v>
      </c>
      <c r="G7016" s="196">
        <v>-50900</v>
      </c>
    </row>
    <row r="7017" spans="1:7" x14ac:dyDescent="0.3">
      <c r="A7017" s="198">
        <v>41700110</v>
      </c>
      <c r="B7017" s="192" t="s">
        <v>5001</v>
      </c>
      <c r="C7017" s="196">
        <v>-50900</v>
      </c>
      <c r="D7017" s="196">
        <v>0</v>
      </c>
      <c r="E7017" s="196">
        <v>0</v>
      </c>
      <c r="F7017" s="196">
        <v>0</v>
      </c>
      <c r="G7017" s="196">
        <v>-50900</v>
      </c>
    </row>
    <row r="7018" spans="1:7" x14ac:dyDescent="0.3">
      <c r="A7018" s="198">
        <v>21437687</v>
      </c>
      <c r="B7018" s="192" t="s">
        <v>5002</v>
      </c>
      <c r="C7018" s="196">
        <v>-20000</v>
      </c>
      <c r="D7018" s="196">
        <v>0</v>
      </c>
      <c r="E7018" s="196">
        <v>0</v>
      </c>
      <c r="F7018" s="196">
        <v>0</v>
      </c>
      <c r="G7018" s="196">
        <v>-20000</v>
      </c>
    </row>
    <row r="7019" spans="1:7" x14ac:dyDescent="0.3">
      <c r="A7019" s="198">
        <v>43613445</v>
      </c>
      <c r="B7019" s="192" t="s">
        <v>1126</v>
      </c>
      <c r="C7019" s="196">
        <v>0</v>
      </c>
      <c r="D7019" s="196">
        <v>0</v>
      </c>
      <c r="E7019" s="196">
        <v>50900</v>
      </c>
      <c r="F7019" s="196">
        <v>-50900</v>
      </c>
      <c r="G7019" s="196">
        <v>-50900</v>
      </c>
    </row>
    <row r="7020" spans="1:7" x14ac:dyDescent="0.3">
      <c r="A7020" s="198">
        <v>43436837</v>
      </c>
      <c r="B7020" s="192" t="s">
        <v>1127</v>
      </c>
      <c r="C7020" s="196">
        <v>0</v>
      </c>
      <c r="D7020" s="196">
        <v>0</v>
      </c>
      <c r="E7020" s="196">
        <v>297000</v>
      </c>
      <c r="F7020" s="196">
        <v>-297000</v>
      </c>
      <c r="G7020" s="196">
        <v>-297000</v>
      </c>
    </row>
    <row r="7021" spans="1:7" x14ac:dyDescent="0.3">
      <c r="A7021" s="198">
        <v>1128455338</v>
      </c>
      <c r="B7021" s="192" t="s">
        <v>5003</v>
      </c>
      <c r="C7021" s="196">
        <v>-50900</v>
      </c>
      <c r="D7021" s="196">
        <v>0</v>
      </c>
      <c r="E7021" s="196">
        <v>0</v>
      </c>
      <c r="F7021" s="196">
        <v>0</v>
      </c>
      <c r="G7021" s="196">
        <v>-50900</v>
      </c>
    </row>
    <row r="7022" spans="1:7" x14ac:dyDescent="0.3">
      <c r="A7022" s="198">
        <v>42890448</v>
      </c>
      <c r="B7022" s="192" t="s">
        <v>5004</v>
      </c>
      <c r="C7022" s="196">
        <v>-57200</v>
      </c>
      <c r="D7022" s="196">
        <v>0</v>
      </c>
      <c r="E7022" s="196">
        <v>0</v>
      </c>
      <c r="F7022" s="196">
        <v>0</v>
      </c>
      <c r="G7022" s="196">
        <v>-57200</v>
      </c>
    </row>
    <row r="7023" spans="1:7" x14ac:dyDescent="0.3">
      <c r="A7023" s="198">
        <v>23196136</v>
      </c>
      <c r="B7023" s="192" t="s">
        <v>1128</v>
      </c>
      <c r="C7023" s="196">
        <v>-223300</v>
      </c>
      <c r="D7023" s="196">
        <v>0</v>
      </c>
      <c r="E7023" s="196">
        <v>223300</v>
      </c>
      <c r="F7023" s="196">
        <v>-223300</v>
      </c>
      <c r="G7023" s="196">
        <v>-446600</v>
      </c>
    </row>
    <row r="7024" spans="1:7" x14ac:dyDescent="0.3">
      <c r="A7024" s="198">
        <v>32468608</v>
      </c>
      <c r="B7024" s="192" t="s">
        <v>1129</v>
      </c>
      <c r="C7024" s="196">
        <v>0</v>
      </c>
      <c r="D7024" s="196">
        <v>318999</v>
      </c>
      <c r="E7024" s="196">
        <v>339000</v>
      </c>
      <c r="F7024" s="196">
        <v>-20001</v>
      </c>
      <c r="G7024" s="196">
        <v>-20001</v>
      </c>
    </row>
    <row r="7025" spans="1:7" x14ac:dyDescent="0.3">
      <c r="A7025" s="198">
        <v>1001369880</v>
      </c>
      <c r="B7025" s="192" t="s">
        <v>5005</v>
      </c>
      <c r="C7025" s="196">
        <v>-50900</v>
      </c>
      <c r="D7025" s="196">
        <v>0</v>
      </c>
      <c r="E7025" s="196">
        <v>0</v>
      </c>
      <c r="F7025" s="196">
        <v>0</v>
      </c>
      <c r="G7025" s="196">
        <v>-50900</v>
      </c>
    </row>
    <row r="7026" spans="1:7" x14ac:dyDescent="0.3">
      <c r="A7026" s="198">
        <v>1013467688</v>
      </c>
      <c r="B7026" s="192" t="s">
        <v>5006</v>
      </c>
      <c r="C7026" s="196">
        <v>-50900</v>
      </c>
      <c r="D7026" s="196">
        <v>0</v>
      </c>
      <c r="E7026" s="196">
        <v>0</v>
      </c>
      <c r="F7026" s="196">
        <v>0</v>
      </c>
      <c r="G7026" s="196">
        <v>-50900</v>
      </c>
    </row>
    <row r="7027" spans="1:7" x14ac:dyDescent="0.3">
      <c r="A7027" s="198">
        <v>1035019500</v>
      </c>
      <c r="B7027" s="192" t="s">
        <v>5007</v>
      </c>
      <c r="C7027" s="196">
        <v>-50900</v>
      </c>
      <c r="D7027" s="196">
        <v>0</v>
      </c>
      <c r="E7027" s="196">
        <v>0</v>
      </c>
      <c r="F7027" s="196">
        <v>0</v>
      </c>
      <c r="G7027" s="196">
        <v>-50900</v>
      </c>
    </row>
    <row r="7028" spans="1:7" x14ac:dyDescent="0.3">
      <c r="A7028" s="198">
        <v>1022007441</v>
      </c>
      <c r="B7028" s="192" t="s">
        <v>5008</v>
      </c>
      <c r="C7028" s="196">
        <v>-50900</v>
      </c>
      <c r="D7028" s="196">
        <v>0</v>
      </c>
      <c r="E7028" s="196">
        <v>0</v>
      </c>
      <c r="F7028" s="196">
        <v>0</v>
      </c>
      <c r="G7028" s="196">
        <v>-50900</v>
      </c>
    </row>
    <row r="7029" spans="1:7" x14ac:dyDescent="0.3">
      <c r="A7029" s="198">
        <v>1035026219</v>
      </c>
      <c r="B7029" s="192" t="s">
        <v>5009</v>
      </c>
      <c r="C7029" s="196">
        <v>-46400</v>
      </c>
      <c r="D7029" s="196">
        <v>0</v>
      </c>
      <c r="E7029" s="196">
        <v>0</v>
      </c>
      <c r="F7029" s="196">
        <v>0</v>
      </c>
      <c r="G7029" s="196">
        <v>-46400</v>
      </c>
    </row>
    <row r="7030" spans="1:7" x14ac:dyDescent="0.3">
      <c r="A7030" s="198">
        <v>1035005051</v>
      </c>
      <c r="B7030" s="192" t="s">
        <v>5010</v>
      </c>
      <c r="C7030" s="196">
        <v>-43900</v>
      </c>
      <c r="D7030" s="196">
        <v>0</v>
      </c>
      <c r="E7030" s="196">
        <v>0</v>
      </c>
      <c r="F7030" s="196">
        <v>0</v>
      </c>
      <c r="G7030" s="196">
        <v>-43900</v>
      </c>
    </row>
    <row r="7031" spans="1:7" x14ac:dyDescent="0.3">
      <c r="A7031" s="198">
        <v>52197027</v>
      </c>
      <c r="B7031" s="192" t="s">
        <v>1130</v>
      </c>
      <c r="C7031" s="196">
        <v>0</v>
      </c>
      <c r="D7031" s="196">
        <v>0</v>
      </c>
      <c r="E7031" s="196">
        <v>43900</v>
      </c>
      <c r="F7031" s="196">
        <v>-43900</v>
      </c>
      <c r="G7031" s="196">
        <v>-43900</v>
      </c>
    </row>
    <row r="7032" spans="1:7" x14ac:dyDescent="0.3">
      <c r="A7032" s="198">
        <v>43515848</v>
      </c>
      <c r="B7032" s="192" t="s">
        <v>5011</v>
      </c>
      <c r="C7032" s="196">
        <v>-50900</v>
      </c>
      <c r="D7032" s="196">
        <v>0</v>
      </c>
      <c r="E7032" s="196">
        <v>0</v>
      </c>
      <c r="F7032" s="196">
        <v>0</v>
      </c>
      <c r="G7032" s="196">
        <v>-50900</v>
      </c>
    </row>
    <row r="7033" spans="1:7" x14ac:dyDescent="0.3">
      <c r="A7033" s="198">
        <v>43972978</v>
      </c>
      <c r="B7033" s="192" t="s">
        <v>5012</v>
      </c>
      <c r="C7033" s="196">
        <v>-20000</v>
      </c>
      <c r="D7033" s="196">
        <v>0</v>
      </c>
      <c r="E7033" s="196">
        <v>0</v>
      </c>
      <c r="F7033" s="196">
        <v>0</v>
      </c>
      <c r="G7033" s="196">
        <v>-20000</v>
      </c>
    </row>
    <row r="7034" spans="1:7" x14ac:dyDescent="0.3">
      <c r="A7034" s="198">
        <v>39451318</v>
      </c>
      <c r="B7034" s="192" t="s">
        <v>1131</v>
      </c>
      <c r="C7034" s="196">
        <v>-50900</v>
      </c>
      <c r="D7034" s="196">
        <v>0</v>
      </c>
      <c r="E7034" s="196">
        <v>50900</v>
      </c>
      <c r="F7034" s="196">
        <v>-50900</v>
      </c>
      <c r="G7034" s="196">
        <v>-101800</v>
      </c>
    </row>
    <row r="7035" spans="1:7" x14ac:dyDescent="0.3">
      <c r="A7035" s="198">
        <v>30719121</v>
      </c>
      <c r="B7035" s="192" t="s">
        <v>5013</v>
      </c>
      <c r="C7035" s="196">
        <v>-297000</v>
      </c>
      <c r="D7035" s="196">
        <v>0</v>
      </c>
      <c r="E7035" s="196">
        <v>0</v>
      </c>
      <c r="F7035" s="196">
        <v>0</v>
      </c>
      <c r="G7035" s="196">
        <v>-297000</v>
      </c>
    </row>
    <row r="7036" spans="1:7" x14ac:dyDescent="0.3">
      <c r="A7036" s="192" t="s">
        <v>5014</v>
      </c>
      <c r="B7036" s="192" t="s">
        <v>5015</v>
      </c>
      <c r="C7036" s="196">
        <v>-319000</v>
      </c>
      <c r="D7036" s="196">
        <v>0</v>
      </c>
      <c r="E7036" s="196">
        <v>0</v>
      </c>
      <c r="F7036" s="196">
        <v>0</v>
      </c>
      <c r="G7036" s="196">
        <v>-319000</v>
      </c>
    </row>
    <row r="7037" spans="1:7" x14ac:dyDescent="0.3">
      <c r="A7037" s="198">
        <v>32446971</v>
      </c>
      <c r="B7037" s="192" t="s">
        <v>5016</v>
      </c>
      <c r="C7037" s="196">
        <v>-297000</v>
      </c>
      <c r="D7037" s="196">
        <v>0</v>
      </c>
      <c r="E7037" s="196">
        <v>0</v>
      </c>
      <c r="F7037" s="196">
        <v>0</v>
      </c>
      <c r="G7037" s="196">
        <v>-297000</v>
      </c>
    </row>
    <row r="7038" spans="1:7" x14ac:dyDescent="0.3">
      <c r="A7038" s="198">
        <v>31221246</v>
      </c>
      <c r="B7038" s="192" t="s">
        <v>1132</v>
      </c>
      <c r="C7038" s="196">
        <v>-29700</v>
      </c>
      <c r="D7038" s="196">
        <v>0</v>
      </c>
      <c r="E7038" s="196">
        <v>29700</v>
      </c>
      <c r="F7038" s="196">
        <v>-29700</v>
      </c>
      <c r="G7038" s="196">
        <v>-59400</v>
      </c>
    </row>
    <row r="7039" spans="1:7" x14ac:dyDescent="0.3">
      <c r="A7039" s="198">
        <v>24805738</v>
      </c>
      <c r="B7039" s="192" t="s">
        <v>5017</v>
      </c>
      <c r="C7039" s="196">
        <v>-38400</v>
      </c>
      <c r="D7039" s="196">
        <v>0</v>
      </c>
      <c r="E7039" s="196">
        <v>0</v>
      </c>
      <c r="F7039" s="196">
        <v>0</v>
      </c>
      <c r="G7039" s="196">
        <v>-38400</v>
      </c>
    </row>
    <row r="7040" spans="1:7" x14ac:dyDescent="0.3">
      <c r="A7040" s="198">
        <v>21394327</v>
      </c>
      <c r="B7040" s="192" t="s">
        <v>5018</v>
      </c>
      <c r="C7040" s="196">
        <v>-319000</v>
      </c>
      <c r="D7040" s="196">
        <v>0</v>
      </c>
      <c r="E7040" s="196">
        <v>0</v>
      </c>
      <c r="F7040" s="196">
        <v>0</v>
      </c>
      <c r="G7040" s="196">
        <v>-319000</v>
      </c>
    </row>
    <row r="7041" spans="1:7" x14ac:dyDescent="0.3">
      <c r="A7041" s="198">
        <v>38958393</v>
      </c>
      <c r="B7041" s="192" t="s">
        <v>1133</v>
      </c>
      <c r="C7041" s="196">
        <v>-380000</v>
      </c>
      <c r="D7041" s="196">
        <v>0</v>
      </c>
      <c r="E7041" s="196">
        <v>98000</v>
      </c>
      <c r="F7041" s="196">
        <v>-98000</v>
      </c>
      <c r="G7041" s="196">
        <v>-478000</v>
      </c>
    </row>
    <row r="7042" spans="1:7" x14ac:dyDescent="0.3">
      <c r="A7042" s="198">
        <v>22056651</v>
      </c>
      <c r="B7042" s="192" t="s">
        <v>5019</v>
      </c>
      <c r="C7042" s="196">
        <v>-338800</v>
      </c>
      <c r="D7042" s="196">
        <v>0</v>
      </c>
      <c r="E7042" s="196">
        <v>0</v>
      </c>
      <c r="F7042" s="196">
        <v>0</v>
      </c>
      <c r="G7042" s="196">
        <v>-338800</v>
      </c>
    </row>
    <row r="7043" spans="1:7" x14ac:dyDescent="0.3">
      <c r="A7043" s="198">
        <v>21386625</v>
      </c>
      <c r="B7043" s="192" t="s">
        <v>5020</v>
      </c>
      <c r="C7043" s="196">
        <v>-207900</v>
      </c>
      <c r="D7043" s="196">
        <v>0</v>
      </c>
      <c r="E7043" s="196">
        <v>0</v>
      </c>
      <c r="F7043" s="196">
        <v>0</v>
      </c>
      <c r="G7043" s="196">
        <v>-207900</v>
      </c>
    </row>
    <row r="7044" spans="1:7" x14ac:dyDescent="0.3">
      <c r="A7044" s="198">
        <v>32117375</v>
      </c>
      <c r="B7044" s="192" t="s">
        <v>5021</v>
      </c>
      <c r="C7044" s="196">
        <v>-148500</v>
      </c>
      <c r="D7044" s="196">
        <v>0</v>
      </c>
      <c r="E7044" s="196">
        <v>0</v>
      </c>
      <c r="F7044" s="196">
        <v>0</v>
      </c>
      <c r="G7044" s="196">
        <v>-148500</v>
      </c>
    </row>
    <row r="7045" spans="1:7" x14ac:dyDescent="0.3">
      <c r="A7045" s="198">
        <v>22115821</v>
      </c>
      <c r="B7045" s="192" t="s">
        <v>1135</v>
      </c>
      <c r="C7045" s="196">
        <v>0</v>
      </c>
      <c r="D7045" s="196">
        <v>0</v>
      </c>
      <c r="E7045" s="196">
        <v>50900</v>
      </c>
      <c r="F7045" s="196">
        <v>-50900</v>
      </c>
      <c r="G7045" s="196">
        <v>-50900</v>
      </c>
    </row>
    <row r="7046" spans="1:7" x14ac:dyDescent="0.3">
      <c r="A7046" s="198">
        <v>35499965</v>
      </c>
      <c r="B7046" s="192" t="s">
        <v>5022</v>
      </c>
      <c r="C7046" s="196">
        <v>-279400</v>
      </c>
      <c r="D7046" s="196">
        <v>0</v>
      </c>
      <c r="E7046" s="196">
        <v>0</v>
      </c>
      <c r="F7046" s="196">
        <v>0</v>
      </c>
      <c r="G7046" s="196">
        <v>-279400</v>
      </c>
    </row>
    <row r="7047" spans="1:7" x14ac:dyDescent="0.3">
      <c r="A7047" s="198">
        <v>21651036</v>
      </c>
      <c r="B7047" s="192" t="s">
        <v>5023</v>
      </c>
      <c r="C7047" s="196">
        <v>-165000</v>
      </c>
      <c r="D7047" s="196">
        <v>0</v>
      </c>
      <c r="E7047" s="196">
        <v>0</v>
      </c>
      <c r="F7047" s="196">
        <v>0</v>
      </c>
      <c r="G7047" s="196">
        <v>-165000</v>
      </c>
    </row>
    <row r="7048" spans="1:7" x14ac:dyDescent="0.3">
      <c r="A7048" s="198">
        <v>42869003</v>
      </c>
      <c r="B7048" s="192" t="s">
        <v>5024</v>
      </c>
      <c r="C7048" s="196">
        <v>-50900</v>
      </c>
      <c r="D7048" s="196">
        <v>0</v>
      </c>
      <c r="E7048" s="196">
        <v>0</v>
      </c>
      <c r="F7048" s="196">
        <v>0</v>
      </c>
      <c r="G7048" s="196">
        <v>-50900</v>
      </c>
    </row>
    <row r="7049" spans="1:7" x14ac:dyDescent="0.3">
      <c r="A7049" s="198">
        <v>1035024541</v>
      </c>
      <c r="B7049" s="192" t="s">
        <v>5025</v>
      </c>
      <c r="C7049" s="196">
        <v>-50900</v>
      </c>
      <c r="D7049" s="196">
        <v>0</v>
      </c>
      <c r="E7049" s="196">
        <v>0</v>
      </c>
      <c r="F7049" s="196">
        <v>0</v>
      </c>
      <c r="G7049" s="196">
        <v>-50900</v>
      </c>
    </row>
    <row r="7050" spans="1:7" x14ac:dyDescent="0.3">
      <c r="A7050" s="198">
        <v>42889412</v>
      </c>
      <c r="B7050" s="192" t="s">
        <v>5026</v>
      </c>
      <c r="C7050" s="196">
        <v>-50900</v>
      </c>
      <c r="D7050" s="196">
        <v>0</v>
      </c>
      <c r="E7050" s="196">
        <v>0</v>
      </c>
      <c r="F7050" s="196">
        <v>0</v>
      </c>
      <c r="G7050" s="196">
        <v>-50900</v>
      </c>
    </row>
    <row r="7051" spans="1:7" x14ac:dyDescent="0.3">
      <c r="A7051" s="198">
        <v>1036635360</v>
      </c>
      <c r="B7051" s="192" t="s">
        <v>5027</v>
      </c>
      <c r="C7051" s="196">
        <v>-29700</v>
      </c>
      <c r="D7051" s="196">
        <v>0</v>
      </c>
      <c r="E7051" s="196">
        <v>0</v>
      </c>
      <c r="F7051" s="196">
        <v>0</v>
      </c>
      <c r="G7051" s="196">
        <v>-29700</v>
      </c>
    </row>
    <row r="7052" spans="1:7" x14ac:dyDescent="0.3">
      <c r="A7052" s="198">
        <v>42876460</v>
      </c>
      <c r="B7052" s="192" t="s">
        <v>1137</v>
      </c>
      <c r="C7052" s="196">
        <v>0</v>
      </c>
      <c r="D7052" s="196">
        <v>0</v>
      </c>
      <c r="E7052" s="196">
        <v>50900</v>
      </c>
      <c r="F7052" s="196">
        <v>-50900</v>
      </c>
      <c r="G7052" s="196">
        <v>-50900</v>
      </c>
    </row>
    <row r="7053" spans="1:7" x14ac:dyDescent="0.3">
      <c r="A7053" s="198">
        <v>1033652534</v>
      </c>
      <c r="B7053" s="192" t="s">
        <v>5028</v>
      </c>
      <c r="C7053" s="196">
        <v>-50900</v>
      </c>
      <c r="D7053" s="196">
        <v>0</v>
      </c>
      <c r="E7053" s="196">
        <v>0</v>
      </c>
      <c r="F7053" s="196">
        <v>0</v>
      </c>
      <c r="G7053" s="196">
        <v>-50900</v>
      </c>
    </row>
    <row r="7054" spans="1:7" x14ac:dyDescent="0.3">
      <c r="A7054" s="198">
        <v>21297170</v>
      </c>
      <c r="B7054" s="192" t="s">
        <v>5029</v>
      </c>
      <c r="C7054" s="196">
        <v>-101800</v>
      </c>
      <c r="D7054" s="196">
        <v>0</v>
      </c>
      <c r="E7054" s="196">
        <v>0</v>
      </c>
      <c r="F7054" s="196">
        <v>0</v>
      </c>
      <c r="G7054" s="196">
        <v>-101800</v>
      </c>
    </row>
    <row r="7055" spans="1:7" x14ac:dyDescent="0.3">
      <c r="A7055" s="198">
        <v>21398734</v>
      </c>
      <c r="B7055" s="192" t="s">
        <v>5030</v>
      </c>
      <c r="C7055" s="196">
        <v>-319000</v>
      </c>
      <c r="D7055" s="196">
        <v>0</v>
      </c>
      <c r="E7055" s="196">
        <v>0</v>
      </c>
      <c r="F7055" s="196">
        <v>0</v>
      </c>
      <c r="G7055" s="196">
        <v>-319000</v>
      </c>
    </row>
    <row r="7056" spans="1:7" x14ac:dyDescent="0.3">
      <c r="A7056" s="198">
        <v>39327519</v>
      </c>
      <c r="B7056" s="192" t="s">
        <v>5031</v>
      </c>
      <c r="C7056" s="196">
        <v>-162000</v>
      </c>
      <c r="D7056" s="196">
        <v>0</v>
      </c>
      <c r="E7056" s="196">
        <v>0</v>
      </c>
      <c r="F7056" s="196">
        <v>0</v>
      </c>
      <c r="G7056" s="196">
        <v>-162000</v>
      </c>
    </row>
    <row r="7057" spans="1:7" x14ac:dyDescent="0.3">
      <c r="A7057" s="198">
        <v>32441670</v>
      </c>
      <c r="B7057" s="192" t="s">
        <v>1139</v>
      </c>
      <c r="C7057" s="196">
        <v>-297000</v>
      </c>
      <c r="D7057" s="196">
        <v>0</v>
      </c>
      <c r="E7057" s="196">
        <v>119000</v>
      </c>
      <c r="F7057" s="196">
        <v>-119000</v>
      </c>
      <c r="G7057" s="196">
        <v>-416000</v>
      </c>
    </row>
    <row r="7058" spans="1:7" x14ac:dyDescent="0.3">
      <c r="A7058" s="198">
        <v>43006889</v>
      </c>
      <c r="B7058" s="192" t="s">
        <v>5032</v>
      </c>
      <c r="C7058" s="196">
        <v>-297000</v>
      </c>
      <c r="D7058" s="196">
        <v>0</v>
      </c>
      <c r="E7058" s="196">
        <v>0</v>
      </c>
      <c r="F7058" s="196">
        <v>0</v>
      </c>
      <c r="G7058" s="196">
        <v>-297000</v>
      </c>
    </row>
    <row r="7059" spans="1:7" x14ac:dyDescent="0.3">
      <c r="A7059" s="198">
        <v>42745460</v>
      </c>
      <c r="B7059" s="192" t="s">
        <v>1140</v>
      </c>
      <c r="C7059" s="196">
        <v>0</v>
      </c>
      <c r="D7059" s="196">
        <v>0</v>
      </c>
      <c r="E7059" s="196">
        <v>133500</v>
      </c>
      <c r="F7059" s="196">
        <v>-133500</v>
      </c>
      <c r="G7059" s="196">
        <v>-133500</v>
      </c>
    </row>
    <row r="7060" spans="1:7" x14ac:dyDescent="0.3">
      <c r="A7060" s="198">
        <v>43050288</v>
      </c>
      <c r="B7060" s="192" t="s">
        <v>5033</v>
      </c>
      <c r="C7060" s="196">
        <v>-50900</v>
      </c>
      <c r="D7060" s="196">
        <v>0</v>
      </c>
      <c r="E7060" s="196">
        <v>0</v>
      </c>
      <c r="F7060" s="196">
        <v>0</v>
      </c>
      <c r="G7060" s="196">
        <v>-50900</v>
      </c>
    </row>
    <row r="7061" spans="1:7" x14ac:dyDescent="0.3">
      <c r="A7061" s="198">
        <v>21778111</v>
      </c>
      <c r="B7061" s="192" t="s">
        <v>5034</v>
      </c>
      <c r="C7061" s="196">
        <v>-255000</v>
      </c>
      <c r="D7061" s="196">
        <v>0</v>
      </c>
      <c r="E7061" s="196">
        <v>0</v>
      </c>
      <c r="F7061" s="196">
        <v>0</v>
      </c>
      <c r="G7061" s="196">
        <v>-255000</v>
      </c>
    </row>
    <row r="7062" spans="1:7" x14ac:dyDescent="0.3">
      <c r="A7062" s="198">
        <v>38865813</v>
      </c>
      <c r="B7062" s="192" t="s">
        <v>5035</v>
      </c>
      <c r="C7062" s="196">
        <v>-207900</v>
      </c>
      <c r="D7062" s="196">
        <v>0</v>
      </c>
      <c r="E7062" s="196">
        <v>0</v>
      </c>
      <c r="F7062" s="196">
        <v>0</v>
      </c>
      <c r="G7062" s="196">
        <v>-207900</v>
      </c>
    </row>
    <row r="7063" spans="1:7" x14ac:dyDescent="0.3">
      <c r="A7063" s="198">
        <v>42964556</v>
      </c>
      <c r="B7063" s="192" t="s">
        <v>5036</v>
      </c>
      <c r="C7063" s="196">
        <v>-57200</v>
      </c>
      <c r="D7063" s="196">
        <v>0</v>
      </c>
      <c r="E7063" s="196">
        <v>0</v>
      </c>
      <c r="F7063" s="196">
        <v>0</v>
      </c>
      <c r="G7063" s="196">
        <v>-57200</v>
      </c>
    </row>
    <row r="7064" spans="1:7" x14ac:dyDescent="0.3">
      <c r="A7064" s="198">
        <v>32018034</v>
      </c>
      <c r="B7064" s="192" t="s">
        <v>5037</v>
      </c>
      <c r="C7064" s="196">
        <v>-254500</v>
      </c>
      <c r="D7064" s="196">
        <v>0</v>
      </c>
      <c r="E7064" s="196">
        <v>0</v>
      </c>
      <c r="F7064" s="196">
        <v>0</v>
      </c>
      <c r="G7064" s="196">
        <v>-254500</v>
      </c>
    </row>
    <row r="7065" spans="1:7" x14ac:dyDescent="0.3">
      <c r="A7065" s="198">
        <v>22100823</v>
      </c>
      <c r="B7065" s="192" t="s">
        <v>5038</v>
      </c>
      <c r="C7065" s="196">
        <v>-290000</v>
      </c>
      <c r="D7065" s="196">
        <v>0</v>
      </c>
      <c r="E7065" s="196">
        <v>0</v>
      </c>
      <c r="F7065" s="196">
        <v>0</v>
      </c>
      <c r="G7065" s="196">
        <v>-290000</v>
      </c>
    </row>
    <row r="7066" spans="1:7" x14ac:dyDescent="0.3">
      <c r="A7066" s="198">
        <v>43166414</v>
      </c>
      <c r="B7066" s="192" t="s">
        <v>5039</v>
      </c>
      <c r="C7066" s="196">
        <v>-50900</v>
      </c>
      <c r="D7066" s="196">
        <v>0</v>
      </c>
      <c r="E7066" s="196">
        <v>0</v>
      </c>
      <c r="F7066" s="196">
        <v>0</v>
      </c>
      <c r="G7066" s="196">
        <v>-50900</v>
      </c>
    </row>
    <row r="7067" spans="1:7" x14ac:dyDescent="0.3">
      <c r="A7067" s="198">
        <v>1020118252</v>
      </c>
      <c r="B7067" s="192" t="s">
        <v>5040</v>
      </c>
      <c r="C7067" s="196">
        <v>-215900</v>
      </c>
      <c r="D7067" s="196">
        <v>0</v>
      </c>
      <c r="E7067" s="196">
        <v>0</v>
      </c>
      <c r="F7067" s="196">
        <v>0</v>
      </c>
      <c r="G7067" s="196">
        <v>-215900</v>
      </c>
    </row>
    <row r="7068" spans="1:7" x14ac:dyDescent="0.3">
      <c r="A7068" s="198">
        <v>1127580176</v>
      </c>
      <c r="B7068" s="192" t="s">
        <v>5041</v>
      </c>
      <c r="C7068" s="196">
        <v>-47000</v>
      </c>
      <c r="D7068" s="196">
        <v>0</v>
      </c>
      <c r="E7068" s="196">
        <v>0</v>
      </c>
      <c r="F7068" s="196">
        <v>0</v>
      </c>
      <c r="G7068" s="196">
        <v>-47000</v>
      </c>
    </row>
    <row r="7069" spans="1:7" x14ac:dyDescent="0.3">
      <c r="A7069" s="198">
        <v>1004921666</v>
      </c>
      <c r="B7069" s="192" t="s">
        <v>1145</v>
      </c>
      <c r="C7069" s="196">
        <v>0</v>
      </c>
      <c r="D7069" s="196">
        <v>0</v>
      </c>
      <c r="E7069" s="196">
        <v>101800</v>
      </c>
      <c r="F7069" s="196">
        <v>-101800</v>
      </c>
      <c r="G7069" s="196">
        <v>-101800</v>
      </c>
    </row>
    <row r="7070" spans="1:7" x14ac:dyDescent="0.3">
      <c r="A7070" s="198">
        <v>1035017393</v>
      </c>
      <c r="B7070" s="192" t="s">
        <v>1147</v>
      </c>
      <c r="C7070" s="196">
        <v>0</v>
      </c>
      <c r="D7070" s="196">
        <v>0</v>
      </c>
      <c r="E7070" s="196">
        <v>57200</v>
      </c>
      <c r="F7070" s="196">
        <v>-57200</v>
      </c>
      <c r="G7070" s="196">
        <v>-57200</v>
      </c>
    </row>
    <row r="7071" spans="1:7" x14ac:dyDescent="0.3">
      <c r="A7071" s="198">
        <v>1013631399</v>
      </c>
      <c r="B7071" s="192" t="s">
        <v>5042</v>
      </c>
      <c r="C7071" s="196">
        <v>-108000</v>
      </c>
      <c r="D7071" s="196">
        <v>0</v>
      </c>
      <c r="E7071" s="196">
        <v>0</v>
      </c>
      <c r="F7071" s="196">
        <v>0</v>
      </c>
      <c r="G7071" s="196">
        <v>-108000</v>
      </c>
    </row>
    <row r="7072" spans="1:7" x14ac:dyDescent="0.3">
      <c r="A7072" s="198">
        <v>1017187023</v>
      </c>
      <c r="B7072" s="192" t="s">
        <v>1148</v>
      </c>
      <c r="C7072" s="196">
        <v>0</v>
      </c>
      <c r="D7072" s="196">
        <v>0</v>
      </c>
      <c r="E7072" s="196">
        <v>50900</v>
      </c>
      <c r="F7072" s="196">
        <v>-50900</v>
      </c>
      <c r="G7072" s="196">
        <v>-50900</v>
      </c>
    </row>
    <row r="7073" spans="1:7" x14ac:dyDescent="0.3">
      <c r="A7073" s="198">
        <v>1035005704</v>
      </c>
      <c r="B7073" s="192" t="s">
        <v>5043</v>
      </c>
      <c r="C7073" s="196">
        <v>-50900</v>
      </c>
      <c r="D7073" s="196">
        <v>0</v>
      </c>
      <c r="E7073" s="196">
        <v>0</v>
      </c>
      <c r="F7073" s="196">
        <v>0</v>
      </c>
      <c r="G7073" s="196">
        <v>-50900</v>
      </c>
    </row>
    <row r="7074" spans="1:7" x14ac:dyDescent="0.3">
      <c r="A7074" s="198">
        <v>1070013179</v>
      </c>
      <c r="B7074" s="192" t="s">
        <v>5044</v>
      </c>
      <c r="C7074" s="196">
        <v>-29700</v>
      </c>
      <c r="D7074" s="196">
        <v>0</v>
      </c>
      <c r="E7074" s="196">
        <v>0</v>
      </c>
      <c r="F7074" s="196">
        <v>0</v>
      </c>
      <c r="G7074" s="196">
        <v>-29700</v>
      </c>
    </row>
    <row r="7075" spans="1:7" x14ac:dyDescent="0.3">
      <c r="A7075" s="198">
        <v>1001418539</v>
      </c>
      <c r="B7075" s="192" t="s">
        <v>5045</v>
      </c>
      <c r="C7075" s="196">
        <v>-54200</v>
      </c>
      <c r="D7075" s="196">
        <v>0</v>
      </c>
      <c r="E7075" s="196">
        <v>0</v>
      </c>
      <c r="F7075" s="196">
        <v>0</v>
      </c>
      <c r="G7075" s="196">
        <v>-54200</v>
      </c>
    </row>
    <row r="7076" spans="1:7" x14ac:dyDescent="0.3">
      <c r="A7076" s="198">
        <v>1037666963</v>
      </c>
      <c r="B7076" s="192" t="s">
        <v>5046</v>
      </c>
      <c r="C7076" s="196">
        <v>-28900</v>
      </c>
      <c r="D7076" s="196">
        <v>0</v>
      </c>
      <c r="E7076" s="196">
        <v>0</v>
      </c>
      <c r="F7076" s="196">
        <v>0</v>
      </c>
      <c r="G7076" s="196">
        <v>-28900</v>
      </c>
    </row>
    <row r="7077" spans="1:7" x14ac:dyDescent="0.3">
      <c r="A7077" s="198">
        <v>1000654223</v>
      </c>
      <c r="B7077" s="192" t="s">
        <v>5047</v>
      </c>
      <c r="C7077" s="196">
        <v>-101800</v>
      </c>
      <c r="D7077" s="196">
        <v>0</v>
      </c>
      <c r="E7077" s="196">
        <v>0</v>
      </c>
      <c r="F7077" s="196">
        <v>0</v>
      </c>
      <c r="G7077" s="196">
        <v>-101800</v>
      </c>
    </row>
    <row r="7078" spans="1:7" x14ac:dyDescent="0.3">
      <c r="A7078" s="198">
        <v>43527032</v>
      </c>
      <c r="B7078" s="192" t="s">
        <v>1151</v>
      </c>
      <c r="C7078" s="196">
        <v>-114400</v>
      </c>
      <c r="D7078" s="196">
        <v>0</v>
      </c>
      <c r="E7078" s="196">
        <v>57200</v>
      </c>
      <c r="F7078" s="196">
        <v>-57200</v>
      </c>
      <c r="G7078" s="196">
        <v>-171600</v>
      </c>
    </row>
    <row r="7079" spans="1:7" x14ac:dyDescent="0.3">
      <c r="A7079" s="198">
        <v>52420490</v>
      </c>
      <c r="B7079" s="192" t="s">
        <v>5048</v>
      </c>
      <c r="C7079" s="196">
        <v>-36600</v>
      </c>
      <c r="D7079" s="196">
        <v>0</v>
      </c>
      <c r="E7079" s="196">
        <v>0</v>
      </c>
      <c r="F7079" s="196">
        <v>0</v>
      </c>
      <c r="G7079" s="196">
        <v>-36600</v>
      </c>
    </row>
    <row r="7080" spans="1:7" x14ac:dyDescent="0.3">
      <c r="A7080" s="198">
        <v>42745876</v>
      </c>
      <c r="B7080" s="192" t="s">
        <v>5049</v>
      </c>
      <c r="C7080" s="196">
        <v>-60000</v>
      </c>
      <c r="D7080" s="196">
        <v>0</v>
      </c>
      <c r="E7080" s="196">
        <v>0</v>
      </c>
      <c r="F7080" s="196">
        <v>0</v>
      </c>
      <c r="G7080" s="196">
        <v>-60000</v>
      </c>
    </row>
    <row r="7081" spans="1:7" x14ac:dyDescent="0.3">
      <c r="A7081" s="198">
        <v>21571915</v>
      </c>
      <c r="B7081" s="192" t="s">
        <v>5050</v>
      </c>
      <c r="C7081" s="196">
        <v>-270000</v>
      </c>
      <c r="D7081" s="196">
        <v>0</v>
      </c>
      <c r="E7081" s="196">
        <v>0</v>
      </c>
      <c r="F7081" s="196">
        <v>0</v>
      </c>
      <c r="G7081" s="196">
        <v>-270000</v>
      </c>
    </row>
    <row r="7082" spans="1:7" x14ac:dyDescent="0.3">
      <c r="A7082" s="198">
        <v>21374036</v>
      </c>
      <c r="B7082" s="192" t="s">
        <v>1152</v>
      </c>
      <c r="C7082" s="196">
        <v>0</v>
      </c>
      <c r="D7082" s="196">
        <v>0</v>
      </c>
      <c r="E7082" s="196">
        <v>165000</v>
      </c>
      <c r="F7082" s="196">
        <v>-165000</v>
      </c>
      <c r="G7082" s="196">
        <v>-165000</v>
      </c>
    </row>
    <row r="7083" spans="1:7" x14ac:dyDescent="0.3">
      <c r="A7083" s="198">
        <v>25093145</v>
      </c>
      <c r="B7083" s="192" t="s">
        <v>5051</v>
      </c>
      <c r="C7083" s="196">
        <v>-100000</v>
      </c>
      <c r="D7083" s="196">
        <v>0</v>
      </c>
      <c r="E7083" s="196">
        <v>0</v>
      </c>
      <c r="F7083" s="196">
        <v>0</v>
      </c>
      <c r="G7083" s="196">
        <v>-100000</v>
      </c>
    </row>
    <row r="7084" spans="1:7" x14ac:dyDescent="0.3">
      <c r="A7084" s="198">
        <v>21685449</v>
      </c>
      <c r="B7084" s="192" t="s">
        <v>5052</v>
      </c>
      <c r="C7084" s="196">
        <v>-319000</v>
      </c>
      <c r="D7084" s="196">
        <v>0</v>
      </c>
      <c r="E7084" s="196">
        <v>0</v>
      </c>
      <c r="F7084" s="196">
        <v>0</v>
      </c>
      <c r="G7084" s="196">
        <v>-319000</v>
      </c>
    </row>
    <row r="7085" spans="1:7" x14ac:dyDescent="0.3">
      <c r="A7085" s="198">
        <v>32472190</v>
      </c>
      <c r="B7085" s="192" t="s">
        <v>2422</v>
      </c>
      <c r="C7085" s="196">
        <v>-114400</v>
      </c>
      <c r="D7085" s="196">
        <v>0</v>
      </c>
      <c r="E7085" s="196">
        <v>0</v>
      </c>
      <c r="F7085" s="196">
        <v>0</v>
      </c>
      <c r="G7085" s="196">
        <v>-114400</v>
      </c>
    </row>
    <row r="7086" spans="1:7" x14ac:dyDescent="0.3">
      <c r="A7086" s="198">
        <v>21978981</v>
      </c>
      <c r="B7086" s="192" t="s">
        <v>5053</v>
      </c>
      <c r="C7086" s="196">
        <v>-50500</v>
      </c>
      <c r="D7086" s="196">
        <v>0</v>
      </c>
      <c r="E7086" s="196">
        <v>0</v>
      </c>
      <c r="F7086" s="196">
        <v>0</v>
      </c>
      <c r="G7086" s="196">
        <v>-50500</v>
      </c>
    </row>
    <row r="7087" spans="1:7" x14ac:dyDescent="0.3">
      <c r="A7087" s="198">
        <v>42867397</v>
      </c>
      <c r="B7087" s="192" t="s">
        <v>5054</v>
      </c>
      <c r="C7087" s="196">
        <v>-50900</v>
      </c>
      <c r="D7087" s="196">
        <v>0</v>
      </c>
      <c r="E7087" s="196">
        <v>0</v>
      </c>
      <c r="F7087" s="196">
        <v>0</v>
      </c>
      <c r="G7087" s="196">
        <v>-50900</v>
      </c>
    </row>
    <row r="7088" spans="1:7" x14ac:dyDescent="0.3">
      <c r="A7088" s="198">
        <v>22098018</v>
      </c>
      <c r="B7088" s="192" t="s">
        <v>5055</v>
      </c>
      <c r="C7088" s="196">
        <v>-114400</v>
      </c>
      <c r="D7088" s="196">
        <v>0</v>
      </c>
      <c r="E7088" s="196">
        <v>0</v>
      </c>
      <c r="F7088" s="196">
        <v>0</v>
      </c>
      <c r="G7088" s="196">
        <v>-114400</v>
      </c>
    </row>
    <row r="7089" spans="1:7" x14ac:dyDescent="0.3">
      <c r="A7089" s="198">
        <v>32480580</v>
      </c>
      <c r="B7089" s="192" t="s">
        <v>5056</v>
      </c>
      <c r="C7089" s="196">
        <v>-57200</v>
      </c>
      <c r="D7089" s="196">
        <v>0</v>
      </c>
      <c r="E7089" s="196">
        <v>0</v>
      </c>
      <c r="F7089" s="196">
        <v>0</v>
      </c>
      <c r="G7089" s="196">
        <v>-57200</v>
      </c>
    </row>
    <row r="7090" spans="1:7" x14ac:dyDescent="0.3">
      <c r="A7090" s="198">
        <v>41639206</v>
      </c>
      <c r="B7090" s="192" t="s">
        <v>5057</v>
      </c>
      <c r="C7090" s="196">
        <v>-297000</v>
      </c>
      <c r="D7090" s="196">
        <v>0</v>
      </c>
      <c r="E7090" s="196">
        <v>0</v>
      </c>
      <c r="F7090" s="196">
        <v>0</v>
      </c>
      <c r="G7090" s="196">
        <v>-297000</v>
      </c>
    </row>
    <row r="7091" spans="1:7" x14ac:dyDescent="0.3">
      <c r="A7091" s="198">
        <v>1034988966</v>
      </c>
      <c r="B7091" s="192" t="s">
        <v>5058</v>
      </c>
      <c r="C7091" s="196">
        <v>-50900</v>
      </c>
      <c r="D7091" s="196">
        <v>0</v>
      </c>
      <c r="E7091" s="196">
        <v>0</v>
      </c>
      <c r="F7091" s="196">
        <v>0</v>
      </c>
      <c r="G7091" s="196">
        <v>-50900</v>
      </c>
    </row>
    <row r="7092" spans="1:7" x14ac:dyDescent="0.3">
      <c r="A7092" s="198">
        <v>43915821</v>
      </c>
      <c r="B7092" s="192" t="s">
        <v>5059</v>
      </c>
      <c r="C7092" s="196">
        <v>-290000</v>
      </c>
      <c r="D7092" s="196">
        <v>0</v>
      </c>
      <c r="E7092" s="196">
        <v>0</v>
      </c>
      <c r="F7092" s="196">
        <v>0</v>
      </c>
      <c r="G7092" s="196">
        <v>-290000</v>
      </c>
    </row>
    <row r="7093" spans="1:7" x14ac:dyDescent="0.3">
      <c r="A7093" s="198">
        <v>43984147</v>
      </c>
      <c r="B7093" s="192" t="s">
        <v>5060</v>
      </c>
      <c r="C7093" s="196">
        <v>-149200</v>
      </c>
      <c r="D7093" s="196">
        <v>0</v>
      </c>
      <c r="E7093" s="196">
        <v>0</v>
      </c>
      <c r="F7093" s="196">
        <v>0</v>
      </c>
      <c r="G7093" s="196">
        <v>-149200</v>
      </c>
    </row>
    <row r="7094" spans="1:7" x14ac:dyDescent="0.3">
      <c r="A7094" s="198">
        <v>1037629660</v>
      </c>
      <c r="B7094" s="192" t="s">
        <v>1154</v>
      </c>
      <c r="C7094" s="196">
        <v>0</v>
      </c>
      <c r="D7094" s="196">
        <v>0</v>
      </c>
      <c r="E7094" s="196">
        <v>54200</v>
      </c>
      <c r="F7094" s="196">
        <v>-54200</v>
      </c>
      <c r="G7094" s="196">
        <v>-54200</v>
      </c>
    </row>
    <row r="7095" spans="1:7" x14ac:dyDescent="0.3">
      <c r="A7095" s="198">
        <v>43720647</v>
      </c>
      <c r="B7095" s="192" t="s">
        <v>5061</v>
      </c>
      <c r="C7095" s="196">
        <v>-57200</v>
      </c>
      <c r="D7095" s="196">
        <v>0</v>
      </c>
      <c r="E7095" s="196">
        <v>0</v>
      </c>
      <c r="F7095" s="196">
        <v>0</v>
      </c>
      <c r="G7095" s="196">
        <v>-57200</v>
      </c>
    </row>
    <row r="7096" spans="1:7" x14ac:dyDescent="0.3">
      <c r="A7096" s="198">
        <v>1037649410</v>
      </c>
      <c r="B7096" s="192" t="s">
        <v>5062</v>
      </c>
      <c r="C7096" s="196">
        <v>-50900</v>
      </c>
      <c r="D7096" s="196">
        <v>0</v>
      </c>
      <c r="E7096" s="196">
        <v>0</v>
      </c>
      <c r="F7096" s="196">
        <v>0</v>
      </c>
      <c r="G7096" s="196">
        <v>-50900</v>
      </c>
    </row>
    <row r="7097" spans="1:7" x14ac:dyDescent="0.3">
      <c r="A7097" s="198">
        <v>1002327199</v>
      </c>
      <c r="B7097" s="192" t="s">
        <v>1155</v>
      </c>
      <c r="C7097" s="196">
        <v>0</v>
      </c>
      <c r="D7097" s="196">
        <v>0</v>
      </c>
      <c r="E7097" s="196">
        <v>319000</v>
      </c>
      <c r="F7097" s="196">
        <v>-319000</v>
      </c>
      <c r="G7097" s="196">
        <v>-319000</v>
      </c>
    </row>
    <row r="7098" spans="1:7" x14ac:dyDescent="0.3">
      <c r="A7098" s="198">
        <v>43735841</v>
      </c>
      <c r="B7098" s="192" t="s">
        <v>1156</v>
      </c>
      <c r="C7098" s="196">
        <v>0</v>
      </c>
      <c r="D7098" s="196">
        <v>0</v>
      </c>
      <c r="E7098" s="196">
        <v>50900</v>
      </c>
      <c r="F7098" s="196">
        <v>-50900</v>
      </c>
      <c r="G7098" s="196">
        <v>-50900</v>
      </c>
    </row>
    <row r="7099" spans="1:7" x14ac:dyDescent="0.3">
      <c r="A7099" s="198">
        <v>43257446</v>
      </c>
      <c r="B7099" s="192" t="s">
        <v>5063</v>
      </c>
      <c r="C7099" s="196">
        <v>-47400</v>
      </c>
      <c r="D7099" s="196">
        <v>0</v>
      </c>
      <c r="E7099" s="196">
        <v>0</v>
      </c>
      <c r="F7099" s="196">
        <v>0</v>
      </c>
      <c r="G7099" s="196">
        <v>-47400</v>
      </c>
    </row>
    <row r="7100" spans="1:7" x14ac:dyDescent="0.3">
      <c r="A7100" s="198">
        <v>32420801</v>
      </c>
      <c r="B7100" s="192" t="s">
        <v>5064</v>
      </c>
      <c r="C7100" s="196">
        <v>-297000</v>
      </c>
      <c r="D7100" s="196">
        <v>0</v>
      </c>
      <c r="E7100" s="196">
        <v>0</v>
      </c>
      <c r="F7100" s="196">
        <v>0</v>
      </c>
      <c r="G7100" s="196">
        <v>-297000</v>
      </c>
    </row>
    <row r="7101" spans="1:7" x14ac:dyDescent="0.3">
      <c r="A7101" s="198">
        <v>43568509</v>
      </c>
      <c r="B7101" s="192" t="s">
        <v>5065</v>
      </c>
      <c r="C7101" s="196">
        <v>-380000</v>
      </c>
      <c r="D7101" s="196">
        <v>0</v>
      </c>
      <c r="E7101" s="196">
        <v>0</v>
      </c>
      <c r="F7101" s="196">
        <v>0</v>
      </c>
      <c r="G7101" s="196">
        <v>-380000</v>
      </c>
    </row>
    <row r="7102" spans="1:7" x14ac:dyDescent="0.3">
      <c r="A7102" s="198">
        <v>43754703</v>
      </c>
      <c r="B7102" s="192" t="s">
        <v>5066</v>
      </c>
      <c r="C7102" s="196">
        <v>-25000</v>
      </c>
      <c r="D7102" s="196">
        <v>0</v>
      </c>
      <c r="E7102" s="196">
        <v>0</v>
      </c>
      <c r="F7102" s="196">
        <v>0</v>
      </c>
      <c r="G7102" s="196">
        <v>-25000</v>
      </c>
    </row>
    <row r="7103" spans="1:7" x14ac:dyDescent="0.3">
      <c r="A7103" s="198">
        <v>1239488158</v>
      </c>
      <c r="B7103" s="192" t="s">
        <v>5067</v>
      </c>
      <c r="C7103" s="196">
        <v>-101800</v>
      </c>
      <c r="D7103" s="196">
        <v>0</v>
      </c>
      <c r="E7103" s="196">
        <v>0</v>
      </c>
      <c r="F7103" s="196">
        <v>0</v>
      </c>
      <c r="G7103" s="196">
        <v>-101800</v>
      </c>
    </row>
    <row r="7104" spans="1:7" x14ac:dyDescent="0.3">
      <c r="A7104" s="198">
        <v>1005755050</v>
      </c>
      <c r="B7104" s="192" t="s">
        <v>1158</v>
      </c>
      <c r="C7104" s="196">
        <v>0</v>
      </c>
      <c r="D7104" s="196">
        <v>0</v>
      </c>
      <c r="E7104" s="196">
        <v>41400</v>
      </c>
      <c r="F7104" s="196">
        <v>-41400</v>
      </c>
      <c r="G7104" s="196">
        <v>-41400</v>
      </c>
    </row>
    <row r="7105" spans="1:7" x14ac:dyDescent="0.3">
      <c r="A7105" s="198">
        <v>1034987519</v>
      </c>
      <c r="B7105" s="192" t="s">
        <v>5068</v>
      </c>
      <c r="C7105" s="196">
        <v>-57200</v>
      </c>
      <c r="D7105" s="196">
        <v>0</v>
      </c>
      <c r="E7105" s="196">
        <v>0</v>
      </c>
      <c r="F7105" s="196">
        <v>0</v>
      </c>
      <c r="G7105" s="196">
        <v>-57200</v>
      </c>
    </row>
    <row r="7106" spans="1:7" x14ac:dyDescent="0.3">
      <c r="A7106" s="198">
        <v>1062956446</v>
      </c>
      <c r="B7106" s="192" t="s">
        <v>5069</v>
      </c>
      <c r="C7106" s="196">
        <v>-57200</v>
      </c>
      <c r="D7106" s="196">
        <v>0</v>
      </c>
      <c r="E7106" s="196">
        <v>0</v>
      </c>
      <c r="F7106" s="196">
        <v>0</v>
      </c>
      <c r="G7106" s="196">
        <v>-57200</v>
      </c>
    </row>
    <row r="7107" spans="1:7" x14ac:dyDescent="0.3">
      <c r="A7107" s="198">
        <v>1020304613</v>
      </c>
      <c r="B7107" s="192" t="s">
        <v>5070</v>
      </c>
      <c r="C7107" s="196">
        <v>-38400</v>
      </c>
      <c r="D7107" s="196">
        <v>0</v>
      </c>
      <c r="E7107" s="196">
        <v>0</v>
      </c>
      <c r="F7107" s="196">
        <v>0</v>
      </c>
      <c r="G7107" s="196">
        <v>-38400</v>
      </c>
    </row>
    <row r="7108" spans="1:7" x14ac:dyDescent="0.3">
      <c r="A7108" s="198">
        <v>1095963721</v>
      </c>
      <c r="B7108" s="192" t="s">
        <v>5071</v>
      </c>
      <c r="C7108" s="196">
        <v>-54200</v>
      </c>
      <c r="D7108" s="196">
        <v>0</v>
      </c>
      <c r="E7108" s="196">
        <v>0</v>
      </c>
      <c r="F7108" s="196">
        <v>0</v>
      </c>
      <c r="G7108" s="196">
        <v>-54200</v>
      </c>
    </row>
    <row r="7109" spans="1:7" x14ac:dyDescent="0.3">
      <c r="A7109" s="198">
        <v>1034990207</v>
      </c>
      <c r="B7109" s="192" t="s">
        <v>5072</v>
      </c>
      <c r="C7109" s="196">
        <v>-131700</v>
      </c>
      <c r="D7109" s="196">
        <v>0</v>
      </c>
      <c r="E7109" s="196">
        <v>0</v>
      </c>
      <c r="F7109" s="196">
        <v>0</v>
      </c>
      <c r="G7109" s="196">
        <v>-131700</v>
      </c>
    </row>
    <row r="7110" spans="1:7" x14ac:dyDescent="0.3">
      <c r="A7110" s="198">
        <v>1017240178</v>
      </c>
      <c r="B7110" s="192" t="s">
        <v>5073</v>
      </c>
      <c r="C7110" s="196">
        <v>-50900</v>
      </c>
      <c r="D7110" s="196">
        <v>0</v>
      </c>
      <c r="E7110" s="196">
        <v>0</v>
      </c>
      <c r="F7110" s="196">
        <v>0</v>
      </c>
      <c r="G7110" s="196">
        <v>-50900</v>
      </c>
    </row>
    <row r="7111" spans="1:7" x14ac:dyDescent="0.3">
      <c r="A7111" s="198">
        <v>1025326170</v>
      </c>
      <c r="B7111" s="192" t="s">
        <v>5074</v>
      </c>
      <c r="C7111" s="196">
        <v>-26600</v>
      </c>
      <c r="D7111" s="196">
        <v>0</v>
      </c>
      <c r="E7111" s="196">
        <v>0</v>
      </c>
      <c r="F7111" s="196">
        <v>0</v>
      </c>
      <c r="G7111" s="196">
        <v>-26600</v>
      </c>
    </row>
    <row r="7112" spans="1:7" x14ac:dyDescent="0.3">
      <c r="A7112" s="198">
        <v>1036687607</v>
      </c>
      <c r="B7112" s="192" t="s">
        <v>5075</v>
      </c>
      <c r="C7112" s="196">
        <v>-57200</v>
      </c>
      <c r="D7112" s="196">
        <v>0</v>
      </c>
      <c r="E7112" s="196">
        <v>0</v>
      </c>
      <c r="F7112" s="196">
        <v>0</v>
      </c>
      <c r="G7112" s="196">
        <v>-57200</v>
      </c>
    </row>
    <row r="7113" spans="1:7" x14ac:dyDescent="0.3">
      <c r="A7113" s="198">
        <v>1017186063</v>
      </c>
      <c r="B7113" s="192" t="s">
        <v>5076</v>
      </c>
      <c r="C7113" s="196">
        <v>-50900</v>
      </c>
      <c r="D7113" s="196">
        <v>0</v>
      </c>
      <c r="E7113" s="196">
        <v>0</v>
      </c>
      <c r="F7113" s="196">
        <v>0</v>
      </c>
      <c r="G7113" s="196">
        <v>-50900</v>
      </c>
    </row>
    <row r="7114" spans="1:7" x14ac:dyDescent="0.3">
      <c r="A7114" s="198">
        <v>1000413888</v>
      </c>
      <c r="B7114" s="192" t="s">
        <v>5077</v>
      </c>
      <c r="C7114" s="196">
        <v>-50900</v>
      </c>
      <c r="D7114" s="196">
        <v>0</v>
      </c>
      <c r="E7114" s="196">
        <v>0</v>
      </c>
      <c r="F7114" s="196">
        <v>0</v>
      </c>
      <c r="G7114" s="196">
        <v>-50900</v>
      </c>
    </row>
    <row r="7115" spans="1:7" x14ac:dyDescent="0.3">
      <c r="A7115" s="198">
        <v>1040870387</v>
      </c>
      <c r="B7115" s="192" t="s">
        <v>5078</v>
      </c>
      <c r="C7115" s="196">
        <v>-150000</v>
      </c>
      <c r="D7115" s="196">
        <v>0</v>
      </c>
      <c r="E7115" s="196">
        <v>0</v>
      </c>
      <c r="F7115" s="196">
        <v>0</v>
      </c>
      <c r="G7115" s="196">
        <v>-150000</v>
      </c>
    </row>
    <row r="7116" spans="1:7" x14ac:dyDescent="0.3">
      <c r="A7116" s="198">
        <v>1014867314</v>
      </c>
      <c r="B7116" s="192" t="s">
        <v>5079</v>
      </c>
      <c r="C7116" s="196">
        <v>-47400</v>
      </c>
      <c r="D7116" s="196">
        <v>0</v>
      </c>
      <c r="E7116" s="196">
        <v>0</v>
      </c>
      <c r="F7116" s="196">
        <v>0</v>
      </c>
      <c r="G7116" s="196">
        <v>-47400</v>
      </c>
    </row>
    <row r="7117" spans="1:7" x14ac:dyDescent="0.3">
      <c r="A7117" s="198">
        <v>1035013150</v>
      </c>
      <c r="B7117" s="192" t="s">
        <v>5080</v>
      </c>
      <c r="C7117" s="196">
        <v>-42850</v>
      </c>
      <c r="D7117" s="196">
        <v>0</v>
      </c>
      <c r="E7117" s="196">
        <v>0</v>
      </c>
      <c r="F7117" s="196">
        <v>0</v>
      </c>
      <c r="G7117" s="196">
        <v>-42850</v>
      </c>
    </row>
    <row r="7118" spans="1:7" x14ac:dyDescent="0.3">
      <c r="A7118" s="198">
        <v>1033190933</v>
      </c>
      <c r="B7118" s="192" t="s">
        <v>5081</v>
      </c>
      <c r="C7118" s="196">
        <v>-50900</v>
      </c>
      <c r="D7118" s="196">
        <v>0</v>
      </c>
      <c r="E7118" s="196">
        <v>0</v>
      </c>
      <c r="F7118" s="196">
        <v>0</v>
      </c>
      <c r="G7118" s="196">
        <v>-50900</v>
      </c>
    </row>
    <row r="7119" spans="1:7" x14ac:dyDescent="0.3">
      <c r="A7119" s="198">
        <v>41614038</v>
      </c>
      <c r="B7119" s="192" t="s">
        <v>5082</v>
      </c>
      <c r="C7119" s="196">
        <v>-297000</v>
      </c>
      <c r="D7119" s="196">
        <v>0</v>
      </c>
      <c r="E7119" s="196">
        <v>0</v>
      </c>
      <c r="F7119" s="196">
        <v>0</v>
      </c>
      <c r="G7119" s="196">
        <v>-297000</v>
      </c>
    </row>
    <row r="7120" spans="1:7" x14ac:dyDescent="0.3">
      <c r="A7120" s="198">
        <v>1098680696</v>
      </c>
      <c r="B7120" s="192" t="s">
        <v>5083</v>
      </c>
      <c r="C7120" s="196">
        <v>-47000</v>
      </c>
      <c r="D7120" s="196">
        <v>0</v>
      </c>
      <c r="E7120" s="196">
        <v>0</v>
      </c>
      <c r="F7120" s="196">
        <v>0</v>
      </c>
      <c r="G7120" s="196">
        <v>-47000</v>
      </c>
    </row>
    <row r="7121" spans="1:7" x14ac:dyDescent="0.3">
      <c r="A7121" s="198">
        <v>1152468279</v>
      </c>
      <c r="B7121" s="192" t="s">
        <v>5084</v>
      </c>
      <c r="C7121" s="196">
        <v>-47400</v>
      </c>
      <c r="D7121" s="196">
        <v>0</v>
      </c>
      <c r="E7121" s="196">
        <v>0</v>
      </c>
      <c r="F7121" s="196">
        <v>0</v>
      </c>
      <c r="G7121" s="196">
        <v>-47400</v>
      </c>
    </row>
    <row r="7122" spans="1:7" x14ac:dyDescent="0.3">
      <c r="A7122" s="198">
        <v>1032941800</v>
      </c>
      <c r="B7122" s="192" t="s">
        <v>1159</v>
      </c>
      <c r="C7122" s="196">
        <v>0</v>
      </c>
      <c r="D7122" s="196">
        <v>0</v>
      </c>
      <c r="E7122" s="196">
        <v>50900</v>
      </c>
      <c r="F7122" s="196">
        <v>-50900</v>
      </c>
      <c r="G7122" s="196">
        <v>-50900</v>
      </c>
    </row>
    <row r="7123" spans="1:7" x14ac:dyDescent="0.3">
      <c r="A7123" s="198">
        <v>1095843402</v>
      </c>
      <c r="B7123" s="192" t="s">
        <v>1160</v>
      </c>
      <c r="C7123" s="196">
        <v>-110000</v>
      </c>
      <c r="D7123" s="196">
        <v>0</v>
      </c>
      <c r="E7123" s="196">
        <v>0</v>
      </c>
      <c r="F7123" s="196">
        <v>0</v>
      </c>
      <c r="G7123" s="196">
        <v>-110000</v>
      </c>
    </row>
    <row r="7124" spans="1:7" x14ac:dyDescent="0.3">
      <c r="A7124" s="198">
        <v>42675440</v>
      </c>
      <c r="B7124" s="192" t="s">
        <v>5085</v>
      </c>
      <c r="C7124" s="196">
        <v>-47400</v>
      </c>
      <c r="D7124" s="196">
        <v>0</v>
      </c>
      <c r="E7124" s="196">
        <v>0</v>
      </c>
      <c r="F7124" s="196">
        <v>0</v>
      </c>
      <c r="G7124" s="196">
        <v>-47400</v>
      </c>
    </row>
    <row r="7125" spans="1:7" x14ac:dyDescent="0.3">
      <c r="A7125" s="198">
        <v>22196905</v>
      </c>
      <c r="B7125" s="192" t="s">
        <v>5086</v>
      </c>
      <c r="C7125" s="196">
        <v>-100000</v>
      </c>
      <c r="D7125" s="196">
        <v>0</v>
      </c>
      <c r="E7125" s="196">
        <v>0</v>
      </c>
      <c r="F7125" s="196">
        <v>0</v>
      </c>
      <c r="G7125" s="196">
        <v>-100000</v>
      </c>
    </row>
    <row r="7126" spans="1:7" x14ac:dyDescent="0.3">
      <c r="A7126" s="198">
        <v>42876917</v>
      </c>
      <c r="B7126" s="192" t="s">
        <v>5087</v>
      </c>
      <c r="C7126" s="196">
        <v>-50900</v>
      </c>
      <c r="D7126" s="196">
        <v>0</v>
      </c>
      <c r="E7126" s="196">
        <v>0</v>
      </c>
      <c r="F7126" s="196">
        <v>0</v>
      </c>
      <c r="G7126" s="196">
        <v>-50900</v>
      </c>
    </row>
    <row r="7127" spans="1:7" x14ac:dyDescent="0.3">
      <c r="A7127" s="198">
        <v>32456800</v>
      </c>
      <c r="B7127" s="192" t="s">
        <v>5088</v>
      </c>
      <c r="C7127" s="196">
        <v>-223300</v>
      </c>
      <c r="D7127" s="196">
        <v>0</v>
      </c>
      <c r="E7127" s="196">
        <v>0</v>
      </c>
      <c r="F7127" s="196">
        <v>0</v>
      </c>
      <c r="G7127" s="196">
        <v>-223300</v>
      </c>
    </row>
    <row r="7128" spans="1:7" x14ac:dyDescent="0.3">
      <c r="A7128" s="198">
        <v>41780236</v>
      </c>
      <c r="B7128" s="192" t="s">
        <v>5089</v>
      </c>
      <c r="C7128" s="196">
        <v>-319000</v>
      </c>
      <c r="D7128" s="196">
        <v>0</v>
      </c>
      <c r="E7128" s="196">
        <v>0</v>
      </c>
      <c r="F7128" s="196">
        <v>0</v>
      </c>
      <c r="G7128" s="196">
        <v>-319000</v>
      </c>
    </row>
    <row r="7129" spans="1:7" x14ac:dyDescent="0.3">
      <c r="A7129" s="198">
        <v>31302516</v>
      </c>
      <c r="B7129" s="192" t="s">
        <v>5090</v>
      </c>
      <c r="C7129" s="196">
        <v>-101800</v>
      </c>
      <c r="D7129" s="196">
        <v>0</v>
      </c>
      <c r="E7129" s="196">
        <v>0</v>
      </c>
      <c r="F7129" s="196">
        <v>0</v>
      </c>
      <c r="G7129" s="196">
        <v>-101800</v>
      </c>
    </row>
    <row r="7130" spans="1:7" x14ac:dyDescent="0.3">
      <c r="A7130" s="198">
        <v>43031109</v>
      </c>
      <c r="B7130" s="192" t="s">
        <v>1161</v>
      </c>
      <c r="C7130" s="196">
        <v>0</v>
      </c>
      <c r="D7130" s="196">
        <v>0</v>
      </c>
      <c r="E7130" s="196">
        <v>319000</v>
      </c>
      <c r="F7130" s="196">
        <v>-319000</v>
      </c>
      <c r="G7130" s="196">
        <v>-319000</v>
      </c>
    </row>
    <row r="7131" spans="1:7" x14ac:dyDescent="0.3">
      <c r="A7131" s="198">
        <v>1035014177</v>
      </c>
      <c r="B7131" s="192" t="s">
        <v>5091</v>
      </c>
      <c r="C7131" s="196">
        <v>-101800</v>
      </c>
      <c r="D7131" s="196">
        <v>0</v>
      </c>
      <c r="E7131" s="196">
        <v>0</v>
      </c>
      <c r="F7131" s="196">
        <v>0</v>
      </c>
      <c r="G7131" s="196">
        <v>-101800</v>
      </c>
    </row>
    <row r="7132" spans="1:7" x14ac:dyDescent="0.3">
      <c r="A7132" s="198">
        <v>32503535</v>
      </c>
      <c r="B7132" s="192" t="s">
        <v>5092</v>
      </c>
      <c r="C7132" s="196">
        <v>-297000</v>
      </c>
      <c r="D7132" s="196">
        <v>0</v>
      </c>
      <c r="E7132" s="196">
        <v>0</v>
      </c>
      <c r="F7132" s="196">
        <v>0</v>
      </c>
      <c r="G7132" s="196">
        <v>-297000</v>
      </c>
    </row>
    <row r="7133" spans="1:7" x14ac:dyDescent="0.3">
      <c r="A7133" s="198">
        <v>43870209</v>
      </c>
      <c r="B7133" s="192" t="s">
        <v>5093</v>
      </c>
      <c r="C7133" s="196">
        <v>-43900</v>
      </c>
      <c r="D7133" s="196">
        <v>0</v>
      </c>
      <c r="E7133" s="196">
        <v>0</v>
      </c>
      <c r="F7133" s="196">
        <v>0</v>
      </c>
      <c r="G7133" s="196">
        <v>-43900</v>
      </c>
    </row>
    <row r="7134" spans="1:7" x14ac:dyDescent="0.3">
      <c r="A7134" s="198">
        <v>1033273255</v>
      </c>
      <c r="B7134" s="192" t="s">
        <v>1162</v>
      </c>
      <c r="C7134" s="196">
        <v>0</v>
      </c>
      <c r="D7134" s="196">
        <v>0</v>
      </c>
      <c r="E7134" s="196">
        <v>25000</v>
      </c>
      <c r="F7134" s="196">
        <v>-25000</v>
      </c>
      <c r="G7134" s="196">
        <v>-25000</v>
      </c>
    </row>
    <row r="7135" spans="1:7" x14ac:dyDescent="0.3">
      <c r="A7135" s="198">
        <v>39165428</v>
      </c>
      <c r="B7135" s="192" t="s">
        <v>1163</v>
      </c>
      <c r="C7135" s="196">
        <v>-162601</v>
      </c>
      <c r="D7135" s="196">
        <v>0</v>
      </c>
      <c r="E7135" s="196">
        <v>0</v>
      </c>
      <c r="F7135" s="196">
        <v>0</v>
      </c>
      <c r="G7135" s="196">
        <v>-162601</v>
      </c>
    </row>
    <row r="7136" spans="1:7" x14ac:dyDescent="0.3">
      <c r="A7136" s="198">
        <v>485210</v>
      </c>
      <c r="B7136" s="192" t="s">
        <v>5094</v>
      </c>
      <c r="C7136" s="196">
        <v>-50900</v>
      </c>
      <c r="D7136" s="196">
        <v>0</v>
      </c>
      <c r="E7136" s="196">
        <v>0</v>
      </c>
      <c r="F7136" s="196">
        <v>0</v>
      </c>
      <c r="G7136" s="196">
        <v>-50900</v>
      </c>
    </row>
    <row r="7137" spans="1:7" x14ac:dyDescent="0.3">
      <c r="A7137" s="198">
        <v>39328978</v>
      </c>
      <c r="B7137" s="192" t="s">
        <v>1164</v>
      </c>
      <c r="C7137" s="196">
        <v>0</v>
      </c>
      <c r="D7137" s="196">
        <v>0</v>
      </c>
      <c r="E7137" s="196">
        <v>247000</v>
      </c>
      <c r="F7137" s="196">
        <v>-247000</v>
      </c>
      <c r="G7137" s="196">
        <v>-247000</v>
      </c>
    </row>
    <row r="7138" spans="1:7" x14ac:dyDescent="0.3">
      <c r="A7138" s="198">
        <v>39206180</v>
      </c>
      <c r="B7138" s="192" t="s">
        <v>5095</v>
      </c>
      <c r="C7138" s="196">
        <v>-297000</v>
      </c>
      <c r="D7138" s="196">
        <v>0</v>
      </c>
      <c r="E7138" s="196">
        <v>0</v>
      </c>
      <c r="F7138" s="196">
        <v>0</v>
      </c>
      <c r="G7138" s="196">
        <v>-297000</v>
      </c>
    </row>
    <row r="7139" spans="1:7" x14ac:dyDescent="0.3">
      <c r="A7139" s="198">
        <v>1035234366</v>
      </c>
      <c r="B7139" s="192" t="s">
        <v>5096</v>
      </c>
      <c r="C7139" s="196">
        <v>-50900</v>
      </c>
      <c r="D7139" s="196">
        <v>0</v>
      </c>
      <c r="E7139" s="196">
        <v>0</v>
      </c>
      <c r="F7139" s="196">
        <v>0</v>
      </c>
      <c r="G7139" s="196">
        <v>-50900</v>
      </c>
    </row>
    <row r="7140" spans="1:7" x14ac:dyDescent="0.3">
      <c r="A7140" s="198">
        <v>42894629</v>
      </c>
      <c r="B7140" s="192" t="s">
        <v>5097</v>
      </c>
      <c r="C7140" s="196">
        <v>-50900</v>
      </c>
      <c r="D7140" s="196">
        <v>0</v>
      </c>
      <c r="E7140" s="196">
        <v>0</v>
      </c>
      <c r="F7140" s="196">
        <v>0</v>
      </c>
      <c r="G7140" s="196">
        <v>-50900</v>
      </c>
    </row>
    <row r="7141" spans="1:7" x14ac:dyDescent="0.3">
      <c r="A7141" s="198">
        <v>43046394</v>
      </c>
      <c r="B7141" s="192" t="s">
        <v>5098</v>
      </c>
      <c r="C7141" s="196">
        <v>-159500</v>
      </c>
      <c r="D7141" s="196">
        <v>0</v>
      </c>
      <c r="E7141" s="196">
        <v>0</v>
      </c>
      <c r="F7141" s="196">
        <v>0</v>
      </c>
      <c r="G7141" s="196">
        <v>-159500</v>
      </c>
    </row>
    <row r="7142" spans="1:7" x14ac:dyDescent="0.3">
      <c r="A7142" s="198">
        <v>42880692</v>
      </c>
      <c r="B7142" s="192" t="s">
        <v>5099</v>
      </c>
      <c r="C7142" s="196">
        <v>-152700</v>
      </c>
      <c r="D7142" s="196">
        <v>0</v>
      </c>
      <c r="E7142" s="196">
        <v>0</v>
      </c>
      <c r="F7142" s="196">
        <v>0</v>
      </c>
      <c r="G7142" s="196">
        <v>-152700</v>
      </c>
    </row>
    <row r="7143" spans="1:7" x14ac:dyDescent="0.3">
      <c r="A7143" s="198">
        <v>43609825</v>
      </c>
      <c r="B7143" s="192" t="s">
        <v>5100</v>
      </c>
      <c r="C7143" s="196">
        <v>-380000</v>
      </c>
      <c r="D7143" s="196">
        <v>0</v>
      </c>
      <c r="E7143" s="196">
        <v>0</v>
      </c>
      <c r="F7143" s="196">
        <v>0</v>
      </c>
      <c r="G7143" s="196">
        <v>-380000</v>
      </c>
    </row>
    <row r="7144" spans="1:7" x14ac:dyDescent="0.3">
      <c r="A7144" s="198">
        <v>22197485</v>
      </c>
      <c r="B7144" s="192" t="s">
        <v>5101</v>
      </c>
      <c r="C7144" s="196">
        <v>-57200</v>
      </c>
      <c r="D7144" s="196">
        <v>0</v>
      </c>
      <c r="E7144" s="196">
        <v>0</v>
      </c>
      <c r="F7144" s="196">
        <v>0</v>
      </c>
      <c r="G7144" s="196">
        <v>-57200</v>
      </c>
    </row>
    <row r="7145" spans="1:7" x14ac:dyDescent="0.3">
      <c r="A7145" s="198">
        <v>31403494</v>
      </c>
      <c r="B7145" s="192" t="s">
        <v>5102</v>
      </c>
      <c r="C7145" s="196">
        <v>-297000</v>
      </c>
      <c r="D7145" s="196">
        <v>0</v>
      </c>
      <c r="E7145" s="196">
        <v>0</v>
      </c>
      <c r="F7145" s="196">
        <v>0</v>
      </c>
      <c r="G7145" s="196">
        <v>-297000</v>
      </c>
    </row>
    <row r="7146" spans="1:7" x14ac:dyDescent="0.3">
      <c r="A7146" s="198">
        <v>39296670</v>
      </c>
      <c r="B7146" s="192" t="s">
        <v>5103</v>
      </c>
      <c r="C7146" s="196">
        <v>-319000</v>
      </c>
      <c r="D7146" s="196">
        <v>0</v>
      </c>
      <c r="E7146" s="196">
        <v>0</v>
      </c>
      <c r="F7146" s="196">
        <v>0</v>
      </c>
      <c r="G7146" s="196">
        <v>-319000</v>
      </c>
    </row>
    <row r="7147" spans="1:7" x14ac:dyDescent="0.3">
      <c r="A7147" s="198">
        <v>21365917</v>
      </c>
      <c r="B7147" s="192" t="s">
        <v>5104</v>
      </c>
      <c r="C7147" s="196">
        <v>-297000</v>
      </c>
      <c r="D7147" s="196">
        <v>0</v>
      </c>
      <c r="E7147" s="196">
        <v>0</v>
      </c>
      <c r="F7147" s="196">
        <v>0</v>
      </c>
      <c r="G7147" s="196">
        <v>-297000</v>
      </c>
    </row>
    <row r="7148" spans="1:7" x14ac:dyDescent="0.3">
      <c r="A7148" s="198">
        <v>1040751313</v>
      </c>
      <c r="B7148" s="192" t="s">
        <v>5105</v>
      </c>
      <c r="C7148" s="196">
        <v>-101800</v>
      </c>
      <c r="D7148" s="196">
        <v>0</v>
      </c>
      <c r="E7148" s="196">
        <v>0</v>
      </c>
      <c r="F7148" s="196">
        <v>0</v>
      </c>
      <c r="G7148" s="196">
        <v>-101800</v>
      </c>
    </row>
    <row r="7149" spans="1:7" x14ac:dyDescent="0.3">
      <c r="A7149" s="198">
        <v>43220229</v>
      </c>
      <c r="B7149" s="192" t="s">
        <v>5106</v>
      </c>
      <c r="C7149" s="196">
        <v>-41400</v>
      </c>
      <c r="D7149" s="196">
        <v>0</v>
      </c>
      <c r="E7149" s="196">
        <v>0</v>
      </c>
      <c r="F7149" s="196">
        <v>0</v>
      </c>
      <c r="G7149" s="196">
        <v>-41400</v>
      </c>
    </row>
    <row r="7150" spans="1:7" x14ac:dyDescent="0.3">
      <c r="A7150" s="198">
        <v>21846628</v>
      </c>
      <c r="B7150" s="192" t="s">
        <v>1165</v>
      </c>
      <c r="C7150" s="196">
        <v>0</v>
      </c>
      <c r="D7150" s="196">
        <v>0</v>
      </c>
      <c r="E7150" s="196">
        <v>297000</v>
      </c>
      <c r="F7150" s="196">
        <v>-297000</v>
      </c>
      <c r="G7150" s="196">
        <v>-297000</v>
      </c>
    </row>
    <row r="7151" spans="1:7" x14ac:dyDescent="0.3">
      <c r="A7151" s="198">
        <v>55152606</v>
      </c>
      <c r="B7151" s="192" t="s">
        <v>1166</v>
      </c>
      <c r="C7151" s="196">
        <v>0</v>
      </c>
      <c r="D7151" s="196">
        <v>0</v>
      </c>
      <c r="E7151" s="196">
        <v>50900</v>
      </c>
      <c r="F7151" s="196">
        <v>-50900</v>
      </c>
      <c r="G7151" s="196">
        <v>-50900</v>
      </c>
    </row>
    <row r="7152" spans="1:7" x14ac:dyDescent="0.3">
      <c r="A7152" s="198">
        <v>41482976</v>
      </c>
      <c r="B7152" s="192" t="s">
        <v>5107</v>
      </c>
      <c r="C7152" s="196">
        <v>-297000</v>
      </c>
      <c r="D7152" s="196">
        <v>0</v>
      </c>
      <c r="E7152" s="196">
        <v>0</v>
      </c>
      <c r="F7152" s="196">
        <v>0</v>
      </c>
      <c r="G7152" s="196">
        <v>-297000</v>
      </c>
    </row>
    <row r="7153" spans="1:7" x14ac:dyDescent="0.3">
      <c r="A7153" s="198">
        <v>40759477</v>
      </c>
      <c r="B7153" s="192" t="s">
        <v>5108</v>
      </c>
      <c r="C7153" s="196">
        <v>-162000</v>
      </c>
      <c r="D7153" s="196">
        <v>0</v>
      </c>
      <c r="E7153" s="196">
        <v>0</v>
      </c>
      <c r="F7153" s="196">
        <v>0</v>
      </c>
      <c r="G7153" s="196">
        <v>-162000</v>
      </c>
    </row>
    <row r="7154" spans="1:7" x14ac:dyDescent="0.3">
      <c r="A7154" s="198">
        <v>42882239</v>
      </c>
      <c r="B7154" s="192" t="s">
        <v>1168</v>
      </c>
      <c r="C7154" s="196">
        <v>0</v>
      </c>
      <c r="D7154" s="196">
        <v>0</v>
      </c>
      <c r="E7154" s="196">
        <v>162000</v>
      </c>
      <c r="F7154" s="196">
        <v>-162000</v>
      </c>
      <c r="G7154" s="196">
        <v>-162000</v>
      </c>
    </row>
    <row r="7155" spans="1:7" x14ac:dyDescent="0.3">
      <c r="A7155" s="198">
        <v>21744603</v>
      </c>
      <c r="B7155" s="192" t="s">
        <v>5109</v>
      </c>
      <c r="C7155" s="196">
        <v>-297000</v>
      </c>
      <c r="D7155" s="196">
        <v>0</v>
      </c>
      <c r="E7155" s="196">
        <v>0</v>
      </c>
      <c r="F7155" s="196">
        <v>0</v>
      </c>
      <c r="G7155" s="196">
        <v>-297000</v>
      </c>
    </row>
    <row r="7156" spans="1:7" x14ac:dyDescent="0.3">
      <c r="A7156" s="198">
        <v>21363325</v>
      </c>
      <c r="B7156" s="192" t="s">
        <v>5110</v>
      </c>
      <c r="C7156" s="196">
        <v>-493300</v>
      </c>
      <c r="D7156" s="196">
        <v>0</v>
      </c>
      <c r="E7156" s="196">
        <v>0</v>
      </c>
      <c r="F7156" s="196">
        <v>0</v>
      </c>
      <c r="G7156" s="196">
        <v>-493300</v>
      </c>
    </row>
    <row r="7157" spans="1:7" x14ac:dyDescent="0.3">
      <c r="A7157" s="198">
        <v>32447611</v>
      </c>
      <c r="B7157" s="192" t="s">
        <v>5111</v>
      </c>
      <c r="C7157" s="196">
        <v>-88000</v>
      </c>
      <c r="D7157" s="196">
        <v>0</v>
      </c>
      <c r="E7157" s="196">
        <v>0</v>
      </c>
      <c r="F7157" s="196">
        <v>0</v>
      </c>
      <c r="G7157" s="196">
        <v>-88000</v>
      </c>
    </row>
    <row r="7158" spans="1:7" x14ac:dyDescent="0.3">
      <c r="A7158" s="198">
        <v>42871786</v>
      </c>
      <c r="B7158" s="192" t="s">
        <v>5112</v>
      </c>
      <c r="C7158" s="196">
        <v>-50900</v>
      </c>
      <c r="D7158" s="196">
        <v>0</v>
      </c>
      <c r="E7158" s="196">
        <v>0</v>
      </c>
      <c r="F7158" s="196">
        <v>0</v>
      </c>
      <c r="G7158" s="196">
        <v>-50900</v>
      </c>
    </row>
    <row r="7159" spans="1:7" x14ac:dyDescent="0.3">
      <c r="A7159" s="198">
        <v>32541306</v>
      </c>
      <c r="B7159" s="192" t="s">
        <v>5113</v>
      </c>
      <c r="C7159" s="196">
        <v>-223300</v>
      </c>
      <c r="D7159" s="196">
        <v>0</v>
      </c>
      <c r="E7159" s="196">
        <v>0</v>
      </c>
      <c r="F7159" s="196">
        <v>0</v>
      </c>
      <c r="G7159" s="196">
        <v>-223300</v>
      </c>
    </row>
    <row r="7160" spans="1:7" x14ac:dyDescent="0.3">
      <c r="A7160" s="198">
        <v>32436493</v>
      </c>
      <c r="B7160" s="192" t="s">
        <v>5114</v>
      </c>
      <c r="C7160" s="196">
        <v>-114400</v>
      </c>
      <c r="D7160" s="196">
        <v>0</v>
      </c>
      <c r="E7160" s="196">
        <v>0</v>
      </c>
      <c r="F7160" s="196">
        <v>0</v>
      </c>
      <c r="G7160" s="196">
        <v>-114400</v>
      </c>
    </row>
    <row r="7161" spans="1:7" x14ac:dyDescent="0.3">
      <c r="A7161" s="198">
        <v>21827792</v>
      </c>
      <c r="B7161" s="192" t="s">
        <v>1169</v>
      </c>
      <c r="C7161" s="196">
        <v>0</v>
      </c>
      <c r="D7161" s="196">
        <v>0</v>
      </c>
      <c r="E7161" s="196">
        <v>207900</v>
      </c>
      <c r="F7161" s="196">
        <v>-207900</v>
      </c>
      <c r="G7161" s="196">
        <v>-207900</v>
      </c>
    </row>
    <row r="7162" spans="1:7" x14ac:dyDescent="0.3">
      <c r="A7162" s="198">
        <v>42870676</v>
      </c>
      <c r="B7162" s="192" t="s">
        <v>5115</v>
      </c>
      <c r="C7162" s="196">
        <v>-57200</v>
      </c>
      <c r="D7162" s="196">
        <v>0</v>
      </c>
      <c r="E7162" s="196">
        <v>0</v>
      </c>
      <c r="F7162" s="196">
        <v>0</v>
      </c>
      <c r="G7162" s="196">
        <v>-57200</v>
      </c>
    </row>
    <row r="7163" spans="1:7" x14ac:dyDescent="0.3">
      <c r="A7163" s="198">
        <v>21839342</v>
      </c>
      <c r="B7163" s="192" t="s">
        <v>5116</v>
      </c>
      <c r="C7163" s="196">
        <v>-148500</v>
      </c>
      <c r="D7163" s="196">
        <v>0</v>
      </c>
      <c r="E7163" s="196">
        <v>0</v>
      </c>
      <c r="F7163" s="196">
        <v>0</v>
      </c>
      <c r="G7163" s="196">
        <v>-148500</v>
      </c>
    </row>
    <row r="7164" spans="1:7" x14ac:dyDescent="0.3">
      <c r="A7164" s="198">
        <v>32515596</v>
      </c>
      <c r="B7164" s="192" t="s">
        <v>1171</v>
      </c>
      <c r="C7164" s="196">
        <v>0</v>
      </c>
      <c r="D7164" s="196">
        <v>0</v>
      </c>
      <c r="E7164" s="196">
        <v>57200</v>
      </c>
      <c r="F7164" s="196">
        <v>-57200</v>
      </c>
      <c r="G7164" s="196">
        <v>-57200</v>
      </c>
    </row>
    <row r="7165" spans="1:7" x14ac:dyDescent="0.3">
      <c r="A7165" s="198">
        <v>1097182276</v>
      </c>
      <c r="B7165" s="192" t="s">
        <v>5117</v>
      </c>
      <c r="C7165" s="196">
        <v>-110000</v>
      </c>
      <c r="D7165" s="196">
        <v>0</v>
      </c>
      <c r="E7165" s="196">
        <v>0</v>
      </c>
      <c r="F7165" s="196">
        <v>0</v>
      </c>
      <c r="G7165" s="196">
        <v>-110000</v>
      </c>
    </row>
    <row r="7166" spans="1:7" x14ac:dyDescent="0.3">
      <c r="A7166" s="198">
        <v>1003343243</v>
      </c>
      <c r="B7166" s="192" t="s">
        <v>5118</v>
      </c>
      <c r="C7166" s="196">
        <v>-100000</v>
      </c>
      <c r="D7166" s="196">
        <v>0</v>
      </c>
      <c r="E7166" s="196">
        <v>0</v>
      </c>
      <c r="F7166" s="196">
        <v>0</v>
      </c>
      <c r="G7166" s="196">
        <v>-100000</v>
      </c>
    </row>
    <row r="7167" spans="1:7" x14ac:dyDescent="0.3">
      <c r="A7167" s="198">
        <v>63527738</v>
      </c>
      <c r="B7167" s="192" t="s">
        <v>5119</v>
      </c>
      <c r="C7167" s="196">
        <v>-108400</v>
      </c>
      <c r="D7167" s="196">
        <v>0</v>
      </c>
      <c r="E7167" s="196">
        <v>0</v>
      </c>
      <c r="F7167" s="196">
        <v>0</v>
      </c>
      <c r="G7167" s="196">
        <v>-108400</v>
      </c>
    </row>
    <row r="7168" spans="1:7" x14ac:dyDescent="0.3">
      <c r="A7168" s="198">
        <v>1097494359</v>
      </c>
      <c r="B7168" s="192" t="s">
        <v>5120</v>
      </c>
      <c r="C7168" s="196">
        <v>-36000</v>
      </c>
      <c r="D7168" s="196">
        <v>0</v>
      </c>
      <c r="E7168" s="196">
        <v>0</v>
      </c>
      <c r="F7168" s="196">
        <v>0</v>
      </c>
      <c r="G7168" s="196">
        <v>-36000</v>
      </c>
    </row>
    <row r="7169" spans="1:7" x14ac:dyDescent="0.3">
      <c r="A7169" s="198">
        <v>44000039</v>
      </c>
      <c r="B7169" s="192" t="s">
        <v>5121</v>
      </c>
      <c r="C7169" s="196">
        <v>-50900</v>
      </c>
      <c r="D7169" s="196">
        <v>0</v>
      </c>
      <c r="E7169" s="196">
        <v>0</v>
      </c>
      <c r="F7169" s="196">
        <v>0</v>
      </c>
      <c r="G7169" s="196">
        <v>-50900</v>
      </c>
    </row>
    <row r="7170" spans="1:7" x14ac:dyDescent="0.3">
      <c r="A7170" s="198">
        <v>43536814</v>
      </c>
      <c r="B7170" s="192" t="s">
        <v>5122</v>
      </c>
      <c r="C7170" s="196">
        <v>-101800</v>
      </c>
      <c r="D7170" s="196">
        <v>0</v>
      </c>
      <c r="E7170" s="196">
        <v>0</v>
      </c>
      <c r="F7170" s="196">
        <v>0</v>
      </c>
      <c r="G7170" s="196">
        <v>-101800</v>
      </c>
    </row>
    <row r="7171" spans="1:7" x14ac:dyDescent="0.3">
      <c r="A7171" s="198">
        <v>1035018885</v>
      </c>
      <c r="B7171" s="192" t="s">
        <v>5123</v>
      </c>
      <c r="C7171" s="196">
        <v>-50900</v>
      </c>
      <c r="D7171" s="196">
        <v>0</v>
      </c>
      <c r="E7171" s="196">
        <v>0</v>
      </c>
      <c r="F7171" s="196">
        <v>0</v>
      </c>
      <c r="G7171" s="196">
        <v>-50900</v>
      </c>
    </row>
    <row r="7172" spans="1:7" x14ac:dyDescent="0.3">
      <c r="A7172" s="198">
        <v>1035016165</v>
      </c>
      <c r="B7172" s="192" t="s">
        <v>1172</v>
      </c>
      <c r="C7172" s="196">
        <v>0</v>
      </c>
      <c r="D7172" s="196">
        <v>0</v>
      </c>
      <c r="E7172" s="196">
        <v>50900</v>
      </c>
      <c r="F7172" s="196">
        <v>-50900</v>
      </c>
      <c r="G7172" s="196">
        <v>-50900</v>
      </c>
    </row>
    <row r="7173" spans="1:7" x14ac:dyDescent="0.3">
      <c r="A7173" s="198">
        <v>1013464139</v>
      </c>
      <c r="B7173" s="192" t="s">
        <v>5124</v>
      </c>
      <c r="C7173" s="196">
        <v>-340000</v>
      </c>
      <c r="D7173" s="196">
        <v>0</v>
      </c>
      <c r="E7173" s="196">
        <v>0</v>
      </c>
      <c r="F7173" s="196">
        <v>0</v>
      </c>
      <c r="G7173" s="196">
        <v>-340000</v>
      </c>
    </row>
    <row r="7174" spans="1:7" x14ac:dyDescent="0.3">
      <c r="A7174" s="198">
        <v>1023569949</v>
      </c>
      <c r="B7174" s="192" t="s">
        <v>5125</v>
      </c>
      <c r="C7174" s="196">
        <v>-50900</v>
      </c>
      <c r="D7174" s="196">
        <v>0</v>
      </c>
      <c r="E7174" s="196">
        <v>0</v>
      </c>
      <c r="F7174" s="196">
        <v>0</v>
      </c>
      <c r="G7174" s="196">
        <v>-50900</v>
      </c>
    </row>
    <row r="7175" spans="1:7" x14ac:dyDescent="0.3">
      <c r="A7175" s="198">
        <v>41330362</v>
      </c>
      <c r="B7175" s="192" t="s">
        <v>1174</v>
      </c>
      <c r="C7175" s="196">
        <v>-76800</v>
      </c>
      <c r="D7175" s="196">
        <v>0</v>
      </c>
      <c r="E7175" s="196">
        <v>38400</v>
      </c>
      <c r="F7175" s="196">
        <v>-38400</v>
      </c>
      <c r="G7175" s="196">
        <v>-115200</v>
      </c>
    </row>
    <row r="7176" spans="1:7" x14ac:dyDescent="0.3">
      <c r="A7176" s="198">
        <v>21305634</v>
      </c>
      <c r="B7176" s="192" t="s">
        <v>5126</v>
      </c>
      <c r="C7176" s="196">
        <v>-616000</v>
      </c>
      <c r="D7176" s="196">
        <v>0</v>
      </c>
      <c r="E7176" s="196">
        <v>0</v>
      </c>
      <c r="F7176" s="196">
        <v>0</v>
      </c>
      <c r="G7176" s="196">
        <v>-616000</v>
      </c>
    </row>
    <row r="7177" spans="1:7" x14ac:dyDescent="0.3">
      <c r="A7177" s="198">
        <v>43510776</v>
      </c>
      <c r="B7177" s="192" t="s">
        <v>5127</v>
      </c>
      <c r="C7177" s="196">
        <v>-50900</v>
      </c>
      <c r="D7177" s="196">
        <v>0</v>
      </c>
      <c r="E7177" s="196">
        <v>0</v>
      </c>
      <c r="F7177" s="196">
        <v>0</v>
      </c>
      <c r="G7177" s="196">
        <v>-50900</v>
      </c>
    </row>
    <row r="7178" spans="1:7" x14ac:dyDescent="0.3">
      <c r="A7178" s="198">
        <v>22057654</v>
      </c>
      <c r="B7178" s="192" t="s">
        <v>5128</v>
      </c>
      <c r="C7178" s="196">
        <v>-20000</v>
      </c>
      <c r="D7178" s="196">
        <v>0</v>
      </c>
      <c r="E7178" s="196">
        <v>0</v>
      </c>
      <c r="F7178" s="196">
        <v>0</v>
      </c>
      <c r="G7178" s="196">
        <v>-20000</v>
      </c>
    </row>
    <row r="7179" spans="1:7" x14ac:dyDescent="0.3">
      <c r="A7179" s="198">
        <v>32328447</v>
      </c>
      <c r="B7179" s="192" t="s">
        <v>1175</v>
      </c>
      <c r="C7179" s="196">
        <v>-57200</v>
      </c>
      <c r="D7179" s="196">
        <v>0</v>
      </c>
      <c r="E7179" s="196">
        <v>0</v>
      </c>
      <c r="F7179" s="196">
        <v>0</v>
      </c>
      <c r="G7179" s="196">
        <v>-57200</v>
      </c>
    </row>
    <row r="7180" spans="1:7" x14ac:dyDescent="0.3">
      <c r="A7180" s="198">
        <v>32328657</v>
      </c>
      <c r="B7180" s="192" t="s">
        <v>1176</v>
      </c>
      <c r="C7180" s="196">
        <v>0</v>
      </c>
      <c r="D7180" s="196">
        <v>0</v>
      </c>
      <c r="E7180" s="196">
        <v>223300</v>
      </c>
      <c r="F7180" s="196">
        <v>-223300</v>
      </c>
      <c r="G7180" s="196">
        <v>-223300</v>
      </c>
    </row>
    <row r="7181" spans="1:7" x14ac:dyDescent="0.3">
      <c r="A7181" s="198">
        <v>21331664</v>
      </c>
      <c r="B7181" s="192" t="s">
        <v>5129</v>
      </c>
      <c r="C7181" s="196">
        <v>-207900</v>
      </c>
      <c r="D7181" s="196">
        <v>0</v>
      </c>
      <c r="E7181" s="196">
        <v>0</v>
      </c>
      <c r="F7181" s="196">
        <v>0</v>
      </c>
      <c r="G7181" s="196">
        <v>-207900</v>
      </c>
    </row>
    <row r="7182" spans="1:7" x14ac:dyDescent="0.3">
      <c r="A7182" s="198">
        <v>43519391</v>
      </c>
      <c r="B7182" s="192" t="s">
        <v>5130</v>
      </c>
      <c r="C7182" s="196">
        <v>-115200</v>
      </c>
      <c r="D7182" s="196">
        <v>0</v>
      </c>
      <c r="E7182" s="196">
        <v>0</v>
      </c>
      <c r="F7182" s="196">
        <v>0</v>
      </c>
      <c r="G7182" s="196">
        <v>-115200</v>
      </c>
    </row>
    <row r="7183" spans="1:7" x14ac:dyDescent="0.3">
      <c r="A7183" s="198">
        <v>43738087</v>
      </c>
      <c r="B7183" s="192" t="s">
        <v>5131</v>
      </c>
      <c r="C7183" s="196">
        <v>-297000</v>
      </c>
      <c r="D7183" s="196">
        <v>0</v>
      </c>
      <c r="E7183" s="196">
        <v>0</v>
      </c>
      <c r="F7183" s="196">
        <v>0</v>
      </c>
      <c r="G7183" s="196">
        <v>-297000</v>
      </c>
    </row>
    <row r="7184" spans="1:7" x14ac:dyDescent="0.3">
      <c r="A7184" s="198">
        <v>32538069</v>
      </c>
      <c r="B7184" s="192" t="s">
        <v>5132</v>
      </c>
      <c r="C7184" s="196">
        <v>-297000</v>
      </c>
      <c r="D7184" s="196">
        <v>0</v>
      </c>
      <c r="E7184" s="196">
        <v>0</v>
      </c>
      <c r="F7184" s="196">
        <v>0</v>
      </c>
      <c r="G7184" s="196">
        <v>-297000</v>
      </c>
    </row>
    <row r="7185" spans="1:7" x14ac:dyDescent="0.3">
      <c r="A7185" s="198">
        <v>1035012081</v>
      </c>
      <c r="B7185" s="192" t="s">
        <v>1177</v>
      </c>
      <c r="C7185" s="196">
        <v>0</v>
      </c>
      <c r="D7185" s="196">
        <v>0</v>
      </c>
      <c r="E7185" s="196">
        <v>50900</v>
      </c>
      <c r="F7185" s="196">
        <v>-50900</v>
      </c>
      <c r="G7185" s="196">
        <v>-50900</v>
      </c>
    </row>
    <row r="7186" spans="1:7" x14ac:dyDescent="0.3">
      <c r="A7186" s="198">
        <v>1026135100</v>
      </c>
      <c r="B7186" s="192" t="s">
        <v>5133</v>
      </c>
      <c r="C7186" s="196">
        <v>-50900</v>
      </c>
      <c r="D7186" s="196">
        <v>0</v>
      </c>
      <c r="E7186" s="196">
        <v>0</v>
      </c>
      <c r="F7186" s="196">
        <v>0</v>
      </c>
      <c r="G7186" s="196">
        <v>-50900</v>
      </c>
    </row>
    <row r="7187" spans="1:7" x14ac:dyDescent="0.3">
      <c r="A7187" s="198">
        <v>43628955</v>
      </c>
      <c r="B7187" s="192" t="s">
        <v>5134</v>
      </c>
      <c r="C7187" s="196">
        <v>-50900</v>
      </c>
      <c r="D7187" s="196">
        <v>0</v>
      </c>
      <c r="E7187" s="196">
        <v>0</v>
      </c>
      <c r="F7187" s="196">
        <v>0</v>
      </c>
      <c r="G7187" s="196">
        <v>-50900</v>
      </c>
    </row>
    <row r="7188" spans="1:7" x14ac:dyDescent="0.3">
      <c r="A7188" s="198">
        <v>32449172</v>
      </c>
      <c r="B7188" s="192" t="s">
        <v>5135</v>
      </c>
      <c r="C7188" s="196">
        <v>-57200</v>
      </c>
      <c r="D7188" s="196">
        <v>0</v>
      </c>
      <c r="E7188" s="196">
        <v>0</v>
      </c>
      <c r="F7188" s="196">
        <v>0</v>
      </c>
      <c r="G7188" s="196">
        <v>-57200</v>
      </c>
    </row>
    <row r="7189" spans="1:7" x14ac:dyDescent="0.3">
      <c r="A7189" s="198">
        <v>1155714020</v>
      </c>
      <c r="B7189" s="192" t="s">
        <v>1178</v>
      </c>
      <c r="C7189" s="196">
        <v>0</v>
      </c>
      <c r="D7189" s="196">
        <v>0</v>
      </c>
      <c r="E7189" s="196">
        <v>50900</v>
      </c>
      <c r="F7189" s="196">
        <v>-50900</v>
      </c>
      <c r="G7189" s="196">
        <v>-50900</v>
      </c>
    </row>
    <row r="7190" spans="1:7" x14ac:dyDescent="0.3">
      <c r="A7190" s="198">
        <v>21961606</v>
      </c>
      <c r="B7190" s="192" t="s">
        <v>5136</v>
      </c>
      <c r="C7190" s="196">
        <v>-319000</v>
      </c>
      <c r="D7190" s="196">
        <v>0</v>
      </c>
      <c r="E7190" s="196">
        <v>0</v>
      </c>
      <c r="F7190" s="196">
        <v>0</v>
      </c>
      <c r="G7190" s="196">
        <v>-319000</v>
      </c>
    </row>
    <row r="7191" spans="1:7" x14ac:dyDescent="0.3">
      <c r="A7191" s="198">
        <v>39270914</v>
      </c>
      <c r="B7191" s="192" t="s">
        <v>5137</v>
      </c>
      <c r="C7191" s="196">
        <v>-50900</v>
      </c>
      <c r="D7191" s="196">
        <v>0</v>
      </c>
      <c r="E7191" s="196">
        <v>0</v>
      </c>
      <c r="F7191" s="196">
        <v>0</v>
      </c>
      <c r="G7191" s="196">
        <v>-50900</v>
      </c>
    </row>
    <row r="7192" spans="1:7" x14ac:dyDescent="0.3">
      <c r="A7192" s="198">
        <v>21851581</v>
      </c>
      <c r="B7192" s="192" t="s">
        <v>5138</v>
      </c>
      <c r="C7192" s="196">
        <v>-162000</v>
      </c>
      <c r="D7192" s="196">
        <v>0</v>
      </c>
      <c r="E7192" s="196">
        <v>0</v>
      </c>
      <c r="F7192" s="196">
        <v>0</v>
      </c>
      <c r="G7192" s="196">
        <v>-162000</v>
      </c>
    </row>
    <row r="7193" spans="1:7" x14ac:dyDescent="0.3">
      <c r="A7193" s="198">
        <v>32328722</v>
      </c>
      <c r="B7193" s="192" t="s">
        <v>5139</v>
      </c>
      <c r="C7193" s="196">
        <v>-57200</v>
      </c>
      <c r="D7193" s="196">
        <v>0</v>
      </c>
      <c r="E7193" s="196">
        <v>0</v>
      </c>
      <c r="F7193" s="196">
        <v>0</v>
      </c>
      <c r="G7193" s="196">
        <v>-57200</v>
      </c>
    </row>
    <row r="7194" spans="1:7" x14ac:dyDescent="0.3">
      <c r="A7194" s="198">
        <v>52695381</v>
      </c>
      <c r="B7194" s="192" t="s">
        <v>5140</v>
      </c>
      <c r="C7194" s="196">
        <v>-36600</v>
      </c>
      <c r="D7194" s="196">
        <v>0</v>
      </c>
      <c r="E7194" s="196">
        <v>0</v>
      </c>
      <c r="F7194" s="196">
        <v>0</v>
      </c>
      <c r="G7194" s="196">
        <v>-36600</v>
      </c>
    </row>
    <row r="7195" spans="1:7" x14ac:dyDescent="0.3">
      <c r="A7195" s="198">
        <v>43039312</v>
      </c>
      <c r="B7195" s="192" t="s">
        <v>5141</v>
      </c>
      <c r="C7195" s="196">
        <v>-207900</v>
      </c>
      <c r="D7195" s="196">
        <v>0</v>
      </c>
      <c r="E7195" s="196">
        <v>0</v>
      </c>
      <c r="F7195" s="196">
        <v>0</v>
      </c>
      <c r="G7195" s="196">
        <v>-207900</v>
      </c>
    </row>
    <row r="7196" spans="1:7" x14ac:dyDescent="0.3">
      <c r="A7196" s="198">
        <v>39403343</v>
      </c>
      <c r="B7196" s="192" t="s">
        <v>5142</v>
      </c>
      <c r="C7196" s="196">
        <v>-50900</v>
      </c>
      <c r="D7196" s="196">
        <v>0</v>
      </c>
      <c r="E7196" s="196">
        <v>0</v>
      </c>
      <c r="F7196" s="196">
        <v>0</v>
      </c>
      <c r="G7196" s="196">
        <v>-50900</v>
      </c>
    </row>
    <row r="7197" spans="1:7" x14ac:dyDescent="0.3">
      <c r="A7197" s="198">
        <v>27793828</v>
      </c>
      <c r="B7197" s="192" t="s">
        <v>5143</v>
      </c>
      <c r="C7197" s="196">
        <v>-247000</v>
      </c>
      <c r="D7197" s="196">
        <v>0</v>
      </c>
      <c r="E7197" s="196">
        <v>0</v>
      </c>
      <c r="F7197" s="196">
        <v>0</v>
      </c>
      <c r="G7197" s="196">
        <v>-247000</v>
      </c>
    </row>
    <row r="7198" spans="1:7" x14ac:dyDescent="0.3">
      <c r="A7198" s="198">
        <v>1023595951</v>
      </c>
      <c r="B7198" s="192" t="s">
        <v>5144</v>
      </c>
      <c r="C7198" s="196">
        <v>-50900</v>
      </c>
      <c r="D7198" s="196">
        <v>0</v>
      </c>
      <c r="E7198" s="196">
        <v>0</v>
      </c>
      <c r="F7198" s="196">
        <v>0</v>
      </c>
      <c r="G7198" s="196">
        <v>-50900</v>
      </c>
    </row>
    <row r="7199" spans="1:7" x14ac:dyDescent="0.3">
      <c r="A7199" s="198">
        <v>1017201207</v>
      </c>
      <c r="B7199" s="192" t="s">
        <v>5145</v>
      </c>
      <c r="C7199" s="196">
        <v>-50900</v>
      </c>
      <c r="D7199" s="196">
        <v>0</v>
      </c>
      <c r="E7199" s="196">
        <v>0</v>
      </c>
      <c r="F7199" s="196">
        <v>0</v>
      </c>
      <c r="G7199" s="196">
        <v>-50900</v>
      </c>
    </row>
    <row r="7200" spans="1:7" x14ac:dyDescent="0.3">
      <c r="A7200" s="198">
        <v>1033202337</v>
      </c>
      <c r="B7200" s="192" t="s">
        <v>1182</v>
      </c>
      <c r="C7200" s="196">
        <v>0</v>
      </c>
      <c r="D7200" s="196">
        <v>0</v>
      </c>
      <c r="E7200" s="196">
        <v>50900</v>
      </c>
      <c r="F7200" s="196">
        <v>-50900</v>
      </c>
      <c r="G7200" s="196">
        <v>-50900</v>
      </c>
    </row>
    <row r="7201" spans="1:7" x14ac:dyDescent="0.3">
      <c r="A7201" s="198">
        <v>4903395</v>
      </c>
      <c r="B7201" s="192" t="s">
        <v>5146</v>
      </c>
      <c r="C7201" s="196">
        <v>-165000</v>
      </c>
      <c r="D7201" s="196">
        <v>0</v>
      </c>
      <c r="E7201" s="196">
        <v>0</v>
      </c>
      <c r="F7201" s="196">
        <v>0</v>
      </c>
      <c r="G7201" s="196">
        <v>-165000</v>
      </c>
    </row>
    <row r="7202" spans="1:7" x14ac:dyDescent="0.3">
      <c r="A7202" s="198">
        <v>4903395</v>
      </c>
      <c r="B7202" s="192" t="s">
        <v>5146</v>
      </c>
      <c r="C7202" s="196">
        <v>-50900</v>
      </c>
      <c r="D7202" s="196">
        <v>0</v>
      </c>
      <c r="E7202" s="196">
        <v>0</v>
      </c>
      <c r="F7202" s="196">
        <v>0</v>
      </c>
      <c r="G7202" s="196">
        <v>-50900</v>
      </c>
    </row>
    <row r="7203" spans="1:7" x14ac:dyDescent="0.3">
      <c r="A7203" s="198">
        <v>39443579</v>
      </c>
      <c r="B7203" s="192" t="s">
        <v>5147</v>
      </c>
      <c r="C7203" s="196">
        <v>-207900</v>
      </c>
      <c r="D7203" s="196">
        <v>0</v>
      </c>
      <c r="E7203" s="196">
        <v>0</v>
      </c>
      <c r="F7203" s="196">
        <v>0</v>
      </c>
      <c r="G7203" s="196">
        <v>-207900</v>
      </c>
    </row>
    <row r="7204" spans="1:7" x14ac:dyDescent="0.3">
      <c r="A7204" s="198">
        <v>1125252935</v>
      </c>
      <c r="B7204" s="192" t="s">
        <v>5148</v>
      </c>
      <c r="C7204" s="196">
        <v>-50900</v>
      </c>
      <c r="D7204" s="196">
        <v>0</v>
      </c>
      <c r="E7204" s="196">
        <v>0</v>
      </c>
      <c r="F7204" s="196">
        <v>0</v>
      </c>
      <c r="G7204" s="196">
        <v>-50900</v>
      </c>
    </row>
    <row r="7205" spans="1:7" x14ac:dyDescent="0.3">
      <c r="A7205" s="198">
        <v>32433753</v>
      </c>
      <c r="B7205" s="192" t="s">
        <v>5149</v>
      </c>
      <c r="C7205" s="196">
        <v>-57200</v>
      </c>
      <c r="D7205" s="196">
        <v>0</v>
      </c>
      <c r="E7205" s="196">
        <v>0</v>
      </c>
      <c r="F7205" s="196">
        <v>0</v>
      </c>
      <c r="G7205" s="196">
        <v>-57200</v>
      </c>
    </row>
    <row r="7206" spans="1:7" x14ac:dyDescent="0.3">
      <c r="A7206" s="198">
        <v>43494359</v>
      </c>
      <c r="B7206" s="192" t="s">
        <v>5150</v>
      </c>
      <c r="C7206" s="196">
        <v>-54200</v>
      </c>
      <c r="D7206" s="196">
        <v>0</v>
      </c>
      <c r="E7206" s="196">
        <v>0</v>
      </c>
      <c r="F7206" s="196">
        <v>0</v>
      </c>
      <c r="G7206" s="196">
        <v>-54200</v>
      </c>
    </row>
    <row r="7207" spans="1:7" x14ac:dyDescent="0.3">
      <c r="A7207" s="198">
        <v>49798389</v>
      </c>
      <c r="B7207" s="192" t="s">
        <v>5151</v>
      </c>
      <c r="C7207" s="196">
        <v>-162000</v>
      </c>
      <c r="D7207" s="196">
        <v>0</v>
      </c>
      <c r="E7207" s="196">
        <v>0</v>
      </c>
      <c r="F7207" s="196">
        <v>0</v>
      </c>
      <c r="G7207" s="196">
        <v>-162000</v>
      </c>
    </row>
    <row r="7208" spans="1:7" x14ac:dyDescent="0.3">
      <c r="A7208" s="198">
        <v>52999524</v>
      </c>
      <c r="B7208" s="192" t="s">
        <v>5152</v>
      </c>
      <c r="C7208" s="196">
        <v>-50900</v>
      </c>
      <c r="D7208" s="196">
        <v>0</v>
      </c>
      <c r="E7208" s="196">
        <v>0</v>
      </c>
      <c r="F7208" s="196">
        <v>0</v>
      </c>
      <c r="G7208" s="196">
        <v>-50900</v>
      </c>
    </row>
    <row r="7209" spans="1:7" x14ac:dyDescent="0.3">
      <c r="A7209" s="198">
        <v>42878119</v>
      </c>
      <c r="B7209" s="192" t="s">
        <v>1183</v>
      </c>
      <c r="C7209" s="196">
        <v>0</v>
      </c>
      <c r="D7209" s="196">
        <v>0</v>
      </c>
      <c r="E7209" s="196">
        <v>159500</v>
      </c>
      <c r="F7209" s="196">
        <v>-159500</v>
      </c>
      <c r="G7209" s="196">
        <v>-159500</v>
      </c>
    </row>
    <row r="7210" spans="1:7" x14ac:dyDescent="0.3">
      <c r="A7210" s="198">
        <v>30236132</v>
      </c>
      <c r="B7210" s="192" t="s">
        <v>5153</v>
      </c>
      <c r="C7210" s="196">
        <v>-50900</v>
      </c>
      <c r="D7210" s="196">
        <v>0</v>
      </c>
      <c r="E7210" s="196">
        <v>0</v>
      </c>
      <c r="F7210" s="196">
        <v>0</v>
      </c>
      <c r="G7210" s="196">
        <v>-50900</v>
      </c>
    </row>
    <row r="7211" spans="1:7" x14ac:dyDescent="0.3">
      <c r="A7211" s="198">
        <v>32464079</v>
      </c>
      <c r="B7211" s="192" t="s">
        <v>5154</v>
      </c>
      <c r="C7211" s="196">
        <v>-57200</v>
      </c>
      <c r="D7211" s="196">
        <v>0</v>
      </c>
      <c r="E7211" s="196">
        <v>0</v>
      </c>
      <c r="F7211" s="196">
        <v>0</v>
      </c>
      <c r="G7211" s="196">
        <v>-57200</v>
      </c>
    </row>
    <row r="7212" spans="1:7" x14ac:dyDescent="0.3">
      <c r="A7212" s="198">
        <v>32447690</v>
      </c>
      <c r="B7212" s="192" t="s">
        <v>5155</v>
      </c>
      <c r="C7212" s="196">
        <v>-27800</v>
      </c>
      <c r="D7212" s="196">
        <v>0</v>
      </c>
      <c r="E7212" s="196">
        <v>0</v>
      </c>
      <c r="F7212" s="196">
        <v>0</v>
      </c>
      <c r="G7212" s="196">
        <v>-27800</v>
      </c>
    </row>
    <row r="7213" spans="1:7" x14ac:dyDescent="0.3">
      <c r="A7213" s="198">
        <v>1000393037</v>
      </c>
      <c r="B7213" s="192" t="s">
        <v>1185</v>
      </c>
      <c r="C7213" s="196">
        <v>0</v>
      </c>
      <c r="D7213" s="196">
        <v>0</v>
      </c>
      <c r="E7213" s="196">
        <v>50900</v>
      </c>
      <c r="F7213" s="196">
        <v>-50900</v>
      </c>
      <c r="G7213" s="196">
        <v>-50900</v>
      </c>
    </row>
    <row r="7214" spans="1:7" x14ac:dyDescent="0.3">
      <c r="A7214" s="198">
        <v>32509314</v>
      </c>
      <c r="B7214" s="192" t="s">
        <v>1186</v>
      </c>
      <c r="C7214" s="196">
        <v>0</v>
      </c>
      <c r="D7214" s="196">
        <v>0</v>
      </c>
      <c r="E7214" s="196">
        <v>380000</v>
      </c>
      <c r="F7214" s="196">
        <v>-380000</v>
      </c>
      <c r="G7214" s="196">
        <v>-380000</v>
      </c>
    </row>
    <row r="7215" spans="1:7" x14ac:dyDescent="0.3">
      <c r="A7215" s="198">
        <v>32412171</v>
      </c>
      <c r="B7215" s="192" t="s">
        <v>5156</v>
      </c>
      <c r="C7215" s="196">
        <v>-163200</v>
      </c>
      <c r="D7215" s="196">
        <v>0</v>
      </c>
      <c r="E7215" s="196">
        <v>0</v>
      </c>
      <c r="F7215" s="196">
        <v>0</v>
      </c>
      <c r="G7215" s="196">
        <v>-163200</v>
      </c>
    </row>
    <row r="7216" spans="1:7" x14ac:dyDescent="0.3">
      <c r="A7216" s="198">
        <v>43832329</v>
      </c>
      <c r="B7216" s="192" t="s">
        <v>5157</v>
      </c>
      <c r="C7216" s="196">
        <v>-49000</v>
      </c>
      <c r="D7216" s="196">
        <v>0</v>
      </c>
      <c r="E7216" s="196">
        <v>0</v>
      </c>
      <c r="F7216" s="196">
        <v>0</v>
      </c>
      <c r="G7216" s="196">
        <v>-49000</v>
      </c>
    </row>
    <row r="7217" spans="1:7" x14ac:dyDescent="0.3">
      <c r="A7217" s="198">
        <v>21625303</v>
      </c>
      <c r="B7217" s="192" t="s">
        <v>5158</v>
      </c>
      <c r="C7217" s="196">
        <v>-270000</v>
      </c>
      <c r="D7217" s="196">
        <v>0</v>
      </c>
      <c r="E7217" s="196">
        <v>0</v>
      </c>
      <c r="F7217" s="196">
        <v>0</v>
      </c>
      <c r="G7217" s="196">
        <v>-270000</v>
      </c>
    </row>
    <row r="7218" spans="1:7" x14ac:dyDescent="0.3">
      <c r="A7218" s="198">
        <v>43104208</v>
      </c>
      <c r="B7218" s="192" t="s">
        <v>5159</v>
      </c>
      <c r="C7218" s="196">
        <v>-38400</v>
      </c>
      <c r="D7218" s="196">
        <v>0</v>
      </c>
      <c r="E7218" s="196">
        <v>0</v>
      </c>
      <c r="F7218" s="196">
        <v>0</v>
      </c>
      <c r="G7218" s="196">
        <v>-38400</v>
      </c>
    </row>
    <row r="7219" spans="1:7" x14ac:dyDescent="0.3">
      <c r="A7219" s="198">
        <v>1125289305</v>
      </c>
      <c r="B7219" s="192" t="s">
        <v>5160</v>
      </c>
      <c r="C7219" s="196">
        <v>-50900</v>
      </c>
      <c r="D7219" s="196">
        <v>0</v>
      </c>
      <c r="E7219" s="196">
        <v>0</v>
      </c>
      <c r="F7219" s="196">
        <v>0</v>
      </c>
      <c r="G7219" s="196">
        <v>-50900</v>
      </c>
    </row>
    <row r="7220" spans="1:7" x14ac:dyDescent="0.3">
      <c r="A7220" s="198">
        <v>1020324465</v>
      </c>
      <c r="B7220" s="192" t="s">
        <v>1191</v>
      </c>
      <c r="C7220" s="196">
        <v>0</v>
      </c>
      <c r="D7220" s="196">
        <v>0</v>
      </c>
      <c r="E7220" s="196">
        <v>54200</v>
      </c>
      <c r="F7220" s="196">
        <v>-54200</v>
      </c>
      <c r="G7220" s="196">
        <v>-54200</v>
      </c>
    </row>
    <row r="7221" spans="1:7" x14ac:dyDescent="0.3">
      <c r="A7221" s="198">
        <v>1104549997</v>
      </c>
      <c r="B7221" s="192" t="s">
        <v>5161</v>
      </c>
      <c r="C7221" s="196">
        <v>-25100</v>
      </c>
      <c r="D7221" s="196">
        <v>0</v>
      </c>
      <c r="E7221" s="196">
        <v>0</v>
      </c>
      <c r="F7221" s="196">
        <v>0</v>
      </c>
      <c r="G7221" s="196">
        <v>-25100</v>
      </c>
    </row>
    <row r="7222" spans="1:7" x14ac:dyDescent="0.3">
      <c r="A7222" s="198">
        <v>1037675877</v>
      </c>
      <c r="B7222" s="192" t="s">
        <v>5162</v>
      </c>
      <c r="C7222" s="196">
        <v>-34600</v>
      </c>
      <c r="D7222" s="196">
        <v>0</v>
      </c>
      <c r="E7222" s="196">
        <v>0</v>
      </c>
      <c r="F7222" s="196">
        <v>0</v>
      </c>
      <c r="G7222" s="196">
        <v>-34600</v>
      </c>
    </row>
    <row r="7223" spans="1:7" x14ac:dyDescent="0.3">
      <c r="A7223" s="198">
        <v>1013466094</v>
      </c>
      <c r="B7223" s="192" t="s">
        <v>5163</v>
      </c>
      <c r="C7223" s="196">
        <v>-310000</v>
      </c>
      <c r="D7223" s="196">
        <v>0</v>
      </c>
      <c r="E7223" s="196">
        <v>0</v>
      </c>
      <c r="F7223" s="196">
        <v>0</v>
      </c>
      <c r="G7223" s="196">
        <v>-310000</v>
      </c>
    </row>
    <row r="7224" spans="1:7" x14ac:dyDescent="0.3">
      <c r="A7224" s="198">
        <v>1022008913</v>
      </c>
      <c r="B7224" s="192" t="s">
        <v>5164</v>
      </c>
      <c r="C7224" s="196">
        <v>-38400</v>
      </c>
      <c r="D7224" s="196">
        <v>0</v>
      </c>
      <c r="E7224" s="196">
        <v>0</v>
      </c>
      <c r="F7224" s="196">
        <v>0</v>
      </c>
      <c r="G7224" s="196">
        <v>-38400</v>
      </c>
    </row>
    <row r="7225" spans="1:7" x14ac:dyDescent="0.3">
      <c r="A7225" s="198">
        <v>1032487732</v>
      </c>
      <c r="B7225" s="192" t="s">
        <v>5165</v>
      </c>
      <c r="C7225" s="196">
        <v>-47400</v>
      </c>
      <c r="D7225" s="196">
        <v>0</v>
      </c>
      <c r="E7225" s="196">
        <v>0</v>
      </c>
      <c r="F7225" s="196">
        <v>0</v>
      </c>
      <c r="G7225" s="196">
        <v>-47400</v>
      </c>
    </row>
    <row r="7226" spans="1:7" x14ac:dyDescent="0.3">
      <c r="A7226" s="198">
        <v>1020315586</v>
      </c>
      <c r="B7226" s="192" t="s">
        <v>5166</v>
      </c>
      <c r="C7226" s="196">
        <v>-207900</v>
      </c>
      <c r="D7226" s="196">
        <v>0</v>
      </c>
      <c r="E7226" s="196">
        <v>0</v>
      </c>
      <c r="F7226" s="196">
        <v>0</v>
      </c>
      <c r="G7226" s="196">
        <v>-207900</v>
      </c>
    </row>
    <row r="7227" spans="1:7" x14ac:dyDescent="0.3">
      <c r="A7227" s="198">
        <v>1017163305</v>
      </c>
      <c r="B7227" s="192" t="s">
        <v>5167</v>
      </c>
      <c r="C7227" s="196">
        <v>-101800</v>
      </c>
      <c r="D7227" s="196">
        <v>0</v>
      </c>
      <c r="E7227" s="196">
        <v>0</v>
      </c>
      <c r="F7227" s="196">
        <v>0</v>
      </c>
      <c r="G7227" s="196">
        <v>-101800</v>
      </c>
    </row>
    <row r="7228" spans="1:7" x14ac:dyDescent="0.3">
      <c r="A7228" s="198">
        <v>1014898212</v>
      </c>
      <c r="B7228" s="192" t="s">
        <v>5168</v>
      </c>
      <c r="C7228" s="196">
        <v>-30000</v>
      </c>
      <c r="D7228" s="196">
        <v>0</v>
      </c>
      <c r="E7228" s="196">
        <v>0</v>
      </c>
      <c r="F7228" s="196">
        <v>0</v>
      </c>
      <c r="G7228" s="196">
        <v>-30000</v>
      </c>
    </row>
    <row r="7229" spans="1:7" x14ac:dyDescent="0.3">
      <c r="A7229" s="198">
        <v>1027886553</v>
      </c>
      <c r="B7229" s="192" t="s">
        <v>1193</v>
      </c>
      <c r="C7229" s="196">
        <v>0</v>
      </c>
      <c r="D7229" s="196">
        <v>0</v>
      </c>
      <c r="E7229" s="196">
        <v>101800</v>
      </c>
      <c r="F7229" s="196">
        <v>-101800</v>
      </c>
      <c r="G7229" s="196">
        <v>-101800</v>
      </c>
    </row>
    <row r="7230" spans="1:7" x14ac:dyDescent="0.3">
      <c r="A7230" s="198">
        <v>1034989607</v>
      </c>
      <c r="B7230" s="192" t="s">
        <v>5169</v>
      </c>
      <c r="C7230" s="196">
        <v>-50900</v>
      </c>
      <c r="D7230" s="196">
        <v>0</v>
      </c>
      <c r="E7230" s="196">
        <v>0</v>
      </c>
      <c r="F7230" s="196">
        <v>0</v>
      </c>
      <c r="G7230" s="196">
        <v>-50900</v>
      </c>
    </row>
    <row r="7231" spans="1:7" x14ac:dyDescent="0.3">
      <c r="A7231" s="198">
        <v>1034987458</v>
      </c>
      <c r="B7231" s="192" t="s">
        <v>5170</v>
      </c>
      <c r="C7231" s="196">
        <v>-47000</v>
      </c>
      <c r="D7231" s="196">
        <v>0</v>
      </c>
      <c r="E7231" s="196">
        <v>0</v>
      </c>
      <c r="F7231" s="196">
        <v>0</v>
      </c>
      <c r="G7231" s="196">
        <v>-47000</v>
      </c>
    </row>
    <row r="7232" spans="1:7" x14ac:dyDescent="0.3">
      <c r="A7232" s="198">
        <v>1022007860</v>
      </c>
      <c r="B7232" s="192" t="s">
        <v>5171</v>
      </c>
      <c r="C7232" s="196">
        <v>-98300</v>
      </c>
      <c r="D7232" s="196">
        <v>0</v>
      </c>
      <c r="E7232" s="196">
        <v>0</v>
      </c>
      <c r="F7232" s="196">
        <v>0</v>
      </c>
      <c r="G7232" s="196">
        <v>-98300</v>
      </c>
    </row>
    <row r="7233" spans="1:7" x14ac:dyDescent="0.3">
      <c r="A7233" s="198">
        <v>1004756621</v>
      </c>
      <c r="B7233" s="192" t="s">
        <v>5172</v>
      </c>
      <c r="C7233" s="196">
        <v>-119000</v>
      </c>
      <c r="D7233" s="196">
        <v>0</v>
      </c>
      <c r="E7233" s="196">
        <v>0</v>
      </c>
      <c r="F7233" s="196">
        <v>0</v>
      </c>
      <c r="G7233" s="196">
        <v>-119000</v>
      </c>
    </row>
    <row r="7234" spans="1:7" x14ac:dyDescent="0.3">
      <c r="A7234" s="198">
        <v>1126593504</v>
      </c>
      <c r="B7234" s="192" t="s">
        <v>1195</v>
      </c>
      <c r="C7234" s="196">
        <v>0</v>
      </c>
      <c r="D7234" s="196">
        <v>0</v>
      </c>
      <c r="E7234" s="196">
        <v>297000</v>
      </c>
      <c r="F7234" s="196">
        <v>-297000</v>
      </c>
      <c r="G7234" s="196">
        <v>-297000</v>
      </c>
    </row>
    <row r="7235" spans="1:7" x14ac:dyDescent="0.3">
      <c r="A7235" s="198">
        <v>1034994996</v>
      </c>
      <c r="B7235" s="192" t="s">
        <v>5173</v>
      </c>
      <c r="C7235" s="196">
        <v>-50900</v>
      </c>
      <c r="D7235" s="196">
        <v>0</v>
      </c>
      <c r="E7235" s="196">
        <v>0</v>
      </c>
      <c r="F7235" s="196">
        <v>0</v>
      </c>
      <c r="G7235" s="196">
        <v>-50900</v>
      </c>
    </row>
    <row r="7236" spans="1:7" x14ac:dyDescent="0.3">
      <c r="A7236" s="198">
        <v>43221358</v>
      </c>
      <c r="B7236" s="192" t="s">
        <v>5174</v>
      </c>
      <c r="C7236" s="196">
        <v>-50900</v>
      </c>
      <c r="D7236" s="196">
        <v>0</v>
      </c>
      <c r="E7236" s="196">
        <v>0</v>
      </c>
      <c r="F7236" s="196">
        <v>0</v>
      </c>
      <c r="G7236" s="196">
        <v>-50900</v>
      </c>
    </row>
    <row r="7237" spans="1:7" x14ac:dyDescent="0.3">
      <c r="A7237" s="198">
        <v>1034987464</v>
      </c>
      <c r="B7237" s="192" t="s">
        <v>5175</v>
      </c>
      <c r="C7237" s="196">
        <v>-50900</v>
      </c>
      <c r="D7237" s="196">
        <v>0</v>
      </c>
      <c r="E7237" s="196">
        <v>0</v>
      </c>
      <c r="F7237" s="196">
        <v>0</v>
      </c>
      <c r="G7237" s="196">
        <v>-50900</v>
      </c>
    </row>
    <row r="7238" spans="1:7" x14ac:dyDescent="0.3">
      <c r="A7238" s="198">
        <v>1031941805</v>
      </c>
      <c r="B7238" s="192" t="s">
        <v>1196</v>
      </c>
      <c r="C7238" s="196">
        <v>0</v>
      </c>
      <c r="D7238" s="196">
        <v>0</v>
      </c>
      <c r="E7238" s="196">
        <v>50900</v>
      </c>
      <c r="F7238" s="196">
        <v>-50900</v>
      </c>
      <c r="G7238" s="196">
        <v>-50900</v>
      </c>
    </row>
    <row r="7239" spans="1:7" x14ac:dyDescent="0.3">
      <c r="A7239" s="198">
        <v>1216718128</v>
      </c>
      <c r="B7239" s="192" t="s">
        <v>5176</v>
      </c>
      <c r="C7239" s="196">
        <v>-101800</v>
      </c>
      <c r="D7239" s="196">
        <v>0</v>
      </c>
      <c r="E7239" s="196">
        <v>0</v>
      </c>
      <c r="F7239" s="196">
        <v>0</v>
      </c>
      <c r="G7239" s="196">
        <v>-101800</v>
      </c>
    </row>
    <row r="7240" spans="1:7" x14ac:dyDescent="0.3">
      <c r="A7240" s="198">
        <v>1001366889</v>
      </c>
      <c r="B7240" s="192" t="s">
        <v>5177</v>
      </c>
      <c r="C7240" s="196">
        <v>-50900</v>
      </c>
      <c r="D7240" s="196">
        <v>0</v>
      </c>
      <c r="E7240" s="196">
        <v>0</v>
      </c>
      <c r="F7240" s="196">
        <v>0</v>
      </c>
      <c r="G7240" s="196">
        <v>-50900</v>
      </c>
    </row>
    <row r="7241" spans="1:7" x14ac:dyDescent="0.3">
      <c r="A7241" s="198">
        <v>1033272812</v>
      </c>
      <c r="B7241" s="192" t="s">
        <v>5178</v>
      </c>
      <c r="C7241" s="196">
        <v>-54200</v>
      </c>
      <c r="D7241" s="196">
        <v>0</v>
      </c>
      <c r="E7241" s="196">
        <v>0</v>
      </c>
      <c r="F7241" s="196">
        <v>0</v>
      </c>
      <c r="G7241" s="196">
        <v>-54200</v>
      </c>
    </row>
    <row r="7242" spans="1:7" x14ac:dyDescent="0.3">
      <c r="A7242" s="198">
        <v>1011211177</v>
      </c>
      <c r="B7242" s="192" t="s">
        <v>5179</v>
      </c>
      <c r="C7242" s="196">
        <v>-50900</v>
      </c>
      <c r="D7242" s="196">
        <v>0</v>
      </c>
      <c r="E7242" s="196">
        <v>0</v>
      </c>
      <c r="F7242" s="196">
        <v>0</v>
      </c>
      <c r="G7242" s="196">
        <v>-50900</v>
      </c>
    </row>
    <row r="7243" spans="1:7" x14ac:dyDescent="0.3">
      <c r="A7243" s="198">
        <v>1013103564</v>
      </c>
      <c r="B7243" s="192" t="s">
        <v>5180</v>
      </c>
      <c r="C7243" s="196">
        <v>-36600</v>
      </c>
      <c r="D7243" s="196">
        <v>0</v>
      </c>
      <c r="E7243" s="196">
        <v>0</v>
      </c>
      <c r="F7243" s="196">
        <v>0</v>
      </c>
      <c r="G7243" s="196">
        <v>-36600</v>
      </c>
    </row>
    <row r="7244" spans="1:7" x14ac:dyDescent="0.3">
      <c r="A7244" s="198">
        <v>1020105815</v>
      </c>
      <c r="B7244" s="192" t="s">
        <v>5181</v>
      </c>
      <c r="C7244" s="196">
        <v>-110000</v>
      </c>
      <c r="D7244" s="196">
        <v>0</v>
      </c>
      <c r="E7244" s="196">
        <v>0</v>
      </c>
      <c r="F7244" s="196">
        <v>0</v>
      </c>
      <c r="G7244" s="196">
        <v>-110000</v>
      </c>
    </row>
    <row r="7245" spans="1:7" x14ac:dyDescent="0.3">
      <c r="A7245" s="198">
        <v>1152458431</v>
      </c>
      <c r="B7245" s="192" t="s">
        <v>5182</v>
      </c>
      <c r="C7245" s="196">
        <v>-50900</v>
      </c>
      <c r="D7245" s="196">
        <v>0</v>
      </c>
      <c r="E7245" s="196">
        <v>0</v>
      </c>
      <c r="F7245" s="196">
        <v>0</v>
      </c>
      <c r="G7245" s="196">
        <v>-50900</v>
      </c>
    </row>
    <row r="7246" spans="1:7" x14ac:dyDescent="0.3">
      <c r="A7246" s="198">
        <v>1034996218</v>
      </c>
      <c r="B7246" s="192" t="s">
        <v>5183</v>
      </c>
      <c r="C7246" s="196">
        <v>-43900</v>
      </c>
      <c r="D7246" s="196">
        <v>0</v>
      </c>
      <c r="E7246" s="196">
        <v>0</v>
      </c>
      <c r="F7246" s="196">
        <v>0</v>
      </c>
      <c r="G7246" s="196">
        <v>-43900</v>
      </c>
    </row>
    <row r="7247" spans="1:7" x14ac:dyDescent="0.3">
      <c r="A7247" s="198">
        <v>1000570746</v>
      </c>
      <c r="B7247" s="192" t="s">
        <v>5184</v>
      </c>
      <c r="C7247" s="196">
        <v>-47400</v>
      </c>
      <c r="D7247" s="196">
        <v>0</v>
      </c>
      <c r="E7247" s="196">
        <v>0</v>
      </c>
      <c r="F7247" s="196">
        <v>0</v>
      </c>
      <c r="G7247" s="196">
        <v>-47400</v>
      </c>
    </row>
    <row r="7248" spans="1:7" x14ac:dyDescent="0.3">
      <c r="A7248" s="198">
        <v>1021934710</v>
      </c>
      <c r="B7248" s="192" t="s">
        <v>5185</v>
      </c>
      <c r="C7248" s="196">
        <v>-207900</v>
      </c>
      <c r="D7248" s="196">
        <v>0</v>
      </c>
      <c r="E7248" s="196">
        <v>0</v>
      </c>
      <c r="F7248" s="196">
        <v>0</v>
      </c>
      <c r="G7248" s="196">
        <v>-207900</v>
      </c>
    </row>
    <row r="7249" spans="1:7" x14ac:dyDescent="0.3">
      <c r="A7249" s="198">
        <v>1033271381</v>
      </c>
      <c r="B7249" s="192" t="s">
        <v>5186</v>
      </c>
      <c r="C7249" s="196">
        <v>-57200</v>
      </c>
      <c r="D7249" s="196">
        <v>0</v>
      </c>
      <c r="E7249" s="196">
        <v>0</v>
      </c>
      <c r="F7249" s="196">
        <v>0</v>
      </c>
      <c r="G7249" s="196">
        <v>-57200</v>
      </c>
    </row>
    <row r="7250" spans="1:7" x14ac:dyDescent="0.3">
      <c r="A7250" s="198">
        <v>1040577367</v>
      </c>
      <c r="B7250" s="192" t="s">
        <v>5187</v>
      </c>
      <c r="C7250" s="196">
        <v>-50900</v>
      </c>
      <c r="D7250" s="196">
        <v>0</v>
      </c>
      <c r="E7250" s="196">
        <v>0</v>
      </c>
      <c r="F7250" s="196">
        <v>0</v>
      </c>
      <c r="G7250" s="196">
        <v>-50900</v>
      </c>
    </row>
    <row r="7251" spans="1:7" x14ac:dyDescent="0.3">
      <c r="A7251" s="198">
        <v>1020318783</v>
      </c>
      <c r="B7251" s="192" t="s">
        <v>5188</v>
      </c>
      <c r="C7251" s="196">
        <v>-50900</v>
      </c>
      <c r="D7251" s="196">
        <v>0</v>
      </c>
      <c r="E7251" s="196">
        <v>0</v>
      </c>
      <c r="F7251" s="196">
        <v>0</v>
      </c>
      <c r="G7251" s="196">
        <v>-50900</v>
      </c>
    </row>
    <row r="7252" spans="1:7" x14ac:dyDescent="0.3">
      <c r="A7252" s="198">
        <v>1038877618</v>
      </c>
      <c r="B7252" s="192" t="s">
        <v>5189</v>
      </c>
      <c r="C7252" s="196">
        <v>-50900</v>
      </c>
      <c r="D7252" s="196">
        <v>0</v>
      </c>
      <c r="E7252" s="196">
        <v>0</v>
      </c>
      <c r="F7252" s="196">
        <v>0</v>
      </c>
      <c r="G7252" s="196">
        <v>-50900</v>
      </c>
    </row>
    <row r="7253" spans="1:7" x14ac:dyDescent="0.3">
      <c r="A7253" s="198">
        <v>7528822</v>
      </c>
      <c r="B7253" s="192" t="s">
        <v>5190</v>
      </c>
      <c r="C7253" s="196">
        <v>-50900</v>
      </c>
      <c r="D7253" s="196">
        <v>0</v>
      </c>
      <c r="E7253" s="196">
        <v>0</v>
      </c>
      <c r="F7253" s="196">
        <v>0</v>
      </c>
      <c r="G7253" s="196">
        <v>-50900</v>
      </c>
    </row>
    <row r="7254" spans="1:7" x14ac:dyDescent="0.3">
      <c r="A7254" s="198">
        <v>1023573822</v>
      </c>
      <c r="B7254" s="192" t="s">
        <v>5191</v>
      </c>
      <c r="C7254" s="196">
        <v>-38400</v>
      </c>
      <c r="D7254" s="196">
        <v>0</v>
      </c>
      <c r="E7254" s="196">
        <v>0</v>
      </c>
      <c r="F7254" s="196">
        <v>0</v>
      </c>
      <c r="G7254" s="196">
        <v>-38400</v>
      </c>
    </row>
    <row r="7255" spans="1:7" x14ac:dyDescent="0.3">
      <c r="A7255" s="198">
        <v>43865474</v>
      </c>
      <c r="B7255" s="192" t="s">
        <v>5192</v>
      </c>
      <c r="C7255" s="196">
        <v>-36600</v>
      </c>
      <c r="D7255" s="196">
        <v>0</v>
      </c>
      <c r="E7255" s="196">
        <v>0</v>
      </c>
      <c r="F7255" s="196">
        <v>0</v>
      </c>
      <c r="G7255" s="196">
        <v>-36600</v>
      </c>
    </row>
    <row r="7256" spans="1:7" x14ac:dyDescent="0.3">
      <c r="A7256" s="192" t="s">
        <v>5193</v>
      </c>
      <c r="B7256" s="192" t="s">
        <v>5194</v>
      </c>
      <c r="C7256" s="196">
        <v>-46400</v>
      </c>
      <c r="D7256" s="196">
        <v>0</v>
      </c>
      <c r="E7256" s="196">
        <v>0</v>
      </c>
      <c r="F7256" s="196">
        <v>0</v>
      </c>
      <c r="G7256" s="196">
        <v>-46400</v>
      </c>
    </row>
    <row r="7257" spans="1:7" x14ac:dyDescent="0.3">
      <c r="A7257" s="198">
        <v>7413689</v>
      </c>
      <c r="B7257" s="192" t="s">
        <v>5195</v>
      </c>
      <c r="C7257" s="196">
        <v>-46400</v>
      </c>
      <c r="D7257" s="196">
        <v>0</v>
      </c>
      <c r="E7257" s="196">
        <v>0</v>
      </c>
      <c r="F7257" s="196">
        <v>0</v>
      </c>
      <c r="G7257" s="196">
        <v>-46400</v>
      </c>
    </row>
    <row r="7258" spans="1:7" x14ac:dyDescent="0.3">
      <c r="A7258" s="198">
        <v>37291706</v>
      </c>
      <c r="B7258" s="192" t="s">
        <v>5196</v>
      </c>
      <c r="C7258" s="196">
        <v>-46400</v>
      </c>
      <c r="D7258" s="196">
        <v>0</v>
      </c>
      <c r="E7258" s="196">
        <v>0</v>
      </c>
      <c r="F7258" s="196">
        <v>0</v>
      </c>
      <c r="G7258" s="196">
        <v>-46400</v>
      </c>
    </row>
    <row r="7259" spans="1:7" x14ac:dyDescent="0.3">
      <c r="A7259" s="198">
        <v>32427140</v>
      </c>
      <c r="B7259" s="192" t="s">
        <v>1198</v>
      </c>
      <c r="C7259" s="196">
        <v>-25000</v>
      </c>
      <c r="D7259" s="196">
        <v>0</v>
      </c>
      <c r="E7259" s="196">
        <v>0</v>
      </c>
      <c r="F7259" s="196">
        <v>0</v>
      </c>
      <c r="G7259" s="196">
        <v>-25000</v>
      </c>
    </row>
    <row r="7260" spans="1:7" x14ac:dyDescent="0.3">
      <c r="A7260" s="198">
        <v>43108568</v>
      </c>
      <c r="B7260" s="192" t="s">
        <v>5197</v>
      </c>
      <c r="C7260" s="196">
        <v>-29400</v>
      </c>
      <c r="D7260" s="196">
        <v>0</v>
      </c>
      <c r="E7260" s="196">
        <v>0</v>
      </c>
      <c r="F7260" s="196">
        <v>0</v>
      </c>
      <c r="G7260" s="196">
        <v>-29400</v>
      </c>
    </row>
    <row r="7261" spans="1:7" x14ac:dyDescent="0.3">
      <c r="A7261" s="198">
        <v>43265814</v>
      </c>
      <c r="B7261" s="192" t="s">
        <v>1201</v>
      </c>
      <c r="C7261" s="196">
        <v>0</v>
      </c>
      <c r="D7261" s="196">
        <v>0</v>
      </c>
      <c r="E7261" s="196">
        <v>50900</v>
      </c>
      <c r="F7261" s="196">
        <v>-50900</v>
      </c>
      <c r="G7261" s="196">
        <v>-50900</v>
      </c>
    </row>
    <row r="7262" spans="1:7" x14ac:dyDescent="0.3">
      <c r="A7262" s="198">
        <v>1036614032</v>
      </c>
      <c r="B7262" s="192" t="s">
        <v>1202</v>
      </c>
      <c r="C7262" s="196">
        <v>0</v>
      </c>
      <c r="D7262" s="196">
        <v>0</v>
      </c>
      <c r="E7262" s="196">
        <v>57200</v>
      </c>
      <c r="F7262" s="196">
        <v>-57200</v>
      </c>
      <c r="G7262" s="196">
        <v>-57200</v>
      </c>
    </row>
    <row r="7263" spans="1:7" x14ac:dyDescent="0.3">
      <c r="A7263" s="198">
        <v>32397588</v>
      </c>
      <c r="B7263" s="192" t="s">
        <v>5198</v>
      </c>
      <c r="C7263" s="196">
        <v>-114400</v>
      </c>
      <c r="D7263" s="196">
        <v>0</v>
      </c>
      <c r="E7263" s="196">
        <v>0</v>
      </c>
      <c r="F7263" s="196">
        <v>0</v>
      </c>
      <c r="G7263" s="196">
        <v>-114400</v>
      </c>
    </row>
    <row r="7264" spans="1:7" x14ac:dyDescent="0.3">
      <c r="A7264" s="198">
        <v>1039284858</v>
      </c>
      <c r="B7264" s="192" t="s">
        <v>5199</v>
      </c>
      <c r="C7264" s="196">
        <v>-297000</v>
      </c>
      <c r="D7264" s="196">
        <v>0</v>
      </c>
      <c r="E7264" s="196">
        <v>0</v>
      </c>
      <c r="F7264" s="196">
        <v>0</v>
      </c>
      <c r="G7264" s="196">
        <v>-297000</v>
      </c>
    </row>
    <row r="7265" spans="1:7" x14ac:dyDescent="0.3">
      <c r="A7265" s="198">
        <v>70693093</v>
      </c>
      <c r="B7265" s="192" t="s">
        <v>5200</v>
      </c>
      <c r="C7265" s="196">
        <v>-47400</v>
      </c>
      <c r="D7265" s="196">
        <v>0</v>
      </c>
      <c r="E7265" s="196">
        <v>0</v>
      </c>
      <c r="F7265" s="196">
        <v>0</v>
      </c>
      <c r="G7265" s="196">
        <v>-47400</v>
      </c>
    </row>
    <row r="7266" spans="1:7" x14ac:dyDescent="0.3">
      <c r="A7266" s="198">
        <v>1128466020</v>
      </c>
      <c r="B7266" s="192" t="s">
        <v>1203</v>
      </c>
      <c r="C7266" s="196">
        <v>0</v>
      </c>
      <c r="D7266" s="196">
        <v>0</v>
      </c>
      <c r="E7266" s="196">
        <v>319000</v>
      </c>
      <c r="F7266" s="196">
        <v>-319000</v>
      </c>
      <c r="G7266" s="196">
        <v>-319000</v>
      </c>
    </row>
    <row r="7267" spans="1:7" x14ac:dyDescent="0.3">
      <c r="A7267" s="198">
        <v>16138038</v>
      </c>
      <c r="B7267" s="192" t="s">
        <v>1204</v>
      </c>
      <c r="C7267" s="196">
        <v>-57201</v>
      </c>
      <c r="D7267" s="196">
        <v>0</v>
      </c>
      <c r="E7267" s="196">
        <v>0</v>
      </c>
      <c r="F7267" s="196">
        <v>0</v>
      </c>
      <c r="G7267" s="196">
        <v>-57201</v>
      </c>
    </row>
    <row r="7268" spans="1:7" x14ac:dyDescent="0.3">
      <c r="A7268" s="198">
        <v>71389531</v>
      </c>
      <c r="B7268" s="192" t="s">
        <v>5201</v>
      </c>
      <c r="C7268" s="196">
        <v>-50900</v>
      </c>
      <c r="D7268" s="196">
        <v>0</v>
      </c>
      <c r="E7268" s="196">
        <v>0</v>
      </c>
      <c r="F7268" s="196">
        <v>0</v>
      </c>
      <c r="G7268" s="196">
        <v>-50900</v>
      </c>
    </row>
    <row r="7269" spans="1:7" x14ac:dyDescent="0.3">
      <c r="A7269" s="198">
        <v>66738837</v>
      </c>
      <c r="B7269" s="192" t="s">
        <v>5202</v>
      </c>
      <c r="C7269" s="196">
        <v>-50900</v>
      </c>
      <c r="D7269" s="196">
        <v>0</v>
      </c>
      <c r="E7269" s="196">
        <v>0</v>
      </c>
      <c r="F7269" s="196">
        <v>0</v>
      </c>
      <c r="G7269" s="196">
        <v>-50900</v>
      </c>
    </row>
    <row r="7270" spans="1:7" x14ac:dyDescent="0.3">
      <c r="A7270" s="198">
        <v>1152219424</v>
      </c>
      <c r="B7270" s="192" t="s">
        <v>5203</v>
      </c>
      <c r="C7270" s="196">
        <v>-50900</v>
      </c>
      <c r="D7270" s="196">
        <v>0</v>
      </c>
      <c r="E7270" s="196">
        <v>0</v>
      </c>
      <c r="F7270" s="196">
        <v>0</v>
      </c>
      <c r="G7270" s="196">
        <v>-50900</v>
      </c>
    </row>
    <row r="7271" spans="1:7" x14ac:dyDescent="0.3">
      <c r="A7271" s="198">
        <v>32477739</v>
      </c>
      <c r="B7271" s="192" t="s">
        <v>5204</v>
      </c>
      <c r="C7271" s="196">
        <v>-57200</v>
      </c>
      <c r="D7271" s="196">
        <v>0</v>
      </c>
      <c r="E7271" s="196">
        <v>0</v>
      </c>
      <c r="F7271" s="196">
        <v>0</v>
      </c>
      <c r="G7271" s="196">
        <v>-57200</v>
      </c>
    </row>
    <row r="7272" spans="1:7" x14ac:dyDescent="0.3">
      <c r="A7272" s="198">
        <v>59673463</v>
      </c>
      <c r="B7272" s="192" t="s">
        <v>1205</v>
      </c>
      <c r="C7272" s="196">
        <v>-57201</v>
      </c>
      <c r="D7272" s="196">
        <v>0</v>
      </c>
      <c r="E7272" s="196">
        <v>0</v>
      </c>
      <c r="F7272" s="196">
        <v>0</v>
      </c>
      <c r="G7272" s="196">
        <v>-57201</v>
      </c>
    </row>
    <row r="7273" spans="1:7" x14ac:dyDescent="0.3">
      <c r="A7273" s="198">
        <v>52517532</v>
      </c>
      <c r="B7273" s="192" t="s">
        <v>5205</v>
      </c>
      <c r="C7273" s="196">
        <v>-101800</v>
      </c>
      <c r="D7273" s="196">
        <v>0</v>
      </c>
      <c r="E7273" s="196">
        <v>0</v>
      </c>
      <c r="F7273" s="196">
        <v>0</v>
      </c>
      <c r="G7273" s="196">
        <v>-101800</v>
      </c>
    </row>
    <row r="7274" spans="1:7" x14ac:dyDescent="0.3">
      <c r="A7274" s="198">
        <v>1017183582</v>
      </c>
      <c r="B7274" s="192" t="s">
        <v>1206</v>
      </c>
      <c r="C7274" s="196">
        <v>0</v>
      </c>
      <c r="D7274" s="196">
        <v>0</v>
      </c>
      <c r="E7274" s="196">
        <v>54200</v>
      </c>
      <c r="F7274" s="196">
        <v>-54200</v>
      </c>
      <c r="G7274" s="196">
        <v>-54200</v>
      </c>
    </row>
    <row r="7275" spans="1:7" x14ac:dyDescent="0.3">
      <c r="A7275" s="198">
        <v>1110498900</v>
      </c>
      <c r="B7275" s="192" t="s">
        <v>1207</v>
      </c>
      <c r="C7275" s="196">
        <v>-330000</v>
      </c>
      <c r="D7275" s="196">
        <v>0</v>
      </c>
      <c r="E7275" s="196">
        <v>85000</v>
      </c>
      <c r="F7275" s="196">
        <v>-85000</v>
      </c>
      <c r="G7275" s="196">
        <v>-415000</v>
      </c>
    </row>
    <row r="7276" spans="1:7" x14ac:dyDescent="0.3">
      <c r="A7276" s="198">
        <v>52859506</v>
      </c>
      <c r="B7276" s="192" t="s">
        <v>5206</v>
      </c>
      <c r="C7276" s="196">
        <v>-297000</v>
      </c>
      <c r="D7276" s="196">
        <v>0</v>
      </c>
      <c r="E7276" s="196">
        <v>0</v>
      </c>
      <c r="F7276" s="196">
        <v>0</v>
      </c>
      <c r="G7276" s="196">
        <v>-297000</v>
      </c>
    </row>
    <row r="7277" spans="1:7" x14ac:dyDescent="0.3">
      <c r="A7277" s="198">
        <v>43628786</v>
      </c>
      <c r="B7277" s="192" t="s">
        <v>5207</v>
      </c>
      <c r="C7277" s="196">
        <v>-50900</v>
      </c>
      <c r="D7277" s="196">
        <v>0</v>
      </c>
      <c r="E7277" s="196">
        <v>0</v>
      </c>
      <c r="F7277" s="196">
        <v>0</v>
      </c>
      <c r="G7277" s="196">
        <v>-50900</v>
      </c>
    </row>
    <row r="7278" spans="1:7" x14ac:dyDescent="0.3">
      <c r="A7278" s="198">
        <v>32275964</v>
      </c>
      <c r="B7278" s="192" t="s">
        <v>5208</v>
      </c>
      <c r="C7278" s="196">
        <v>-29700</v>
      </c>
      <c r="D7278" s="196">
        <v>0</v>
      </c>
      <c r="E7278" s="196">
        <v>0</v>
      </c>
      <c r="F7278" s="196">
        <v>0</v>
      </c>
      <c r="G7278" s="196">
        <v>-29700</v>
      </c>
    </row>
    <row r="7279" spans="1:7" x14ac:dyDescent="0.3">
      <c r="A7279" s="192" t="s">
        <v>5209</v>
      </c>
      <c r="B7279" s="192" t="s">
        <v>5210</v>
      </c>
      <c r="C7279" s="196">
        <v>-297000</v>
      </c>
      <c r="D7279" s="196">
        <v>0</v>
      </c>
      <c r="E7279" s="196">
        <v>0</v>
      </c>
      <c r="F7279" s="196">
        <v>0</v>
      </c>
      <c r="G7279" s="196">
        <v>-297000</v>
      </c>
    </row>
    <row r="7280" spans="1:7" x14ac:dyDescent="0.3">
      <c r="A7280" s="192" t="s">
        <v>1209</v>
      </c>
      <c r="B7280" s="192" t="s">
        <v>1210</v>
      </c>
      <c r="C7280" s="196">
        <v>-319000</v>
      </c>
      <c r="D7280" s="196">
        <v>0</v>
      </c>
      <c r="E7280" s="196">
        <v>0</v>
      </c>
      <c r="F7280" s="196">
        <v>0</v>
      </c>
      <c r="G7280" s="196">
        <v>-319000</v>
      </c>
    </row>
    <row r="7281" spans="1:7" x14ac:dyDescent="0.3">
      <c r="A7281" s="198">
        <v>1129573401</v>
      </c>
      <c r="B7281" s="192" t="s">
        <v>5211</v>
      </c>
      <c r="C7281" s="196">
        <v>-47400</v>
      </c>
      <c r="D7281" s="196">
        <v>0</v>
      </c>
      <c r="E7281" s="196">
        <v>0</v>
      </c>
      <c r="F7281" s="196">
        <v>0</v>
      </c>
      <c r="G7281" s="196">
        <v>-47400</v>
      </c>
    </row>
    <row r="7282" spans="1:7" x14ac:dyDescent="0.3">
      <c r="A7282" s="198">
        <v>32445296</v>
      </c>
      <c r="B7282" s="192" t="s">
        <v>5212</v>
      </c>
      <c r="C7282" s="196">
        <v>-29700</v>
      </c>
      <c r="D7282" s="196">
        <v>0</v>
      </c>
      <c r="E7282" s="196">
        <v>0</v>
      </c>
      <c r="F7282" s="196">
        <v>0</v>
      </c>
      <c r="G7282" s="196">
        <v>-29700</v>
      </c>
    </row>
    <row r="7283" spans="1:7" x14ac:dyDescent="0.3">
      <c r="A7283" s="198">
        <v>21399843</v>
      </c>
      <c r="B7283" s="192" t="s">
        <v>5213</v>
      </c>
      <c r="C7283" s="196">
        <v>-255200</v>
      </c>
      <c r="D7283" s="196">
        <v>0</v>
      </c>
      <c r="E7283" s="196">
        <v>0</v>
      </c>
      <c r="F7283" s="196">
        <v>0</v>
      </c>
      <c r="G7283" s="196">
        <v>-255200</v>
      </c>
    </row>
    <row r="7284" spans="1:7" x14ac:dyDescent="0.3">
      <c r="A7284" s="198">
        <v>71339179</v>
      </c>
      <c r="B7284" s="192" t="s">
        <v>5214</v>
      </c>
      <c r="C7284" s="196">
        <v>-50900</v>
      </c>
      <c r="D7284" s="196">
        <v>0</v>
      </c>
      <c r="E7284" s="196">
        <v>0</v>
      </c>
      <c r="F7284" s="196">
        <v>0</v>
      </c>
      <c r="G7284" s="196">
        <v>-50900</v>
      </c>
    </row>
    <row r="7285" spans="1:7" x14ac:dyDescent="0.3">
      <c r="A7285" s="198">
        <v>32908454</v>
      </c>
      <c r="B7285" s="192" t="s">
        <v>5215</v>
      </c>
      <c r="C7285" s="196">
        <v>-94800</v>
      </c>
      <c r="D7285" s="196">
        <v>0</v>
      </c>
      <c r="E7285" s="196">
        <v>0</v>
      </c>
      <c r="F7285" s="196">
        <v>0</v>
      </c>
      <c r="G7285" s="196">
        <v>-94800</v>
      </c>
    </row>
    <row r="7286" spans="1:7" x14ac:dyDescent="0.3">
      <c r="A7286" s="198">
        <v>1011422315</v>
      </c>
      <c r="B7286" s="192" t="s">
        <v>5216</v>
      </c>
      <c r="C7286" s="196">
        <v>-50900</v>
      </c>
      <c r="D7286" s="196">
        <v>0</v>
      </c>
      <c r="E7286" s="196">
        <v>0</v>
      </c>
      <c r="F7286" s="196">
        <v>0</v>
      </c>
      <c r="G7286" s="196">
        <v>-50900</v>
      </c>
    </row>
    <row r="7287" spans="1:7" x14ac:dyDescent="0.3">
      <c r="A7287" s="198">
        <v>42870005</v>
      </c>
      <c r="B7287" s="192" t="s">
        <v>5217</v>
      </c>
      <c r="C7287" s="196">
        <v>-50900</v>
      </c>
      <c r="D7287" s="196">
        <v>0</v>
      </c>
      <c r="E7287" s="196">
        <v>0</v>
      </c>
      <c r="F7287" s="196">
        <v>0</v>
      </c>
      <c r="G7287" s="196">
        <v>-50900</v>
      </c>
    </row>
    <row r="7288" spans="1:7" x14ac:dyDescent="0.3">
      <c r="A7288" s="198">
        <v>32511186</v>
      </c>
      <c r="B7288" s="192" t="s">
        <v>5218</v>
      </c>
      <c r="C7288" s="196">
        <v>-152700</v>
      </c>
      <c r="D7288" s="196">
        <v>0</v>
      </c>
      <c r="E7288" s="196">
        <v>0</v>
      </c>
      <c r="F7288" s="196">
        <v>0</v>
      </c>
      <c r="G7288" s="196">
        <v>-152700</v>
      </c>
    </row>
    <row r="7289" spans="1:7" x14ac:dyDescent="0.3">
      <c r="A7289" s="198">
        <v>43555876</v>
      </c>
      <c r="B7289" s="192" t="s">
        <v>1212</v>
      </c>
      <c r="C7289" s="196">
        <v>0</v>
      </c>
      <c r="D7289" s="196">
        <v>0</v>
      </c>
      <c r="E7289" s="196">
        <v>297000</v>
      </c>
      <c r="F7289" s="196">
        <v>-297000</v>
      </c>
      <c r="G7289" s="196">
        <v>-297000</v>
      </c>
    </row>
    <row r="7290" spans="1:7" x14ac:dyDescent="0.3">
      <c r="A7290" s="198">
        <v>37318849</v>
      </c>
      <c r="B7290" s="192" t="s">
        <v>5219</v>
      </c>
      <c r="C7290" s="196">
        <v>-101800</v>
      </c>
      <c r="D7290" s="196">
        <v>0</v>
      </c>
      <c r="E7290" s="196">
        <v>0</v>
      </c>
      <c r="F7290" s="196">
        <v>0</v>
      </c>
      <c r="G7290" s="196">
        <v>-101800</v>
      </c>
    </row>
    <row r="7291" spans="1:7" x14ac:dyDescent="0.3">
      <c r="A7291" s="198">
        <v>42866053</v>
      </c>
      <c r="B7291" s="192" t="s">
        <v>5220</v>
      </c>
      <c r="C7291" s="196">
        <v>-54200</v>
      </c>
      <c r="D7291" s="196">
        <v>0</v>
      </c>
      <c r="E7291" s="196">
        <v>0</v>
      </c>
      <c r="F7291" s="196">
        <v>0</v>
      </c>
      <c r="G7291" s="196">
        <v>-54200</v>
      </c>
    </row>
    <row r="7292" spans="1:7" x14ac:dyDescent="0.3">
      <c r="A7292" s="198">
        <v>43098694</v>
      </c>
      <c r="B7292" s="192" t="s">
        <v>5221</v>
      </c>
      <c r="C7292" s="196">
        <v>-50900</v>
      </c>
      <c r="D7292" s="196">
        <v>0</v>
      </c>
      <c r="E7292" s="196">
        <v>0</v>
      </c>
      <c r="F7292" s="196">
        <v>0</v>
      </c>
      <c r="G7292" s="196">
        <v>-50900</v>
      </c>
    </row>
    <row r="7293" spans="1:7" x14ac:dyDescent="0.3">
      <c r="A7293" s="198">
        <v>32336953</v>
      </c>
      <c r="B7293" s="192" t="s">
        <v>5222</v>
      </c>
      <c r="C7293" s="196">
        <v>-50900</v>
      </c>
      <c r="D7293" s="196">
        <v>0</v>
      </c>
      <c r="E7293" s="196">
        <v>0</v>
      </c>
      <c r="F7293" s="196">
        <v>0</v>
      </c>
      <c r="G7293" s="196">
        <v>-50900</v>
      </c>
    </row>
    <row r="7294" spans="1:7" x14ac:dyDescent="0.3">
      <c r="A7294" s="198">
        <v>32508809</v>
      </c>
      <c r="B7294" s="192" t="s">
        <v>5223</v>
      </c>
      <c r="C7294" s="196">
        <v>-57200</v>
      </c>
      <c r="D7294" s="196">
        <v>0</v>
      </c>
      <c r="E7294" s="196">
        <v>0</v>
      </c>
      <c r="F7294" s="196">
        <v>0</v>
      </c>
      <c r="G7294" s="196">
        <v>-57200</v>
      </c>
    </row>
    <row r="7295" spans="1:7" x14ac:dyDescent="0.3">
      <c r="A7295" s="198">
        <v>43584622</v>
      </c>
      <c r="B7295" s="192" t="s">
        <v>1213</v>
      </c>
      <c r="C7295" s="196">
        <v>0</v>
      </c>
      <c r="D7295" s="196">
        <v>0</v>
      </c>
      <c r="E7295" s="196">
        <v>50900</v>
      </c>
      <c r="F7295" s="196">
        <v>-50900</v>
      </c>
      <c r="G7295" s="196">
        <v>-50900</v>
      </c>
    </row>
    <row r="7296" spans="1:7" x14ac:dyDescent="0.3">
      <c r="A7296" s="198">
        <v>37011232</v>
      </c>
      <c r="B7296" s="192" t="s">
        <v>5224</v>
      </c>
      <c r="C7296" s="196">
        <v>-50900</v>
      </c>
      <c r="D7296" s="196">
        <v>0</v>
      </c>
      <c r="E7296" s="196">
        <v>0</v>
      </c>
      <c r="F7296" s="196">
        <v>0</v>
      </c>
      <c r="G7296" s="196">
        <v>-50900</v>
      </c>
    </row>
    <row r="7297" spans="1:7" x14ac:dyDescent="0.3">
      <c r="A7297" s="198">
        <v>43730576</v>
      </c>
      <c r="B7297" s="192" t="s">
        <v>5225</v>
      </c>
      <c r="C7297" s="196">
        <v>-57200</v>
      </c>
      <c r="D7297" s="196">
        <v>0</v>
      </c>
      <c r="E7297" s="196">
        <v>0</v>
      </c>
      <c r="F7297" s="196">
        <v>0</v>
      </c>
      <c r="G7297" s="196">
        <v>-57200</v>
      </c>
    </row>
    <row r="7298" spans="1:7" x14ac:dyDescent="0.3">
      <c r="A7298" s="198">
        <v>43011012</v>
      </c>
      <c r="B7298" s="192" t="s">
        <v>5226</v>
      </c>
      <c r="C7298" s="196">
        <v>-50900</v>
      </c>
      <c r="D7298" s="196">
        <v>0</v>
      </c>
      <c r="E7298" s="196">
        <v>0</v>
      </c>
      <c r="F7298" s="196">
        <v>0</v>
      </c>
      <c r="G7298" s="196">
        <v>-50900</v>
      </c>
    </row>
    <row r="7299" spans="1:7" x14ac:dyDescent="0.3">
      <c r="A7299" s="198">
        <v>42899107</v>
      </c>
      <c r="B7299" s="192" t="s">
        <v>5227</v>
      </c>
      <c r="C7299" s="196">
        <v>-101800</v>
      </c>
      <c r="D7299" s="196">
        <v>0</v>
      </c>
      <c r="E7299" s="196">
        <v>0</v>
      </c>
      <c r="F7299" s="196">
        <v>0</v>
      </c>
      <c r="G7299" s="196">
        <v>-101800</v>
      </c>
    </row>
    <row r="7300" spans="1:7" x14ac:dyDescent="0.3">
      <c r="A7300" s="198">
        <v>24950658</v>
      </c>
      <c r="B7300" s="192" t="s">
        <v>5228</v>
      </c>
      <c r="C7300" s="196">
        <v>-50900</v>
      </c>
      <c r="D7300" s="196">
        <v>0</v>
      </c>
      <c r="E7300" s="196">
        <v>0</v>
      </c>
      <c r="F7300" s="196">
        <v>0</v>
      </c>
      <c r="G7300" s="196">
        <v>-50900</v>
      </c>
    </row>
    <row r="7301" spans="1:7" x14ac:dyDescent="0.3">
      <c r="A7301" s="198">
        <v>21399164</v>
      </c>
      <c r="B7301" s="192" t="s">
        <v>5229</v>
      </c>
      <c r="C7301" s="196">
        <v>-114400</v>
      </c>
      <c r="D7301" s="196">
        <v>0</v>
      </c>
      <c r="E7301" s="196">
        <v>0</v>
      </c>
      <c r="F7301" s="196">
        <v>0</v>
      </c>
      <c r="G7301" s="196">
        <v>-114400</v>
      </c>
    </row>
    <row r="7302" spans="1:7" x14ac:dyDescent="0.3">
      <c r="A7302" s="198">
        <v>72777414</v>
      </c>
      <c r="B7302" s="192" t="s">
        <v>5230</v>
      </c>
      <c r="C7302" s="196">
        <v>-223000</v>
      </c>
      <c r="D7302" s="196">
        <v>0</v>
      </c>
      <c r="E7302" s="196">
        <v>0</v>
      </c>
      <c r="F7302" s="196">
        <v>0</v>
      </c>
      <c r="G7302" s="196">
        <v>-223000</v>
      </c>
    </row>
    <row r="7303" spans="1:7" x14ac:dyDescent="0.3">
      <c r="A7303" s="198">
        <v>43025813</v>
      </c>
      <c r="B7303" s="192" t="s">
        <v>5231</v>
      </c>
      <c r="C7303" s="196">
        <v>-39300</v>
      </c>
      <c r="D7303" s="196">
        <v>0</v>
      </c>
      <c r="E7303" s="196">
        <v>0</v>
      </c>
      <c r="F7303" s="196">
        <v>0</v>
      </c>
      <c r="G7303" s="196">
        <v>-39300</v>
      </c>
    </row>
    <row r="7304" spans="1:7" x14ac:dyDescent="0.3">
      <c r="A7304" s="198">
        <v>42978909</v>
      </c>
      <c r="B7304" s="192" t="s">
        <v>5232</v>
      </c>
      <c r="C7304" s="196">
        <v>-60250</v>
      </c>
      <c r="D7304" s="196">
        <v>0</v>
      </c>
      <c r="E7304" s="196">
        <v>0</v>
      </c>
      <c r="F7304" s="196">
        <v>0</v>
      </c>
      <c r="G7304" s="196">
        <v>-60250</v>
      </c>
    </row>
    <row r="7305" spans="1:7" x14ac:dyDescent="0.3">
      <c r="A7305" s="198">
        <v>37934561</v>
      </c>
      <c r="B7305" s="192" t="s">
        <v>1216</v>
      </c>
      <c r="C7305" s="196">
        <v>0</v>
      </c>
      <c r="D7305" s="196">
        <v>0</v>
      </c>
      <c r="E7305" s="196">
        <v>41400</v>
      </c>
      <c r="F7305" s="196">
        <v>-41400</v>
      </c>
      <c r="G7305" s="196">
        <v>-41400</v>
      </c>
    </row>
    <row r="7306" spans="1:7" x14ac:dyDescent="0.3">
      <c r="A7306" s="198">
        <v>24601616</v>
      </c>
      <c r="B7306" s="192" t="s">
        <v>1217</v>
      </c>
      <c r="C7306" s="196">
        <v>-73200</v>
      </c>
      <c r="D7306" s="196">
        <v>0</v>
      </c>
      <c r="E7306" s="196">
        <v>0</v>
      </c>
      <c r="F7306" s="196">
        <v>0</v>
      </c>
      <c r="G7306" s="196">
        <v>-73200</v>
      </c>
    </row>
    <row r="7307" spans="1:7" x14ac:dyDescent="0.3">
      <c r="A7307" s="198">
        <v>32079919</v>
      </c>
      <c r="B7307" s="192" t="s">
        <v>1218</v>
      </c>
      <c r="C7307" s="196">
        <v>0</v>
      </c>
      <c r="D7307" s="196">
        <v>0</v>
      </c>
      <c r="E7307" s="196">
        <v>57200</v>
      </c>
      <c r="F7307" s="196">
        <v>-57200</v>
      </c>
      <c r="G7307" s="196">
        <v>-57200</v>
      </c>
    </row>
    <row r="7308" spans="1:7" x14ac:dyDescent="0.3">
      <c r="A7308" s="198">
        <v>43571704</v>
      </c>
      <c r="B7308" s="192" t="s">
        <v>5233</v>
      </c>
      <c r="C7308" s="196">
        <v>-43900</v>
      </c>
      <c r="D7308" s="196">
        <v>0</v>
      </c>
      <c r="E7308" s="196">
        <v>0</v>
      </c>
      <c r="F7308" s="196">
        <v>0</v>
      </c>
      <c r="G7308" s="196">
        <v>-43900</v>
      </c>
    </row>
    <row r="7309" spans="1:7" x14ac:dyDescent="0.3">
      <c r="A7309" s="198">
        <v>42866455</v>
      </c>
      <c r="B7309" s="192" t="s">
        <v>5234</v>
      </c>
      <c r="C7309" s="196">
        <v>-50900</v>
      </c>
      <c r="D7309" s="196">
        <v>0</v>
      </c>
      <c r="E7309" s="196">
        <v>0</v>
      </c>
      <c r="F7309" s="196">
        <v>0</v>
      </c>
      <c r="G7309" s="196">
        <v>-50900</v>
      </c>
    </row>
    <row r="7310" spans="1:7" x14ac:dyDescent="0.3">
      <c r="A7310" s="198">
        <v>27219505</v>
      </c>
      <c r="B7310" s="192" t="s">
        <v>5235</v>
      </c>
      <c r="C7310" s="196">
        <v>-54200</v>
      </c>
      <c r="D7310" s="196">
        <v>0</v>
      </c>
      <c r="E7310" s="196">
        <v>0</v>
      </c>
      <c r="F7310" s="196">
        <v>0</v>
      </c>
      <c r="G7310" s="196">
        <v>-54200</v>
      </c>
    </row>
    <row r="7311" spans="1:7" x14ac:dyDescent="0.3">
      <c r="A7311" s="198">
        <v>32318271</v>
      </c>
      <c r="B7311" s="192" t="s">
        <v>5236</v>
      </c>
      <c r="C7311" s="196">
        <v>-50900</v>
      </c>
      <c r="D7311" s="196">
        <v>0</v>
      </c>
      <c r="E7311" s="196">
        <v>0</v>
      </c>
      <c r="F7311" s="196">
        <v>0</v>
      </c>
      <c r="G7311" s="196">
        <v>-50900</v>
      </c>
    </row>
    <row r="7312" spans="1:7" x14ac:dyDescent="0.3">
      <c r="A7312" s="198">
        <v>32019626</v>
      </c>
      <c r="B7312" s="192" t="s">
        <v>5237</v>
      </c>
      <c r="C7312" s="196">
        <v>-101800</v>
      </c>
      <c r="D7312" s="196">
        <v>0</v>
      </c>
      <c r="E7312" s="196">
        <v>0</v>
      </c>
      <c r="F7312" s="196">
        <v>0</v>
      </c>
      <c r="G7312" s="196">
        <v>-101800</v>
      </c>
    </row>
    <row r="7313" spans="1:7" x14ac:dyDescent="0.3">
      <c r="A7313" s="198">
        <v>32453643</v>
      </c>
      <c r="B7313" s="192" t="s">
        <v>1219</v>
      </c>
      <c r="C7313" s="196">
        <v>-114400</v>
      </c>
      <c r="D7313" s="196">
        <v>0</v>
      </c>
      <c r="E7313" s="196">
        <v>57200</v>
      </c>
      <c r="F7313" s="196">
        <v>-57200</v>
      </c>
      <c r="G7313" s="196">
        <v>-171600</v>
      </c>
    </row>
    <row r="7314" spans="1:7" x14ac:dyDescent="0.3">
      <c r="A7314" s="198">
        <v>32460088</v>
      </c>
      <c r="B7314" s="192" t="s">
        <v>5238</v>
      </c>
      <c r="C7314" s="196">
        <v>-101800</v>
      </c>
      <c r="D7314" s="196">
        <v>0</v>
      </c>
      <c r="E7314" s="196">
        <v>0</v>
      </c>
      <c r="F7314" s="196">
        <v>0</v>
      </c>
      <c r="G7314" s="196">
        <v>-101800</v>
      </c>
    </row>
    <row r="7315" spans="1:7" x14ac:dyDescent="0.3">
      <c r="A7315" s="198">
        <v>43591138</v>
      </c>
      <c r="B7315" s="192" t="s">
        <v>5239</v>
      </c>
      <c r="C7315" s="196">
        <v>-50900</v>
      </c>
      <c r="D7315" s="196">
        <v>0</v>
      </c>
      <c r="E7315" s="196">
        <v>0</v>
      </c>
      <c r="F7315" s="196">
        <v>0</v>
      </c>
      <c r="G7315" s="196">
        <v>-50900</v>
      </c>
    </row>
    <row r="7316" spans="1:7" x14ac:dyDescent="0.3">
      <c r="A7316" s="198">
        <v>22009652</v>
      </c>
      <c r="B7316" s="192" t="s">
        <v>5240</v>
      </c>
      <c r="C7316" s="196">
        <v>-50900</v>
      </c>
      <c r="D7316" s="196">
        <v>0</v>
      </c>
      <c r="E7316" s="196">
        <v>0</v>
      </c>
      <c r="F7316" s="196">
        <v>0</v>
      </c>
      <c r="G7316" s="196">
        <v>-50900</v>
      </c>
    </row>
    <row r="7317" spans="1:7" x14ac:dyDescent="0.3">
      <c r="A7317" s="198">
        <v>32478517</v>
      </c>
      <c r="B7317" s="192" t="s">
        <v>5241</v>
      </c>
      <c r="C7317" s="196">
        <v>-60000</v>
      </c>
      <c r="D7317" s="196">
        <v>0</v>
      </c>
      <c r="E7317" s="196">
        <v>0</v>
      </c>
      <c r="F7317" s="196">
        <v>0</v>
      </c>
      <c r="G7317" s="196">
        <v>-60000</v>
      </c>
    </row>
    <row r="7318" spans="1:7" x14ac:dyDescent="0.3">
      <c r="A7318" s="198">
        <v>43557944</v>
      </c>
      <c r="B7318" s="192" t="s">
        <v>5242</v>
      </c>
      <c r="C7318" s="196">
        <v>-319000</v>
      </c>
      <c r="D7318" s="196">
        <v>0</v>
      </c>
      <c r="E7318" s="196">
        <v>0</v>
      </c>
      <c r="F7318" s="196">
        <v>0</v>
      </c>
      <c r="G7318" s="196">
        <v>-319000</v>
      </c>
    </row>
    <row r="7319" spans="1:7" x14ac:dyDescent="0.3">
      <c r="A7319" s="198">
        <v>21403820</v>
      </c>
      <c r="B7319" s="192" t="s">
        <v>5243</v>
      </c>
      <c r="C7319" s="196">
        <v>-319000</v>
      </c>
      <c r="D7319" s="196">
        <v>0</v>
      </c>
      <c r="E7319" s="196">
        <v>0</v>
      </c>
      <c r="F7319" s="196">
        <v>0</v>
      </c>
      <c r="G7319" s="196">
        <v>-319000</v>
      </c>
    </row>
    <row r="7320" spans="1:7" x14ac:dyDescent="0.3">
      <c r="A7320" s="198">
        <v>42891583</v>
      </c>
      <c r="B7320" s="192" t="s">
        <v>1221</v>
      </c>
      <c r="C7320" s="196">
        <v>0</v>
      </c>
      <c r="D7320" s="196">
        <v>0</v>
      </c>
      <c r="E7320" s="196">
        <v>54200</v>
      </c>
      <c r="F7320" s="196">
        <v>-54200</v>
      </c>
      <c r="G7320" s="196">
        <v>-54200</v>
      </c>
    </row>
    <row r="7321" spans="1:7" x14ac:dyDescent="0.3">
      <c r="A7321" s="198">
        <v>43585337</v>
      </c>
      <c r="B7321" s="192" t="s">
        <v>5244</v>
      </c>
      <c r="C7321" s="196">
        <v>-57200</v>
      </c>
      <c r="D7321" s="196">
        <v>0</v>
      </c>
      <c r="E7321" s="196">
        <v>0</v>
      </c>
      <c r="F7321" s="196">
        <v>0</v>
      </c>
      <c r="G7321" s="196">
        <v>-57200</v>
      </c>
    </row>
    <row r="7322" spans="1:7" x14ac:dyDescent="0.3">
      <c r="A7322" s="198">
        <v>32510444</v>
      </c>
      <c r="B7322" s="192" t="s">
        <v>5245</v>
      </c>
      <c r="C7322" s="196">
        <v>-50900</v>
      </c>
      <c r="D7322" s="196">
        <v>0</v>
      </c>
      <c r="E7322" s="196">
        <v>0</v>
      </c>
      <c r="F7322" s="196">
        <v>0</v>
      </c>
      <c r="G7322" s="196">
        <v>-50900</v>
      </c>
    </row>
    <row r="7323" spans="1:7" x14ac:dyDescent="0.3">
      <c r="A7323" s="198">
        <v>24360427</v>
      </c>
      <c r="B7323" s="192" t="s">
        <v>5246</v>
      </c>
      <c r="C7323" s="196">
        <v>-41400</v>
      </c>
      <c r="D7323" s="196">
        <v>0</v>
      </c>
      <c r="E7323" s="196">
        <v>0</v>
      </c>
      <c r="F7323" s="196">
        <v>0</v>
      </c>
      <c r="G7323" s="196">
        <v>-41400</v>
      </c>
    </row>
    <row r="7324" spans="1:7" x14ac:dyDescent="0.3">
      <c r="A7324" s="198">
        <v>21862570</v>
      </c>
      <c r="B7324" s="192" t="s">
        <v>1222</v>
      </c>
      <c r="C7324" s="196">
        <v>0</v>
      </c>
      <c r="D7324" s="196">
        <v>0</v>
      </c>
      <c r="E7324" s="196">
        <v>297000</v>
      </c>
      <c r="F7324" s="196">
        <v>-297000</v>
      </c>
      <c r="G7324" s="196">
        <v>-297000</v>
      </c>
    </row>
    <row r="7325" spans="1:7" x14ac:dyDescent="0.3">
      <c r="A7325" s="198">
        <v>42794591</v>
      </c>
      <c r="B7325" s="192" t="s">
        <v>5247</v>
      </c>
      <c r="C7325" s="196">
        <v>-47400</v>
      </c>
      <c r="D7325" s="196">
        <v>0</v>
      </c>
      <c r="E7325" s="196">
        <v>0</v>
      </c>
      <c r="F7325" s="196">
        <v>0</v>
      </c>
      <c r="G7325" s="196">
        <v>-47400</v>
      </c>
    </row>
    <row r="7326" spans="1:7" x14ac:dyDescent="0.3">
      <c r="A7326" s="198">
        <v>43590967</v>
      </c>
      <c r="B7326" s="192" t="s">
        <v>5248</v>
      </c>
      <c r="C7326" s="196">
        <v>-50900</v>
      </c>
      <c r="D7326" s="196">
        <v>0</v>
      </c>
      <c r="E7326" s="196">
        <v>0</v>
      </c>
      <c r="F7326" s="196">
        <v>0</v>
      </c>
      <c r="G7326" s="196">
        <v>-50900</v>
      </c>
    </row>
    <row r="7327" spans="1:7" x14ac:dyDescent="0.3">
      <c r="A7327" s="198">
        <v>32487893</v>
      </c>
      <c r="B7327" s="192" t="s">
        <v>5249</v>
      </c>
      <c r="C7327" s="196">
        <v>-49000</v>
      </c>
      <c r="D7327" s="196">
        <v>0</v>
      </c>
      <c r="E7327" s="196">
        <v>0</v>
      </c>
      <c r="F7327" s="196">
        <v>0</v>
      </c>
      <c r="G7327" s="196">
        <v>-49000</v>
      </c>
    </row>
    <row r="7328" spans="1:7" x14ac:dyDescent="0.3">
      <c r="A7328" s="198">
        <v>60325631</v>
      </c>
      <c r="B7328" s="192" t="s">
        <v>1223</v>
      </c>
      <c r="C7328" s="196">
        <v>-50900</v>
      </c>
      <c r="D7328" s="196">
        <v>0</v>
      </c>
      <c r="E7328" s="196">
        <v>0</v>
      </c>
      <c r="F7328" s="196">
        <v>0</v>
      </c>
      <c r="G7328" s="196">
        <v>-50900</v>
      </c>
    </row>
    <row r="7329" spans="1:7" x14ac:dyDescent="0.3">
      <c r="A7329" s="198">
        <v>1035022431</v>
      </c>
      <c r="B7329" s="192" t="s">
        <v>1224</v>
      </c>
      <c r="C7329" s="196">
        <v>0</v>
      </c>
      <c r="D7329" s="196">
        <v>0</v>
      </c>
      <c r="E7329" s="196">
        <v>50900</v>
      </c>
      <c r="F7329" s="196">
        <v>-50900</v>
      </c>
      <c r="G7329" s="196">
        <v>-50900</v>
      </c>
    </row>
    <row r="7330" spans="1:7" x14ac:dyDescent="0.3">
      <c r="A7330" s="198">
        <v>1220477196</v>
      </c>
      <c r="B7330" s="192" t="s">
        <v>5250</v>
      </c>
      <c r="C7330" s="196">
        <v>-50900</v>
      </c>
      <c r="D7330" s="196">
        <v>0</v>
      </c>
      <c r="E7330" s="196">
        <v>0</v>
      </c>
      <c r="F7330" s="196">
        <v>0</v>
      </c>
      <c r="G7330" s="196">
        <v>-50900</v>
      </c>
    </row>
    <row r="7331" spans="1:7" x14ac:dyDescent="0.3">
      <c r="A7331" s="198">
        <v>1034998300</v>
      </c>
      <c r="B7331" s="192" t="s">
        <v>1225</v>
      </c>
      <c r="C7331" s="196">
        <v>0</v>
      </c>
      <c r="D7331" s="196">
        <v>0</v>
      </c>
      <c r="E7331" s="196">
        <v>50900</v>
      </c>
      <c r="F7331" s="196">
        <v>-50900</v>
      </c>
      <c r="G7331" s="196">
        <v>-50900</v>
      </c>
    </row>
    <row r="7332" spans="1:7" x14ac:dyDescent="0.3">
      <c r="A7332" s="198">
        <v>1000410306</v>
      </c>
      <c r="B7332" s="192" t="s">
        <v>5251</v>
      </c>
      <c r="C7332" s="196">
        <v>-50900</v>
      </c>
      <c r="D7332" s="196">
        <v>0</v>
      </c>
      <c r="E7332" s="196">
        <v>0</v>
      </c>
      <c r="F7332" s="196">
        <v>0</v>
      </c>
      <c r="G7332" s="196">
        <v>-50900</v>
      </c>
    </row>
    <row r="7333" spans="1:7" x14ac:dyDescent="0.3">
      <c r="A7333" s="198">
        <v>1020248425</v>
      </c>
      <c r="B7333" s="192" t="s">
        <v>5252</v>
      </c>
      <c r="C7333" s="196">
        <v>-50900</v>
      </c>
      <c r="D7333" s="196">
        <v>0</v>
      </c>
      <c r="E7333" s="196">
        <v>0</v>
      </c>
      <c r="F7333" s="196">
        <v>0</v>
      </c>
      <c r="G7333" s="196">
        <v>-50900</v>
      </c>
    </row>
    <row r="7334" spans="1:7" x14ac:dyDescent="0.3">
      <c r="A7334" s="198">
        <v>1035022644</v>
      </c>
      <c r="B7334" s="192" t="s">
        <v>5253</v>
      </c>
      <c r="C7334" s="196">
        <v>-50900</v>
      </c>
      <c r="D7334" s="196">
        <v>0</v>
      </c>
      <c r="E7334" s="196">
        <v>0</v>
      </c>
      <c r="F7334" s="196">
        <v>0</v>
      </c>
      <c r="G7334" s="196">
        <v>-50900</v>
      </c>
    </row>
    <row r="7335" spans="1:7" x14ac:dyDescent="0.3">
      <c r="A7335" s="198">
        <v>1035024747</v>
      </c>
      <c r="B7335" s="192" t="s">
        <v>5254</v>
      </c>
      <c r="C7335" s="196">
        <v>-50900</v>
      </c>
      <c r="D7335" s="196">
        <v>0</v>
      </c>
      <c r="E7335" s="196">
        <v>0</v>
      </c>
      <c r="F7335" s="196">
        <v>0</v>
      </c>
      <c r="G7335" s="196">
        <v>-50900</v>
      </c>
    </row>
    <row r="7336" spans="1:7" x14ac:dyDescent="0.3">
      <c r="A7336" s="198">
        <v>1035025410</v>
      </c>
      <c r="B7336" s="192" t="s">
        <v>5255</v>
      </c>
      <c r="C7336" s="196">
        <v>-98300</v>
      </c>
      <c r="D7336" s="196">
        <v>0</v>
      </c>
      <c r="E7336" s="196">
        <v>0</v>
      </c>
      <c r="F7336" s="196">
        <v>0</v>
      </c>
      <c r="G7336" s="196">
        <v>-98300</v>
      </c>
    </row>
    <row r="7337" spans="1:7" x14ac:dyDescent="0.3">
      <c r="A7337" s="198">
        <v>1020222724</v>
      </c>
      <c r="B7337" s="192" t="s">
        <v>5256</v>
      </c>
      <c r="C7337" s="196">
        <v>-50900</v>
      </c>
      <c r="D7337" s="196">
        <v>0</v>
      </c>
      <c r="E7337" s="196">
        <v>0</v>
      </c>
      <c r="F7337" s="196">
        <v>0</v>
      </c>
      <c r="G7337" s="196">
        <v>-50900</v>
      </c>
    </row>
    <row r="7338" spans="1:7" x14ac:dyDescent="0.3">
      <c r="A7338" s="198">
        <v>1020324434</v>
      </c>
      <c r="B7338" s="192" t="s">
        <v>5257</v>
      </c>
      <c r="C7338" s="196">
        <v>-50900</v>
      </c>
      <c r="D7338" s="196">
        <v>0</v>
      </c>
      <c r="E7338" s="196">
        <v>0</v>
      </c>
      <c r="F7338" s="196">
        <v>0</v>
      </c>
      <c r="G7338" s="196">
        <v>-50900</v>
      </c>
    </row>
    <row r="7339" spans="1:7" x14ac:dyDescent="0.3">
      <c r="A7339" s="198">
        <v>1037581535</v>
      </c>
      <c r="B7339" s="192" t="s">
        <v>5258</v>
      </c>
      <c r="C7339" s="196">
        <v>-50900</v>
      </c>
      <c r="D7339" s="196">
        <v>0</v>
      </c>
      <c r="E7339" s="196">
        <v>0</v>
      </c>
      <c r="F7339" s="196">
        <v>0</v>
      </c>
      <c r="G7339" s="196">
        <v>-50900</v>
      </c>
    </row>
    <row r="7340" spans="1:7" x14ac:dyDescent="0.3">
      <c r="A7340" s="198">
        <v>1035009184</v>
      </c>
      <c r="B7340" s="192" t="s">
        <v>5259</v>
      </c>
      <c r="C7340" s="196">
        <v>-82800</v>
      </c>
      <c r="D7340" s="196">
        <v>0</v>
      </c>
      <c r="E7340" s="196">
        <v>0</v>
      </c>
      <c r="F7340" s="196">
        <v>0</v>
      </c>
      <c r="G7340" s="196">
        <v>-82800</v>
      </c>
    </row>
    <row r="7341" spans="1:7" x14ac:dyDescent="0.3">
      <c r="A7341" s="198">
        <v>1056129613</v>
      </c>
      <c r="B7341" s="192" t="s">
        <v>5260</v>
      </c>
      <c r="C7341" s="196">
        <v>-57200</v>
      </c>
      <c r="D7341" s="196">
        <v>0</v>
      </c>
      <c r="E7341" s="196">
        <v>0</v>
      </c>
      <c r="F7341" s="196">
        <v>0</v>
      </c>
      <c r="G7341" s="196">
        <v>-57200</v>
      </c>
    </row>
    <row r="7342" spans="1:7" x14ac:dyDescent="0.3">
      <c r="A7342" s="198">
        <v>1013466358</v>
      </c>
      <c r="B7342" s="192" t="s">
        <v>5261</v>
      </c>
      <c r="C7342" s="196">
        <v>-50900</v>
      </c>
      <c r="D7342" s="196">
        <v>0</v>
      </c>
      <c r="E7342" s="196">
        <v>0</v>
      </c>
      <c r="F7342" s="196">
        <v>0</v>
      </c>
      <c r="G7342" s="196">
        <v>-50900</v>
      </c>
    </row>
    <row r="7343" spans="1:7" x14ac:dyDescent="0.3">
      <c r="A7343" s="198">
        <v>1053850640</v>
      </c>
      <c r="B7343" s="192" t="s">
        <v>5262</v>
      </c>
      <c r="C7343" s="196">
        <v>-41400</v>
      </c>
      <c r="D7343" s="196">
        <v>0</v>
      </c>
      <c r="E7343" s="196">
        <v>0</v>
      </c>
      <c r="F7343" s="196">
        <v>0</v>
      </c>
      <c r="G7343" s="196">
        <v>-41400</v>
      </c>
    </row>
    <row r="7344" spans="1:7" x14ac:dyDescent="0.3">
      <c r="A7344" s="198">
        <v>1035026619</v>
      </c>
      <c r="B7344" s="192" t="s">
        <v>5263</v>
      </c>
      <c r="C7344" s="196">
        <v>-101800</v>
      </c>
      <c r="D7344" s="196">
        <v>0</v>
      </c>
      <c r="E7344" s="196">
        <v>0</v>
      </c>
      <c r="F7344" s="196">
        <v>0</v>
      </c>
      <c r="G7344" s="196">
        <v>-101800</v>
      </c>
    </row>
    <row r="7345" spans="1:7" x14ac:dyDescent="0.3">
      <c r="A7345" s="198">
        <v>1035021073</v>
      </c>
      <c r="B7345" s="192" t="s">
        <v>5264</v>
      </c>
      <c r="C7345" s="196">
        <v>-50900</v>
      </c>
      <c r="D7345" s="196">
        <v>0</v>
      </c>
      <c r="E7345" s="196">
        <v>0</v>
      </c>
      <c r="F7345" s="196">
        <v>0</v>
      </c>
      <c r="G7345" s="196">
        <v>-50900</v>
      </c>
    </row>
    <row r="7346" spans="1:7" x14ac:dyDescent="0.3">
      <c r="A7346" s="198">
        <v>1035015406</v>
      </c>
      <c r="B7346" s="192" t="s">
        <v>5265</v>
      </c>
      <c r="C7346" s="196">
        <v>-36600</v>
      </c>
      <c r="D7346" s="196">
        <v>0</v>
      </c>
      <c r="E7346" s="196">
        <v>0</v>
      </c>
      <c r="F7346" s="196">
        <v>0</v>
      </c>
      <c r="G7346" s="196">
        <v>-36600</v>
      </c>
    </row>
    <row r="7347" spans="1:7" x14ac:dyDescent="0.3">
      <c r="A7347" s="198">
        <v>1035018772</v>
      </c>
      <c r="B7347" s="192" t="s">
        <v>5266</v>
      </c>
      <c r="C7347" s="196">
        <v>-50900</v>
      </c>
      <c r="D7347" s="196">
        <v>0</v>
      </c>
      <c r="E7347" s="196">
        <v>0</v>
      </c>
      <c r="F7347" s="196">
        <v>0</v>
      </c>
      <c r="G7347" s="196">
        <v>-50900</v>
      </c>
    </row>
    <row r="7348" spans="1:7" x14ac:dyDescent="0.3">
      <c r="A7348" s="198">
        <v>1035985862</v>
      </c>
      <c r="B7348" s="192" t="s">
        <v>5267</v>
      </c>
      <c r="C7348" s="196">
        <v>-41400</v>
      </c>
      <c r="D7348" s="196">
        <v>0</v>
      </c>
      <c r="E7348" s="196">
        <v>0</v>
      </c>
      <c r="F7348" s="196">
        <v>0</v>
      </c>
      <c r="G7348" s="196">
        <v>-41400</v>
      </c>
    </row>
    <row r="7349" spans="1:7" x14ac:dyDescent="0.3">
      <c r="A7349" s="198">
        <v>1034306957</v>
      </c>
      <c r="B7349" s="192" t="s">
        <v>5268</v>
      </c>
      <c r="C7349" s="196">
        <v>-50900</v>
      </c>
      <c r="D7349" s="196">
        <v>0</v>
      </c>
      <c r="E7349" s="196">
        <v>0</v>
      </c>
      <c r="F7349" s="196">
        <v>0</v>
      </c>
      <c r="G7349" s="196">
        <v>-50900</v>
      </c>
    </row>
    <row r="7350" spans="1:7" x14ac:dyDescent="0.3">
      <c r="A7350" s="198">
        <v>1020321979</v>
      </c>
      <c r="B7350" s="192" t="s">
        <v>5269</v>
      </c>
      <c r="C7350" s="196">
        <v>-50900</v>
      </c>
      <c r="D7350" s="196">
        <v>0</v>
      </c>
      <c r="E7350" s="196">
        <v>0</v>
      </c>
      <c r="F7350" s="196">
        <v>0</v>
      </c>
      <c r="G7350" s="196">
        <v>-50900</v>
      </c>
    </row>
    <row r="7351" spans="1:7" x14ac:dyDescent="0.3">
      <c r="A7351" s="198">
        <v>1155719880</v>
      </c>
      <c r="B7351" s="192" t="s">
        <v>5270</v>
      </c>
      <c r="C7351" s="196">
        <v>-47400</v>
      </c>
      <c r="D7351" s="196">
        <v>0</v>
      </c>
      <c r="E7351" s="196">
        <v>0</v>
      </c>
      <c r="F7351" s="196">
        <v>0</v>
      </c>
      <c r="G7351" s="196">
        <v>-47400</v>
      </c>
    </row>
    <row r="7352" spans="1:7" x14ac:dyDescent="0.3">
      <c r="A7352" s="198">
        <v>1023544454</v>
      </c>
      <c r="B7352" s="192" t="s">
        <v>5271</v>
      </c>
      <c r="C7352" s="196">
        <v>-50900</v>
      </c>
      <c r="D7352" s="196">
        <v>0</v>
      </c>
      <c r="E7352" s="196">
        <v>0</v>
      </c>
      <c r="F7352" s="196">
        <v>0</v>
      </c>
      <c r="G7352" s="196">
        <v>-50900</v>
      </c>
    </row>
    <row r="7353" spans="1:7" x14ac:dyDescent="0.3">
      <c r="A7353" s="198">
        <v>1023544454</v>
      </c>
      <c r="B7353" s="192" t="s">
        <v>5271</v>
      </c>
      <c r="C7353" s="196">
        <v>-50900</v>
      </c>
      <c r="D7353" s="196">
        <v>0</v>
      </c>
      <c r="E7353" s="196">
        <v>0</v>
      </c>
      <c r="F7353" s="196">
        <v>0</v>
      </c>
      <c r="G7353" s="196">
        <v>-50900</v>
      </c>
    </row>
    <row r="7354" spans="1:7" x14ac:dyDescent="0.3">
      <c r="A7354" s="198">
        <v>1035006984</v>
      </c>
      <c r="B7354" s="192" t="s">
        <v>5272</v>
      </c>
      <c r="C7354" s="196">
        <v>-50900</v>
      </c>
      <c r="D7354" s="196">
        <v>0</v>
      </c>
      <c r="E7354" s="196">
        <v>0</v>
      </c>
      <c r="F7354" s="196">
        <v>0</v>
      </c>
      <c r="G7354" s="196">
        <v>-50900</v>
      </c>
    </row>
    <row r="7355" spans="1:7" x14ac:dyDescent="0.3">
      <c r="A7355" s="198">
        <v>1013352508</v>
      </c>
      <c r="B7355" s="192" t="s">
        <v>5273</v>
      </c>
      <c r="C7355" s="196">
        <v>-113600</v>
      </c>
      <c r="D7355" s="196">
        <v>0</v>
      </c>
      <c r="E7355" s="196">
        <v>0</v>
      </c>
      <c r="F7355" s="196">
        <v>0</v>
      </c>
      <c r="G7355" s="196">
        <v>-113600</v>
      </c>
    </row>
    <row r="7356" spans="1:7" x14ac:dyDescent="0.3">
      <c r="A7356" s="198">
        <v>1019916032</v>
      </c>
      <c r="B7356" s="192" t="s">
        <v>5274</v>
      </c>
      <c r="C7356" s="196">
        <v>-47400</v>
      </c>
      <c r="D7356" s="196">
        <v>0</v>
      </c>
      <c r="E7356" s="196">
        <v>0</v>
      </c>
      <c r="F7356" s="196">
        <v>0</v>
      </c>
      <c r="G7356" s="196">
        <v>-47400</v>
      </c>
    </row>
    <row r="7357" spans="1:7" x14ac:dyDescent="0.3">
      <c r="A7357" s="198">
        <v>1035020749</v>
      </c>
      <c r="B7357" s="192" t="s">
        <v>5275</v>
      </c>
      <c r="C7357" s="196">
        <v>-50900</v>
      </c>
      <c r="D7357" s="196">
        <v>0</v>
      </c>
      <c r="E7357" s="196">
        <v>0</v>
      </c>
      <c r="F7357" s="196">
        <v>0</v>
      </c>
      <c r="G7357" s="196">
        <v>-50900</v>
      </c>
    </row>
    <row r="7358" spans="1:7" x14ac:dyDescent="0.3">
      <c r="A7358" s="198">
        <v>1035016011</v>
      </c>
      <c r="B7358" s="192" t="s">
        <v>5276</v>
      </c>
      <c r="C7358" s="196">
        <v>-50900</v>
      </c>
      <c r="D7358" s="196">
        <v>0</v>
      </c>
      <c r="E7358" s="196">
        <v>0</v>
      </c>
      <c r="F7358" s="196">
        <v>0</v>
      </c>
      <c r="G7358" s="196">
        <v>-50900</v>
      </c>
    </row>
    <row r="7359" spans="1:7" x14ac:dyDescent="0.3">
      <c r="A7359" s="198">
        <v>1035002570</v>
      </c>
      <c r="B7359" s="192" t="s">
        <v>5277</v>
      </c>
      <c r="C7359" s="196">
        <v>-50900</v>
      </c>
      <c r="D7359" s="196">
        <v>0</v>
      </c>
      <c r="E7359" s="196">
        <v>0</v>
      </c>
      <c r="F7359" s="196">
        <v>0</v>
      </c>
      <c r="G7359" s="196">
        <v>-50900</v>
      </c>
    </row>
    <row r="7360" spans="1:7" x14ac:dyDescent="0.3">
      <c r="A7360" s="198">
        <v>1035006421</v>
      </c>
      <c r="B7360" s="192" t="s">
        <v>5278</v>
      </c>
      <c r="C7360" s="196">
        <v>-101800</v>
      </c>
      <c r="D7360" s="196">
        <v>0</v>
      </c>
      <c r="E7360" s="196">
        <v>0</v>
      </c>
      <c r="F7360" s="196">
        <v>0</v>
      </c>
      <c r="G7360" s="196">
        <v>-101800</v>
      </c>
    </row>
    <row r="7361" spans="1:7" x14ac:dyDescent="0.3">
      <c r="A7361" s="198">
        <v>1035017425</v>
      </c>
      <c r="B7361" s="192" t="s">
        <v>5279</v>
      </c>
      <c r="C7361" s="196">
        <v>-57200</v>
      </c>
      <c r="D7361" s="196">
        <v>0</v>
      </c>
      <c r="E7361" s="196">
        <v>0</v>
      </c>
      <c r="F7361" s="196">
        <v>0</v>
      </c>
      <c r="G7361" s="196">
        <v>-57200</v>
      </c>
    </row>
    <row r="7362" spans="1:7" x14ac:dyDescent="0.3">
      <c r="A7362" s="198">
        <v>1035003434</v>
      </c>
      <c r="B7362" s="192" t="s">
        <v>5280</v>
      </c>
      <c r="C7362" s="196">
        <v>-50900</v>
      </c>
      <c r="D7362" s="196">
        <v>0</v>
      </c>
      <c r="E7362" s="196">
        <v>0</v>
      </c>
      <c r="F7362" s="196">
        <v>0</v>
      </c>
      <c r="G7362" s="196">
        <v>-50900</v>
      </c>
    </row>
    <row r="7363" spans="1:7" x14ac:dyDescent="0.3">
      <c r="A7363" s="198">
        <v>1035026123</v>
      </c>
      <c r="B7363" s="192" t="s">
        <v>1226</v>
      </c>
      <c r="C7363" s="196">
        <v>0</v>
      </c>
      <c r="D7363" s="196">
        <v>0</v>
      </c>
      <c r="E7363" s="196">
        <v>50900</v>
      </c>
      <c r="F7363" s="196">
        <v>-50900</v>
      </c>
      <c r="G7363" s="196">
        <v>-50900</v>
      </c>
    </row>
    <row r="7364" spans="1:7" x14ac:dyDescent="0.3">
      <c r="A7364" s="198">
        <v>39358030</v>
      </c>
      <c r="B7364" s="192" t="s">
        <v>5281</v>
      </c>
      <c r="C7364" s="196">
        <v>-57200</v>
      </c>
      <c r="D7364" s="196">
        <v>0</v>
      </c>
      <c r="E7364" s="196">
        <v>0</v>
      </c>
      <c r="F7364" s="196">
        <v>0</v>
      </c>
      <c r="G7364" s="196">
        <v>-57200</v>
      </c>
    </row>
    <row r="7365" spans="1:7" x14ac:dyDescent="0.3">
      <c r="A7365" s="192" t="s">
        <v>1227</v>
      </c>
      <c r="B7365" s="192" t="s">
        <v>1228</v>
      </c>
      <c r="C7365" s="196">
        <v>0</v>
      </c>
      <c r="D7365" s="196">
        <v>0</v>
      </c>
      <c r="E7365" s="196">
        <v>162000</v>
      </c>
      <c r="F7365" s="196">
        <v>-162000</v>
      </c>
      <c r="G7365" s="196">
        <v>-162000</v>
      </c>
    </row>
    <row r="7366" spans="1:7" x14ac:dyDescent="0.3">
      <c r="A7366" s="198">
        <v>22028098</v>
      </c>
      <c r="B7366" s="192" t="s">
        <v>1229</v>
      </c>
      <c r="C7366" s="196">
        <v>0</v>
      </c>
      <c r="D7366" s="196">
        <v>0</v>
      </c>
      <c r="E7366" s="196">
        <v>38400</v>
      </c>
      <c r="F7366" s="196">
        <v>-38400</v>
      </c>
      <c r="G7366" s="196">
        <v>-38400</v>
      </c>
    </row>
    <row r="7367" spans="1:7" x14ac:dyDescent="0.3">
      <c r="A7367" s="198">
        <v>21832195</v>
      </c>
      <c r="B7367" s="192" t="s">
        <v>5282</v>
      </c>
      <c r="C7367" s="196">
        <v>-416000</v>
      </c>
      <c r="D7367" s="196">
        <v>0</v>
      </c>
      <c r="E7367" s="196">
        <v>0</v>
      </c>
      <c r="F7367" s="196">
        <v>0</v>
      </c>
      <c r="G7367" s="196">
        <v>-416000</v>
      </c>
    </row>
    <row r="7368" spans="1:7" x14ac:dyDescent="0.3">
      <c r="A7368" s="198">
        <v>43610929</v>
      </c>
      <c r="B7368" s="192" t="s">
        <v>1230</v>
      </c>
      <c r="C7368" s="196">
        <v>-162000</v>
      </c>
      <c r="D7368" s="196">
        <v>0</v>
      </c>
      <c r="E7368" s="196">
        <v>0</v>
      </c>
      <c r="F7368" s="196">
        <v>0</v>
      </c>
      <c r="G7368" s="196">
        <v>-162000</v>
      </c>
    </row>
    <row r="7369" spans="1:7" x14ac:dyDescent="0.3">
      <c r="A7369" s="198">
        <v>43581436</v>
      </c>
      <c r="B7369" s="192" t="s">
        <v>5283</v>
      </c>
      <c r="C7369" s="196">
        <v>-50900</v>
      </c>
      <c r="D7369" s="196">
        <v>0</v>
      </c>
      <c r="E7369" s="196">
        <v>0</v>
      </c>
      <c r="F7369" s="196">
        <v>0</v>
      </c>
      <c r="G7369" s="196">
        <v>-50900</v>
      </c>
    </row>
    <row r="7370" spans="1:7" x14ac:dyDescent="0.3">
      <c r="A7370" s="198">
        <v>43872437</v>
      </c>
      <c r="B7370" s="192" t="s">
        <v>1231</v>
      </c>
      <c r="C7370" s="196">
        <v>0</v>
      </c>
      <c r="D7370" s="196">
        <v>0</v>
      </c>
      <c r="E7370" s="196">
        <v>30000</v>
      </c>
      <c r="F7370" s="196">
        <v>-30000</v>
      </c>
      <c r="G7370" s="196">
        <v>-30000</v>
      </c>
    </row>
    <row r="7371" spans="1:7" x14ac:dyDescent="0.3">
      <c r="A7371" s="198">
        <v>1036623625</v>
      </c>
      <c r="B7371" s="192" t="s">
        <v>5284</v>
      </c>
      <c r="C7371" s="196">
        <v>-50900</v>
      </c>
      <c r="D7371" s="196">
        <v>0</v>
      </c>
      <c r="E7371" s="196">
        <v>0</v>
      </c>
      <c r="F7371" s="196">
        <v>0</v>
      </c>
      <c r="G7371" s="196">
        <v>-50900</v>
      </c>
    </row>
    <row r="7372" spans="1:7" x14ac:dyDescent="0.3">
      <c r="A7372" s="198">
        <v>52508612</v>
      </c>
      <c r="B7372" s="192" t="s">
        <v>5285</v>
      </c>
      <c r="C7372" s="196">
        <v>-50900</v>
      </c>
      <c r="D7372" s="196">
        <v>0</v>
      </c>
      <c r="E7372" s="196">
        <v>0</v>
      </c>
      <c r="F7372" s="196">
        <v>0</v>
      </c>
      <c r="G7372" s="196">
        <v>-50900</v>
      </c>
    </row>
    <row r="7373" spans="1:7" x14ac:dyDescent="0.3">
      <c r="A7373" s="198">
        <v>51665107</v>
      </c>
      <c r="B7373" s="192" t="s">
        <v>5286</v>
      </c>
      <c r="C7373" s="196">
        <v>-36600</v>
      </c>
      <c r="D7373" s="196">
        <v>0</v>
      </c>
      <c r="E7373" s="196">
        <v>0</v>
      </c>
      <c r="F7373" s="196">
        <v>0</v>
      </c>
      <c r="G7373" s="196">
        <v>-36600</v>
      </c>
    </row>
    <row r="7374" spans="1:7" x14ac:dyDescent="0.3">
      <c r="A7374" s="198">
        <v>43866261</v>
      </c>
      <c r="B7374" s="192" t="s">
        <v>5287</v>
      </c>
      <c r="C7374" s="196">
        <v>-50900</v>
      </c>
      <c r="D7374" s="196">
        <v>0</v>
      </c>
      <c r="E7374" s="196">
        <v>0</v>
      </c>
      <c r="F7374" s="196">
        <v>0</v>
      </c>
      <c r="G7374" s="196">
        <v>-50900</v>
      </c>
    </row>
    <row r="7375" spans="1:7" x14ac:dyDescent="0.3">
      <c r="A7375" s="198">
        <v>43165419</v>
      </c>
      <c r="B7375" s="192" t="s">
        <v>5288</v>
      </c>
      <c r="C7375" s="196">
        <v>-47400</v>
      </c>
      <c r="D7375" s="196">
        <v>0</v>
      </c>
      <c r="E7375" s="196">
        <v>0</v>
      </c>
      <c r="F7375" s="196">
        <v>0</v>
      </c>
      <c r="G7375" s="196">
        <v>-47400</v>
      </c>
    </row>
    <row r="7376" spans="1:7" x14ac:dyDescent="0.3">
      <c r="A7376" s="198">
        <v>1034996891</v>
      </c>
      <c r="B7376" s="192" t="s">
        <v>1233</v>
      </c>
      <c r="C7376" s="196">
        <v>0</v>
      </c>
      <c r="D7376" s="196">
        <v>50899</v>
      </c>
      <c r="E7376" s="196">
        <v>105100</v>
      </c>
      <c r="F7376" s="196">
        <v>-54201</v>
      </c>
      <c r="G7376" s="196">
        <v>-54201</v>
      </c>
    </row>
    <row r="7377" spans="1:7" x14ac:dyDescent="0.3">
      <c r="A7377" s="198">
        <v>1037676665</v>
      </c>
      <c r="B7377" s="192" t="s">
        <v>5289</v>
      </c>
      <c r="C7377" s="196">
        <v>-50900</v>
      </c>
      <c r="D7377" s="196">
        <v>0</v>
      </c>
      <c r="E7377" s="196">
        <v>0</v>
      </c>
      <c r="F7377" s="196">
        <v>0</v>
      </c>
      <c r="G7377" s="196">
        <v>-50900</v>
      </c>
    </row>
    <row r="7378" spans="1:7" x14ac:dyDescent="0.3">
      <c r="A7378" s="198">
        <v>1035020589</v>
      </c>
      <c r="B7378" s="192" t="s">
        <v>1234</v>
      </c>
      <c r="C7378" s="196">
        <v>0</v>
      </c>
      <c r="D7378" s="196">
        <v>0</v>
      </c>
      <c r="E7378" s="196">
        <v>50900</v>
      </c>
      <c r="F7378" s="196">
        <v>-50900</v>
      </c>
      <c r="G7378" s="196">
        <v>-50900</v>
      </c>
    </row>
    <row r="7379" spans="1:7" x14ac:dyDescent="0.3">
      <c r="A7379" s="198">
        <v>1094967052</v>
      </c>
      <c r="B7379" s="192" t="s">
        <v>5290</v>
      </c>
      <c r="C7379" s="196">
        <v>-927500</v>
      </c>
      <c r="D7379" s="196">
        <v>0</v>
      </c>
      <c r="E7379" s="196">
        <v>0</v>
      </c>
      <c r="F7379" s="196">
        <v>0</v>
      </c>
      <c r="G7379" s="196">
        <v>-927500</v>
      </c>
    </row>
    <row r="7380" spans="1:7" x14ac:dyDescent="0.3">
      <c r="A7380" s="198">
        <v>1036673942</v>
      </c>
      <c r="B7380" s="192" t="s">
        <v>5291</v>
      </c>
      <c r="C7380" s="196">
        <v>-57200</v>
      </c>
      <c r="D7380" s="196">
        <v>0</v>
      </c>
      <c r="E7380" s="196">
        <v>0</v>
      </c>
      <c r="F7380" s="196">
        <v>0</v>
      </c>
      <c r="G7380" s="196">
        <v>-57200</v>
      </c>
    </row>
    <row r="7381" spans="1:7" x14ac:dyDescent="0.3">
      <c r="A7381" s="198">
        <v>1015485039</v>
      </c>
      <c r="B7381" s="192" t="s">
        <v>1235</v>
      </c>
      <c r="C7381" s="196">
        <v>0</v>
      </c>
      <c r="D7381" s="196">
        <v>0</v>
      </c>
      <c r="E7381" s="196">
        <v>34800</v>
      </c>
      <c r="F7381" s="196">
        <v>-34800</v>
      </c>
      <c r="G7381" s="196">
        <v>-34800</v>
      </c>
    </row>
    <row r="7382" spans="1:7" x14ac:dyDescent="0.3">
      <c r="A7382" s="198">
        <v>1002901310</v>
      </c>
      <c r="B7382" s="192" t="s">
        <v>1236</v>
      </c>
      <c r="C7382" s="196">
        <v>0</v>
      </c>
      <c r="D7382" s="196">
        <v>0</v>
      </c>
      <c r="E7382" s="196">
        <v>110000</v>
      </c>
      <c r="F7382" s="196">
        <v>-110000</v>
      </c>
      <c r="G7382" s="196">
        <v>-110000</v>
      </c>
    </row>
    <row r="7383" spans="1:7" x14ac:dyDescent="0.3">
      <c r="A7383" s="198">
        <v>1239490184</v>
      </c>
      <c r="B7383" s="192" t="s">
        <v>1237</v>
      </c>
      <c r="C7383" s="196">
        <v>0</v>
      </c>
      <c r="D7383" s="196">
        <v>0</v>
      </c>
      <c r="E7383" s="196">
        <v>50900</v>
      </c>
      <c r="F7383" s="196">
        <v>-50900</v>
      </c>
      <c r="G7383" s="196">
        <v>-50900</v>
      </c>
    </row>
    <row r="7384" spans="1:7" x14ac:dyDescent="0.3">
      <c r="A7384" s="198">
        <v>1023668263</v>
      </c>
      <c r="B7384" s="192" t="s">
        <v>5292</v>
      </c>
      <c r="C7384" s="196">
        <v>-50900</v>
      </c>
      <c r="D7384" s="196">
        <v>0</v>
      </c>
      <c r="E7384" s="196">
        <v>0</v>
      </c>
      <c r="F7384" s="196">
        <v>0</v>
      </c>
      <c r="G7384" s="196">
        <v>-50900</v>
      </c>
    </row>
    <row r="7385" spans="1:7" x14ac:dyDescent="0.3">
      <c r="A7385" s="198">
        <v>1035920242</v>
      </c>
      <c r="B7385" s="192" t="s">
        <v>5293</v>
      </c>
      <c r="C7385" s="196">
        <v>-297000</v>
      </c>
      <c r="D7385" s="196">
        <v>0</v>
      </c>
      <c r="E7385" s="196">
        <v>0</v>
      </c>
      <c r="F7385" s="196">
        <v>0</v>
      </c>
      <c r="G7385" s="196">
        <v>-297000</v>
      </c>
    </row>
    <row r="7386" spans="1:7" x14ac:dyDescent="0.3">
      <c r="A7386" s="198">
        <v>1025679521</v>
      </c>
      <c r="B7386" s="192" t="s">
        <v>5294</v>
      </c>
      <c r="C7386" s="196">
        <v>-50900</v>
      </c>
      <c r="D7386" s="196">
        <v>0</v>
      </c>
      <c r="E7386" s="196">
        <v>0</v>
      </c>
      <c r="F7386" s="196">
        <v>0</v>
      </c>
      <c r="G7386" s="196">
        <v>-50900</v>
      </c>
    </row>
    <row r="7387" spans="1:7" x14ac:dyDescent="0.3">
      <c r="A7387" s="198">
        <v>1026149200</v>
      </c>
      <c r="B7387" s="192" t="s">
        <v>5295</v>
      </c>
      <c r="C7387" s="196">
        <v>-290000</v>
      </c>
      <c r="D7387" s="196">
        <v>0</v>
      </c>
      <c r="E7387" s="196">
        <v>0</v>
      </c>
      <c r="F7387" s="196">
        <v>0</v>
      </c>
      <c r="G7387" s="196">
        <v>-290000</v>
      </c>
    </row>
    <row r="7388" spans="1:7" x14ac:dyDescent="0.3">
      <c r="A7388" s="198">
        <v>1003399655</v>
      </c>
      <c r="B7388" s="192" t="s">
        <v>5296</v>
      </c>
      <c r="C7388" s="196">
        <v>-45000</v>
      </c>
      <c r="D7388" s="196">
        <v>0</v>
      </c>
      <c r="E7388" s="196">
        <v>0</v>
      </c>
      <c r="F7388" s="196">
        <v>0</v>
      </c>
      <c r="G7388" s="196">
        <v>-45000</v>
      </c>
    </row>
    <row r="7389" spans="1:7" x14ac:dyDescent="0.3">
      <c r="A7389" s="198">
        <v>1023544455</v>
      </c>
      <c r="B7389" s="192" t="s">
        <v>5297</v>
      </c>
      <c r="C7389" s="196">
        <v>-50900</v>
      </c>
      <c r="D7389" s="196">
        <v>0</v>
      </c>
      <c r="E7389" s="196">
        <v>0</v>
      </c>
      <c r="F7389" s="196">
        <v>0</v>
      </c>
      <c r="G7389" s="196">
        <v>-50900</v>
      </c>
    </row>
    <row r="7390" spans="1:7" x14ac:dyDescent="0.3">
      <c r="A7390" s="198">
        <v>1023544455</v>
      </c>
      <c r="B7390" s="192" t="s">
        <v>5297</v>
      </c>
      <c r="C7390" s="196">
        <v>-50900</v>
      </c>
      <c r="D7390" s="196">
        <v>0</v>
      </c>
      <c r="E7390" s="196">
        <v>0</v>
      </c>
      <c r="F7390" s="196">
        <v>0</v>
      </c>
      <c r="G7390" s="196">
        <v>-50900</v>
      </c>
    </row>
    <row r="7391" spans="1:7" x14ac:dyDescent="0.3">
      <c r="A7391" s="198">
        <v>1152449017</v>
      </c>
      <c r="B7391" s="192" t="s">
        <v>5298</v>
      </c>
      <c r="C7391" s="196">
        <v>-48000</v>
      </c>
      <c r="D7391" s="196">
        <v>0</v>
      </c>
      <c r="E7391" s="196">
        <v>0</v>
      </c>
      <c r="F7391" s="196">
        <v>0</v>
      </c>
      <c r="G7391" s="196">
        <v>-48000</v>
      </c>
    </row>
    <row r="7392" spans="1:7" x14ac:dyDescent="0.3">
      <c r="A7392" s="198">
        <v>1036636165</v>
      </c>
      <c r="B7392" s="192" t="s">
        <v>1238</v>
      </c>
      <c r="C7392" s="196">
        <v>-101800</v>
      </c>
      <c r="D7392" s="196">
        <v>0</v>
      </c>
      <c r="E7392" s="196">
        <v>50900</v>
      </c>
      <c r="F7392" s="196">
        <v>-50900</v>
      </c>
      <c r="G7392" s="196">
        <v>-152700</v>
      </c>
    </row>
    <row r="7393" spans="1:7" x14ac:dyDescent="0.3">
      <c r="A7393" s="198">
        <v>80082954</v>
      </c>
      <c r="B7393" s="192" t="s">
        <v>5299</v>
      </c>
      <c r="C7393" s="196">
        <v>-50900</v>
      </c>
      <c r="D7393" s="196">
        <v>0</v>
      </c>
      <c r="E7393" s="196">
        <v>0</v>
      </c>
      <c r="F7393" s="196">
        <v>0</v>
      </c>
      <c r="G7393" s="196">
        <v>-50900</v>
      </c>
    </row>
    <row r="7394" spans="1:7" x14ac:dyDescent="0.3">
      <c r="A7394" s="198">
        <v>1017199866</v>
      </c>
      <c r="B7394" s="192" t="s">
        <v>5300</v>
      </c>
      <c r="C7394" s="196">
        <v>-50900</v>
      </c>
      <c r="D7394" s="196">
        <v>0</v>
      </c>
      <c r="E7394" s="196">
        <v>0</v>
      </c>
      <c r="F7394" s="196">
        <v>0</v>
      </c>
      <c r="G7394" s="196">
        <v>-50900</v>
      </c>
    </row>
    <row r="7395" spans="1:7" x14ac:dyDescent="0.3">
      <c r="A7395" s="198">
        <v>1023566918</v>
      </c>
      <c r="B7395" s="192" t="s">
        <v>5301</v>
      </c>
      <c r="C7395" s="196">
        <v>-76800</v>
      </c>
      <c r="D7395" s="196">
        <v>0</v>
      </c>
      <c r="E7395" s="196">
        <v>0</v>
      </c>
      <c r="F7395" s="196">
        <v>0</v>
      </c>
      <c r="G7395" s="196">
        <v>-76800</v>
      </c>
    </row>
    <row r="7396" spans="1:7" x14ac:dyDescent="0.3">
      <c r="A7396" s="198">
        <v>1036456981</v>
      </c>
      <c r="B7396" s="192" t="s">
        <v>5302</v>
      </c>
      <c r="C7396" s="196">
        <v>-34800</v>
      </c>
      <c r="D7396" s="196">
        <v>0</v>
      </c>
      <c r="E7396" s="196">
        <v>0</v>
      </c>
      <c r="F7396" s="196">
        <v>0</v>
      </c>
      <c r="G7396" s="196">
        <v>-34800</v>
      </c>
    </row>
    <row r="7397" spans="1:7" x14ac:dyDescent="0.3">
      <c r="A7397" s="198">
        <v>1036460376</v>
      </c>
      <c r="B7397" s="192" t="s">
        <v>5303</v>
      </c>
      <c r="C7397" s="196">
        <v>-857900</v>
      </c>
      <c r="D7397" s="196">
        <v>0</v>
      </c>
      <c r="E7397" s="196">
        <v>0</v>
      </c>
      <c r="F7397" s="196">
        <v>0</v>
      </c>
      <c r="G7397" s="196">
        <v>-857900</v>
      </c>
    </row>
    <row r="7398" spans="1:7" x14ac:dyDescent="0.3">
      <c r="A7398" s="198">
        <v>1035000773</v>
      </c>
      <c r="B7398" s="192" t="s">
        <v>5304</v>
      </c>
      <c r="C7398" s="196">
        <v>-57200</v>
      </c>
      <c r="D7398" s="196">
        <v>0</v>
      </c>
      <c r="E7398" s="196">
        <v>0</v>
      </c>
      <c r="F7398" s="196">
        <v>0</v>
      </c>
      <c r="G7398" s="196">
        <v>-57200</v>
      </c>
    </row>
    <row r="7399" spans="1:7" x14ac:dyDescent="0.3">
      <c r="A7399" s="198">
        <v>1068444852</v>
      </c>
      <c r="B7399" s="192" t="s">
        <v>5305</v>
      </c>
      <c r="C7399" s="196">
        <v>-47400</v>
      </c>
      <c r="D7399" s="196">
        <v>0</v>
      </c>
      <c r="E7399" s="196">
        <v>0</v>
      </c>
      <c r="F7399" s="196">
        <v>0</v>
      </c>
      <c r="G7399" s="196">
        <v>-47400</v>
      </c>
    </row>
    <row r="7400" spans="1:7" x14ac:dyDescent="0.3">
      <c r="A7400" s="198">
        <v>1036455384</v>
      </c>
      <c r="B7400" s="192" t="s">
        <v>5306</v>
      </c>
      <c r="C7400" s="196">
        <v>-109800</v>
      </c>
      <c r="D7400" s="196">
        <v>0</v>
      </c>
      <c r="E7400" s="196">
        <v>0</v>
      </c>
      <c r="F7400" s="196">
        <v>0</v>
      </c>
      <c r="G7400" s="196">
        <v>-109800</v>
      </c>
    </row>
    <row r="7401" spans="1:7" x14ac:dyDescent="0.3">
      <c r="A7401" s="198">
        <v>1035008387</v>
      </c>
      <c r="B7401" s="192" t="s">
        <v>1239</v>
      </c>
      <c r="C7401" s="196">
        <v>0</v>
      </c>
      <c r="D7401" s="196">
        <v>0</v>
      </c>
      <c r="E7401" s="196">
        <v>50900</v>
      </c>
      <c r="F7401" s="196">
        <v>-50900</v>
      </c>
      <c r="G7401" s="196">
        <v>-50900</v>
      </c>
    </row>
    <row r="7402" spans="1:7" x14ac:dyDescent="0.3">
      <c r="A7402" s="198">
        <v>1035025764</v>
      </c>
      <c r="B7402" s="192" t="s">
        <v>5307</v>
      </c>
      <c r="C7402" s="196">
        <v>-41400</v>
      </c>
      <c r="D7402" s="196">
        <v>0</v>
      </c>
      <c r="E7402" s="196">
        <v>0</v>
      </c>
      <c r="F7402" s="196">
        <v>0</v>
      </c>
      <c r="G7402" s="196">
        <v>-41400</v>
      </c>
    </row>
    <row r="7403" spans="1:7" x14ac:dyDescent="0.3">
      <c r="A7403" s="198">
        <v>1066300670</v>
      </c>
      <c r="B7403" s="192" t="s">
        <v>5308</v>
      </c>
      <c r="C7403" s="196">
        <v>-57200</v>
      </c>
      <c r="D7403" s="196">
        <v>0</v>
      </c>
      <c r="E7403" s="196">
        <v>0</v>
      </c>
      <c r="F7403" s="196">
        <v>0</v>
      </c>
      <c r="G7403" s="196">
        <v>-57200</v>
      </c>
    </row>
    <row r="7404" spans="1:7" x14ac:dyDescent="0.3">
      <c r="A7404" s="198">
        <v>1021809237</v>
      </c>
      <c r="B7404" s="192" t="s">
        <v>5309</v>
      </c>
      <c r="C7404" s="196">
        <v>-57200</v>
      </c>
      <c r="D7404" s="196">
        <v>0</v>
      </c>
      <c r="E7404" s="196">
        <v>0</v>
      </c>
      <c r="F7404" s="196">
        <v>0</v>
      </c>
      <c r="G7404" s="196">
        <v>-57200</v>
      </c>
    </row>
    <row r="7405" spans="1:7" x14ac:dyDescent="0.3">
      <c r="A7405" s="198">
        <v>1034993044</v>
      </c>
      <c r="B7405" s="192" t="s">
        <v>5310</v>
      </c>
      <c r="C7405" s="196">
        <v>-50900</v>
      </c>
      <c r="D7405" s="196">
        <v>0</v>
      </c>
      <c r="E7405" s="196">
        <v>0</v>
      </c>
      <c r="F7405" s="196">
        <v>0</v>
      </c>
      <c r="G7405" s="196">
        <v>-50900</v>
      </c>
    </row>
    <row r="7406" spans="1:7" x14ac:dyDescent="0.3">
      <c r="A7406" s="198">
        <v>1035012218</v>
      </c>
      <c r="B7406" s="192" t="s">
        <v>5311</v>
      </c>
      <c r="C7406" s="196">
        <v>-57200</v>
      </c>
      <c r="D7406" s="196">
        <v>0</v>
      </c>
      <c r="E7406" s="196">
        <v>0</v>
      </c>
      <c r="F7406" s="196">
        <v>0</v>
      </c>
      <c r="G7406" s="196">
        <v>-57200</v>
      </c>
    </row>
    <row r="7407" spans="1:7" x14ac:dyDescent="0.3">
      <c r="A7407" s="198">
        <v>1022007946</v>
      </c>
      <c r="B7407" s="192" t="s">
        <v>5312</v>
      </c>
      <c r="C7407" s="196">
        <v>-47400</v>
      </c>
      <c r="D7407" s="196">
        <v>0</v>
      </c>
      <c r="E7407" s="196">
        <v>0</v>
      </c>
      <c r="F7407" s="196">
        <v>0</v>
      </c>
      <c r="G7407" s="196">
        <v>-47400</v>
      </c>
    </row>
    <row r="7408" spans="1:7" x14ac:dyDescent="0.3">
      <c r="A7408" s="198">
        <v>1035017430</v>
      </c>
      <c r="B7408" s="192" t="s">
        <v>5313</v>
      </c>
      <c r="C7408" s="196">
        <v>-50900</v>
      </c>
      <c r="D7408" s="196">
        <v>0</v>
      </c>
      <c r="E7408" s="196">
        <v>0</v>
      </c>
      <c r="F7408" s="196">
        <v>0</v>
      </c>
      <c r="G7408" s="196">
        <v>-50900</v>
      </c>
    </row>
    <row r="7409" spans="1:7" x14ac:dyDescent="0.3">
      <c r="A7409" s="198">
        <v>1020326917</v>
      </c>
      <c r="B7409" s="192" t="s">
        <v>5314</v>
      </c>
      <c r="C7409" s="196">
        <v>-50900</v>
      </c>
      <c r="D7409" s="196">
        <v>0</v>
      </c>
      <c r="E7409" s="196">
        <v>0</v>
      </c>
      <c r="F7409" s="196">
        <v>0</v>
      </c>
      <c r="G7409" s="196">
        <v>-50900</v>
      </c>
    </row>
    <row r="7410" spans="1:7" x14ac:dyDescent="0.3">
      <c r="A7410" s="198">
        <v>1127533664</v>
      </c>
      <c r="B7410" s="192" t="s">
        <v>5315</v>
      </c>
      <c r="C7410" s="196">
        <v>-47000</v>
      </c>
      <c r="D7410" s="196">
        <v>0</v>
      </c>
      <c r="E7410" s="196">
        <v>0</v>
      </c>
      <c r="F7410" s="196">
        <v>0</v>
      </c>
      <c r="G7410" s="196">
        <v>-47000</v>
      </c>
    </row>
    <row r="7411" spans="1:7" x14ac:dyDescent="0.3">
      <c r="A7411" s="198">
        <v>1035010540</v>
      </c>
      <c r="B7411" s="192" t="s">
        <v>5316</v>
      </c>
      <c r="C7411" s="196">
        <v>-50900</v>
      </c>
      <c r="D7411" s="196">
        <v>0</v>
      </c>
      <c r="E7411" s="196">
        <v>0</v>
      </c>
      <c r="F7411" s="196">
        <v>0</v>
      </c>
      <c r="G7411" s="196">
        <v>-50900</v>
      </c>
    </row>
    <row r="7412" spans="1:7" x14ac:dyDescent="0.3">
      <c r="A7412" s="198">
        <v>1034995961</v>
      </c>
      <c r="B7412" s="192" t="s">
        <v>5317</v>
      </c>
      <c r="C7412" s="196">
        <v>-47400</v>
      </c>
      <c r="D7412" s="196">
        <v>0</v>
      </c>
      <c r="E7412" s="196">
        <v>0</v>
      </c>
      <c r="F7412" s="196">
        <v>0</v>
      </c>
      <c r="G7412" s="196">
        <v>-47400</v>
      </c>
    </row>
    <row r="7413" spans="1:7" x14ac:dyDescent="0.3">
      <c r="A7413" s="198">
        <v>1034988765</v>
      </c>
      <c r="B7413" s="192" t="s">
        <v>5318</v>
      </c>
      <c r="C7413" s="196">
        <v>-50900</v>
      </c>
      <c r="D7413" s="196">
        <v>0</v>
      </c>
      <c r="E7413" s="196">
        <v>0</v>
      </c>
      <c r="F7413" s="196">
        <v>0</v>
      </c>
      <c r="G7413" s="196">
        <v>-50900</v>
      </c>
    </row>
    <row r="7414" spans="1:7" x14ac:dyDescent="0.3">
      <c r="A7414" s="198">
        <v>1025897655</v>
      </c>
      <c r="B7414" s="192" t="s">
        <v>1240</v>
      </c>
      <c r="C7414" s="196">
        <v>0</v>
      </c>
      <c r="D7414" s="196">
        <v>0</v>
      </c>
      <c r="E7414" s="196">
        <v>50900</v>
      </c>
      <c r="F7414" s="196">
        <v>-50900</v>
      </c>
      <c r="G7414" s="196">
        <v>-50900</v>
      </c>
    </row>
    <row r="7415" spans="1:7" x14ac:dyDescent="0.3">
      <c r="A7415" s="198">
        <v>1035021061</v>
      </c>
      <c r="B7415" s="192" t="s">
        <v>1241</v>
      </c>
      <c r="C7415" s="196">
        <v>-50900</v>
      </c>
      <c r="D7415" s="196">
        <v>0</v>
      </c>
      <c r="E7415" s="196">
        <v>50900</v>
      </c>
      <c r="F7415" s="196">
        <v>-50900</v>
      </c>
      <c r="G7415" s="196">
        <v>-101800</v>
      </c>
    </row>
    <row r="7416" spans="1:7" x14ac:dyDescent="0.3">
      <c r="A7416" s="198">
        <v>1023555283</v>
      </c>
      <c r="B7416" s="192" t="s">
        <v>5319</v>
      </c>
      <c r="C7416" s="196">
        <v>-57200</v>
      </c>
      <c r="D7416" s="196">
        <v>0</v>
      </c>
      <c r="E7416" s="196">
        <v>0</v>
      </c>
      <c r="F7416" s="196">
        <v>0</v>
      </c>
      <c r="G7416" s="196">
        <v>-57200</v>
      </c>
    </row>
    <row r="7417" spans="1:7" x14ac:dyDescent="0.3">
      <c r="A7417" s="198">
        <v>1129585634</v>
      </c>
      <c r="B7417" s="192" t="s">
        <v>5320</v>
      </c>
      <c r="C7417" s="196">
        <v>-340000</v>
      </c>
      <c r="D7417" s="196">
        <v>0</v>
      </c>
      <c r="E7417" s="196">
        <v>0</v>
      </c>
      <c r="F7417" s="196">
        <v>0</v>
      </c>
      <c r="G7417" s="196">
        <v>-340000</v>
      </c>
    </row>
    <row r="7418" spans="1:7" x14ac:dyDescent="0.3">
      <c r="A7418" s="198">
        <v>1035017444</v>
      </c>
      <c r="B7418" s="192" t="s">
        <v>5321</v>
      </c>
      <c r="C7418" s="196">
        <v>-50900</v>
      </c>
      <c r="D7418" s="196">
        <v>0</v>
      </c>
      <c r="E7418" s="196">
        <v>0</v>
      </c>
      <c r="F7418" s="196">
        <v>0</v>
      </c>
      <c r="G7418" s="196">
        <v>-50900</v>
      </c>
    </row>
    <row r="7419" spans="1:7" x14ac:dyDescent="0.3">
      <c r="A7419" s="198">
        <v>1017938754</v>
      </c>
      <c r="B7419" s="192" t="s">
        <v>5322</v>
      </c>
      <c r="C7419" s="196">
        <v>-50900</v>
      </c>
      <c r="D7419" s="196">
        <v>0</v>
      </c>
      <c r="E7419" s="196">
        <v>0</v>
      </c>
      <c r="F7419" s="196">
        <v>0</v>
      </c>
      <c r="G7419" s="196">
        <v>-50900</v>
      </c>
    </row>
    <row r="7420" spans="1:7" x14ac:dyDescent="0.3">
      <c r="A7420" s="198">
        <v>1017931432</v>
      </c>
      <c r="B7420" s="192" t="s">
        <v>1242</v>
      </c>
      <c r="C7420" s="196">
        <v>0</v>
      </c>
      <c r="D7420" s="196">
        <v>0</v>
      </c>
      <c r="E7420" s="196">
        <v>47000</v>
      </c>
      <c r="F7420" s="196">
        <v>-47000</v>
      </c>
      <c r="G7420" s="196">
        <v>-47000</v>
      </c>
    </row>
    <row r="7421" spans="1:7" x14ac:dyDescent="0.3">
      <c r="A7421" s="198">
        <v>1017931432</v>
      </c>
      <c r="B7421" s="192" t="s">
        <v>1242</v>
      </c>
      <c r="C7421" s="196">
        <v>-47000</v>
      </c>
      <c r="D7421" s="196">
        <v>0</v>
      </c>
      <c r="E7421" s="196">
        <v>0</v>
      </c>
      <c r="F7421" s="196">
        <v>0</v>
      </c>
      <c r="G7421" s="196">
        <v>-47000</v>
      </c>
    </row>
    <row r="7422" spans="1:7" x14ac:dyDescent="0.3">
      <c r="A7422" s="198">
        <v>1093308745</v>
      </c>
      <c r="B7422" s="192" t="s">
        <v>5323</v>
      </c>
      <c r="C7422" s="196">
        <v>-47400</v>
      </c>
      <c r="D7422" s="196">
        <v>0</v>
      </c>
      <c r="E7422" s="196">
        <v>0</v>
      </c>
      <c r="F7422" s="196">
        <v>0</v>
      </c>
      <c r="G7422" s="196">
        <v>-47400</v>
      </c>
    </row>
    <row r="7423" spans="1:7" x14ac:dyDescent="0.3">
      <c r="A7423" s="198">
        <v>1034998639</v>
      </c>
      <c r="B7423" s="192" t="s">
        <v>1243</v>
      </c>
      <c r="C7423" s="196">
        <v>0</v>
      </c>
      <c r="D7423" s="196">
        <v>0</v>
      </c>
      <c r="E7423" s="196">
        <v>50900</v>
      </c>
      <c r="F7423" s="196">
        <v>-50900</v>
      </c>
      <c r="G7423" s="196">
        <v>-50900</v>
      </c>
    </row>
    <row r="7424" spans="1:7" x14ac:dyDescent="0.3">
      <c r="A7424" s="198">
        <v>1013355706</v>
      </c>
      <c r="B7424" s="192" t="s">
        <v>1244</v>
      </c>
      <c r="C7424" s="196">
        <v>0</v>
      </c>
      <c r="D7424" s="196">
        <v>0</v>
      </c>
      <c r="E7424" s="196">
        <v>340000</v>
      </c>
      <c r="F7424" s="196">
        <v>-340000</v>
      </c>
      <c r="G7424" s="196">
        <v>-340000</v>
      </c>
    </row>
    <row r="7425" spans="1:7" x14ac:dyDescent="0.3">
      <c r="A7425" s="198">
        <v>1022008186</v>
      </c>
      <c r="B7425" s="192" t="s">
        <v>5324</v>
      </c>
      <c r="C7425" s="196">
        <v>-50900</v>
      </c>
      <c r="D7425" s="196">
        <v>0</v>
      </c>
      <c r="E7425" s="196">
        <v>0</v>
      </c>
      <c r="F7425" s="196">
        <v>0</v>
      </c>
      <c r="G7425" s="196">
        <v>-50900</v>
      </c>
    </row>
    <row r="7426" spans="1:7" x14ac:dyDescent="0.3">
      <c r="A7426" s="198">
        <v>1035012434</v>
      </c>
      <c r="B7426" s="192" t="s">
        <v>5325</v>
      </c>
      <c r="C7426" s="196">
        <v>-31000</v>
      </c>
      <c r="D7426" s="196">
        <v>0</v>
      </c>
      <c r="E7426" s="196">
        <v>0</v>
      </c>
      <c r="F7426" s="196">
        <v>0</v>
      </c>
      <c r="G7426" s="196">
        <v>-31000</v>
      </c>
    </row>
    <row r="7427" spans="1:7" x14ac:dyDescent="0.3">
      <c r="A7427" s="198">
        <v>1035022004</v>
      </c>
      <c r="B7427" s="192" t="s">
        <v>1245</v>
      </c>
      <c r="C7427" s="196">
        <v>0</v>
      </c>
      <c r="D7427" s="196">
        <v>0</v>
      </c>
      <c r="E7427" s="196">
        <v>54200</v>
      </c>
      <c r="F7427" s="196">
        <v>-54200</v>
      </c>
      <c r="G7427" s="196">
        <v>-54200</v>
      </c>
    </row>
    <row r="7428" spans="1:7" x14ac:dyDescent="0.3">
      <c r="A7428" s="198">
        <v>21562416</v>
      </c>
      <c r="B7428" s="192" t="s">
        <v>5326</v>
      </c>
      <c r="C7428" s="196">
        <v>-297000</v>
      </c>
      <c r="D7428" s="196">
        <v>0</v>
      </c>
      <c r="E7428" s="196">
        <v>0</v>
      </c>
      <c r="F7428" s="196">
        <v>0</v>
      </c>
      <c r="G7428" s="196">
        <v>-297000</v>
      </c>
    </row>
    <row r="7429" spans="1:7" x14ac:dyDescent="0.3">
      <c r="A7429" s="198">
        <v>65813624</v>
      </c>
      <c r="B7429" s="192" t="s">
        <v>5327</v>
      </c>
      <c r="C7429" s="196">
        <v>-297000</v>
      </c>
      <c r="D7429" s="196">
        <v>0</v>
      </c>
      <c r="E7429" s="196">
        <v>0</v>
      </c>
      <c r="F7429" s="196">
        <v>0</v>
      </c>
      <c r="G7429" s="196">
        <v>-297000</v>
      </c>
    </row>
    <row r="7430" spans="1:7" x14ac:dyDescent="0.3">
      <c r="A7430" s="198">
        <v>1035018506</v>
      </c>
      <c r="B7430" s="192" t="s">
        <v>5328</v>
      </c>
      <c r="C7430" s="196">
        <v>-50900</v>
      </c>
      <c r="D7430" s="196">
        <v>0</v>
      </c>
      <c r="E7430" s="196">
        <v>0</v>
      </c>
      <c r="F7430" s="196">
        <v>0</v>
      </c>
      <c r="G7430" s="196">
        <v>-50900</v>
      </c>
    </row>
    <row r="7431" spans="1:7" x14ac:dyDescent="0.3">
      <c r="A7431" s="198">
        <v>1034994526</v>
      </c>
      <c r="B7431" s="192" t="s">
        <v>5329</v>
      </c>
      <c r="C7431" s="196">
        <v>-50900</v>
      </c>
      <c r="D7431" s="196">
        <v>0</v>
      </c>
      <c r="E7431" s="196">
        <v>0</v>
      </c>
      <c r="F7431" s="196">
        <v>0</v>
      </c>
      <c r="G7431" s="196">
        <v>-50900</v>
      </c>
    </row>
    <row r="7432" spans="1:7" x14ac:dyDescent="0.3">
      <c r="A7432" s="198">
        <v>1035014661</v>
      </c>
      <c r="B7432" s="192" t="s">
        <v>5330</v>
      </c>
      <c r="C7432" s="196">
        <v>-50900</v>
      </c>
      <c r="D7432" s="196">
        <v>0</v>
      </c>
      <c r="E7432" s="196">
        <v>0</v>
      </c>
      <c r="F7432" s="196">
        <v>0</v>
      </c>
      <c r="G7432" s="196">
        <v>-50900</v>
      </c>
    </row>
    <row r="7433" spans="1:7" x14ac:dyDescent="0.3">
      <c r="A7433" s="198">
        <v>1035025397</v>
      </c>
      <c r="B7433" s="192" t="s">
        <v>5331</v>
      </c>
      <c r="C7433" s="196">
        <v>-32900</v>
      </c>
      <c r="D7433" s="196">
        <v>0</v>
      </c>
      <c r="E7433" s="196">
        <v>0</v>
      </c>
      <c r="F7433" s="196">
        <v>0</v>
      </c>
      <c r="G7433" s="196">
        <v>-32900</v>
      </c>
    </row>
    <row r="7434" spans="1:7" x14ac:dyDescent="0.3">
      <c r="A7434" s="192" t="s">
        <v>1246</v>
      </c>
      <c r="B7434" s="192" t="s">
        <v>1247</v>
      </c>
      <c r="C7434" s="196">
        <v>0</v>
      </c>
      <c r="D7434" s="196">
        <v>0</v>
      </c>
      <c r="E7434" s="196">
        <v>297000</v>
      </c>
      <c r="F7434" s="196">
        <v>-297000</v>
      </c>
      <c r="G7434" s="196">
        <v>-297000</v>
      </c>
    </row>
    <row r="7435" spans="1:7" x14ac:dyDescent="0.3">
      <c r="A7435" s="198">
        <v>8180603</v>
      </c>
      <c r="B7435" s="192" t="s">
        <v>5332</v>
      </c>
      <c r="C7435" s="196">
        <v>-297000</v>
      </c>
      <c r="D7435" s="196">
        <v>0</v>
      </c>
      <c r="E7435" s="196">
        <v>0</v>
      </c>
      <c r="F7435" s="196">
        <v>0</v>
      </c>
      <c r="G7435" s="196">
        <v>-297000</v>
      </c>
    </row>
    <row r="7436" spans="1:7" x14ac:dyDescent="0.3">
      <c r="A7436" s="198">
        <v>1017187517</v>
      </c>
      <c r="B7436" s="192" t="s">
        <v>5333</v>
      </c>
      <c r="C7436" s="196">
        <v>-22000</v>
      </c>
      <c r="D7436" s="196">
        <v>0</v>
      </c>
      <c r="E7436" s="196">
        <v>0</v>
      </c>
      <c r="F7436" s="196">
        <v>0</v>
      </c>
      <c r="G7436" s="196">
        <v>-22000</v>
      </c>
    </row>
    <row r="7437" spans="1:7" x14ac:dyDescent="0.3">
      <c r="A7437" s="198">
        <v>1040527263</v>
      </c>
      <c r="B7437" s="192" t="s">
        <v>1248</v>
      </c>
      <c r="C7437" s="196">
        <v>0</v>
      </c>
      <c r="D7437" s="196">
        <v>0</v>
      </c>
      <c r="E7437" s="196">
        <v>24800</v>
      </c>
      <c r="F7437" s="196">
        <v>-24800</v>
      </c>
      <c r="G7437" s="196">
        <v>-24800</v>
      </c>
    </row>
    <row r="7438" spans="1:7" x14ac:dyDescent="0.3">
      <c r="A7438" s="198">
        <v>70554647</v>
      </c>
      <c r="B7438" s="192" t="s">
        <v>5334</v>
      </c>
      <c r="C7438" s="196">
        <v>-101800</v>
      </c>
      <c r="D7438" s="196">
        <v>0</v>
      </c>
      <c r="E7438" s="196">
        <v>0</v>
      </c>
      <c r="F7438" s="196">
        <v>0</v>
      </c>
      <c r="G7438" s="196">
        <v>-101800</v>
      </c>
    </row>
    <row r="7439" spans="1:7" x14ac:dyDescent="0.3">
      <c r="A7439" s="198">
        <v>98661550</v>
      </c>
      <c r="B7439" s="192" t="s">
        <v>5335</v>
      </c>
      <c r="C7439" s="196">
        <v>-50900</v>
      </c>
      <c r="D7439" s="196">
        <v>0</v>
      </c>
      <c r="E7439" s="196">
        <v>0</v>
      </c>
      <c r="F7439" s="196">
        <v>0</v>
      </c>
      <c r="G7439" s="196">
        <v>-50900</v>
      </c>
    </row>
    <row r="7440" spans="1:7" x14ac:dyDescent="0.3">
      <c r="A7440" s="198">
        <v>8162285</v>
      </c>
      <c r="B7440" s="192" t="s">
        <v>5336</v>
      </c>
      <c r="C7440" s="196">
        <v>-47000</v>
      </c>
      <c r="D7440" s="196">
        <v>0</v>
      </c>
      <c r="E7440" s="196">
        <v>0</v>
      </c>
      <c r="F7440" s="196">
        <v>0</v>
      </c>
      <c r="G7440" s="196">
        <v>-47000</v>
      </c>
    </row>
    <row r="7441" spans="1:7" x14ac:dyDescent="0.3">
      <c r="A7441" s="198">
        <v>1102816888</v>
      </c>
      <c r="B7441" s="192" t="s">
        <v>5337</v>
      </c>
      <c r="C7441" s="196">
        <v>-319000</v>
      </c>
      <c r="D7441" s="196">
        <v>0</v>
      </c>
      <c r="E7441" s="196">
        <v>0</v>
      </c>
      <c r="F7441" s="196">
        <v>0</v>
      </c>
      <c r="G7441" s="196">
        <v>-319000</v>
      </c>
    </row>
    <row r="7442" spans="1:7" x14ac:dyDescent="0.3">
      <c r="A7442" s="198">
        <v>19165393</v>
      </c>
      <c r="B7442" s="192" t="s">
        <v>1249</v>
      </c>
      <c r="C7442" s="196">
        <v>0</v>
      </c>
      <c r="D7442" s="196">
        <v>0</v>
      </c>
      <c r="E7442" s="196">
        <v>50900</v>
      </c>
      <c r="F7442" s="196">
        <v>-50900</v>
      </c>
      <c r="G7442" s="196">
        <v>-50900</v>
      </c>
    </row>
    <row r="7443" spans="1:7" x14ac:dyDescent="0.3">
      <c r="A7443" s="198">
        <v>98525069</v>
      </c>
      <c r="B7443" s="192" t="s">
        <v>5338</v>
      </c>
      <c r="C7443" s="196">
        <v>-50900</v>
      </c>
      <c r="D7443" s="196">
        <v>0</v>
      </c>
      <c r="E7443" s="196">
        <v>0</v>
      </c>
      <c r="F7443" s="196">
        <v>0</v>
      </c>
      <c r="G7443" s="196">
        <v>-50900</v>
      </c>
    </row>
    <row r="7444" spans="1:7" x14ac:dyDescent="0.3">
      <c r="A7444" s="198">
        <v>9860995</v>
      </c>
      <c r="B7444" s="192" t="s">
        <v>5339</v>
      </c>
      <c r="C7444" s="196">
        <v>-35000</v>
      </c>
      <c r="D7444" s="196">
        <v>0</v>
      </c>
      <c r="E7444" s="196">
        <v>0</v>
      </c>
      <c r="F7444" s="196">
        <v>0</v>
      </c>
      <c r="G7444" s="196">
        <v>-35000</v>
      </c>
    </row>
    <row r="7445" spans="1:7" x14ac:dyDescent="0.3">
      <c r="A7445" s="198">
        <v>3414495</v>
      </c>
      <c r="B7445" s="192" t="s">
        <v>5340</v>
      </c>
      <c r="C7445" s="196">
        <v>-50900</v>
      </c>
      <c r="D7445" s="196">
        <v>0</v>
      </c>
      <c r="E7445" s="196">
        <v>0</v>
      </c>
      <c r="F7445" s="196">
        <v>0</v>
      </c>
      <c r="G7445" s="196">
        <v>-50900</v>
      </c>
    </row>
    <row r="7446" spans="1:7" x14ac:dyDescent="0.3">
      <c r="A7446" s="198">
        <v>79410125</v>
      </c>
      <c r="B7446" s="192" t="s">
        <v>1251</v>
      </c>
      <c r="C7446" s="196">
        <v>0</v>
      </c>
      <c r="D7446" s="196">
        <v>0</v>
      </c>
      <c r="E7446" s="196">
        <v>50900</v>
      </c>
      <c r="F7446" s="196">
        <v>-50900</v>
      </c>
      <c r="G7446" s="196">
        <v>-50900</v>
      </c>
    </row>
    <row r="7447" spans="1:7" x14ac:dyDescent="0.3">
      <c r="A7447" s="198">
        <v>1090281457</v>
      </c>
      <c r="B7447" s="192" t="s">
        <v>5341</v>
      </c>
      <c r="C7447" s="196">
        <v>-47000</v>
      </c>
      <c r="D7447" s="196">
        <v>0</v>
      </c>
      <c r="E7447" s="196">
        <v>0</v>
      </c>
      <c r="F7447" s="196">
        <v>0</v>
      </c>
      <c r="G7447" s="196">
        <v>-47000</v>
      </c>
    </row>
    <row r="7448" spans="1:7" x14ac:dyDescent="0.3">
      <c r="A7448" s="198">
        <v>1033493486</v>
      </c>
      <c r="B7448" s="192" t="s">
        <v>5342</v>
      </c>
      <c r="C7448" s="196">
        <v>-85000</v>
      </c>
      <c r="D7448" s="196">
        <v>0</v>
      </c>
      <c r="E7448" s="196">
        <v>0</v>
      </c>
      <c r="F7448" s="196">
        <v>0</v>
      </c>
      <c r="G7448" s="196">
        <v>-85000</v>
      </c>
    </row>
    <row r="7449" spans="1:7" x14ac:dyDescent="0.3">
      <c r="A7449" s="198">
        <v>1020326851</v>
      </c>
      <c r="B7449" s="192" t="s">
        <v>5343</v>
      </c>
      <c r="C7449" s="196">
        <v>-50900</v>
      </c>
      <c r="D7449" s="196">
        <v>0</v>
      </c>
      <c r="E7449" s="196">
        <v>0</v>
      </c>
      <c r="F7449" s="196">
        <v>0</v>
      </c>
      <c r="G7449" s="196">
        <v>-50900</v>
      </c>
    </row>
    <row r="7450" spans="1:7" x14ac:dyDescent="0.3">
      <c r="A7450" s="198">
        <v>1035980114</v>
      </c>
      <c r="B7450" s="192" t="s">
        <v>5344</v>
      </c>
      <c r="C7450" s="196">
        <v>-54200</v>
      </c>
      <c r="D7450" s="196">
        <v>0</v>
      </c>
      <c r="E7450" s="196">
        <v>0</v>
      </c>
      <c r="F7450" s="196">
        <v>0</v>
      </c>
      <c r="G7450" s="196">
        <v>-54200</v>
      </c>
    </row>
    <row r="7451" spans="1:7" x14ac:dyDescent="0.3">
      <c r="A7451" s="198">
        <v>1035014162</v>
      </c>
      <c r="B7451" s="192" t="s">
        <v>5345</v>
      </c>
      <c r="C7451" s="196">
        <v>-50900</v>
      </c>
      <c r="D7451" s="196">
        <v>0</v>
      </c>
      <c r="E7451" s="196">
        <v>0</v>
      </c>
      <c r="F7451" s="196">
        <v>0</v>
      </c>
      <c r="G7451" s="196">
        <v>-50900</v>
      </c>
    </row>
    <row r="7452" spans="1:7" x14ac:dyDescent="0.3">
      <c r="A7452" s="198">
        <v>1219713841</v>
      </c>
      <c r="B7452" s="192" t="s">
        <v>5346</v>
      </c>
      <c r="C7452" s="196">
        <v>-50900</v>
      </c>
      <c r="D7452" s="196">
        <v>0</v>
      </c>
      <c r="E7452" s="196">
        <v>0</v>
      </c>
      <c r="F7452" s="196">
        <v>0</v>
      </c>
      <c r="G7452" s="196">
        <v>-50900</v>
      </c>
    </row>
    <row r="7453" spans="1:7" x14ac:dyDescent="0.3">
      <c r="A7453" s="198">
        <v>1017942344</v>
      </c>
      <c r="B7453" s="192" t="s">
        <v>5347</v>
      </c>
      <c r="C7453" s="196">
        <v>-35000</v>
      </c>
      <c r="D7453" s="196">
        <v>0</v>
      </c>
      <c r="E7453" s="196">
        <v>0</v>
      </c>
      <c r="F7453" s="196">
        <v>0</v>
      </c>
      <c r="G7453" s="196">
        <v>-35000</v>
      </c>
    </row>
    <row r="7454" spans="1:7" x14ac:dyDescent="0.3">
      <c r="A7454" s="198">
        <v>1023573957</v>
      </c>
      <c r="B7454" s="192" t="s">
        <v>1252</v>
      </c>
      <c r="C7454" s="196">
        <v>0</v>
      </c>
      <c r="D7454" s="196">
        <v>0</v>
      </c>
      <c r="E7454" s="196">
        <v>340000</v>
      </c>
      <c r="F7454" s="196">
        <v>-340000</v>
      </c>
      <c r="G7454" s="196">
        <v>-340000</v>
      </c>
    </row>
    <row r="7455" spans="1:7" x14ac:dyDescent="0.3">
      <c r="A7455" s="198">
        <v>1020241011</v>
      </c>
      <c r="B7455" s="192" t="s">
        <v>1253</v>
      </c>
      <c r="C7455" s="196">
        <v>0</v>
      </c>
      <c r="D7455" s="196">
        <v>0</v>
      </c>
      <c r="E7455" s="196">
        <v>50900</v>
      </c>
      <c r="F7455" s="196">
        <v>-50900</v>
      </c>
      <c r="G7455" s="196">
        <v>-50900</v>
      </c>
    </row>
    <row r="7456" spans="1:7" x14ac:dyDescent="0.3">
      <c r="A7456" s="198">
        <v>1038267772</v>
      </c>
      <c r="B7456" s="192" t="s">
        <v>1254</v>
      </c>
      <c r="C7456" s="196">
        <v>-510000</v>
      </c>
      <c r="D7456" s="196">
        <v>0</v>
      </c>
      <c r="E7456" s="196">
        <v>170000</v>
      </c>
      <c r="F7456" s="196">
        <v>-170000</v>
      </c>
      <c r="G7456" s="196">
        <v>-680000</v>
      </c>
    </row>
    <row r="7457" spans="1:7" x14ac:dyDescent="0.3">
      <c r="A7457" s="198">
        <v>1034992353</v>
      </c>
      <c r="B7457" s="192" t="s">
        <v>5348</v>
      </c>
      <c r="C7457" s="196">
        <v>-50900</v>
      </c>
      <c r="D7457" s="196">
        <v>0</v>
      </c>
      <c r="E7457" s="196">
        <v>0</v>
      </c>
      <c r="F7457" s="196">
        <v>0</v>
      </c>
      <c r="G7457" s="196">
        <v>-50900</v>
      </c>
    </row>
    <row r="7458" spans="1:7" x14ac:dyDescent="0.3">
      <c r="A7458" s="198">
        <v>1020128605</v>
      </c>
      <c r="B7458" s="192" t="s">
        <v>5349</v>
      </c>
      <c r="C7458" s="196">
        <v>-33400</v>
      </c>
      <c r="D7458" s="196">
        <v>0</v>
      </c>
      <c r="E7458" s="196">
        <v>0</v>
      </c>
      <c r="F7458" s="196">
        <v>0</v>
      </c>
      <c r="G7458" s="196">
        <v>-33400</v>
      </c>
    </row>
    <row r="7459" spans="1:7" x14ac:dyDescent="0.3">
      <c r="A7459" s="198">
        <v>1035025607</v>
      </c>
      <c r="B7459" s="192" t="s">
        <v>5350</v>
      </c>
      <c r="C7459" s="196">
        <v>-50900</v>
      </c>
      <c r="D7459" s="196">
        <v>0</v>
      </c>
      <c r="E7459" s="196">
        <v>0</v>
      </c>
      <c r="F7459" s="196">
        <v>0</v>
      </c>
      <c r="G7459" s="196">
        <v>-50900</v>
      </c>
    </row>
    <row r="7460" spans="1:7" x14ac:dyDescent="0.3">
      <c r="A7460" s="198">
        <v>1023565172</v>
      </c>
      <c r="B7460" s="192" t="s">
        <v>5351</v>
      </c>
      <c r="C7460" s="196">
        <v>-50900</v>
      </c>
      <c r="D7460" s="196">
        <v>0</v>
      </c>
      <c r="E7460" s="196">
        <v>0</v>
      </c>
      <c r="F7460" s="196">
        <v>0</v>
      </c>
      <c r="G7460" s="196">
        <v>-50900</v>
      </c>
    </row>
    <row r="7461" spans="1:7" x14ac:dyDescent="0.3">
      <c r="A7461" s="198">
        <v>1035009724</v>
      </c>
      <c r="B7461" s="192" t="s">
        <v>5352</v>
      </c>
      <c r="C7461" s="196">
        <v>-57200</v>
      </c>
      <c r="D7461" s="196">
        <v>0</v>
      </c>
      <c r="E7461" s="196">
        <v>0</v>
      </c>
      <c r="F7461" s="196">
        <v>0</v>
      </c>
      <c r="G7461" s="196">
        <v>-57200</v>
      </c>
    </row>
    <row r="7462" spans="1:7" x14ac:dyDescent="0.3">
      <c r="A7462" s="198">
        <v>1020320278</v>
      </c>
      <c r="B7462" s="192" t="s">
        <v>5353</v>
      </c>
      <c r="C7462" s="196">
        <v>-50900</v>
      </c>
      <c r="D7462" s="196">
        <v>0</v>
      </c>
      <c r="E7462" s="196">
        <v>0</v>
      </c>
      <c r="F7462" s="196">
        <v>0</v>
      </c>
      <c r="G7462" s="196">
        <v>-50900</v>
      </c>
    </row>
    <row r="7463" spans="1:7" x14ac:dyDescent="0.3">
      <c r="A7463" s="198">
        <v>1035021030</v>
      </c>
      <c r="B7463" s="192" t="s">
        <v>5354</v>
      </c>
      <c r="C7463" s="196">
        <v>-50900</v>
      </c>
      <c r="D7463" s="196">
        <v>0</v>
      </c>
      <c r="E7463" s="196">
        <v>0</v>
      </c>
      <c r="F7463" s="196">
        <v>0</v>
      </c>
      <c r="G7463" s="196">
        <v>-50900</v>
      </c>
    </row>
    <row r="7464" spans="1:7" x14ac:dyDescent="0.3">
      <c r="A7464" s="198">
        <v>1031950854</v>
      </c>
      <c r="B7464" s="192" t="s">
        <v>5355</v>
      </c>
      <c r="C7464" s="196">
        <v>-50900</v>
      </c>
      <c r="D7464" s="196">
        <v>0</v>
      </c>
      <c r="E7464" s="196">
        <v>0</v>
      </c>
      <c r="F7464" s="196">
        <v>0</v>
      </c>
      <c r="G7464" s="196">
        <v>-50900</v>
      </c>
    </row>
    <row r="7465" spans="1:7" x14ac:dyDescent="0.3">
      <c r="A7465" s="198">
        <v>1033272851</v>
      </c>
      <c r="B7465" s="192" t="s">
        <v>1255</v>
      </c>
      <c r="C7465" s="196">
        <v>0</v>
      </c>
      <c r="D7465" s="196">
        <v>0</v>
      </c>
      <c r="E7465" s="196">
        <v>340000</v>
      </c>
      <c r="F7465" s="196">
        <v>-340000</v>
      </c>
      <c r="G7465" s="196">
        <v>-340000</v>
      </c>
    </row>
    <row r="7466" spans="1:7" x14ac:dyDescent="0.3">
      <c r="A7466" s="198">
        <v>1035010169</v>
      </c>
      <c r="B7466" s="192" t="s">
        <v>5356</v>
      </c>
      <c r="C7466" s="196">
        <v>-98300</v>
      </c>
      <c r="D7466" s="196">
        <v>0</v>
      </c>
      <c r="E7466" s="196">
        <v>0</v>
      </c>
      <c r="F7466" s="196">
        <v>0</v>
      </c>
      <c r="G7466" s="196">
        <v>-98300</v>
      </c>
    </row>
    <row r="7467" spans="1:7" x14ac:dyDescent="0.3">
      <c r="A7467" s="198">
        <v>1020325967</v>
      </c>
      <c r="B7467" s="192" t="s">
        <v>5357</v>
      </c>
      <c r="C7467" s="196">
        <v>-38400</v>
      </c>
      <c r="D7467" s="196">
        <v>0</v>
      </c>
      <c r="E7467" s="196">
        <v>0</v>
      </c>
      <c r="F7467" s="196">
        <v>0</v>
      </c>
      <c r="G7467" s="196">
        <v>-38400</v>
      </c>
    </row>
    <row r="7468" spans="1:7" x14ac:dyDescent="0.3">
      <c r="A7468" s="198">
        <v>1143243070</v>
      </c>
      <c r="B7468" s="192" t="s">
        <v>5358</v>
      </c>
      <c r="C7468" s="196">
        <v>-110000</v>
      </c>
      <c r="D7468" s="196">
        <v>0</v>
      </c>
      <c r="E7468" s="196">
        <v>0</v>
      </c>
      <c r="F7468" s="196">
        <v>0</v>
      </c>
      <c r="G7468" s="196">
        <v>-110000</v>
      </c>
    </row>
    <row r="7469" spans="1:7" x14ac:dyDescent="0.3">
      <c r="A7469" s="198">
        <v>1216714508</v>
      </c>
      <c r="B7469" s="192" t="s">
        <v>5359</v>
      </c>
      <c r="C7469" s="196">
        <v>-50900</v>
      </c>
      <c r="D7469" s="196">
        <v>0</v>
      </c>
      <c r="E7469" s="196">
        <v>0</v>
      </c>
      <c r="F7469" s="196">
        <v>0</v>
      </c>
      <c r="G7469" s="196">
        <v>-50900</v>
      </c>
    </row>
    <row r="7470" spans="1:7" x14ac:dyDescent="0.3">
      <c r="A7470" s="198">
        <v>669855046</v>
      </c>
      <c r="B7470" s="192" t="s">
        <v>5360</v>
      </c>
      <c r="C7470" s="196">
        <v>-290000</v>
      </c>
      <c r="D7470" s="196">
        <v>0</v>
      </c>
      <c r="E7470" s="196">
        <v>0</v>
      </c>
      <c r="F7470" s="196">
        <v>0</v>
      </c>
      <c r="G7470" s="196">
        <v>-290000</v>
      </c>
    </row>
    <row r="7471" spans="1:7" x14ac:dyDescent="0.3">
      <c r="A7471" s="198">
        <v>901746122</v>
      </c>
      <c r="B7471" s="192" t="s">
        <v>1258</v>
      </c>
      <c r="C7471" s="196">
        <v>-594000</v>
      </c>
      <c r="D7471" s="196">
        <v>0</v>
      </c>
      <c r="E7471" s="196">
        <v>0</v>
      </c>
      <c r="F7471" s="196">
        <v>0</v>
      </c>
      <c r="G7471" s="196">
        <v>-594000</v>
      </c>
    </row>
    <row r="7472" spans="1:7" x14ac:dyDescent="0.3">
      <c r="A7472" s="198">
        <v>900178724</v>
      </c>
      <c r="B7472" s="192" t="s">
        <v>1259</v>
      </c>
      <c r="C7472" s="196">
        <v>-6219799</v>
      </c>
      <c r="D7472" s="196">
        <v>0</v>
      </c>
      <c r="E7472" s="196">
        <v>1113123</v>
      </c>
      <c r="F7472" s="196">
        <v>-1113123</v>
      </c>
      <c r="G7472" s="196">
        <v>-7332922</v>
      </c>
    </row>
    <row r="7473" spans="1:7" x14ac:dyDescent="0.3">
      <c r="A7473" s="198">
        <v>1038109791</v>
      </c>
      <c r="B7473" s="192" t="s">
        <v>5361</v>
      </c>
      <c r="C7473" s="196">
        <v>-50900</v>
      </c>
      <c r="D7473" s="196">
        <v>0</v>
      </c>
      <c r="E7473" s="196">
        <v>0</v>
      </c>
      <c r="F7473" s="196">
        <v>0</v>
      </c>
      <c r="G7473" s="196">
        <v>-50900</v>
      </c>
    </row>
    <row r="7474" spans="1:7" x14ac:dyDescent="0.3">
      <c r="A7474" s="198">
        <v>26390958</v>
      </c>
      <c r="B7474" s="192" t="s">
        <v>5362</v>
      </c>
      <c r="C7474" s="196">
        <v>-290000</v>
      </c>
      <c r="D7474" s="196">
        <v>0</v>
      </c>
      <c r="E7474" s="196">
        <v>0</v>
      </c>
      <c r="F7474" s="196">
        <v>0</v>
      </c>
      <c r="G7474" s="196">
        <v>-290000</v>
      </c>
    </row>
    <row r="7475" spans="1:7" x14ac:dyDescent="0.3">
      <c r="A7475" s="198">
        <v>43539202</v>
      </c>
      <c r="B7475" s="192" t="s">
        <v>5363</v>
      </c>
      <c r="C7475" s="196">
        <v>-46400</v>
      </c>
      <c r="D7475" s="196">
        <v>0</v>
      </c>
      <c r="E7475" s="196">
        <v>0</v>
      </c>
      <c r="F7475" s="196">
        <v>0</v>
      </c>
      <c r="G7475" s="196">
        <v>-46400</v>
      </c>
    </row>
    <row r="7476" spans="1:7" x14ac:dyDescent="0.3">
      <c r="A7476" s="198">
        <v>1038568188</v>
      </c>
      <c r="B7476" s="192" t="s">
        <v>5364</v>
      </c>
      <c r="C7476" s="196">
        <v>-340000</v>
      </c>
      <c r="D7476" s="196">
        <v>0</v>
      </c>
      <c r="E7476" s="196">
        <v>0</v>
      </c>
      <c r="F7476" s="196">
        <v>0</v>
      </c>
      <c r="G7476" s="196">
        <v>-340000</v>
      </c>
    </row>
    <row r="7477" spans="1:7" x14ac:dyDescent="0.3">
      <c r="A7477" s="198">
        <v>1214732908</v>
      </c>
      <c r="B7477" s="192" t="s">
        <v>1263</v>
      </c>
      <c r="C7477" s="196">
        <v>0</v>
      </c>
      <c r="D7477" s="196">
        <v>0</v>
      </c>
      <c r="E7477" s="196">
        <v>148500</v>
      </c>
      <c r="F7477" s="196">
        <v>-148500</v>
      </c>
      <c r="G7477" s="196">
        <v>-148500</v>
      </c>
    </row>
    <row r="7478" spans="1:7" x14ac:dyDescent="0.3">
      <c r="A7478" s="198">
        <v>1129575948</v>
      </c>
      <c r="B7478" s="192" t="s">
        <v>5365</v>
      </c>
      <c r="C7478" s="196">
        <v>-98300</v>
      </c>
      <c r="D7478" s="196">
        <v>0</v>
      </c>
      <c r="E7478" s="196">
        <v>0</v>
      </c>
      <c r="F7478" s="196">
        <v>0</v>
      </c>
      <c r="G7478" s="196">
        <v>-98300</v>
      </c>
    </row>
    <row r="7479" spans="1:7" x14ac:dyDescent="0.3">
      <c r="A7479" s="198">
        <v>1001709660</v>
      </c>
      <c r="B7479" s="192" t="s">
        <v>1264</v>
      </c>
      <c r="C7479" s="196">
        <v>-165000</v>
      </c>
      <c r="D7479" s="196">
        <v>0</v>
      </c>
      <c r="E7479" s="196">
        <v>135900</v>
      </c>
      <c r="F7479" s="196">
        <v>-135900</v>
      </c>
      <c r="G7479" s="196">
        <v>-300900</v>
      </c>
    </row>
    <row r="7480" spans="1:7" x14ac:dyDescent="0.3">
      <c r="A7480" s="198">
        <v>30297920</v>
      </c>
      <c r="B7480" s="192" t="s">
        <v>5366</v>
      </c>
      <c r="C7480" s="196">
        <v>-162000</v>
      </c>
      <c r="D7480" s="196">
        <v>0</v>
      </c>
      <c r="E7480" s="196">
        <v>0</v>
      </c>
      <c r="F7480" s="196">
        <v>0</v>
      </c>
      <c r="G7480" s="196">
        <v>-162000</v>
      </c>
    </row>
    <row r="7481" spans="1:7" x14ac:dyDescent="0.3">
      <c r="A7481" s="198">
        <v>38444069</v>
      </c>
      <c r="B7481" s="192" t="s">
        <v>138</v>
      </c>
      <c r="C7481" s="196">
        <v>-616000</v>
      </c>
      <c r="D7481" s="196">
        <v>0</v>
      </c>
      <c r="E7481" s="196">
        <v>0</v>
      </c>
      <c r="F7481" s="196">
        <v>0</v>
      </c>
      <c r="G7481" s="196">
        <v>-616000</v>
      </c>
    </row>
    <row r="7482" spans="1:7" x14ac:dyDescent="0.3">
      <c r="A7482" s="198">
        <v>38444369</v>
      </c>
      <c r="B7482" s="192" t="s">
        <v>138</v>
      </c>
      <c r="C7482" s="196">
        <v>-140000</v>
      </c>
      <c r="D7482" s="196">
        <v>0</v>
      </c>
      <c r="E7482" s="196">
        <v>0</v>
      </c>
      <c r="F7482" s="196">
        <v>0</v>
      </c>
      <c r="G7482" s="196">
        <v>-140000</v>
      </c>
    </row>
    <row r="7483" spans="1:7" x14ac:dyDescent="0.3">
      <c r="A7483" s="198">
        <v>22378701</v>
      </c>
      <c r="B7483" s="192" t="s">
        <v>5367</v>
      </c>
      <c r="C7483" s="196">
        <v>-165000</v>
      </c>
      <c r="D7483" s="196">
        <v>0</v>
      </c>
      <c r="E7483" s="196">
        <v>0</v>
      </c>
      <c r="F7483" s="196">
        <v>0</v>
      </c>
      <c r="G7483" s="196">
        <v>-165000</v>
      </c>
    </row>
    <row r="7484" spans="1:7" x14ac:dyDescent="0.3">
      <c r="A7484" s="198">
        <v>509516</v>
      </c>
      <c r="B7484" s="192" t="s">
        <v>5368</v>
      </c>
      <c r="C7484" s="196">
        <v>-50900</v>
      </c>
      <c r="D7484" s="196">
        <v>0</v>
      </c>
      <c r="E7484" s="196">
        <v>0</v>
      </c>
      <c r="F7484" s="196">
        <v>0</v>
      </c>
      <c r="G7484" s="196">
        <v>-50900</v>
      </c>
    </row>
    <row r="7485" spans="1:7" x14ac:dyDescent="0.3">
      <c r="A7485" s="198">
        <v>49740334</v>
      </c>
      <c r="B7485" s="192" t="s">
        <v>5369</v>
      </c>
      <c r="C7485" s="196">
        <v>-29700</v>
      </c>
      <c r="D7485" s="196">
        <v>0</v>
      </c>
      <c r="E7485" s="196">
        <v>0</v>
      </c>
      <c r="F7485" s="196">
        <v>0</v>
      </c>
      <c r="G7485" s="196">
        <v>-29700</v>
      </c>
    </row>
    <row r="7486" spans="1:7" x14ac:dyDescent="0.3">
      <c r="A7486" s="198">
        <v>1077469089</v>
      </c>
      <c r="B7486" s="192" t="s">
        <v>1265</v>
      </c>
      <c r="C7486" s="196">
        <v>-440000</v>
      </c>
      <c r="D7486" s="196">
        <v>0</v>
      </c>
      <c r="E7486" s="196">
        <v>0</v>
      </c>
      <c r="F7486" s="196">
        <v>0</v>
      </c>
      <c r="G7486" s="196">
        <v>-440000</v>
      </c>
    </row>
    <row r="7487" spans="1:7" x14ac:dyDescent="0.3">
      <c r="A7487" s="198">
        <v>8195261</v>
      </c>
      <c r="B7487" s="192" t="s">
        <v>5370</v>
      </c>
      <c r="C7487" s="196">
        <v>-297000</v>
      </c>
      <c r="D7487" s="196">
        <v>0</v>
      </c>
      <c r="E7487" s="196">
        <v>0</v>
      </c>
      <c r="F7487" s="196">
        <v>0</v>
      </c>
      <c r="G7487" s="196">
        <v>-297000</v>
      </c>
    </row>
    <row r="7488" spans="1:7" x14ac:dyDescent="0.3">
      <c r="A7488" s="192" t="s">
        <v>1266</v>
      </c>
      <c r="B7488" s="192" t="s">
        <v>1267</v>
      </c>
      <c r="C7488" s="196">
        <v>-110000</v>
      </c>
      <c r="D7488" s="196">
        <v>0</v>
      </c>
      <c r="E7488" s="196">
        <v>0</v>
      </c>
      <c r="F7488" s="196">
        <v>0</v>
      </c>
      <c r="G7488" s="196">
        <v>-110000</v>
      </c>
    </row>
    <row r="7489" spans="1:7" x14ac:dyDescent="0.3">
      <c r="A7489" s="198">
        <v>1035022935</v>
      </c>
      <c r="B7489" s="192" t="s">
        <v>1268</v>
      </c>
      <c r="C7489" s="196">
        <v>0</v>
      </c>
      <c r="D7489" s="196">
        <v>0</v>
      </c>
      <c r="E7489" s="196">
        <v>50900</v>
      </c>
      <c r="F7489" s="196">
        <v>-50900</v>
      </c>
      <c r="G7489" s="196">
        <v>-50900</v>
      </c>
    </row>
    <row r="7490" spans="1:7" x14ac:dyDescent="0.3">
      <c r="A7490" s="198">
        <v>1035023556</v>
      </c>
      <c r="B7490" s="192" t="s">
        <v>5371</v>
      </c>
      <c r="C7490" s="196">
        <v>-50900</v>
      </c>
      <c r="D7490" s="196">
        <v>0</v>
      </c>
      <c r="E7490" s="196">
        <v>0</v>
      </c>
      <c r="F7490" s="196">
        <v>0</v>
      </c>
      <c r="G7490" s="196">
        <v>-50900</v>
      </c>
    </row>
    <row r="7491" spans="1:7" x14ac:dyDescent="0.3">
      <c r="A7491" s="198">
        <v>1023550333</v>
      </c>
      <c r="B7491" s="192" t="s">
        <v>5372</v>
      </c>
      <c r="C7491" s="196">
        <v>-47000</v>
      </c>
      <c r="D7491" s="196">
        <v>0</v>
      </c>
      <c r="E7491" s="196">
        <v>0</v>
      </c>
      <c r="F7491" s="196">
        <v>0</v>
      </c>
      <c r="G7491" s="196">
        <v>-47000</v>
      </c>
    </row>
    <row r="7492" spans="1:7" x14ac:dyDescent="0.3">
      <c r="A7492" s="198">
        <v>1034928352</v>
      </c>
      <c r="B7492" s="192" t="s">
        <v>1269</v>
      </c>
      <c r="C7492" s="196">
        <v>0</v>
      </c>
      <c r="D7492" s="196">
        <v>0</v>
      </c>
      <c r="E7492" s="196">
        <v>340000</v>
      </c>
      <c r="F7492" s="196">
        <v>-340000</v>
      </c>
      <c r="G7492" s="196">
        <v>-340000</v>
      </c>
    </row>
    <row r="7493" spans="1:7" x14ac:dyDescent="0.3">
      <c r="A7493" s="198">
        <v>121865234</v>
      </c>
      <c r="B7493" s="192" t="s">
        <v>5373</v>
      </c>
      <c r="C7493" s="196">
        <v>-50900</v>
      </c>
      <c r="D7493" s="196">
        <v>0</v>
      </c>
      <c r="E7493" s="196">
        <v>0</v>
      </c>
      <c r="F7493" s="196">
        <v>0</v>
      </c>
      <c r="G7493" s="196">
        <v>-50900</v>
      </c>
    </row>
    <row r="7494" spans="1:7" x14ac:dyDescent="0.3">
      <c r="A7494" s="198">
        <v>1035015779</v>
      </c>
      <c r="B7494" s="192" t="s">
        <v>5374</v>
      </c>
      <c r="C7494" s="196">
        <v>-50900</v>
      </c>
      <c r="D7494" s="196">
        <v>0</v>
      </c>
      <c r="E7494" s="196">
        <v>0</v>
      </c>
      <c r="F7494" s="196">
        <v>0</v>
      </c>
      <c r="G7494" s="196">
        <v>-50900</v>
      </c>
    </row>
    <row r="7495" spans="1:7" x14ac:dyDescent="0.3">
      <c r="A7495" s="198">
        <v>1152474163</v>
      </c>
      <c r="B7495" s="192" t="s">
        <v>5375</v>
      </c>
      <c r="C7495" s="196">
        <v>-50900</v>
      </c>
      <c r="D7495" s="196">
        <v>0</v>
      </c>
      <c r="E7495" s="196">
        <v>0</v>
      </c>
      <c r="F7495" s="196">
        <v>0</v>
      </c>
      <c r="G7495" s="196">
        <v>-50900</v>
      </c>
    </row>
    <row r="7496" spans="1:7" x14ac:dyDescent="0.3">
      <c r="A7496" s="192" t="s">
        <v>5376</v>
      </c>
      <c r="B7496" s="192" t="s">
        <v>5377</v>
      </c>
      <c r="C7496" s="196">
        <v>-110000</v>
      </c>
      <c r="D7496" s="196">
        <v>0</v>
      </c>
      <c r="E7496" s="196">
        <v>0</v>
      </c>
      <c r="F7496" s="196">
        <v>0</v>
      </c>
      <c r="G7496" s="196">
        <v>-110000</v>
      </c>
    </row>
    <row r="7497" spans="1:7" x14ac:dyDescent="0.3">
      <c r="A7497" s="192" t="s">
        <v>1270</v>
      </c>
      <c r="B7497" s="192" t="s">
        <v>1271</v>
      </c>
      <c r="C7497" s="196">
        <v>0</v>
      </c>
      <c r="D7497" s="196">
        <v>0</v>
      </c>
      <c r="E7497" s="196">
        <v>110000</v>
      </c>
      <c r="F7497" s="196">
        <v>-110000</v>
      </c>
      <c r="G7497" s="196">
        <v>-110000</v>
      </c>
    </row>
    <row r="7498" spans="1:7" x14ac:dyDescent="0.3">
      <c r="A7498" s="192" t="s">
        <v>5378</v>
      </c>
      <c r="B7498" s="192" t="s">
        <v>5379</v>
      </c>
      <c r="C7498" s="196">
        <v>-616000</v>
      </c>
      <c r="D7498" s="196">
        <v>0</v>
      </c>
      <c r="E7498" s="196">
        <v>0</v>
      </c>
      <c r="F7498" s="196">
        <v>0</v>
      </c>
      <c r="G7498" s="196">
        <v>-616000</v>
      </c>
    </row>
    <row r="7499" spans="1:7" x14ac:dyDescent="0.3">
      <c r="A7499" s="198">
        <v>1094925975</v>
      </c>
      <c r="B7499" s="192" t="s">
        <v>5380</v>
      </c>
      <c r="C7499" s="196">
        <v>-513300</v>
      </c>
      <c r="D7499" s="196">
        <v>0</v>
      </c>
      <c r="E7499" s="196">
        <v>0</v>
      </c>
      <c r="F7499" s="196">
        <v>0</v>
      </c>
      <c r="G7499" s="196">
        <v>-513300</v>
      </c>
    </row>
    <row r="7500" spans="1:7" x14ac:dyDescent="0.3">
      <c r="A7500" s="198">
        <v>6237830</v>
      </c>
      <c r="B7500" s="192" t="s">
        <v>5381</v>
      </c>
      <c r="C7500" s="196">
        <v>-162000</v>
      </c>
      <c r="D7500" s="196">
        <v>0</v>
      </c>
      <c r="E7500" s="196">
        <v>0</v>
      </c>
      <c r="F7500" s="196">
        <v>0</v>
      </c>
      <c r="G7500" s="196">
        <v>-162000</v>
      </c>
    </row>
    <row r="7501" spans="1:7" x14ac:dyDescent="0.3">
      <c r="A7501" s="198">
        <v>94540981</v>
      </c>
      <c r="B7501" s="192" t="s">
        <v>5382</v>
      </c>
      <c r="C7501" s="196">
        <v>-50900</v>
      </c>
      <c r="D7501" s="196">
        <v>0</v>
      </c>
      <c r="E7501" s="196">
        <v>0</v>
      </c>
      <c r="F7501" s="196">
        <v>0</v>
      </c>
      <c r="G7501" s="196">
        <v>-50900</v>
      </c>
    </row>
    <row r="7502" spans="1:7" x14ac:dyDescent="0.3">
      <c r="A7502" s="198">
        <v>658762898</v>
      </c>
      <c r="B7502" s="192" t="s">
        <v>5383</v>
      </c>
      <c r="C7502" s="196">
        <v>-416000</v>
      </c>
      <c r="D7502" s="196">
        <v>0</v>
      </c>
      <c r="E7502" s="196">
        <v>0</v>
      </c>
      <c r="F7502" s="196">
        <v>0</v>
      </c>
      <c r="G7502" s="196">
        <v>-416000</v>
      </c>
    </row>
    <row r="7503" spans="1:7" x14ac:dyDescent="0.3">
      <c r="A7503" s="198">
        <v>1037654881</v>
      </c>
      <c r="B7503" s="192" t="s">
        <v>5384</v>
      </c>
      <c r="C7503" s="196">
        <v>-57200</v>
      </c>
      <c r="D7503" s="196">
        <v>0</v>
      </c>
      <c r="E7503" s="196">
        <v>0</v>
      </c>
      <c r="F7503" s="196">
        <v>0</v>
      </c>
      <c r="G7503" s="196">
        <v>-57200</v>
      </c>
    </row>
    <row r="7504" spans="1:7" x14ac:dyDescent="0.3">
      <c r="A7504" s="198">
        <v>1037648019</v>
      </c>
      <c r="B7504" s="192" t="s">
        <v>5385</v>
      </c>
      <c r="C7504" s="196">
        <v>-49000</v>
      </c>
      <c r="D7504" s="196">
        <v>0</v>
      </c>
      <c r="E7504" s="196">
        <v>0</v>
      </c>
      <c r="F7504" s="196">
        <v>0</v>
      </c>
      <c r="G7504" s="196">
        <v>-49000</v>
      </c>
    </row>
    <row r="7505" spans="1:7" x14ac:dyDescent="0.3">
      <c r="A7505" s="198">
        <v>43048322</v>
      </c>
      <c r="B7505" s="192" t="s">
        <v>5386</v>
      </c>
      <c r="C7505" s="196">
        <v>-57200</v>
      </c>
      <c r="D7505" s="196">
        <v>0</v>
      </c>
      <c r="E7505" s="196">
        <v>0</v>
      </c>
      <c r="F7505" s="196">
        <v>0</v>
      </c>
      <c r="G7505" s="196">
        <v>-57200</v>
      </c>
    </row>
    <row r="7506" spans="1:7" x14ac:dyDescent="0.3">
      <c r="A7506" s="198">
        <v>1144097777</v>
      </c>
      <c r="B7506" s="192" t="s">
        <v>5387</v>
      </c>
      <c r="C7506" s="196">
        <v>-114400</v>
      </c>
      <c r="D7506" s="196">
        <v>0</v>
      </c>
      <c r="E7506" s="196">
        <v>0</v>
      </c>
      <c r="F7506" s="196">
        <v>0</v>
      </c>
      <c r="G7506" s="196">
        <v>-114400</v>
      </c>
    </row>
    <row r="7507" spans="1:7" x14ac:dyDescent="0.3">
      <c r="A7507" s="198">
        <v>1128279224</v>
      </c>
      <c r="B7507" s="192" t="s">
        <v>5388</v>
      </c>
      <c r="C7507" s="196">
        <v>-46400</v>
      </c>
      <c r="D7507" s="196">
        <v>0</v>
      </c>
      <c r="E7507" s="196">
        <v>0</v>
      </c>
      <c r="F7507" s="196">
        <v>0</v>
      </c>
      <c r="G7507" s="196">
        <v>-46400</v>
      </c>
    </row>
    <row r="7508" spans="1:7" x14ac:dyDescent="0.3">
      <c r="A7508" s="198">
        <v>1145927460</v>
      </c>
      <c r="B7508" s="192" t="s">
        <v>5389</v>
      </c>
      <c r="C7508" s="196">
        <v>-50900</v>
      </c>
      <c r="D7508" s="196">
        <v>0</v>
      </c>
      <c r="E7508" s="196">
        <v>0</v>
      </c>
      <c r="F7508" s="196">
        <v>0</v>
      </c>
      <c r="G7508" s="196">
        <v>-50900</v>
      </c>
    </row>
    <row r="7509" spans="1:7" x14ac:dyDescent="0.3">
      <c r="A7509" s="198">
        <v>1020229701</v>
      </c>
      <c r="B7509" s="192" t="s">
        <v>5390</v>
      </c>
      <c r="C7509" s="196">
        <v>-47000</v>
      </c>
      <c r="D7509" s="196">
        <v>0</v>
      </c>
      <c r="E7509" s="196">
        <v>0</v>
      </c>
      <c r="F7509" s="196">
        <v>0</v>
      </c>
      <c r="G7509" s="196">
        <v>-47000</v>
      </c>
    </row>
    <row r="7510" spans="1:7" x14ac:dyDescent="0.3">
      <c r="A7510" s="198">
        <v>1035025836</v>
      </c>
      <c r="B7510" s="192" t="s">
        <v>5391</v>
      </c>
      <c r="C7510" s="196">
        <v>-33400</v>
      </c>
      <c r="D7510" s="196">
        <v>0</v>
      </c>
      <c r="E7510" s="196">
        <v>0</v>
      </c>
      <c r="F7510" s="196">
        <v>0</v>
      </c>
      <c r="G7510" s="196">
        <v>-33400</v>
      </c>
    </row>
    <row r="7511" spans="1:7" x14ac:dyDescent="0.3">
      <c r="A7511" s="192" t="s">
        <v>5392</v>
      </c>
      <c r="B7511" s="192" t="s">
        <v>5393</v>
      </c>
      <c r="C7511" s="196">
        <v>-270000</v>
      </c>
      <c r="D7511" s="196">
        <v>0</v>
      </c>
      <c r="E7511" s="196">
        <v>0</v>
      </c>
      <c r="F7511" s="196">
        <v>0</v>
      </c>
      <c r="G7511" s="196">
        <v>-270000</v>
      </c>
    </row>
    <row r="7512" spans="1:7" x14ac:dyDescent="0.3">
      <c r="A7512" s="198">
        <v>1018236820</v>
      </c>
      <c r="B7512" s="192" t="s">
        <v>1273</v>
      </c>
      <c r="C7512" s="196">
        <v>0</v>
      </c>
      <c r="D7512" s="196">
        <v>0</v>
      </c>
      <c r="E7512" s="196">
        <v>54200</v>
      </c>
      <c r="F7512" s="196">
        <v>-54200</v>
      </c>
      <c r="G7512" s="196">
        <v>-54200</v>
      </c>
    </row>
    <row r="7513" spans="1:7" x14ac:dyDescent="0.3">
      <c r="A7513" s="198">
        <v>1001617529</v>
      </c>
      <c r="B7513" s="192" t="s">
        <v>5394</v>
      </c>
      <c r="C7513" s="196">
        <v>-50900</v>
      </c>
      <c r="D7513" s="196">
        <v>0</v>
      </c>
      <c r="E7513" s="196">
        <v>0</v>
      </c>
      <c r="F7513" s="196">
        <v>0</v>
      </c>
      <c r="G7513" s="196">
        <v>-50900</v>
      </c>
    </row>
    <row r="7514" spans="1:7" x14ac:dyDescent="0.3">
      <c r="A7514" s="198">
        <v>1023551770</v>
      </c>
      <c r="B7514" s="192" t="s">
        <v>5395</v>
      </c>
      <c r="C7514" s="196">
        <v>-340000</v>
      </c>
      <c r="D7514" s="196">
        <v>0</v>
      </c>
      <c r="E7514" s="196">
        <v>0</v>
      </c>
      <c r="F7514" s="196">
        <v>0</v>
      </c>
      <c r="G7514" s="196">
        <v>-340000</v>
      </c>
    </row>
    <row r="7515" spans="1:7" x14ac:dyDescent="0.3">
      <c r="A7515" s="198">
        <v>1031950144</v>
      </c>
      <c r="B7515" s="192" t="s">
        <v>5396</v>
      </c>
      <c r="C7515" s="196">
        <v>-57200</v>
      </c>
      <c r="D7515" s="196">
        <v>0</v>
      </c>
      <c r="E7515" s="196">
        <v>0</v>
      </c>
      <c r="F7515" s="196">
        <v>0</v>
      </c>
      <c r="G7515" s="196">
        <v>-57200</v>
      </c>
    </row>
    <row r="7516" spans="1:7" x14ac:dyDescent="0.3">
      <c r="A7516" s="198">
        <v>1015075571</v>
      </c>
      <c r="B7516" s="192" t="s">
        <v>5397</v>
      </c>
      <c r="C7516" s="196">
        <v>-297000</v>
      </c>
      <c r="D7516" s="196">
        <v>0</v>
      </c>
      <c r="E7516" s="196">
        <v>0</v>
      </c>
      <c r="F7516" s="196">
        <v>0</v>
      </c>
      <c r="G7516" s="196">
        <v>-297000</v>
      </c>
    </row>
    <row r="7517" spans="1:7" x14ac:dyDescent="0.3">
      <c r="A7517" s="198">
        <v>1020228496</v>
      </c>
      <c r="B7517" s="192" t="s">
        <v>5398</v>
      </c>
      <c r="C7517" s="196">
        <v>-50900</v>
      </c>
      <c r="D7517" s="196">
        <v>0</v>
      </c>
      <c r="E7517" s="196">
        <v>0</v>
      </c>
      <c r="F7517" s="196">
        <v>0</v>
      </c>
      <c r="G7517" s="196">
        <v>-50900</v>
      </c>
    </row>
    <row r="7518" spans="1:7" x14ac:dyDescent="0.3">
      <c r="A7518" s="198">
        <v>1247049600</v>
      </c>
      <c r="B7518" s="192" t="s">
        <v>5399</v>
      </c>
      <c r="C7518" s="196">
        <v>-33400</v>
      </c>
      <c r="D7518" s="196">
        <v>0</v>
      </c>
      <c r="E7518" s="196">
        <v>0</v>
      </c>
      <c r="F7518" s="196">
        <v>0</v>
      </c>
      <c r="G7518" s="196">
        <v>-33400</v>
      </c>
    </row>
    <row r="7519" spans="1:7" x14ac:dyDescent="0.3">
      <c r="A7519" s="198">
        <v>1031942326</v>
      </c>
      <c r="B7519" s="192" t="s">
        <v>5400</v>
      </c>
      <c r="C7519" s="196">
        <v>-50900</v>
      </c>
      <c r="D7519" s="196">
        <v>0</v>
      </c>
      <c r="E7519" s="196">
        <v>0</v>
      </c>
      <c r="F7519" s="196">
        <v>0</v>
      </c>
      <c r="G7519" s="196">
        <v>-50900</v>
      </c>
    </row>
    <row r="7520" spans="1:7" x14ac:dyDescent="0.3">
      <c r="A7520" s="198">
        <v>73146022</v>
      </c>
      <c r="B7520" s="192" t="s">
        <v>5401</v>
      </c>
      <c r="C7520" s="196">
        <v>-41400</v>
      </c>
      <c r="D7520" s="196">
        <v>0</v>
      </c>
      <c r="E7520" s="196">
        <v>0</v>
      </c>
      <c r="F7520" s="196">
        <v>0</v>
      </c>
      <c r="G7520" s="196">
        <v>-41400</v>
      </c>
    </row>
    <row r="7521" spans="1:7" x14ac:dyDescent="0.3">
      <c r="A7521" s="198">
        <v>19491367</v>
      </c>
      <c r="B7521" s="192" t="s">
        <v>5402</v>
      </c>
      <c r="C7521" s="196">
        <v>-36600</v>
      </c>
      <c r="D7521" s="196">
        <v>0</v>
      </c>
      <c r="E7521" s="196">
        <v>0</v>
      </c>
      <c r="F7521" s="196">
        <v>0</v>
      </c>
      <c r="G7521" s="196">
        <v>-36600</v>
      </c>
    </row>
    <row r="7522" spans="1:7" x14ac:dyDescent="0.3">
      <c r="A7522" s="198">
        <v>1037625556</v>
      </c>
      <c r="B7522" s="192" t="s">
        <v>5403</v>
      </c>
      <c r="C7522" s="196">
        <v>-85900</v>
      </c>
      <c r="D7522" s="196">
        <v>0</v>
      </c>
      <c r="E7522" s="196">
        <v>0</v>
      </c>
      <c r="F7522" s="196">
        <v>0</v>
      </c>
      <c r="G7522" s="196">
        <v>-85900</v>
      </c>
    </row>
    <row r="7523" spans="1:7" x14ac:dyDescent="0.3">
      <c r="A7523" s="198">
        <v>1022008919</v>
      </c>
      <c r="B7523" s="192" t="s">
        <v>5404</v>
      </c>
      <c r="C7523" s="196">
        <v>-30000</v>
      </c>
      <c r="D7523" s="196">
        <v>0</v>
      </c>
      <c r="E7523" s="196">
        <v>0</v>
      </c>
      <c r="F7523" s="196">
        <v>0</v>
      </c>
      <c r="G7523" s="196">
        <v>-30000</v>
      </c>
    </row>
    <row r="7524" spans="1:7" x14ac:dyDescent="0.3">
      <c r="A7524" s="198">
        <v>16071965</v>
      </c>
      <c r="B7524" s="192" t="s">
        <v>5405</v>
      </c>
      <c r="C7524" s="196">
        <v>-50900</v>
      </c>
      <c r="D7524" s="196">
        <v>0</v>
      </c>
      <c r="E7524" s="196">
        <v>0</v>
      </c>
      <c r="F7524" s="196">
        <v>0</v>
      </c>
      <c r="G7524" s="196">
        <v>-50900</v>
      </c>
    </row>
    <row r="7525" spans="1:7" x14ac:dyDescent="0.3">
      <c r="A7525" s="198">
        <v>70129416</v>
      </c>
      <c r="B7525" s="192" t="s">
        <v>1275</v>
      </c>
      <c r="C7525" s="196">
        <v>-98300</v>
      </c>
      <c r="D7525" s="196">
        <v>0</v>
      </c>
      <c r="E7525" s="196">
        <v>50900</v>
      </c>
      <c r="F7525" s="196">
        <v>-50900</v>
      </c>
      <c r="G7525" s="196">
        <v>-149200</v>
      </c>
    </row>
    <row r="7526" spans="1:7" x14ac:dyDescent="0.3">
      <c r="A7526" s="192" t="s">
        <v>2432</v>
      </c>
      <c r="B7526" s="192" t="s">
        <v>2433</v>
      </c>
      <c r="C7526" s="196">
        <v>-297000</v>
      </c>
      <c r="D7526" s="196">
        <v>0</v>
      </c>
      <c r="E7526" s="196">
        <v>0</v>
      </c>
      <c r="F7526" s="196">
        <v>0</v>
      </c>
      <c r="G7526" s="196">
        <v>-297000</v>
      </c>
    </row>
    <row r="7527" spans="1:7" x14ac:dyDescent="0.3">
      <c r="A7527" s="198">
        <v>1034998201</v>
      </c>
      <c r="B7527" s="192" t="s">
        <v>5406</v>
      </c>
      <c r="C7527" s="196">
        <v>-50900</v>
      </c>
      <c r="D7527" s="196">
        <v>0</v>
      </c>
      <c r="E7527" s="196">
        <v>0</v>
      </c>
      <c r="F7527" s="196">
        <v>0</v>
      </c>
      <c r="G7527" s="196">
        <v>-50900</v>
      </c>
    </row>
    <row r="7528" spans="1:7" x14ac:dyDescent="0.3">
      <c r="A7528" s="198">
        <v>1023595838</v>
      </c>
      <c r="B7528" s="192" t="s">
        <v>5407</v>
      </c>
      <c r="C7528" s="196">
        <v>-50900</v>
      </c>
      <c r="D7528" s="196">
        <v>0</v>
      </c>
      <c r="E7528" s="196">
        <v>0</v>
      </c>
      <c r="F7528" s="196">
        <v>0</v>
      </c>
      <c r="G7528" s="196">
        <v>-50900</v>
      </c>
    </row>
    <row r="7529" spans="1:7" x14ac:dyDescent="0.3">
      <c r="A7529" s="198">
        <v>79280241</v>
      </c>
      <c r="B7529" s="192" t="s">
        <v>1276</v>
      </c>
      <c r="C7529" s="196">
        <v>0</v>
      </c>
      <c r="D7529" s="196">
        <v>0</v>
      </c>
      <c r="E7529" s="196">
        <v>49000</v>
      </c>
      <c r="F7529" s="196">
        <v>-49000</v>
      </c>
      <c r="G7529" s="196">
        <v>-49000</v>
      </c>
    </row>
    <row r="7530" spans="1:7" x14ac:dyDescent="0.3">
      <c r="A7530" s="198">
        <v>1035026888</v>
      </c>
      <c r="B7530" s="192" t="s">
        <v>5408</v>
      </c>
      <c r="C7530" s="196">
        <v>-50900</v>
      </c>
      <c r="D7530" s="196">
        <v>0</v>
      </c>
      <c r="E7530" s="196">
        <v>0</v>
      </c>
      <c r="F7530" s="196">
        <v>0</v>
      </c>
      <c r="G7530" s="196">
        <v>-50900</v>
      </c>
    </row>
    <row r="7531" spans="1:7" x14ac:dyDescent="0.3">
      <c r="A7531" s="198">
        <v>1035005304</v>
      </c>
      <c r="B7531" s="192" t="s">
        <v>5409</v>
      </c>
      <c r="C7531" s="196">
        <v>-47400</v>
      </c>
      <c r="D7531" s="196">
        <v>0</v>
      </c>
      <c r="E7531" s="196">
        <v>0</v>
      </c>
      <c r="F7531" s="196">
        <v>0</v>
      </c>
      <c r="G7531" s="196">
        <v>-47400</v>
      </c>
    </row>
    <row r="7532" spans="1:7" x14ac:dyDescent="0.3">
      <c r="A7532" s="198">
        <v>1034989894</v>
      </c>
      <c r="B7532" s="192" t="s">
        <v>5410</v>
      </c>
      <c r="C7532" s="196">
        <v>-50900</v>
      </c>
      <c r="D7532" s="196">
        <v>0</v>
      </c>
      <c r="E7532" s="196">
        <v>0</v>
      </c>
      <c r="F7532" s="196">
        <v>0</v>
      </c>
      <c r="G7532" s="196">
        <v>-50900</v>
      </c>
    </row>
    <row r="7533" spans="1:7" x14ac:dyDescent="0.3">
      <c r="A7533" s="198">
        <v>1020324129</v>
      </c>
      <c r="B7533" s="192" t="s">
        <v>5411</v>
      </c>
      <c r="C7533" s="196">
        <v>-29700</v>
      </c>
      <c r="D7533" s="196">
        <v>0</v>
      </c>
      <c r="E7533" s="196">
        <v>0</v>
      </c>
      <c r="F7533" s="196">
        <v>0</v>
      </c>
      <c r="G7533" s="196">
        <v>-29700</v>
      </c>
    </row>
    <row r="7534" spans="1:7" x14ac:dyDescent="0.3">
      <c r="A7534" s="198">
        <v>1032103235</v>
      </c>
      <c r="B7534" s="192" t="s">
        <v>5412</v>
      </c>
      <c r="C7534" s="196">
        <v>-340000</v>
      </c>
      <c r="D7534" s="196">
        <v>0</v>
      </c>
      <c r="E7534" s="196">
        <v>0</v>
      </c>
      <c r="F7534" s="196">
        <v>0</v>
      </c>
      <c r="G7534" s="196">
        <v>-340000</v>
      </c>
    </row>
    <row r="7535" spans="1:7" x14ac:dyDescent="0.3">
      <c r="A7535" s="198">
        <v>1027743062</v>
      </c>
      <c r="B7535" s="192" t="s">
        <v>5413</v>
      </c>
      <c r="C7535" s="196">
        <v>-50900</v>
      </c>
      <c r="D7535" s="196">
        <v>0</v>
      </c>
      <c r="E7535" s="196">
        <v>0</v>
      </c>
      <c r="F7535" s="196">
        <v>0</v>
      </c>
      <c r="G7535" s="196">
        <v>-50900</v>
      </c>
    </row>
    <row r="7536" spans="1:7" x14ac:dyDescent="0.3">
      <c r="A7536" s="198">
        <v>1025906615</v>
      </c>
      <c r="B7536" s="192" t="s">
        <v>1277</v>
      </c>
      <c r="C7536" s="196">
        <v>0</v>
      </c>
      <c r="D7536" s="196">
        <v>0</v>
      </c>
      <c r="E7536" s="196">
        <v>50900</v>
      </c>
      <c r="F7536" s="196">
        <v>-50900</v>
      </c>
      <c r="G7536" s="196">
        <v>-50900</v>
      </c>
    </row>
    <row r="7537" spans="1:7" x14ac:dyDescent="0.3">
      <c r="A7537" s="192" t="s">
        <v>1278</v>
      </c>
      <c r="B7537" s="192" t="s">
        <v>1279</v>
      </c>
      <c r="C7537" s="196">
        <v>-162000</v>
      </c>
      <c r="D7537" s="196">
        <v>0</v>
      </c>
      <c r="E7537" s="196">
        <v>0</v>
      </c>
      <c r="F7537" s="196">
        <v>0</v>
      </c>
      <c r="G7537" s="196">
        <v>-162000</v>
      </c>
    </row>
    <row r="7538" spans="1:7" x14ac:dyDescent="0.3">
      <c r="A7538" s="198">
        <v>1144636015</v>
      </c>
      <c r="B7538" s="192" t="s">
        <v>1280</v>
      </c>
      <c r="C7538" s="196">
        <v>0</v>
      </c>
      <c r="D7538" s="196">
        <v>0</v>
      </c>
      <c r="E7538" s="196">
        <v>50900</v>
      </c>
      <c r="F7538" s="196">
        <v>-50900</v>
      </c>
      <c r="G7538" s="196">
        <v>-50900</v>
      </c>
    </row>
    <row r="7539" spans="1:7" x14ac:dyDescent="0.3">
      <c r="A7539" s="198">
        <v>1031943677</v>
      </c>
      <c r="B7539" s="192" t="s">
        <v>5414</v>
      </c>
      <c r="C7539" s="196">
        <v>-297000</v>
      </c>
      <c r="D7539" s="196">
        <v>0</v>
      </c>
      <c r="E7539" s="196">
        <v>0</v>
      </c>
      <c r="F7539" s="196">
        <v>0</v>
      </c>
      <c r="G7539" s="196">
        <v>-297000</v>
      </c>
    </row>
    <row r="7540" spans="1:7" x14ac:dyDescent="0.3">
      <c r="A7540" s="192" t="s">
        <v>5415</v>
      </c>
      <c r="B7540" s="192" t="s">
        <v>5416</v>
      </c>
      <c r="C7540" s="196">
        <v>-207000</v>
      </c>
      <c r="D7540" s="196">
        <v>0</v>
      </c>
      <c r="E7540" s="196">
        <v>0</v>
      </c>
      <c r="F7540" s="196">
        <v>0</v>
      </c>
      <c r="G7540" s="196">
        <v>-207000</v>
      </c>
    </row>
    <row r="7541" spans="1:7" x14ac:dyDescent="0.3">
      <c r="A7541" s="198">
        <v>1027742838</v>
      </c>
      <c r="B7541" s="192" t="s">
        <v>5417</v>
      </c>
      <c r="C7541" s="196">
        <v>-297000</v>
      </c>
      <c r="D7541" s="196">
        <v>0</v>
      </c>
      <c r="E7541" s="196">
        <v>0</v>
      </c>
      <c r="F7541" s="196">
        <v>0</v>
      </c>
      <c r="G7541" s="196">
        <v>-297000</v>
      </c>
    </row>
    <row r="7542" spans="1:7" x14ac:dyDescent="0.3">
      <c r="A7542" s="198">
        <v>1017942343</v>
      </c>
      <c r="B7542" s="192" t="s">
        <v>5418</v>
      </c>
      <c r="C7542" s="196">
        <v>-101800</v>
      </c>
      <c r="D7542" s="196">
        <v>0</v>
      </c>
      <c r="E7542" s="196">
        <v>0</v>
      </c>
      <c r="F7542" s="196">
        <v>0</v>
      </c>
      <c r="G7542" s="196">
        <v>-101800</v>
      </c>
    </row>
    <row r="7543" spans="1:7" x14ac:dyDescent="0.3">
      <c r="A7543" s="192" t="s">
        <v>5419</v>
      </c>
      <c r="B7543" s="192" t="s">
        <v>5420</v>
      </c>
      <c r="C7543" s="196">
        <v>-110000</v>
      </c>
      <c r="D7543" s="196">
        <v>0</v>
      </c>
      <c r="E7543" s="196">
        <v>0</v>
      </c>
      <c r="F7543" s="196">
        <v>0</v>
      </c>
      <c r="G7543" s="196">
        <v>-110000</v>
      </c>
    </row>
    <row r="7544" spans="1:7" x14ac:dyDescent="0.3">
      <c r="A7544" s="198">
        <v>1020328405</v>
      </c>
      <c r="B7544" s="192" t="s">
        <v>5421</v>
      </c>
      <c r="C7544" s="196">
        <v>-47000</v>
      </c>
      <c r="D7544" s="196">
        <v>0</v>
      </c>
      <c r="E7544" s="196">
        <v>0</v>
      </c>
      <c r="F7544" s="196">
        <v>0</v>
      </c>
      <c r="G7544" s="196">
        <v>-47000</v>
      </c>
    </row>
    <row r="7545" spans="1:7" x14ac:dyDescent="0.3">
      <c r="A7545" s="198">
        <v>1013464579</v>
      </c>
      <c r="B7545" s="192" t="s">
        <v>5422</v>
      </c>
      <c r="C7545" s="196">
        <v>-50900</v>
      </c>
      <c r="D7545" s="196">
        <v>0</v>
      </c>
      <c r="E7545" s="196">
        <v>0</v>
      </c>
      <c r="F7545" s="196">
        <v>0</v>
      </c>
      <c r="G7545" s="196">
        <v>-50900</v>
      </c>
    </row>
    <row r="7546" spans="1:7" x14ac:dyDescent="0.3">
      <c r="A7546" s="198">
        <v>1027816654</v>
      </c>
      <c r="B7546" s="192" t="s">
        <v>5423</v>
      </c>
      <c r="C7546" s="196">
        <v>-50900</v>
      </c>
      <c r="D7546" s="196">
        <v>0</v>
      </c>
      <c r="E7546" s="196">
        <v>0</v>
      </c>
      <c r="F7546" s="196">
        <v>0</v>
      </c>
      <c r="G7546" s="196">
        <v>-50900</v>
      </c>
    </row>
    <row r="7547" spans="1:7" x14ac:dyDescent="0.3">
      <c r="A7547" s="198">
        <v>1035024277</v>
      </c>
      <c r="B7547" s="192" t="s">
        <v>5424</v>
      </c>
      <c r="C7547" s="196">
        <v>-50900</v>
      </c>
      <c r="D7547" s="196">
        <v>0</v>
      </c>
      <c r="E7547" s="196">
        <v>0</v>
      </c>
      <c r="F7547" s="196">
        <v>0</v>
      </c>
      <c r="G7547" s="196">
        <v>-50900</v>
      </c>
    </row>
    <row r="7548" spans="1:7" x14ac:dyDescent="0.3">
      <c r="A7548" s="198">
        <v>1238939460</v>
      </c>
      <c r="B7548" s="192" t="s">
        <v>5425</v>
      </c>
      <c r="C7548" s="196">
        <v>-46400</v>
      </c>
      <c r="D7548" s="196">
        <v>0</v>
      </c>
      <c r="E7548" s="196">
        <v>0</v>
      </c>
      <c r="F7548" s="196">
        <v>0</v>
      </c>
      <c r="G7548" s="196">
        <v>-46400</v>
      </c>
    </row>
    <row r="7549" spans="1:7" x14ac:dyDescent="0.3">
      <c r="A7549" s="198">
        <v>526838</v>
      </c>
      <c r="B7549" s="192" t="s">
        <v>5426</v>
      </c>
      <c r="C7549" s="196">
        <v>-50900</v>
      </c>
      <c r="D7549" s="196">
        <v>0</v>
      </c>
      <c r="E7549" s="196">
        <v>0</v>
      </c>
      <c r="F7549" s="196">
        <v>0</v>
      </c>
      <c r="G7549" s="196">
        <v>-50900</v>
      </c>
    </row>
    <row r="7550" spans="1:7" x14ac:dyDescent="0.3">
      <c r="A7550" s="198">
        <v>42121196</v>
      </c>
      <c r="B7550" s="192" t="s">
        <v>5427</v>
      </c>
      <c r="C7550" s="196">
        <v>-42000</v>
      </c>
      <c r="D7550" s="196">
        <v>0</v>
      </c>
      <c r="E7550" s="196">
        <v>0</v>
      </c>
      <c r="F7550" s="196">
        <v>0</v>
      </c>
      <c r="G7550" s="196">
        <v>-42000</v>
      </c>
    </row>
    <row r="7551" spans="1:7" x14ac:dyDescent="0.3">
      <c r="A7551" s="198">
        <v>22807623</v>
      </c>
      <c r="B7551" s="192" t="s">
        <v>5428</v>
      </c>
      <c r="C7551" s="196">
        <v>-270000</v>
      </c>
      <c r="D7551" s="196">
        <v>0</v>
      </c>
      <c r="E7551" s="196">
        <v>0</v>
      </c>
      <c r="F7551" s="196">
        <v>0</v>
      </c>
      <c r="G7551" s="196">
        <v>-270000</v>
      </c>
    </row>
    <row r="7552" spans="1:7" x14ac:dyDescent="0.3">
      <c r="A7552" s="198">
        <v>1110577361</v>
      </c>
      <c r="B7552" s="192" t="s">
        <v>1281</v>
      </c>
      <c r="C7552" s="196">
        <v>0</v>
      </c>
      <c r="D7552" s="196">
        <v>0</v>
      </c>
      <c r="E7552" s="196">
        <v>319000</v>
      </c>
      <c r="F7552" s="196">
        <v>-319000</v>
      </c>
      <c r="G7552" s="196">
        <v>-319000</v>
      </c>
    </row>
    <row r="7553" spans="1:7" x14ac:dyDescent="0.3">
      <c r="A7553" s="198">
        <v>1031949541</v>
      </c>
      <c r="B7553" s="192" t="s">
        <v>5429</v>
      </c>
      <c r="C7553" s="196">
        <v>-50900</v>
      </c>
      <c r="D7553" s="196">
        <v>0</v>
      </c>
      <c r="E7553" s="196">
        <v>0</v>
      </c>
      <c r="F7553" s="196">
        <v>0</v>
      </c>
      <c r="G7553" s="196">
        <v>-50900</v>
      </c>
    </row>
    <row r="7554" spans="1:7" x14ac:dyDescent="0.3">
      <c r="A7554" s="198">
        <v>43035613</v>
      </c>
      <c r="B7554" s="192" t="s">
        <v>1282</v>
      </c>
      <c r="C7554" s="196">
        <v>0</v>
      </c>
      <c r="D7554" s="196">
        <v>0</v>
      </c>
      <c r="E7554" s="196">
        <v>50900</v>
      </c>
      <c r="F7554" s="196">
        <v>-50900</v>
      </c>
      <c r="G7554" s="196">
        <v>-50900</v>
      </c>
    </row>
    <row r="7555" spans="1:7" x14ac:dyDescent="0.3">
      <c r="A7555" s="198">
        <v>51686258</v>
      </c>
      <c r="B7555" s="192" t="s">
        <v>5430</v>
      </c>
      <c r="C7555" s="196">
        <v>-36600</v>
      </c>
      <c r="D7555" s="196">
        <v>0</v>
      </c>
      <c r="E7555" s="196">
        <v>0</v>
      </c>
      <c r="F7555" s="196">
        <v>0</v>
      </c>
      <c r="G7555" s="196">
        <v>-36600</v>
      </c>
    </row>
    <row r="7556" spans="1:7" x14ac:dyDescent="0.3">
      <c r="A7556" s="198">
        <v>1020413375</v>
      </c>
      <c r="B7556" s="192" t="s">
        <v>5431</v>
      </c>
      <c r="C7556" s="196">
        <v>-152700</v>
      </c>
      <c r="D7556" s="196">
        <v>0</v>
      </c>
      <c r="E7556" s="196">
        <v>0</v>
      </c>
      <c r="F7556" s="196">
        <v>0</v>
      </c>
      <c r="G7556" s="196">
        <v>-152700</v>
      </c>
    </row>
    <row r="7557" spans="1:7" x14ac:dyDescent="0.3">
      <c r="A7557" s="198">
        <v>39383445</v>
      </c>
      <c r="B7557" s="192" t="s">
        <v>5432</v>
      </c>
      <c r="C7557" s="196">
        <v>-54200</v>
      </c>
      <c r="D7557" s="196">
        <v>0</v>
      </c>
      <c r="E7557" s="196">
        <v>0</v>
      </c>
      <c r="F7557" s="196">
        <v>0</v>
      </c>
      <c r="G7557" s="196">
        <v>-54200</v>
      </c>
    </row>
    <row r="7558" spans="1:7" x14ac:dyDescent="0.3">
      <c r="A7558" s="198">
        <v>21353651</v>
      </c>
      <c r="B7558" s="192" t="s">
        <v>5433</v>
      </c>
      <c r="C7558" s="196">
        <v>-41400</v>
      </c>
      <c r="D7558" s="196">
        <v>0</v>
      </c>
      <c r="E7558" s="196">
        <v>0</v>
      </c>
      <c r="F7558" s="196">
        <v>0</v>
      </c>
      <c r="G7558" s="196">
        <v>-41400</v>
      </c>
    </row>
    <row r="7559" spans="1:7" x14ac:dyDescent="0.3">
      <c r="A7559" s="198">
        <v>32484181</v>
      </c>
      <c r="B7559" s="192" t="s">
        <v>5434</v>
      </c>
      <c r="C7559" s="196">
        <v>-100000</v>
      </c>
      <c r="D7559" s="196">
        <v>0</v>
      </c>
      <c r="E7559" s="196">
        <v>0</v>
      </c>
      <c r="F7559" s="196">
        <v>0</v>
      </c>
      <c r="G7559" s="196">
        <v>-100000</v>
      </c>
    </row>
    <row r="7560" spans="1:7" x14ac:dyDescent="0.3">
      <c r="A7560" s="198">
        <v>32484859</v>
      </c>
      <c r="B7560" s="192" t="s">
        <v>5435</v>
      </c>
      <c r="C7560" s="196">
        <v>-228800</v>
      </c>
      <c r="D7560" s="196">
        <v>0</v>
      </c>
      <c r="E7560" s="196">
        <v>0</v>
      </c>
      <c r="F7560" s="196">
        <v>0</v>
      </c>
      <c r="G7560" s="196">
        <v>-228800</v>
      </c>
    </row>
    <row r="7561" spans="1:7" x14ac:dyDescent="0.3">
      <c r="A7561" s="198">
        <v>43875475</v>
      </c>
      <c r="B7561" s="192" t="s">
        <v>5436</v>
      </c>
      <c r="C7561" s="196">
        <v>-50900</v>
      </c>
      <c r="D7561" s="196">
        <v>0</v>
      </c>
      <c r="E7561" s="196">
        <v>0</v>
      </c>
      <c r="F7561" s="196">
        <v>0</v>
      </c>
      <c r="G7561" s="196">
        <v>-50900</v>
      </c>
    </row>
    <row r="7562" spans="1:7" x14ac:dyDescent="0.3">
      <c r="A7562" s="198">
        <v>32541008010</v>
      </c>
      <c r="B7562" s="192" t="s">
        <v>5437</v>
      </c>
      <c r="C7562" s="196">
        <v>-247000</v>
      </c>
      <c r="D7562" s="196">
        <v>0</v>
      </c>
      <c r="E7562" s="196">
        <v>0</v>
      </c>
      <c r="F7562" s="196">
        <v>0</v>
      </c>
      <c r="G7562" s="196">
        <v>-247000</v>
      </c>
    </row>
    <row r="7563" spans="1:7" x14ac:dyDescent="0.3">
      <c r="A7563" s="198">
        <v>1090455094</v>
      </c>
      <c r="B7563" s="192" t="s">
        <v>5438</v>
      </c>
      <c r="C7563" s="196">
        <v>-41400</v>
      </c>
      <c r="D7563" s="196">
        <v>0</v>
      </c>
      <c r="E7563" s="196">
        <v>0</v>
      </c>
      <c r="F7563" s="196">
        <v>0</v>
      </c>
      <c r="G7563" s="196">
        <v>-41400</v>
      </c>
    </row>
    <row r="7564" spans="1:7" x14ac:dyDescent="0.3">
      <c r="A7564" s="198">
        <v>43723842</v>
      </c>
      <c r="B7564" s="192" t="s">
        <v>1284</v>
      </c>
      <c r="C7564" s="196">
        <v>0</v>
      </c>
      <c r="D7564" s="196">
        <v>0</v>
      </c>
      <c r="E7564" s="196">
        <v>57200</v>
      </c>
      <c r="F7564" s="196">
        <v>-57200</v>
      </c>
      <c r="G7564" s="196">
        <v>-57200</v>
      </c>
    </row>
    <row r="7565" spans="1:7" x14ac:dyDescent="0.3">
      <c r="A7565" s="198">
        <v>43050759</v>
      </c>
      <c r="B7565" s="192" t="s">
        <v>5439</v>
      </c>
      <c r="C7565" s="196">
        <v>-50900</v>
      </c>
      <c r="D7565" s="196">
        <v>0</v>
      </c>
      <c r="E7565" s="196">
        <v>0</v>
      </c>
      <c r="F7565" s="196">
        <v>0</v>
      </c>
      <c r="G7565" s="196">
        <v>-50900</v>
      </c>
    </row>
    <row r="7566" spans="1:7" x14ac:dyDescent="0.3">
      <c r="A7566" s="198">
        <v>24334666</v>
      </c>
      <c r="B7566" s="192" t="s">
        <v>5440</v>
      </c>
      <c r="C7566" s="196">
        <v>-50900</v>
      </c>
      <c r="D7566" s="196">
        <v>0</v>
      </c>
      <c r="E7566" s="196">
        <v>0</v>
      </c>
      <c r="F7566" s="196">
        <v>0</v>
      </c>
      <c r="G7566" s="196">
        <v>-50900</v>
      </c>
    </row>
    <row r="7567" spans="1:7" x14ac:dyDescent="0.3">
      <c r="A7567" s="198">
        <v>43615582</v>
      </c>
      <c r="B7567" s="192" t="s">
        <v>5441</v>
      </c>
      <c r="C7567" s="196">
        <v>-50900</v>
      </c>
      <c r="D7567" s="196">
        <v>0</v>
      </c>
      <c r="E7567" s="196">
        <v>0</v>
      </c>
      <c r="F7567" s="196">
        <v>0</v>
      </c>
      <c r="G7567" s="196">
        <v>-50900</v>
      </c>
    </row>
    <row r="7568" spans="1:7" x14ac:dyDescent="0.3">
      <c r="A7568" s="198">
        <v>1013584657</v>
      </c>
      <c r="B7568" s="192" t="s">
        <v>5442</v>
      </c>
      <c r="C7568" s="196">
        <v>-165000</v>
      </c>
      <c r="D7568" s="196">
        <v>0</v>
      </c>
      <c r="E7568" s="196">
        <v>0</v>
      </c>
      <c r="F7568" s="196">
        <v>0</v>
      </c>
      <c r="G7568" s="196">
        <v>-165000</v>
      </c>
    </row>
    <row r="7569" spans="1:7" x14ac:dyDescent="0.3">
      <c r="A7569" s="198">
        <v>43828409</v>
      </c>
      <c r="B7569" s="192" t="s">
        <v>5443</v>
      </c>
      <c r="C7569" s="196">
        <v>-207900</v>
      </c>
      <c r="D7569" s="196">
        <v>0</v>
      </c>
      <c r="E7569" s="196">
        <v>0</v>
      </c>
      <c r="F7569" s="196">
        <v>0</v>
      </c>
      <c r="G7569" s="196">
        <v>-207900</v>
      </c>
    </row>
    <row r="7570" spans="1:7" x14ac:dyDescent="0.3">
      <c r="A7570" s="198">
        <v>1017137090</v>
      </c>
      <c r="B7570" s="192" t="s">
        <v>5444</v>
      </c>
      <c r="C7570" s="196">
        <v>-148500</v>
      </c>
      <c r="D7570" s="196">
        <v>0</v>
      </c>
      <c r="E7570" s="196">
        <v>0</v>
      </c>
      <c r="F7570" s="196">
        <v>0</v>
      </c>
      <c r="G7570" s="196">
        <v>-148500</v>
      </c>
    </row>
    <row r="7571" spans="1:7" x14ac:dyDescent="0.3">
      <c r="A7571" s="198">
        <v>39200926</v>
      </c>
      <c r="B7571" s="192" t="s">
        <v>5445</v>
      </c>
      <c r="C7571" s="196">
        <v>-319000</v>
      </c>
      <c r="D7571" s="196">
        <v>0</v>
      </c>
      <c r="E7571" s="196">
        <v>0</v>
      </c>
      <c r="F7571" s="196">
        <v>0</v>
      </c>
      <c r="G7571" s="196">
        <v>-319000</v>
      </c>
    </row>
    <row r="7572" spans="1:7" x14ac:dyDescent="0.3">
      <c r="A7572" s="198">
        <v>1037644880</v>
      </c>
      <c r="B7572" s="192" t="s">
        <v>5446</v>
      </c>
      <c r="C7572" s="196">
        <v>-50900</v>
      </c>
      <c r="D7572" s="196">
        <v>0</v>
      </c>
      <c r="E7572" s="196">
        <v>0</v>
      </c>
      <c r="F7572" s="196">
        <v>0</v>
      </c>
      <c r="G7572" s="196">
        <v>-50900</v>
      </c>
    </row>
    <row r="7573" spans="1:7" x14ac:dyDescent="0.3">
      <c r="A7573" s="198">
        <v>32240584</v>
      </c>
      <c r="B7573" s="192" t="s">
        <v>1285</v>
      </c>
      <c r="C7573" s="196">
        <v>0</v>
      </c>
      <c r="D7573" s="196">
        <v>0</v>
      </c>
      <c r="E7573" s="196">
        <v>53000</v>
      </c>
      <c r="F7573" s="196">
        <v>-53000</v>
      </c>
      <c r="G7573" s="196">
        <v>-53000</v>
      </c>
    </row>
    <row r="7574" spans="1:7" x14ac:dyDescent="0.3">
      <c r="A7574" s="198">
        <v>1140848969</v>
      </c>
      <c r="B7574" s="192" t="s">
        <v>5447</v>
      </c>
      <c r="C7574" s="196">
        <v>-50900</v>
      </c>
      <c r="D7574" s="196">
        <v>0</v>
      </c>
      <c r="E7574" s="196">
        <v>0</v>
      </c>
      <c r="F7574" s="196">
        <v>0</v>
      </c>
      <c r="G7574" s="196">
        <v>-50900</v>
      </c>
    </row>
    <row r="7575" spans="1:7" x14ac:dyDescent="0.3">
      <c r="A7575" s="198">
        <v>1041230155</v>
      </c>
      <c r="B7575" s="192" t="s">
        <v>5448</v>
      </c>
      <c r="C7575" s="196">
        <v>-38100</v>
      </c>
      <c r="D7575" s="196">
        <v>0</v>
      </c>
      <c r="E7575" s="196">
        <v>0</v>
      </c>
      <c r="F7575" s="196">
        <v>0</v>
      </c>
      <c r="G7575" s="196">
        <v>-38100</v>
      </c>
    </row>
    <row r="7576" spans="1:7" x14ac:dyDescent="0.3">
      <c r="A7576" s="198">
        <v>43614107</v>
      </c>
      <c r="B7576" s="192" t="s">
        <v>5449</v>
      </c>
      <c r="C7576" s="196">
        <v>-50900</v>
      </c>
      <c r="D7576" s="196">
        <v>0</v>
      </c>
      <c r="E7576" s="196">
        <v>0</v>
      </c>
      <c r="F7576" s="196">
        <v>0</v>
      </c>
      <c r="G7576" s="196">
        <v>-50900</v>
      </c>
    </row>
    <row r="7577" spans="1:7" x14ac:dyDescent="0.3">
      <c r="A7577" s="198">
        <v>42102579</v>
      </c>
      <c r="B7577" s="192" t="s">
        <v>5450</v>
      </c>
      <c r="C7577" s="196">
        <v>-165000</v>
      </c>
      <c r="D7577" s="196">
        <v>0</v>
      </c>
      <c r="E7577" s="196">
        <v>0</v>
      </c>
      <c r="F7577" s="196">
        <v>0</v>
      </c>
      <c r="G7577" s="196">
        <v>-165000</v>
      </c>
    </row>
    <row r="7578" spans="1:7" x14ac:dyDescent="0.3">
      <c r="A7578" s="198">
        <v>43559136</v>
      </c>
      <c r="B7578" s="192" t="s">
        <v>5451</v>
      </c>
      <c r="C7578" s="196">
        <v>-50900</v>
      </c>
      <c r="D7578" s="196">
        <v>0</v>
      </c>
      <c r="E7578" s="196">
        <v>0</v>
      </c>
      <c r="F7578" s="196">
        <v>0</v>
      </c>
      <c r="G7578" s="196">
        <v>-50900</v>
      </c>
    </row>
    <row r="7579" spans="1:7" x14ac:dyDescent="0.3">
      <c r="A7579" s="198">
        <v>43874227</v>
      </c>
      <c r="B7579" s="192" t="s">
        <v>5452</v>
      </c>
      <c r="C7579" s="196">
        <v>-50900</v>
      </c>
      <c r="D7579" s="196">
        <v>0</v>
      </c>
      <c r="E7579" s="196">
        <v>0</v>
      </c>
      <c r="F7579" s="196">
        <v>0</v>
      </c>
      <c r="G7579" s="196">
        <v>-50900</v>
      </c>
    </row>
    <row r="7580" spans="1:7" x14ac:dyDescent="0.3">
      <c r="A7580" s="198">
        <v>39441296</v>
      </c>
      <c r="B7580" s="192" t="s">
        <v>5453</v>
      </c>
      <c r="C7580" s="196">
        <v>-57200</v>
      </c>
      <c r="D7580" s="196">
        <v>0</v>
      </c>
      <c r="E7580" s="196">
        <v>0</v>
      </c>
      <c r="F7580" s="196">
        <v>0</v>
      </c>
      <c r="G7580" s="196">
        <v>-57200</v>
      </c>
    </row>
    <row r="7581" spans="1:7" x14ac:dyDescent="0.3">
      <c r="A7581" s="198">
        <v>43626678</v>
      </c>
      <c r="B7581" s="192" t="s">
        <v>5454</v>
      </c>
      <c r="C7581" s="196">
        <v>-47400</v>
      </c>
      <c r="D7581" s="196">
        <v>0</v>
      </c>
      <c r="E7581" s="196">
        <v>0</v>
      </c>
      <c r="F7581" s="196">
        <v>0</v>
      </c>
      <c r="G7581" s="196">
        <v>-47400</v>
      </c>
    </row>
    <row r="7582" spans="1:7" x14ac:dyDescent="0.3">
      <c r="A7582" s="198">
        <v>32531910</v>
      </c>
      <c r="B7582" s="192" t="s">
        <v>5455</v>
      </c>
      <c r="C7582" s="196">
        <v>-50900</v>
      </c>
      <c r="D7582" s="196">
        <v>0</v>
      </c>
      <c r="E7582" s="196">
        <v>0</v>
      </c>
      <c r="F7582" s="196">
        <v>0</v>
      </c>
      <c r="G7582" s="196">
        <v>-50900</v>
      </c>
    </row>
    <row r="7583" spans="1:7" x14ac:dyDescent="0.3">
      <c r="A7583" s="198">
        <v>42786623</v>
      </c>
      <c r="B7583" s="192" t="s">
        <v>5456</v>
      </c>
      <c r="C7583" s="196">
        <v>-50900</v>
      </c>
      <c r="D7583" s="196">
        <v>0</v>
      </c>
      <c r="E7583" s="196">
        <v>0</v>
      </c>
      <c r="F7583" s="196">
        <v>0</v>
      </c>
      <c r="G7583" s="196">
        <v>-50900</v>
      </c>
    </row>
    <row r="7584" spans="1:7" x14ac:dyDescent="0.3">
      <c r="A7584" s="198">
        <v>30724343</v>
      </c>
      <c r="B7584" s="192" t="s">
        <v>5457</v>
      </c>
      <c r="C7584" s="196">
        <v>-43900</v>
      </c>
      <c r="D7584" s="196">
        <v>0</v>
      </c>
      <c r="E7584" s="196">
        <v>0</v>
      </c>
      <c r="F7584" s="196">
        <v>0</v>
      </c>
      <c r="G7584" s="196">
        <v>-43900</v>
      </c>
    </row>
    <row r="7585" spans="1:7" x14ac:dyDescent="0.3">
      <c r="A7585" s="198">
        <v>1152442078</v>
      </c>
      <c r="B7585" s="192" t="s">
        <v>5458</v>
      </c>
      <c r="C7585" s="196">
        <v>-50900</v>
      </c>
      <c r="D7585" s="196">
        <v>0</v>
      </c>
      <c r="E7585" s="196">
        <v>0</v>
      </c>
      <c r="F7585" s="196">
        <v>0</v>
      </c>
      <c r="G7585" s="196">
        <v>-50900</v>
      </c>
    </row>
    <row r="7586" spans="1:7" x14ac:dyDescent="0.3">
      <c r="A7586" s="198">
        <v>43221291</v>
      </c>
      <c r="B7586" s="192" t="s">
        <v>5459</v>
      </c>
      <c r="C7586" s="196">
        <v>-50900</v>
      </c>
      <c r="D7586" s="196">
        <v>0</v>
      </c>
      <c r="E7586" s="196">
        <v>0</v>
      </c>
      <c r="F7586" s="196">
        <v>0</v>
      </c>
      <c r="G7586" s="196">
        <v>-50900</v>
      </c>
    </row>
    <row r="7587" spans="1:7" x14ac:dyDescent="0.3">
      <c r="A7587" s="198">
        <v>1023595625</v>
      </c>
      <c r="B7587" s="192" t="s">
        <v>5460</v>
      </c>
      <c r="C7587" s="196">
        <v>-50900</v>
      </c>
      <c r="D7587" s="196">
        <v>0</v>
      </c>
      <c r="E7587" s="196">
        <v>0</v>
      </c>
      <c r="F7587" s="196">
        <v>0</v>
      </c>
      <c r="G7587" s="196">
        <v>-50900</v>
      </c>
    </row>
    <row r="7588" spans="1:7" x14ac:dyDescent="0.3">
      <c r="A7588" s="198">
        <v>1035012305</v>
      </c>
      <c r="B7588" s="192" t="s">
        <v>1287</v>
      </c>
      <c r="C7588" s="196">
        <v>0</v>
      </c>
      <c r="D7588" s="196">
        <v>0</v>
      </c>
      <c r="E7588" s="196">
        <v>50900</v>
      </c>
      <c r="F7588" s="196">
        <v>-50900</v>
      </c>
      <c r="G7588" s="196">
        <v>-50900</v>
      </c>
    </row>
    <row r="7589" spans="1:7" x14ac:dyDescent="0.3">
      <c r="A7589" s="198">
        <v>42960843</v>
      </c>
      <c r="B7589" s="192" t="s">
        <v>5461</v>
      </c>
      <c r="C7589" s="196">
        <v>-178200</v>
      </c>
      <c r="D7589" s="196">
        <v>0</v>
      </c>
      <c r="E7589" s="196">
        <v>0</v>
      </c>
      <c r="F7589" s="196">
        <v>0</v>
      </c>
      <c r="G7589" s="196">
        <v>-178200</v>
      </c>
    </row>
    <row r="7590" spans="1:7" x14ac:dyDescent="0.3">
      <c r="A7590" s="192" t="s">
        <v>5462</v>
      </c>
      <c r="B7590" s="192" t="s">
        <v>5463</v>
      </c>
      <c r="C7590" s="196">
        <v>-110000</v>
      </c>
      <c r="D7590" s="196">
        <v>0</v>
      </c>
      <c r="E7590" s="196">
        <v>0</v>
      </c>
      <c r="F7590" s="196">
        <v>0</v>
      </c>
      <c r="G7590" s="196">
        <v>-110000</v>
      </c>
    </row>
    <row r="7591" spans="1:7" x14ac:dyDescent="0.3">
      <c r="A7591" s="198">
        <v>1015198362</v>
      </c>
      <c r="B7591" s="192" t="s">
        <v>1288</v>
      </c>
      <c r="C7591" s="196">
        <v>0</v>
      </c>
      <c r="D7591" s="196">
        <v>0</v>
      </c>
      <c r="E7591" s="196">
        <v>51200</v>
      </c>
      <c r="F7591" s="196">
        <v>-51200</v>
      </c>
      <c r="G7591" s="196">
        <v>-51200</v>
      </c>
    </row>
    <row r="7592" spans="1:7" x14ac:dyDescent="0.3">
      <c r="A7592" s="198">
        <v>30346175</v>
      </c>
      <c r="B7592" s="192" t="s">
        <v>5464</v>
      </c>
      <c r="C7592" s="196">
        <v>-319000</v>
      </c>
      <c r="D7592" s="196">
        <v>0</v>
      </c>
      <c r="E7592" s="196">
        <v>0</v>
      </c>
      <c r="F7592" s="196">
        <v>0</v>
      </c>
      <c r="G7592" s="196">
        <v>-319000</v>
      </c>
    </row>
    <row r="7593" spans="1:7" x14ac:dyDescent="0.3">
      <c r="A7593" s="198">
        <v>49758618</v>
      </c>
      <c r="B7593" s="192" t="s">
        <v>5465</v>
      </c>
      <c r="C7593" s="196">
        <v>-29700</v>
      </c>
      <c r="D7593" s="196">
        <v>0</v>
      </c>
      <c r="E7593" s="196">
        <v>0</v>
      </c>
      <c r="F7593" s="196">
        <v>0</v>
      </c>
      <c r="G7593" s="196">
        <v>-29700</v>
      </c>
    </row>
    <row r="7594" spans="1:7" x14ac:dyDescent="0.3">
      <c r="A7594" s="198">
        <v>1015080199</v>
      </c>
      <c r="B7594" s="192" t="s">
        <v>5466</v>
      </c>
      <c r="C7594" s="196">
        <v>-50900</v>
      </c>
      <c r="D7594" s="196">
        <v>0</v>
      </c>
      <c r="E7594" s="196">
        <v>0</v>
      </c>
      <c r="F7594" s="196">
        <v>0</v>
      </c>
      <c r="G7594" s="196">
        <v>-50900</v>
      </c>
    </row>
    <row r="7595" spans="1:7" x14ac:dyDescent="0.3">
      <c r="A7595" s="198">
        <v>64546385</v>
      </c>
      <c r="B7595" s="192" t="s">
        <v>5467</v>
      </c>
      <c r="C7595" s="196">
        <v>-297000</v>
      </c>
      <c r="D7595" s="196">
        <v>0</v>
      </c>
      <c r="E7595" s="196">
        <v>0</v>
      </c>
      <c r="F7595" s="196">
        <v>0</v>
      </c>
      <c r="G7595" s="196">
        <v>-297000</v>
      </c>
    </row>
    <row r="7596" spans="1:7" x14ac:dyDescent="0.3">
      <c r="A7596" s="198">
        <v>32242070</v>
      </c>
      <c r="B7596" s="192" t="s">
        <v>1289</v>
      </c>
      <c r="C7596" s="196">
        <v>-215900</v>
      </c>
      <c r="D7596" s="196">
        <v>0</v>
      </c>
      <c r="E7596" s="196">
        <v>165000</v>
      </c>
      <c r="F7596" s="196">
        <v>-165000</v>
      </c>
      <c r="G7596" s="196">
        <v>-380900</v>
      </c>
    </row>
    <row r="7597" spans="1:7" x14ac:dyDescent="0.3">
      <c r="A7597" s="198">
        <v>1037601014</v>
      </c>
      <c r="B7597" s="192" t="s">
        <v>1290</v>
      </c>
      <c r="C7597" s="196">
        <v>-275000</v>
      </c>
      <c r="D7597" s="196">
        <v>0</v>
      </c>
      <c r="E7597" s="196">
        <v>0</v>
      </c>
      <c r="F7597" s="196">
        <v>0</v>
      </c>
      <c r="G7597" s="196">
        <v>-275000</v>
      </c>
    </row>
    <row r="7598" spans="1:7" x14ac:dyDescent="0.3">
      <c r="A7598" s="198">
        <v>40332845</v>
      </c>
      <c r="B7598" s="192" t="s">
        <v>140</v>
      </c>
      <c r="C7598" s="196">
        <v>-297000</v>
      </c>
      <c r="D7598" s="196">
        <v>0</v>
      </c>
      <c r="E7598" s="196">
        <v>0</v>
      </c>
      <c r="F7598" s="196">
        <v>0</v>
      </c>
      <c r="G7598" s="196">
        <v>-297000</v>
      </c>
    </row>
    <row r="7599" spans="1:7" x14ac:dyDescent="0.3">
      <c r="A7599" s="198">
        <v>1035017146</v>
      </c>
      <c r="B7599" s="192" t="s">
        <v>5468</v>
      </c>
      <c r="C7599" s="196">
        <v>-41400</v>
      </c>
      <c r="D7599" s="196">
        <v>0</v>
      </c>
      <c r="E7599" s="196">
        <v>0</v>
      </c>
      <c r="F7599" s="196">
        <v>0</v>
      </c>
      <c r="G7599" s="196">
        <v>-41400</v>
      </c>
    </row>
    <row r="7600" spans="1:7" x14ac:dyDescent="0.3">
      <c r="A7600" s="198">
        <v>39444328</v>
      </c>
      <c r="B7600" s="192" t="s">
        <v>5469</v>
      </c>
      <c r="C7600" s="196">
        <v>-297000</v>
      </c>
      <c r="D7600" s="196">
        <v>0</v>
      </c>
      <c r="E7600" s="196">
        <v>0</v>
      </c>
      <c r="F7600" s="196">
        <v>0</v>
      </c>
      <c r="G7600" s="196">
        <v>-297000</v>
      </c>
    </row>
    <row r="7601" spans="1:7" x14ac:dyDescent="0.3">
      <c r="A7601" s="198">
        <v>43600849</v>
      </c>
      <c r="B7601" s="192" t="s">
        <v>1291</v>
      </c>
      <c r="C7601" s="196">
        <v>-152700</v>
      </c>
      <c r="D7601" s="196">
        <v>0</v>
      </c>
      <c r="E7601" s="196">
        <v>101800</v>
      </c>
      <c r="F7601" s="196">
        <v>-101800</v>
      </c>
      <c r="G7601" s="196">
        <v>-254500</v>
      </c>
    </row>
    <row r="7602" spans="1:7" x14ac:dyDescent="0.3">
      <c r="A7602" s="198">
        <v>38437546</v>
      </c>
      <c r="B7602" s="192" t="s">
        <v>5470</v>
      </c>
      <c r="C7602" s="196">
        <v>-50900</v>
      </c>
      <c r="D7602" s="196">
        <v>0</v>
      </c>
      <c r="E7602" s="196">
        <v>0</v>
      </c>
      <c r="F7602" s="196">
        <v>0</v>
      </c>
      <c r="G7602" s="196">
        <v>-50900</v>
      </c>
    </row>
    <row r="7603" spans="1:7" x14ac:dyDescent="0.3">
      <c r="A7603" s="198">
        <v>65768484</v>
      </c>
      <c r="B7603" s="192" t="s">
        <v>5471</v>
      </c>
      <c r="C7603" s="196">
        <v>-36600</v>
      </c>
      <c r="D7603" s="196">
        <v>0</v>
      </c>
      <c r="E7603" s="196">
        <v>0</v>
      </c>
      <c r="F7603" s="196">
        <v>0</v>
      </c>
      <c r="G7603" s="196">
        <v>-36600</v>
      </c>
    </row>
    <row r="7604" spans="1:7" x14ac:dyDescent="0.3">
      <c r="A7604" s="198">
        <v>43576492</v>
      </c>
      <c r="B7604" s="192" t="s">
        <v>5472</v>
      </c>
      <c r="C7604" s="196">
        <v>-98300</v>
      </c>
      <c r="D7604" s="196">
        <v>0</v>
      </c>
      <c r="E7604" s="196">
        <v>0</v>
      </c>
      <c r="F7604" s="196">
        <v>0</v>
      </c>
      <c r="G7604" s="196">
        <v>-98300</v>
      </c>
    </row>
    <row r="7605" spans="1:7" x14ac:dyDescent="0.3">
      <c r="A7605" s="198">
        <v>41671782</v>
      </c>
      <c r="B7605" s="192" t="s">
        <v>1292</v>
      </c>
      <c r="C7605" s="196">
        <v>-50900</v>
      </c>
      <c r="D7605" s="196">
        <v>0</v>
      </c>
      <c r="E7605" s="196">
        <v>50900</v>
      </c>
      <c r="F7605" s="196">
        <v>-50900</v>
      </c>
      <c r="G7605" s="196">
        <v>-101800</v>
      </c>
    </row>
    <row r="7606" spans="1:7" x14ac:dyDescent="0.3">
      <c r="A7606" s="198">
        <v>31247760</v>
      </c>
      <c r="B7606" s="192" t="s">
        <v>1293</v>
      </c>
      <c r="C7606" s="196">
        <v>-82800</v>
      </c>
      <c r="D7606" s="196">
        <v>0</v>
      </c>
      <c r="E7606" s="196">
        <v>0</v>
      </c>
      <c r="F7606" s="196">
        <v>0</v>
      </c>
      <c r="G7606" s="196">
        <v>-82800</v>
      </c>
    </row>
    <row r="7607" spans="1:7" x14ac:dyDescent="0.3">
      <c r="A7607" s="192" t="s">
        <v>5473</v>
      </c>
      <c r="B7607" s="192" t="s">
        <v>5474</v>
      </c>
      <c r="C7607" s="196">
        <v>-110000</v>
      </c>
      <c r="D7607" s="196">
        <v>0</v>
      </c>
      <c r="E7607" s="196">
        <v>0</v>
      </c>
      <c r="F7607" s="196">
        <v>0</v>
      </c>
      <c r="G7607" s="196">
        <v>-110000</v>
      </c>
    </row>
    <row r="7608" spans="1:7" x14ac:dyDescent="0.3">
      <c r="A7608" s="198">
        <v>22810174</v>
      </c>
      <c r="B7608" s="192" t="s">
        <v>5475</v>
      </c>
      <c r="C7608" s="196">
        <v>-380000</v>
      </c>
      <c r="D7608" s="196">
        <v>0</v>
      </c>
      <c r="E7608" s="196">
        <v>0</v>
      </c>
      <c r="F7608" s="196">
        <v>0</v>
      </c>
      <c r="G7608" s="196">
        <v>-380000</v>
      </c>
    </row>
    <row r="7609" spans="1:7" x14ac:dyDescent="0.3">
      <c r="A7609" s="198">
        <v>1033339517</v>
      </c>
      <c r="B7609" s="192" t="s">
        <v>5476</v>
      </c>
      <c r="C7609" s="196">
        <v>-319000</v>
      </c>
      <c r="D7609" s="196">
        <v>0</v>
      </c>
      <c r="E7609" s="196">
        <v>0</v>
      </c>
      <c r="F7609" s="196">
        <v>0</v>
      </c>
      <c r="G7609" s="196">
        <v>-319000</v>
      </c>
    </row>
    <row r="7610" spans="1:7" x14ac:dyDescent="0.3">
      <c r="A7610" s="198">
        <v>30649216</v>
      </c>
      <c r="B7610" s="192" t="s">
        <v>5477</v>
      </c>
      <c r="C7610" s="196">
        <v>-319000</v>
      </c>
      <c r="D7610" s="196">
        <v>0</v>
      </c>
      <c r="E7610" s="196">
        <v>0</v>
      </c>
      <c r="F7610" s="196">
        <v>0</v>
      </c>
      <c r="G7610" s="196">
        <v>-319000</v>
      </c>
    </row>
    <row r="7611" spans="1:7" x14ac:dyDescent="0.3">
      <c r="A7611" s="198">
        <v>1037590220</v>
      </c>
      <c r="B7611" s="192" t="s">
        <v>5478</v>
      </c>
      <c r="C7611" s="196">
        <v>-149200</v>
      </c>
      <c r="D7611" s="196">
        <v>0</v>
      </c>
      <c r="E7611" s="196">
        <v>0</v>
      </c>
      <c r="F7611" s="196">
        <v>0</v>
      </c>
      <c r="G7611" s="196">
        <v>-149200</v>
      </c>
    </row>
    <row r="7612" spans="1:7" x14ac:dyDescent="0.3">
      <c r="A7612" s="198">
        <v>1152435044</v>
      </c>
      <c r="B7612" s="192" t="s">
        <v>5479</v>
      </c>
      <c r="C7612" s="196">
        <v>-270000</v>
      </c>
      <c r="D7612" s="196">
        <v>0</v>
      </c>
      <c r="E7612" s="196">
        <v>0</v>
      </c>
      <c r="F7612" s="196">
        <v>0</v>
      </c>
      <c r="G7612" s="196">
        <v>-270000</v>
      </c>
    </row>
    <row r="7613" spans="1:7" x14ac:dyDescent="0.3">
      <c r="A7613" s="198">
        <v>43261673</v>
      </c>
      <c r="B7613" s="192" t="s">
        <v>5480</v>
      </c>
      <c r="C7613" s="196">
        <v>-389000</v>
      </c>
      <c r="D7613" s="196">
        <v>0</v>
      </c>
      <c r="E7613" s="196">
        <v>0</v>
      </c>
      <c r="F7613" s="196">
        <v>0</v>
      </c>
      <c r="G7613" s="196">
        <v>-389000</v>
      </c>
    </row>
    <row r="7614" spans="1:7" x14ac:dyDescent="0.3">
      <c r="A7614" s="198">
        <v>1128277972</v>
      </c>
      <c r="B7614" s="192" t="s">
        <v>5481</v>
      </c>
      <c r="C7614" s="196">
        <v>-50900</v>
      </c>
      <c r="D7614" s="196">
        <v>0</v>
      </c>
      <c r="E7614" s="196">
        <v>0</v>
      </c>
      <c r="F7614" s="196">
        <v>0</v>
      </c>
      <c r="G7614" s="196">
        <v>-50900</v>
      </c>
    </row>
    <row r="7615" spans="1:7" x14ac:dyDescent="0.3">
      <c r="A7615" s="198">
        <v>43271339</v>
      </c>
      <c r="B7615" s="192" t="s">
        <v>5482</v>
      </c>
      <c r="C7615" s="196">
        <v>-50900</v>
      </c>
      <c r="D7615" s="196">
        <v>0</v>
      </c>
      <c r="E7615" s="196">
        <v>0</v>
      </c>
      <c r="F7615" s="196">
        <v>0</v>
      </c>
      <c r="G7615" s="196">
        <v>-50900</v>
      </c>
    </row>
    <row r="7616" spans="1:7" x14ac:dyDescent="0.3">
      <c r="A7616" s="198">
        <v>43876749</v>
      </c>
      <c r="B7616" s="192" t="s">
        <v>5483</v>
      </c>
      <c r="C7616" s="196">
        <v>-50900</v>
      </c>
      <c r="D7616" s="196">
        <v>0</v>
      </c>
      <c r="E7616" s="196">
        <v>0</v>
      </c>
      <c r="F7616" s="196">
        <v>0</v>
      </c>
      <c r="G7616" s="196">
        <v>-50900</v>
      </c>
    </row>
    <row r="7617" spans="1:7" x14ac:dyDescent="0.3">
      <c r="A7617" s="198">
        <v>43600392</v>
      </c>
      <c r="B7617" s="192" t="s">
        <v>5484</v>
      </c>
      <c r="C7617" s="196">
        <v>-50900</v>
      </c>
      <c r="D7617" s="196">
        <v>0</v>
      </c>
      <c r="E7617" s="196">
        <v>0</v>
      </c>
      <c r="F7617" s="196">
        <v>0</v>
      </c>
      <c r="G7617" s="196">
        <v>-50900</v>
      </c>
    </row>
    <row r="7618" spans="1:7" x14ac:dyDescent="0.3">
      <c r="A7618" s="198">
        <v>1037617040</v>
      </c>
      <c r="B7618" s="192" t="s">
        <v>5485</v>
      </c>
      <c r="C7618" s="196">
        <v>-101800</v>
      </c>
      <c r="D7618" s="196">
        <v>0</v>
      </c>
      <c r="E7618" s="196">
        <v>0</v>
      </c>
      <c r="F7618" s="196">
        <v>0</v>
      </c>
      <c r="G7618" s="196">
        <v>-101800</v>
      </c>
    </row>
    <row r="7619" spans="1:7" x14ac:dyDescent="0.3">
      <c r="A7619" s="198">
        <v>43872078</v>
      </c>
      <c r="B7619" s="192" t="s">
        <v>5486</v>
      </c>
      <c r="C7619" s="196">
        <v>-57200</v>
      </c>
      <c r="D7619" s="196">
        <v>0</v>
      </c>
      <c r="E7619" s="196">
        <v>0</v>
      </c>
      <c r="F7619" s="196">
        <v>0</v>
      </c>
      <c r="G7619" s="196">
        <v>-57200</v>
      </c>
    </row>
    <row r="7620" spans="1:7" x14ac:dyDescent="0.3">
      <c r="A7620" s="198">
        <v>43725667</v>
      </c>
      <c r="B7620" s="192" t="s">
        <v>5487</v>
      </c>
      <c r="C7620" s="196">
        <v>-152700</v>
      </c>
      <c r="D7620" s="196">
        <v>0</v>
      </c>
      <c r="E7620" s="196">
        <v>0</v>
      </c>
      <c r="F7620" s="196">
        <v>0</v>
      </c>
      <c r="G7620" s="196">
        <v>-152700</v>
      </c>
    </row>
    <row r="7621" spans="1:7" x14ac:dyDescent="0.3">
      <c r="A7621" s="198">
        <v>1113653965</v>
      </c>
      <c r="B7621" s="192" t="s">
        <v>5488</v>
      </c>
      <c r="C7621" s="196">
        <v>-50900</v>
      </c>
      <c r="D7621" s="196">
        <v>0</v>
      </c>
      <c r="E7621" s="196">
        <v>0</v>
      </c>
      <c r="F7621" s="196">
        <v>0</v>
      </c>
      <c r="G7621" s="196">
        <v>-50900</v>
      </c>
    </row>
    <row r="7622" spans="1:7" x14ac:dyDescent="0.3">
      <c r="A7622" s="198">
        <v>30237134</v>
      </c>
      <c r="B7622" s="192" t="s">
        <v>5489</v>
      </c>
      <c r="C7622" s="196">
        <v>-152700</v>
      </c>
      <c r="D7622" s="196">
        <v>0</v>
      </c>
      <c r="E7622" s="196">
        <v>0</v>
      </c>
      <c r="F7622" s="196">
        <v>0</v>
      </c>
      <c r="G7622" s="196">
        <v>-152700</v>
      </c>
    </row>
    <row r="7623" spans="1:7" x14ac:dyDescent="0.3">
      <c r="A7623" s="198">
        <v>43875641</v>
      </c>
      <c r="B7623" s="192" t="s">
        <v>1294</v>
      </c>
      <c r="C7623" s="196">
        <v>0</v>
      </c>
      <c r="D7623" s="196">
        <v>0</v>
      </c>
      <c r="E7623" s="196">
        <v>215900</v>
      </c>
      <c r="F7623" s="196">
        <v>-215900</v>
      </c>
      <c r="G7623" s="196">
        <v>-215900</v>
      </c>
    </row>
    <row r="7624" spans="1:7" x14ac:dyDescent="0.3">
      <c r="A7624" s="198">
        <v>43865322</v>
      </c>
      <c r="B7624" s="192" t="s">
        <v>5490</v>
      </c>
      <c r="C7624" s="196">
        <v>-50900</v>
      </c>
      <c r="D7624" s="196">
        <v>0</v>
      </c>
      <c r="E7624" s="196">
        <v>0</v>
      </c>
      <c r="F7624" s="196">
        <v>0</v>
      </c>
      <c r="G7624" s="196">
        <v>-50900</v>
      </c>
    </row>
    <row r="7625" spans="1:7" x14ac:dyDescent="0.3">
      <c r="A7625" s="198">
        <v>7351112</v>
      </c>
      <c r="B7625" s="192" t="s">
        <v>5491</v>
      </c>
      <c r="C7625" s="196">
        <v>-33400</v>
      </c>
      <c r="D7625" s="196">
        <v>0</v>
      </c>
      <c r="E7625" s="196">
        <v>0</v>
      </c>
      <c r="F7625" s="196">
        <v>0</v>
      </c>
      <c r="G7625" s="196">
        <v>-33400</v>
      </c>
    </row>
    <row r="7626" spans="1:7" x14ac:dyDescent="0.3">
      <c r="A7626" s="192" t="s">
        <v>5492</v>
      </c>
      <c r="B7626" s="192" t="s">
        <v>5493</v>
      </c>
      <c r="C7626" s="196">
        <v>-46400</v>
      </c>
      <c r="D7626" s="196">
        <v>0</v>
      </c>
      <c r="E7626" s="196">
        <v>0</v>
      </c>
      <c r="F7626" s="196">
        <v>0</v>
      </c>
      <c r="G7626" s="196">
        <v>-46400</v>
      </c>
    </row>
    <row r="7627" spans="1:7" x14ac:dyDescent="0.3">
      <c r="A7627" s="198">
        <v>43876872</v>
      </c>
      <c r="B7627" s="192" t="s">
        <v>1295</v>
      </c>
      <c r="C7627" s="196">
        <v>0</v>
      </c>
      <c r="D7627" s="196">
        <v>0</v>
      </c>
      <c r="E7627" s="196">
        <v>57200</v>
      </c>
      <c r="F7627" s="196">
        <v>-57200</v>
      </c>
      <c r="G7627" s="196">
        <v>-57200</v>
      </c>
    </row>
    <row r="7628" spans="1:7" x14ac:dyDescent="0.3">
      <c r="A7628" s="198">
        <v>39353993</v>
      </c>
      <c r="B7628" s="192" t="s">
        <v>5494</v>
      </c>
      <c r="C7628" s="196">
        <v>-113600</v>
      </c>
      <c r="D7628" s="196">
        <v>0</v>
      </c>
      <c r="E7628" s="196">
        <v>0</v>
      </c>
      <c r="F7628" s="196">
        <v>0</v>
      </c>
      <c r="G7628" s="196">
        <v>-113600</v>
      </c>
    </row>
    <row r="7629" spans="1:7" x14ac:dyDescent="0.3">
      <c r="A7629" s="198">
        <v>43627455</v>
      </c>
      <c r="B7629" s="192" t="s">
        <v>5495</v>
      </c>
      <c r="C7629" s="196">
        <v>-50900</v>
      </c>
      <c r="D7629" s="196">
        <v>0</v>
      </c>
      <c r="E7629" s="196">
        <v>0</v>
      </c>
      <c r="F7629" s="196">
        <v>0</v>
      </c>
      <c r="G7629" s="196">
        <v>-50900</v>
      </c>
    </row>
    <row r="7630" spans="1:7" x14ac:dyDescent="0.3">
      <c r="A7630" s="198">
        <v>43828968</v>
      </c>
      <c r="B7630" s="192" t="s">
        <v>1296</v>
      </c>
      <c r="C7630" s="196">
        <v>0</v>
      </c>
      <c r="D7630" s="196">
        <v>0</v>
      </c>
      <c r="E7630" s="196">
        <v>38400</v>
      </c>
      <c r="F7630" s="196">
        <v>-38400</v>
      </c>
      <c r="G7630" s="196">
        <v>-38400</v>
      </c>
    </row>
    <row r="7631" spans="1:7" x14ac:dyDescent="0.3">
      <c r="A7631" s="198">
        <v>21527009</v>
      </c>
      <c r="B7631" s="192" t="s">
        <v>1297</v>
      </c>
      <c r="C7631" s="196">
        <v>0</v>
      </c>
      <c r="D7631" s="196">
        <v>0</v>
      </c>
      <c r="E7631" s="196">
        <v>50900</v>
      </c>
      <c r="F7631" s="196">
        <v>-50900</v>
      </c>
      <c r="G7631" s="196">
        <v>-50900</v>
      </c>
    </row>
    <row r="7632" spans="1:7" x14ac:dyDescent="0.3">
      <c r="A7632" s="198">
        <v>1128275906</v>
      </c>
      <c r="B7632" s="192" t="s">
        <v>5496</v>
      </c>
      <c r="C7632" s="196">
        <v>-110000</v>
      </c>
      <c r="D7632" s="196">
        <v>0</v>
      </c>
      <c r="E7632" s="196">
        <v>0</v>
      </c>
      <c r="F7632" s="196">
        <v>0</v>
      </c>
      <c r="G7632" s="196">
        <v>-110000</v>
      </c>
    </row>
    <row r="7633" spans="1:7" x14ac:dyDescent="0.3">
      <c r="A7633" s="198">
        <v>1128451656</v>
      </c>
      <c r="B7633" s="192" t="s">
        <v>5497</v>
      </c>
      <c r="C7633" s="196">
        <v>-114400</v>
      </c>
      <c r="D7633" s="196">
        <v>0</v>
      </c>
      <c r="E7633" s="196">
        <v>0</v>
      </c>
      <c r="F7633" s="196">
        <v>0</v>
      </c>
      <c r="G7633" s="196">
        <v>-114400</v>
      </c>
    </row>
    <row r="7634" spans="1:7" x14ac:dyDescent="0.3">
      <c r="A7634" s="198">
        <v>1001808958</v>
      </c>
      <c r="B7634" s="192" t="s">
        <v>1298</v>
      </c>
      <c r="C7634" s="196">
        <v>0</v>
      </c>
      <c r="D7634" s="196">
        <v>0</v>
      </c>
      <c r="E7634" s="196">
        <v>110000</v>
      </c>
      <c r="F7634" s="196">
        <v>-110000</v>
      </c>
      <c r="G7634" s="196">
        <v>-110000</v>
      </c>
    </row>
    <row r="7635" spans="1:7" x14ac:dyDescent="0.3">
      <c r="A7635" s="198">
        <v>65746287</v>
      </c>
      <c r="B7635" s="192" t="s">
        <v>5498</v>
      </c>
      <c r="C7635" s="196">
        <v>-41400</v>
      </c>
      <c r="D7635" s="196">
        <v>0</v>
      </c>
      <c r="E7635" s="196">
        <v>0</v>
      </c>
      <c r="F7635" s="196">
        <v>0</v>
      </c>
      <c r="G7635" s="196">
        <v>-41400</v>
      </c>
    </row>
    <row r="7636" spans="1:7" x14ac:dyDescent="0.3">
      <c r="A7636" s="198">
        <v>53080154</v>
      </c>
      <c r="B7636" s="192" t="s">
        <v>1299</v>
      </c>
      <c r="C7636" s="196">
        <v>0</v>
      </c>
      <c r="D7636" s="196">
        <v>0</v>
      </c>
      <c r="E7636" s="196">
        <v>47000</v>
      </c>
      <c r="F7636" s="196">
        <v>-47000</v>
      </c>
      <c r="G7636" s="196">
        <v>-47000</v>
      </c>
    </row>
    <row r="7637" spans="1:7" x14ac:dyDescent="0.3">
      <c r="A7637" s="198">
        <v>1056303805</v>
      </c>
      <c r="B7637" s="192" t="s">
        <v>5499</v>
      </c>
      <c r="C7637" s="196">
        <v>-38400</v>
      </c>
      <c r="D7637" s="196">
        <v>0</v>
      </c>
      <c r="E7637" s="196">
        <v>0</v>
      </c>
      <c r="F7637" s="196">
        <v>0</v>
      </c>
      <c r="G7637" s="196">
        <v>-38400</v>
      </c>
    </row>
    <row r="7638" spans="1:7" x14ac:dyDescent="0.3">
      <c r="A7638" s="198">
        <v>1012439795</v>
      </c>
      <c r="B7638" s="192" t="s">
        <v>1300</v>
      </c>
      <c r="C7638" s="196">
        <v>0</v>
      </c>
      <c r="D7638" s="196">
        <v>0</v>
      </c>
      <c r="E7638" s="196">
        <v>50900</v>
      </c>
      <c r="F7638" s="196">
        <v>-50900</v>
      </c>
      <c r="G7638" s="196">
        <v>-50900</v>
      </c>
    </row>
    <row r="7639" spans="1:7" x14ac:dyDescent="0.3">
      <c r="A7639" s="198">
        <v>43753225</v>
      </c>
      <c r="B7639" s="192" t="s">
        <v>1301</v>
      </c>
      <c r="C7639" s="196">
        <v>0</v>
      </c>
      <c r="D7639" s="196">
        <v>0</v>
      </c>
      <c r="E7639" s="196">
        <v>235400</v>
      </c>
      <c r="F7639" s="196">
        <v>-235400</v>
      </c>
      <c r="G7639" s="196">
        <v>-235400</v>
      </c>
    </row>
    <row r="7640" spans="1:7" x14ac:dyDescent="0.3">
      <c r="A7640" s="198">
        <v>32298153</v>
      </c>
      <c r="B7640" s="192" t="s">
        <v>5500</v>
      </c>
      <c r="C7640" s="196">
        <v>-50900</v>
      </c>
      <c r="D7640" s="196">
        <v>0</v>
      </c>
      <c r="E7640" s="196">
        <v>0</v>
      </c>
      <c r="F7640" s="196">
        <v>0</v>
      </c>
      <c r="G7640" s="196">
        <v>-50900</v>
      </c>
    </row>
    <row r="7641" spans="1:7" x14ac:dyDescent="0.3">
      <c r="A7641" s="198">
        <v>1128415385</v>
      </c>
      <c r="B7641" s="192" t="s">
        <v>1302</v>
      </c>
      <c r="C7641" s="196">
        <v>0</v>
      </c>
      <c r="D7641" s="196">
        <v>0</v>
      </c>
      <c r="E7641" s="196">
        <v>57200</v>
      </c>
      <c r="F7641" s="196">
        <v>-57200</v>
      </c>
      <c r="G7641" s="196">
        <v>-57200</v>
      </c>
    </row>
    <row r="7642" spans="1:7" x14ac:dyDescent="0.3">
      <c r="A7642" s="198">
        <v>1001132350</v>
      </c>
      <c r="B7642" s="192" t="s">
        <v>5501</v>
      </c>
      <c r="C7642" s="196">
        <v>-110000</v>
      </c>
      <c r="D7642" s="196">
        <v>0</v>
      </c>
      <c r="E7642" s="196">
        <v>0</v>
      </c>
      <c r="F7642" s="196">
        <v>0</v>
      </c>
      <c r="G7642" s="196">
        <v>-110000</v>
      </c>
    </row>
    <row r="7643" spans="1:7" x14ac:dyDescent="0.3">
      <c r="A7643" s="198">
        <v>43757535</v>
      </c>
      <c r="B7643" s="192" t="s">
        <v>5502</v>
      </c>
      <c r="C7643" s="196">
        <v>-380000</v>
      </c>
      <c r="D7643" s="196">
        <v>0</v>
      </c>
      <c r="E7643" s="196">
        <v>0</v>
      </c>
      <c r="F7643" s="196">
        <v>0</v>
      </c>
      <c r="G7643" s="196">
        <v>-380000</v>
      </c>
    </row>
    <row r="7644" spans="1:7" x14ac:dyDescent="0.3">
      <c r="A7644" s="192" t="s">
        <v>5503</v>
      </c>
      <c r="B7644" s="192" t="s">
        <v>5504</v>
      </c>
      <c r="C7644" s="196">
        <v>-297000</v>
      </c>
      <c r="D7644" s="196">
        <v>0</v>
      </c>
      <c r="E7644" s="196">
        <v>0</v>
      </c>
      <c r="F7644" s="196">
        <v>0</v>
      </c>
      <c r="G7644" s="196">
        <v>-297000</v>
      </c>
    </row>
    <row r="7645" spans="1:7" x14ac:dyDescent="0.3">
      <c r="A7645" s="192" t="s">
        <v>5505</v>
      </c>
      <c r="B7645" s="192" t="s">
        <v>5506</v>
      </c>
      <c r="C7645" s="196">
        <v>-297000</v>
      </c>
      <c r="D7645" s="196">
        <v>0</v>
      </c>
      <c r="E7645" s="196">
        <v>0</v>
      </c>
      <c r="F7645" s="196">
        <v>0</v>
      </c>
      <c r="G7645" s="196">
        <v>-297000</v>
      </c>
    </row>
    <row r="7646" spans="1:7" x14ac:dyDescent="0.3">
      <c r="A7646" s="198">
        <v>1238940354</v>
      </c>
      <c r="B7646" s="192" t="s">
        <v>5507</v>
      </c>
      <c r="C7646" s="196">
        <v>-110000</v>
      </c>
      <c r="D7646" s="196">
        <v>0</v>
      </c>
      <c r="E7646" s="196">
        <v>0</v>
      </c>
      <c r="F7646" s="196">
        <v>0</v>
      </c>
      <c r="G7646" s="196">
        <v>-110000</v>
      </c>
    </row>
    <row r="7647" spans="1:7" x14ac:dyDescent="0.3">
      <c r="A7647" s="198">
        <v>66989410</v>
      </c>
      <c r="B7647" s="192" t="s">
        <v>5508</v>
      </c>
      <c r="C7647" s="196">
        <v>-270000</v>
      </c>
      <c r="D7647" s="196">
        <v>0</v>
      </c>
      <c r="E7647" s="196">
        <v>0</v>
      </c>
      <c r="F7647" s="196">
        <v>0</v>
      </c>
      <c r="G7647" s="196">
        <v>-270000</v>
      </c>
    </row>
    <row r="7648" spans="1:7" x14ac:dyDescent="0.3">
      <c r="A7648" s="198">
        <v>2000025963</v>
      </c>
      <c r="B7648" s="192" t="s">
        <v>5509</v>
      </c>
      <c r="C7648" s="196">
        <v>-47400</v>
      </c>
      <c r="D7648" s="196">
        <v>0</v>
      </c>
      <c r="E7648" s="196">
        <v>0</v>
      </c>
      <c r="F7648" s="196">
        <v>0</v>
      </c>
      <c r="G7648" s="196">
        <v>-47400</v>
      </c>
    </row>
    <row r="7649" spans="1:7" x14ac:dyDescent="0.3">
      <c r="A7649" s="198">
        <v>7501529</v>
      </c>
      <c r="B7649" s="192" t="s">
        <v>1303</v>
      </c>
      <c r="C7649" s="196">
        <v>0</v>
      </c>
      <c r="D7649" s="196">
        <v>0</v>
      </c>
      <c r="E7649" s="196">
        <v>50900</v>
      </c>
      <c r="F7649" s="196">
        <v>-50900</v>
      </c>
      <c r="G7649" s="196">
        <v>-50900</v>
      </c>
    </row>
    <row r="7650" spans="1:7" x14ac:dyDescent="0.3">
      <c r="A7650" s="198">
        <v>32299394</v>
      </c>
      <c r="B7650" s="192" t="s">
        <v>5510</v>
      </c>
      <c r="C7650" s="196">
        <v>-50900</v>
      </c>
      <c r="D7650" s="196">
        <v>0</v>
      </c>
      <c r="E7650" s="196">
        <v>0</v>
      </c>
      <c r="F7650" s="196">
        <v>0</v>
      </c>
      <c r="G7650" s="196">
        <v>-50900</v>
      </c>
    </row>
    <row r="7651" spans="1:7" x14ac:dyDescent="0.3">
      <c r="A7651" s="198">
        <v>40781265</v>
      </c>
      <c r="B7651" s="192" t="s">
        <v>1304</v>
      </c>
      <c r="C7651" s="196">
        <v>0</v>
      </c>
      <c r="D7651" s="196">
        <v>0</v>
      </c>
      <c r="E7651" s="196">
        <v>30000</v>
      </c>
      <c r="F7651" s="196">
        <v>-30000</v>
      </c>
      <c r="G7651" s="196">
        <v>-30000</v>
      </c>
    </row>
    <row r="7652" spans="1:7" x14ac:dyDescent="0.3">
      <c r="A7652" s="198">
        <v>1238939550</v>
      </c>
      <c r="B7652" s="192" t="s">
        <v>5511</v>
      </c>
      <c r="C7652" s="196">
        <v>-46400</v>
      </c>
      <c r="D7652" s="196">
        <v>0</v>
      </c>
      <c r="E7652" s="196">
        <v>0</v>
      </c>
      <c r="F7652" s="196">
        <v>0</v>
      </c>
      <c r="G7652" s="196">
        <v>-46400</v>
      </c>
    </row>
    <row r="7653" spans="1:7" x14ac:dyDescent="0.3">
      <c r="A7653" s="198">
        <v>1128405884</v>
      </c>
      <c r="B7653" s="192" t="s">
        <v>5512</v>
      </c>
      <c r="C7653" s="196">
        <v>-50900</v>
      </c>
      <c r="D7653" s="196">
        <v>0</v>
      </c>
      <c r="E7653" s="196">
        <v>0</v>
      </c>
      <c r="F7653" s="196">
        <v>0</v>
      </c>
      <c r="G7653" s="196">
        <v>-50900</v>
      </c>
    </row>
    <row r="7654" spans="1:7" x14ac:dyDescent="0.3">
      <c r="A7654" s="198">
        <v>43434990</v>
      </c>
      <c r="B7654" s="192" t="s">
        <v>5513</v>
      </c>
      <c r="C7654" s="196">
        <v>-54200</v>
      </c>
      <c r="D7654" s="196">
        <v>0</v>
      </c>
      <c r="E7654" s="196">
        <v>0</v>
      </c>
      <c r="F7654" s="196">
        <v>0</v>
      </c>
      <c r="G7654" s="196">
        <v>-54200</v>
      </c>
    </row>
    <row r="7655" spans="1:7" x14ac:dyDescent="0.3">
      <c r="A7655" s="198">
        <v>1020482757</v>
      </c>
      <c r="B7655" s="192" t="s">
        <v>1305</v>
      </c>
      <c r="C7655" s="196">
        <v>0</v>
      </c>
      <c r="D7655" s="196">
        <v>0</v>
      </c>
      <c r="E7655" s="196">
        <v>38400</v>
      </c>
      <c r="F7655" s="196">
        <v>-38400</v>
      </c>
      <c r="G7655" s="196">
        <v>-38400</v>
      </c>
    </row>
    <row r="7656" spans="1:7" x14ac:dyDescent="0.3">
      <c r="A7656" s="192" t="s">
        <v>5514</v>
      </c>
      <c r="B7656" s="192" t="s">
        <v>5515</v>
      </c>
      <c r="C7656" s="196">
        <v>-270000</v>
      </c>
      <c r="D7656" s="196">
        <v>0</v>
      </c>
      <c r="E7656" s="196">
        <v>0</v>
      </c>
      <c r="F7656" s="196">
        <v>0</v>
      </c>
      <c r="G7656" s="196">
        <v>-270000</v>
      </c>
    </row>
    <row r="7657" spans="1:7" x14ac:dyDescent="0.3">
      <c r="A7657" s="198">
        <v>52701290</v>
      </c>
      <c r="B7657" s="192" t="s">
        <v>5516</v>
      </c>
      <c r="C7657" s="196">
        <v>-36600</v>
      </c>
      <c r="D7657" s="196">
        <v>0</v>
      </c>
      <c r="E7657" s="196">
        <v>0</v>
      </c>
      <c r="F7657" s="196">
        <v>0</v>
      </c>
      <c r="G7657" s="196">
        <v>-36600</v>
      </c>
    </row>
    <row r="7658" spans="1:7" x14ac:dyDescent="0.3">
      <c r="A7658" s="198">
        <v>71791802</v>
      </c>
      <c r="B7658" s="192" t="s">
        <v>1307</v>
      </c>
      <c r="C7658" s="196">
        <v>0</v>
      </c>
      <c r="D7658" s="196">
        <v>0</v>
      </c>
      <c r="E7658" s="196">
        <v>29700</v>
      </c>
      <c r="F7658" s="196">
        <v>-29700</v>
      </c>
      <c r="G7658" s="196">
        <v>-29700</v>
      </c>
    </row>
    <row r="7659" spans="1:7" x14ac:dyDescent="0.3">
      <c r="A7659" s="198">
        <v>98698905</v>
      </c>
      <c r="B7659" s="192" t="s">
        <v>1308</v>
      </c>
      <c r="C7659" s="196">
        <v>0</v>
      </c>
      <c r="D7659" s="196">
        <v>0</v>
      </c>
      <c r="E7659" s="196">
        <v>50900</v>
      </c>
      <c r="F7659" s="196">
        <v>-50900</v>
      </c>
      <c r="G7659" s="196">
        <v>-50900</v>
      </c>
    </row>
    <row r="7660" spans="1:7" x14ac:dyDescent="0.3">
      <c r="A7660" s="198">
        <v>79490168</v>
      </c>
      <c r="B7660" s="192" t="s">
        <v>1309</v>
      </c>
      <c r="C7660" s="196">
        <v>0</v>
      </c>
      <c r="D7660" s="196">
        <v>0</v>
      </c>
      <c r="E7660" s="196">
        <v>50900</v>
      </c>
      <c r="F7660" s="196">
        <v>-50900</v>
      </c>
      <c r="G7660" s="196">
        <v>-50900</v>
      </c>
    </row>
    <row r="7661" spans="1:7" x14ac:dyDescent="0.3">
      <c r="A7661" s="198">
        <v>71755651</v>
      </c>
      <c r="B7661" s="192" t="s">
        <v>5517</v>
      </c>
      <c r="C7661" s="196">
        <v>-339700</v>
      </c>
      <c r="D7661" s="196">
        <v>0</v>
      </c>
      <c r="E7661" s="196">
        <v>0</v>
      </c>
      <c r="F7661" s="196">
        <v>0</v>
      </c>
      <c r="G7661" s="196">
        <v>-339700</v>
      </c>
    </row>
    <row r="7662" spans="1:7" x14ac:dyDescent="0.3">
      <c r="A7662" s="198">
        <v>70553922</v>
      </c>
      <c r="B7662" s="192" t="s">
        <v>5518</v>
      </c>
      <c r="C7662" s="196">
        <v>-92200</v>
      </c>
      <c r="D7662" s="196">
        <v>0</v>
      </c>
      <c r="E7662" s="196">
        <v>0</v>
      </c>
      <c r="F7662" s="196">
        <v>0</v>
      </c>
      <c r="G7662" s="196">
        <v>-92200</v>
      </c>
    </row>
    <row r="7663" spans="1:7" x14ac:dyDescent="0.3">
      <c r="A7663" s="198">
        <v>3585179</v>
      </c>
      <c r="B7663" s="192" t="s">
        <v>1310</v>
      </c>
      <c r="C7663" s="196">
        <v>0</v>
      </c>
      <c r="D7663" s="196">
        <v>0</v>
      </c>
      <c r="E7663" s="196">
        <v>319000</v>
      </c>
      <c r="F7663" s="196">
        <v>-319000</v>
      </c>
      <c r="G7663" s="196">
        <v>-319000</v>
      </c>
    </row>
    <row r="7664" spans="1:7" x14ac:dyDescent="0.3">
      <c r="A7664" s="198">
        <v>70165992</v>
      </c>
      <c r="B7664" s="192" t="s">
        <v>5519</v>
      </c>
      <c r="C7664" s="196">
        <v>-101800</v>
      </c>
      <c r="D7664" s="196">
        <v>0</v>
      </c>
      <c r="E7664" s="196">
        <v>0</v>
      </c>
      <c r="F7664" s="196">
        <v>0</v>
      </c>
      <c r="G7664" s="196">
        <v>-101800</v>
      </c>
    </row>
    <row r="7665" spans="1:7" x14ac:dyDescent="0.3">
      <c r="A7665" s="198">
        <v>86000496</v>
      </c>
      <c r="B7665" s="192" t="s">
        <v>5520</v>
      </c>
      <c r="C7665" s="196">
        <v>-616000</v>
      </c>
      <c r="D7665" s="196">
        <v>0</v>
      </c>
      <c r="E7665" s="196">
        <v>0</v>
      </c>
      <c r="F7665" s="196">
        <v>0</v>
      </c>
      <c r="G7665" s="196">
        <v>-616000</v>
      </c>
    </row>
    <row r="7666" spans="1:7" x14ac:dyDescent="0.3">
      <c r="A7666" s="198">
        <v>66806924</v>
      </c>
      <c r="B7666" s="192" t="s">
        <v>1312</v>
      </c>
      <c r="C7666" s="196">
        <v>-50900</v>
      </c>
      <c r="D7666" s="196">
        <v>0</v>
      </c>
      <c r="E7666" s="196">
        <v>0</v>
      </c>
      <c r="F7666" s="196">
        <v>0</v>
      </c>
      <c r="G7666" s="196">
        <v>-50900</v>
      </c>
    </row>
    <row r="7667" spans="1:7" x14ac:dyDescent="0.3">
      <c r="A7667" s="198">
        <v>1035020438</v>
      </c>
      <c r="B7667" s="192" t="s">
        <v>5521</v>
      </c>
      <c r="C7667" s="196">
        <v>-50900</v>
      </c>
      <c r="D7667" s="196">
        <v>0</v>
      </c>
      <c r="E7667" s="196">
        <v>0</v>
      </c>
      <c r="F7667" s="196">
        <v>0</v>
      </c>
      <c r="G7667" s="196">
        <v>-50900</v>
      </c>
    </row>
    <row r="7668" spans="1:7" x14ac:dyDescent="0.3">
      <c r="A7668" s="192" t="s">
        <v>1314</v>
      </c>
      <c r="B7668" s="192" t="s">
        <v>1315</v>
      </c>
      <c r="C7668" s="196">
        <v>-110000</v>
      </c>
      <c r="D7668" s="196">
        <v>0</v>
      </c>
      <c r="E7668" s="196">
        <v>0</v>
      </c>
      <c r="F7668" s="196">
        <v>0</v>
      </c>
      <c r="G7668" s="196">
        <v>-110000</v>
      </c>
    </row>
    <row r="7669" spans="1:7" x14ac:dyDescent="0.3">
      <c r="A7669" s="198">
        <v>98489219</v>
      </c>
      <c r="B7669" s="192" t="s">
        <v>1316</v>
      </c>
      <c r="C7669" s="196">
        <v>-1</v>
      </c>
      <c r="D7669" s="196">
        <v>0</v>
      </c>
      <c r="E7669" s="196">
        <v>0</v>
      </c>
      <c r="F7669" s="196">
        <v>0</v>
      </c>
      <c r="G7669" s="196">
        <v>-1</v>
      </c>
    </row>
    <row r="7670" spans="1:7" x14ac:dyDescent="0.3">
      <c r="A7670" s="198">
        <v>1035007672</v>
      </c>
      <c r="B7670" s="192" t="s">
        <v>5522</v>
      </c>
      <c r="C7670" s="196">
        <v>-50900</v>
      </c>
      <c r="D7670" s="196">
        <v>0</v>
      </c>
      <c r="E7670" s="196">
        <v>0</v>
      </c>
      <c r="F7670" s="196">
        <v>0</v>
      </c>
      <c r="G7670" s="196">
        <v>-50900</v>
      </c>
    </row>
    <row r="7671" spans="1:7" x14ac:dyDescent="0.3">
      <c r="A7671" s="198">
        <v>1035024451</v>
      </c>
      <c r="B7671" s="192" t="s">
        <v>5523</v>
      </c>
      <c r="C7671" s="196">
        <v>-54197</v>
      </c>
      <c r="D7671" s="196">
        <v>0</v>
      </c>
      <c r="E7671" s="196">
        <v>0</v>
      </c>
      <c r="F7671" s="196">
        <v>0</v>
      </c>
      <c r="G7671" s="196">
        <v>-54197</v>
      </c>
    </row>
    <row r="7672" spans="1:7" x14ac:dyDescent="0.3">
      <c r="A7672" s="198">
        <v>1035002752</v>
      </c>
      <c r="B7672" s="192" t="s">
        <v>5524</v>
      </c>
      <c r="C7672" s="196">
        <v>-41400</v>
      </c>
      <c r="D7672" s="196">
        <v>0</v>
      </c>
      <c r="E7672" s="196">
        <v>0</v>
      </c>
      <c r="F7672" s="196">
        <v>0</v>
      </c>
      <c r="G7672" s="196">
        <v>-41400</v>
      </c>
    </row>
    <row r="7673" spans="1:7" x14ac:dyDescent="0.3">
      <c r="A7673" s="198">
        <v>1110564608</v>
      </c>
      <c r="B7673" s="192" t="s">
        <v>5525</v>
      </c>
      <c r="C7673" s="196">
        <v>-100000</v>
      </c>
      <c r="D7673" s="196">
        <v>0</v>
      </c>
      <c r="E7673" s="196">
        <v>0</v>
      </c>
      <c r="F7673" s="196">
        <v>0</v>
      </c>
      <c r="G7673" s="196">
        <v>-100000</v>
      </c>
    </row>
    <row r="7674" spans="1:7" x14ac:dyDescent="0.3">
      <c r="A7674" s="198">
        <v>3396370</v>
      </c>
      <c r="B7674" s="192" t="s">
        <v>5526</v>
      </c>
      <c r="C7674" s="196">
        <v>-47400</v>
      </c>
      <c r="D7674" s="196">
        <v>0</v>
      </c>
      <c r="E7674" s="196">
        <v>0</v>
      </c>
      <c r="F7674" s="196">
        <v>0</v>
      </c>
      <c r="G7674" s="196">
        <v>-47400</v>
      </c>
    </row>
    <row r="7675" spans="1:7" x14ac:dyDescent="0.3">
      <c r="A7675" s="198">
        <v>70045141</v>
      </c>
      <c r="B7675" s="192" t="s">
        <v>5527</v>
      </c>
      <c r="C7675" s="196">
        <v>-70000</v>
      </c>
      <c r="D7675" s="196">
        <v>0</v>
      </c>
      <c r="E7675" s="196">
        <v>0</v>
      </c>
      <c r="F7675" s="196">
        <v>0</v>
      </c>
      <c r="G7675" s="196">
        <v>-70000</v>
      </c>
    </row>
    <row r="7676" spans="1:7" x14ac:dyDescent="0.3">
      <c r="A7676" s="198">
        <v>98772860</v>
      </c>
      <c r="B7676" s="192" t="s">
        <v>5528</v>
      </c>
      <c r="C7676" s="196">
        <v>-47400</v>
      </c>
      <c r="D7676" s="196">
        <v>0</v>
      </c>
      <c r="E7676" s="196">
        <v>0</v>
      </c>
      <c r="F7676" s="196">
        <v>0</v>
      </c>
      <c r="G7676" s="196">
        <v>-47400</v>
      </c>
    </row>
    <row r="7677" spans="1:7" x14ac:dyDescent="0.3">
      <c r="A7677" s="198">
        <v>1006294464</v>
      </c>
      <c r="B7677" s="192" t="s">
        <v>5529</v>
      </c>
      <c r="C7677" s="196">
        <v>-38400</v>
      </c>
      <c r="D7677" s="196">
        <v>0</v>
      </c>
      <c r="E7677" s="196">
        <v>0</v>
      </c>
      <c r="F7677" s="196">
        <v>0</v>
      </c>
      <c r="G7677" s="196">
        <v>-38400</v>
      </c>
    </row>
    <row r="7678" spans="1:7" x14ac:dyDescent="0.3">
      <c r="A7678" s="198">
        <v>71786214</v>
      </c>
      <c r="B7678" s="192" t="s">
        <v>5530</v>
      </c>
      <c r="C7678" s="196">
        <v>-266800</v>
      </c>
      <c r="D7678" s="196">
        <v>0</v>
      </c>
      <c r="E7678" s="196">
        <v>0</v>
      </c>
      <c r="F7678" s="196">
        <v>0</v>
      </c>
      <c r="G7678" s="196">
        <v>-266800</v>
      </c>
    </row>
    <row r="7679" spans="1:7" x14ac:dyDescent="0.3">
      <c r="A7679" s="198">
        <v>1036458702</v>
      </c>
      <c r="B7679" s="192" t="s">
        <v>5531</v>
      </c>
      <c r="C7679" s="196">
        <v>-57200</v>
      </c>
      <c r="D7679" s="196">
        <v>0</v>
      </c>
      <c r="E7679" s="196">
        <v>0</v>
      </c>
      <c r="F7679" s="196">
        <v>0</v>
      </c>
      <c r="G7679" s="196">
        <v>-57200</v>
      </c>
    </row>
    <row r="7680" spans="1:7" x14ac:dyDescent="0.3">
      <c r="A7680" s="198">
        <v>1020124873</v>
      </c>
      <c r="B7680" s="192" t="s">
        <v>1317</v>
      </c>
      <c r="C7680" s="196">
        <v>0</v>
      </c>
      <c r="D7680" s="196">
        <v>0</v>
      </c>
      <c r="E7680" s="196">
        <v>50900</v>
      </c>
      <c r="F7680" s="196">
        <v>-50900</v>
      </c>
      <c r="G7680" s="196">
        <v>-50900</v>
      </c>
    </row>
    <row r="7681" spans="1:7" x14ac:dyDescent="0.3">
      <c r="A7681" s="198">
        <v>1017186940</v>
      </c>
      <c r="B7681" s="192" t="s">
        <v>5532</v>
      </c>
      <c r="C7681" s="196">
        <v>-50900</v>
      </c>
      <c r="D7681" s="196">
        <v>0</v>
      </c>
      <c r="E7681" s="196">
        <v>0</v>
      </c>
      <c r="F7681" s="196">
        <v>0</v>
      </c>
      <c r="G7681" s="196">
        <v>-50900</v>
      </c>
    </row>
    <row r="7682" spans="1:7" x14ac:dyDescent="0.3">
      <c r="A7682" s="198">
        <v>1037672499</v>
      </c>
      <c r="B7682" s="192" t="s">
        <v>5533</v>
      </c>
      <c r="C7682" s="196">
        <v>-50900</v>
      </c>
      <c r="D7682" s="196">
        <v>0</v>
      </c>
      <c r="E7682" s="196">
        <v>0</v>
      </c>
      <c r="F7682" s="196">
        <v>0</v>
      </c>
      <c r="G7682" s="196">
        <v>-50900</v>
      </c>
    </row>
    <row r="7683" spans="1:7" x14ac:dyDescent="0.3">
      <c r="A7683" s="198">
        <v>1019905653</v>
      </c>
      <c r="B7683" s="192" t="s">
        <v>5534</v>
      </c>
      <c r="C7683" s="196">
        <v>-50900</v>
      </c>
      <c r="D7683" s="196">
        <v>0</v>
      </c>
      <c r="E7683" s="196">
        <v>0</v>
      </c>
      <c r="F7683" s="196">
        <v>0</v>
      </c>
      <c r="G7683" s="196">
        <v>-50900</v>
      </c>
    </row>
    <row r="7684" spans="1:7" x14ac:dyDescent="0.3">
      <c r="A7684" s="198">
        <v>1037653853</v>
      </c>
      <c r="B7684" s="192" t="s">
        <v>5535</v>
      </c>
      <c r="C7684" s="196">
        <v>-57200</v>
      </c>
      <c r="D7684" s="196">
        <v>0</v>
      </c>
      <c r="E7684" s="196">
        <v>0</v>
      </c>
      <c r="F7684" s="196">
        <v>0</v>
      </c>
      <c r="G7684" s="196">
        <v>-57200</v>
      </c>
    </row>
    <row r="7685" spans="1:7" x14ac:dyDescent="0.3">
      <c r="A7685" s="198">
        <v>1037601011</v>
      </c>
      <c r="B7685" s="192" t="s">
        <v>5536</v>
      </c>
      <c r="C7685" s="196">
        <v>-50900</v>
      </c>
      <c r="D7685" s="196">
        <v>0</v>
      </c>
      <c r="E7685" s="196">
        <v>0</v>
      </c>
      <c r="F7685" s="196">
        <v>0</v>
      </c>
      <c r="G7685" s="196">
        <v>-50900</v>
      </c>
    </row>
    <row r="7686" spans="1:7" x14ac:dyDescent="0.3">
      <c r="A7686" s="198">
        <v>1026571561</v>
      </c>
      <c r="B7686" s="192" t="s">
        <v>5537</v>
      </c>
      <c r="C7686" s="196">
        <v>-516000</v>
      </c>
      <c r="D7686" s="196">
        <v>0</v>
      </c>
      <c r="E7686" s="196">
        <v>0</v>
      </c>
      <c r="F7686" s="196">
        <v>0</v>
      </c>
      <c r="G7686" s="196">
        <v>-516000</v>
      </c>
    </row>
    <row r="7687" spans="1:7" x14ac:dyDescent="0.3">
      <c r="A7687" s="198">
        <v>1038267432</v>
      </c>
      <c r="B7687" s="192" t="s">
        <v>1318</v>
      </c>
      <c r="C7687" s="196">
        <v>-50900</v>
      </c>
      <c r="D7687" s="196">
        <v>0</v>
      </c>
      <c r="E7687" s="196">
        <v>50900</v>
      </c>
      <c r="F7687" s="196">
        <v>-50900</v>
      </c>
      <c r="G7687" s="196">
        <v>-101800</v>
      </c>
    </row>
    <row r="7688" spans="1:7" x14ac:dyDescent="0.3">
      <c r="A7688" s="198">
        <v>1023564321</v>
      </c>
      <c r="B7688" s="192" t="s">
        <v>5538</v>
      </c>
      <c r="C7688" s="196">
        <v>-46800</v>
      </c>
      <c r="D7688" s="196">
        <v>0</v>
      </c>
      <c r="E7688" s="196">
        <v>0</v>
      </c>
      <c r="F7688" s="196">
        <v>0</v>
      </c>
      <c r="G7688" s="196">
        <v>-46800</v>
      </c>
    </row>
    <row r="7689" spans="1:7" x14ac:dyDescent="0.3">
      <c r="A7689" s="198">
        <v>1035005515</v>
      </c>
      <c r="B7689" s="192" t="s">
        <v>5539</v>
      </c>
      <c r="C7689" s="196">
        <v>-101800</v>
      </c>
      <c r="D7689" s="196">
        <v>0</v>
      </c>
      <c r="E7689" s="196">
        <v>0</v>
      </c>
      <c r="F7689" s="196">
        <v>0</v>
      </c>
      <c r="G7689" s="196">
        <v>-101800</v>
      </c>
    </row>
    <row r="7690" spans="1:7" x14ac:dyDescent="0.3">
      <c r="A7690" s="198">
        <v>1037664289</v>
      </c>
      <c r="B7690" s="192" t="s">
        <v>2436</v>
      </c>
      <c r="C7690" s="196">
        <v>-57200</v>
      </c>
      <c r="D7690" s="196">
        <v>0</v>
      </c>
      <c r="E7690" s="196">
        <v>0</v>
      </c>
      <c r="F7690" s="196">
        <v>0</v>
      </c>
      <c r="G7690" s="196">
        <v>-57200</v>
      </c>
    </row>
    <row r="7691" spans="1:7" x14ac:dyDescent="0.3">
      <c r="A7691" s="198">
        <v>22034433</v>
      </c>
      <c r="B7691" s="192" t="s">
        <v>5540</v>
      </c>
      <c r="C7691" s="196">
        <v>-162000</v>
      </c>
      <c r="D7691" s="196">
        <v>0</v>
      </c>
      <c r="E7691" s="196">
        <v>0</v>
      </c>
      <c r="F7691" s="196">
        <v>0</v>
      </c>
      <c r="G7691" s="196">
        <v>-162000</v>
      </c>
    </row>
    <row r="7692" spans="1:7" x14ac:dyDescent="0.3">
      <c r="A7692" s="198">
        <v>52088919</v>
      </c>
      <c r="B7692" s="192" t="s">
        <v>5541</v>
      </c>
      <c r="C7692" s="196">
        <v>-50900</v>
      </c>
      <c r="D7692" s="196">
        <v>0</v>
      </c>
      <c r="E7692" s="196">
        <v>0</v>
      </c>
      <c r="F7692" s="196">
        <v>0</v>
      </c>
      <c r="G7692" s="196">
        <v>-50900</v>
      </c>
    </row>
    <row r="7693" spans="1:7" x14ac:dyDescent="0.3">
      <c r="A7693" s="198">
        <v>1035027259</v>
      </c>
      <c r="B7693" s="192" t="s">
        <v>5542</v>
      </c>
      <c r="C7693" s="196">
        <v>-50900</v>
      </c>
      <c r="D7693" s="196">
        <v>0</v>
      </c>
      <c r="E7693" s="196">
        <v>0</v>
      </c>
      <c r="F7693" s="196">
        <v>0</v>
      </c>
      <c r="G7693" s="196">
        <v>-50900</v>
      </c>
    </row>
    <row r="7694" spans="1:7" x14ac:dyDescent="0.3">
      <c r="A7694" s="198">
        <v>39273714</v>
      </c>
      <c r="B7694" s="192" t="s">
        <v>5543</v>
      </c>
      <c r="C7694" s="196">
        <v>-162000</v>
      </c>
      <c r="D7694" s="196">
        <v>0</v>
      </c>
      <c r="E7694" s="196">
        <v>0</v>
      </c>
      <c r="F7694" s="196">
        <v>0</v>
      </c>
      <c r="G7694" s="196">
        <v>-162000</v>
      </c>
    </row>
    <row r="7695" spans="1:7" x14ac:dyDescent="0.3">
      <c r="A7695" s="198">
        <v>1125232064</v>
      </c>
      <c r="B7695" s="192" t="s">
        <v>5544</v>
      </c>
      <c r="C7695" s="196">
        <v>-50900</v>
      </c>
      <c r="D7695" s="196">
        <v>0</v>
      </c>
      <c r="E7695" s="196">
        <v>0</v>
      </c>
      <c r="F7695" s="196">
        <v>0</v>
      </c>
      <c r="G7695" s="196">
        <v>-50900</v>
      </c>
    </row>
    <row r="7696" spans="1:7" x14ac:dyDescent="0.3">
      <c r="A7696" s="198">
        <v>1017282538</v>
      </c>
      <c r="B7696" s="192" t="s">
        <v>5545</v>
      </c>
      <c r="C7696" s="196">
        <v>-26500</v>
      </c>
      <c r="D7696" s="196">
        <v>0</v>
      </c>
      <c r="E7696" s="196">
        <v>0</v>
      </c>
      <c r="F7696" s="196">
        <v>0</v>
      </c>
      <c r="G7696" s="196">
        <v>-26500</v>
      </c>
    </row>
    <row r="7697" spans="1:7" x14ac:dyDescent="0.3">
      <c r="A7697" s="198">
        <v>1035016806</v>
      </c>
      <c r="B7697" s="192" t="s">
        <v>5546</v>
      </c>
      <c r="C7697" s="196">
        <v>-50900</v>
      </c>
      <c r="D7697" s="196">
        <v>0</v>
      </c>
      <c r="E7697" s="196">
        <v>0</v>
      </c>
      <c r="F7697" s="196">
        <v>0</v>
      </c>
      <c r="G7697" s="196">
        <v>-50900</v>
      </c>
    </row>
    <row r="7698" spans="1:7" x14ac:dyDescent="0.3">
      <c r="A7698" s="198">
        <v>7603349</v>
      </c>
      <c r="B7698" s="192" t="s">
        <v>5547</v>
      </c>
      <c r="C7698" s="196">
        <v>-270000</v>
      </c>
      <c r="D7698" s="196">
        <v>0</v>
      </c>
      <c r="E7698" s="196">
        <v>0</v>
      </c>
      <c r="F7698" s="196">
        <v>0</v>
      </c>
      <c r="G7698" s="196">
        <v>-270000</v>
      </c>
    </row>
    <row r="7699" spans="1:7" x14ac:dyDescent="0.3">
      <c r="A7699" s="192" t="s">
        <v>5548</v>
      </c>
      <c r="B7699" s="192" t="s">
        <v>5549</v>
      </c>
      <c r="C7699" s="196">
        <v>-75000</v>
      </c>
      <c r="D7699" s="196">
        <v>0</v>
      </c>
      <c r="E7699" s="196">
        <v>0</v>
      </c>
      <c r="F7699" s="196">
        <v>0</v>
      </c>
      <c r="G7699" s="196">
        <v>-75000</v>
      </c>
    </row>
    <row r="7700" spans="1:7" x14ac:dyDescent="0.3">
      <c r="A7700" s="198">
        <v>32472800</v>
      </c>
      <c r="B7700" s="192" t="s">
        <v>5550</v>
      </c>
      <c r="C7700" s="196">
        <v>-57200</v>
      </c>
      <c r="D7700" s="196">
        <v>0</v>
      </c>
      <c r="E7700" s="196">
        <v>0</v>
      </c>
      <c r="F7700" s="196">
        <v>0</v>
      </c>
      <c r="G7700" s="196">
        <v>-57200</v>
      </c>
    </row>
    <row r="7701" spans="1:7" x14ac:dyDescent="0.3">
      <c r="A7701" s="198">
        <v>24940050</v>
      </c>
      <c r="B7701" s="192" t="s">
        <v>1323</v>
      </c>
      <c r="C7701" s="196">
        <v>0</v>
      </c>
      <c r="D7701" s="196">
        <v>0</v>
      </c>
      <c r="E7701" s="196">
        <v>297000</v>
      </c>
      <c r="F7701" s="196">
        <v>-297000</v>
      </c>
      <c r="G7701" s="196">
        <v>-297000</v>
      </c>
    </row>
    <row r="7702" spans="1:7" x14ac:dyDescent="0.3">
      <c r="A7702" s="198">
        <v>34051486</v>
      </c>
      <c r="B7702" s="192" t="s">
        <v>5551</v>
      </c>
      <c r="C7702" s="196">
        <v>-481000</v>
      </c>
      <c r="D7702" s="196">
        <v>0</v>
      </c>
      <c r="E7702" s="196">
        <v>0</v>
      </c>
      <c r="F7702" s="196">
        <v>0</v>
      </c>
      <c r="G7702" s="196">
        <v>-481000</v>
      </c>
    </row>
    <row r="7703" spans="1:7" x14ac:dyDescent="0.3">
      <c r="A7703" s="198">
        <v>43049739</v>
      </c>
      <c r="B7703" s="192" t="s">
        <v>1324</v>
      </c>
      <c r="C7703" s="196">
        <v>0</v>
      </c>
      <c r="D7703" s="196">
        <v>0</v>
      </c>
      <c r="E7703" s="196">
        <v>50900</v>
      </c>
      <c r="F7703" s="196">
        <v>-50900</v>
      </c>
      <c r="G7703" s="196">
        <v>-50900</v>
      </c>
    </row>
    <row r="7704" spans="1:7" x14ac:dyDescent="0.3">
      <c r="A7704" s="198">
        <v>42757219</v>
      </c>
      <c r="B7704" s="192" t="s">
        <v>5552</v>
      </c>
      <c r="C7704" s="196">
        <v>-223000</v>
      </c>
      <c r="D7704" s="196">
        <v>0</v>
      </c>
      <c r="E7704" s="196">
        <v>0</v>
      </c>
      <c r="F7704" s="196">
        <v>0</v>
      </c>
      <c r="G7704" s="196">
        <v>-223000</v>
      </c>
    </row>
    <row r="7705" spans="1:7" x14ac:dyDescent="0.3">
      <c r="A7705" s="198">
        <v>42975694</v>
      </c>
      <c r="B7705" s="192" t="s">
        <v>1325</v>
      </c>
      <c r="C7705" s="196">
        <v>0</v>
      </c>
      <c r="D7705" s="196">
        <v>0</v>
      </c>
      <c r="E7705" s="196">
        <v>50900</v>
      </c>
      <c r="F7705" s="196">
        <v>-50900</v>
      </c>
      <c r="G7705" s="196">
        <v>-50900</v>
      </c>
    </row>
    <row r="7706" spans="1:7" x14ac:dyDescent="0.3">
      <c r="A7706" s="198">
        <v>42753782</v>
      </c>
      <c r="B7706" s="192" t="s">
        <v>5553</v>
      </c>
      <c r="C7706" s="196">
        <v>-50900</v>
      </c>
      <c r="D7706" s="196">
        <v>0</v>
      </c>
      <c r="E7706" s="196">
        <v>0</v>
      </c>
      <c r="F7706" s="196">
        <v>0</v>
      </c>
      <c r="G7706" s="196">
        <v>-50900</v>
      </c>
    </row>
    <row r="7707" spans="1:7" x14ac:dyDescent="0.3">
      <c r="A7707" s="198">
        <v>43603644</v>
      </c>
      <c r="B7707" s="192" t="s">
        <v>1326</v>
      </c>
      <c r="C7707" s="196">
        <v>-50900</v>
      </c>
      <c r="D7707" s="196">
        <v>0</v>
      </c>
      <c r="E7707" s="196">
        <v>120000</v>
      </c>
      <c r="F7707" s="196">
        <v>-120000</v>
      </c>
      <c r="G7707" s="196">
        <v>-170900</v>
      </c>
    </row>
    <row r="7708" spans="1:7" x14ac:dyDescent="0.3">
      <c r="A7708" s="198">
        <v>74186239</v>
      </c>
      <c r="B7708" s="192" t="s">
        <v>5554</v>
      </c>
      <c r="C7708" s="196">
        <v>-50900</v>
      </c>
      <c r="D7708" s="196">
        <v>0</v>
      </c>
      <c r="E7708" s="196">
        <v>0</v>
      </c>
      <c r="F7708" s="196">
        <v>0</v>
      </c>
      <c r="G7708" s="196">
        <v>-50900</v>
      </c>
    </row>
    <row r="7709" spans="1:7" x14ac:dyDescent="0.3">
      <c r="A7709" s="198">
        <v>43745765</v>
      </c>
      <c r="B7709" s="192" t="s">
        <v>5555</v>
      </c>
      <c r="C7709" s="196">
        <v>-149200</v>
      </c>
      <c r="D7709" s="196">
        <v>0</v>
      </c>
      <c r="E7709" s="196">
        <v>0</v>
      </c>
      <c r="F7709" s="196">
        <v>0</v>
      </c>
      <c r="G7709" s="196">
        <v>-149200</v>
      </c>
    </row>
    <row r="7710" spans="1:7" x14ac:dyDescent="0.3">
      <c r="A7710" s="198">
        <v>43022549</v>
      </c>
      <c r="B7710" s="192" t="s">
        <v>5556</v>
      </c>
      <c r="C7710" s="196">
        <v>-119000</v>
      </c>
      <c r="D7710" s="196">
        <v>0</v>
      </c>
      <c r="E7710" s="196">
        <v>0</v>
      </c>
      <c r="F7710" s="196">
        <v>0</v>
      </c>
      <c r="G7710" s="196">
        <v>-119000</v>
      </c>
    </row>
    <row r="7711" spans="1:7" x14ac:dyDescent="0.3">
      <c r="A7711" s="198">
        <v>98454110</v>
      </c>
      <c r="B7711" s="192" t="s">
        <v>5557</v>
      </c>
      <c r="C7711" s="196">
        <v>-50900</v>
      </c>
      <c r="D7711" s="196">
        <v>0</v>
      </c>
      <c r="E7711" s="196">
        <v>0</v>
      </c>
      <c r="F7711" s="196">
        <v>0</v>
      </c>
      <c r="G7711" s="196">
        <v>-50900</v>
      </c>
    </row>
    <row r="7712" spans="1:7" x14ac:dyDescent="0.3">
      <c r="A7712" s="198">
        <v>29702832</v>
      </c>
      <c r="B7712" s="192" t="s">
        <v>5558</v>
      </c>
      <c r="C7712" s="196">
        <v>-50900</v>
      </c>
      <c r="D7712" s="196">
        <v>0</v>
      </c>
      <c r="E7712" s="196">
        <v>0</v>
      </c>
      <c r="F7712" s="196">
        <v>0</v>
      </c>
      <c r="G7712" s="196">
        <v>-50900</v>
      </c>
    </row>
    <row r="7713" spans="1:7" x14ac:dyDescent="0.3">
      <c r="A7713" s="198">
        <v>32401705</v>
      </c>
      <c r="B7713" s="192" t="s">
        <v>5559</v>
      </c>
      <c r="C7713" s="196">
        <v>-41400</v>
      </c>
      <c r="D7713" s="196">
        <v>0</v>
      </c>
      <c r="E7713" s="196">
        <v>0</v>
      </c>
      <c r="F7713" s="196">
        <v>0</v>
      </c>
      <c r="G7713" s="196">
        <v>-41400</v>
      </c>
    </row>
    <row r="7714" spans="1:7" x14ac:dyDescent="0.3">
      <c r="A7714" s="198">
        <v>36110068</v>
      </c>
      <c r="B7714" s="192" t="s">
        <v>5560</v>
      </c>
      <c r="C7714" s="196">
        <v>-319000</v>
      </c>
      <c r="D7714" s="196">
        <v>0</v>
      </c>
      <c r="E7714" s="196">
        <v>0</v>
      </c>
      <c r="F7714" s="196">
        <v>0</v>
      </c>
      <c r="G7714" s="196">
        <v>-319000</v>
      </c>
    </row>
    <row r="7715" spans="1:7" x14ac:dyDescent="0.3">
      <c r="A7715" s="198">
        <v>1031162349</v>
      </c>
      <c r="B7715" s="192" t="s">
        <v>5561</v>
      </c>
      <c r="C7715" s="196">
        <v>-92800</v>
      </c>
      <c r="D7715" s="196">
        <v>0</v>
      </c>
      <c r="E7715" s="196">
        <v>0</v>
      </c>
      <c r="F7715" s="196">
        <v>0</v>
      </c>
      <c r="G7715" s="196">
        <v>-92800</v>
      </c>
    </row>
    <row r="7716" spans="1:7" x14ac:dyDescent="0.3">
      <c r="A7716" s="198">
        <v>5521632</v>
      </c>
      <c r="B7716" s="192" t="s">
        <v>5562</v>
      </c>
      <c r="C7716" s="196">
        <v>-297000</v>
      </c>
      <c r="D7716" s="196">
        <v>0</v>
      </c>
      <c r="E7716" s="196">
        <v>0</v>
      </c>
      <c r="F7716" s="196">
        <v>0</v>
      </c>
      <c r="G7716" s="196">
        <v>-297000</v>
      </c>
    </row>
    <row r="7717" spans="1:7" x14ac:dyDescent="0.3">
      <c r="A7717" s="198">
        <v>43569730</v>
      </c>
      <c r="B7717" s="192" t="s">
        <v>1331</v>
      </c>
      <c r="C7717" s="196">
        <v>0</v>
      </c>
      <c r="D7717" s="196">
        <v>0</v>
      </c>
      <c r="E7717" s="196">
        <v>29700</v>
      </c>
      <c r="F7717" s="196">
        <v>-29700</v>
      </c>
      <c r="G7717" s="196">
        <v>-29700</v>
      </c>
    </row>
    <row r="7718" spans="1:7" x14ac:dyDescent="0.3">
      <c r="A7718" s="198">
        <v>43069418</v>
      </c>
      <c r="B7718" s="192" t="s">
        <v>5563</v>
      </c>
      <c r="C7718" s="196">
        <v>-101800</v>
      </c>
      <c r="D7718" s="196">
        <v>0</v>
      </c>
      <c r="E7718" s="196">
        <v>0</v>
      </c>
      <c r="F7718" s="196">
        <v>0</v>
      </c>
      <c r="G7718" s="196">
        <v>-101800</v>
      </c>
    </row>
    <row r="7719" spans="1:7" x14ac:dyDescent="0.3">
      <c r="A7719" s="198">
        <v>32524605</v>
      </c>
      <c r="B7719" s="192" t="s">
        <v>5564</v>
      </c>
      <c r="C7719" s="196">
        <v>-207900</v>
      </c>
      <c r="D7719" s="196">
        <v>0</v>
      </c>
      <c r="E7719" s="196">
        <v>0</v>
      </c>
      <c r="F7719" s="196">
        <v>0</v>
      </c>
      <c r="G7719" s="196">
        <v>-207900</v>
      </c>
    </row>
    <row r="7720" spans="1:7" x14ac:dyDescent="0.3">
      <c r="A7720" s="198">
        <v>42886027</v>
      </c>
      <c r="B7720" s="192" t="s">
        <v>1333</v>
      </c>
      <c r="C7720" s="196">
        <v>0</v>
      </c>
      <c r="D7720" s="196">
        <v>0</v>
      </c>
      <c r="E7720" s="196">
        <v>50900</v>
      </c>
      <c r="F7720" s="196">
        <v>-50900</v>
      </c>
      <c r="G7720" s="196">
        <v>-50900</v>
      </c>
    </row>
    <row r="7721" spans="1:7" x14ac:dyDescent="0.3">
      <c r="A7721" s="198">
        <v>42896256</v>
      </c>
      <c r="B7721" s="192" t="s">
        <v>5565</v>
      </c>
      <c r="C7721" s="196">
        <v>-46400</v>
      </c>
      <c r="D7721" s="196">
        <v>0</v>
      </c>
      <c r="E7721" s="196">
        <v>0</v>
      </c>
      <c r="F7721" s="196">
        <v>0</v>
      </c>
      <c r="G7721" s="196">
        <v>-46400</v>
      </c>
    </row>
    <row r="7722" spans="1:7" x14ac:dyDescent="0.3">
      <c r="A7722" s="198">
        <v>43568430</v>
      </c>
      <c r="B7722" s="192" t="s">
        <v>5566</v>
      </c>
      <c r="C7722" s="196">
        <v>-162000</v>
      </c>
      <c r="D7722" s="196">
        <v>0</v>
      </c>
      <c r="E7722" s="196">
        <v>0</v>
      </c>
      <c r="F7722" s="196">
        <v>0</v>
      </c>
      <c r="G7722" s="196">
        <v>-162000</v>
      </c>
    </row>
    <row r="7723" spans="1:7" x14ac:dyDescent="0.3">
      <c r="A7723" s="198">
        <v>21338712</v>
      </c>
      <c r="B7723" s="192" t="s">
        <v>5567</v>
      </c>
      <c r="C7723" s="196">
        <v>-228800</v>
      </c>
      <c r="D7723" s="196">
        <v>0</v>
      </c>
      <c r="E7723" s="196">
        <v>0</v>
      </c>
      <c r="F7723" s="196">
        <v>0</v>
      </c>
      <c r="G7723" s="196">
        <v>-228800</v>
      </c>
    </row>
    <row r="7724" spans="1:7" x14ac:dyDescent="0.3">
      <c r="A7724" s="198">
        <v>43748934</v>
      </c>
      <c r="B7724" s="192" t="s">
        <v>5568</v>
      </c>
      <c r="C7724" s="196">
        <v>-50900</v>
      </c>
      <c r="D7724" s="196">
        <v>0</v>
      </c>
      <c r="E7724" s="196">
        <v>0</v>
      </c>
      <c r="F7724" s="196">
        <v>0</v>
      </c>
      <c r="G7724" s="196">
        <v>-50900</v>
      </c>
    </row>
    <row r="7725" spans="1:7" x14ac:dyDescent="0.3">
      <c r="A7725" s="198">
        <v>32495128</v>
      </c>
      <c r="B7725" s="192" t="s">
        <v>5569</v>
      </c>
      <c r="C7725" s="196">
        <v>-57200</v>
      </c>
      <c r="D7725" s="196">
        <v>0</v>
      </c>
      <c r="E7725" s="196">
        <v>0</v>
      </c>
      <c r="F7725" s="196">
        <v>0</v>
      </c>
      <c r="G7725" s="196">
        <v>-57200</v>
      </c>
    </row>
    <row r="7726" spans="1:7" x14ac:dyDescent="0.3">
      <c r="A7726" s="198">
        <v>60389052</v>
      </c>
      <c r="B7726" s="192" t="s">
        <v>5570</v>
      </c>
      <c r="C7726" s="196">
        <v>-36600</v>
      </c>
      <c r="D7726" s="196">
        <v>0</v>
      </c>
      <c r="E7726" s="196">
        <v>0</v>
      </c>
      <c r="F7726" s="196">
        <v>0</v>
      </c>
      <c r="G7726" s="196">
        <v>-36600</v>
      </c>
    </row>
    <row r="7727" spans="1:7" x14ac:dyDescent="0.3">
      <c r="A7727" s="198">
        <v>24049500</v>
      </c>
      <c r="B7727" s="192" t="s">
        <v>5571</v>
      </c>
      <c r="C7727" s="196">
        <v>-247000</v>
      </c>
      <c r="D7727" s="196">
        <v>0</v>
      </c>
      <c r="E7727" s="196">
        <v>0</v>
      </c>
      <c r="F7727" s="196">
        <v>0</v>
      </c>
      <c r="G7727" s="196">
        <v>-247000</v>
      </c>
    </row>
    <row r="7728" spans="1:7" x14ac:dyDescent="0.3">
      <c r="A7728" s="198">
        <v>42758861</v>
      </c>
      <c r="B7728" s="192" t="s">
        <v>5572</v>
      </c>
      <c r="C7728" s="196">
        <v>-114400</v>
      </c>
      <c r="D7728" s="196">
        <v>0</v>
      </c>
      <c r="E7728" s="196">
        <v>0</v>
      </c>
      <c r="F7728" s="196">
        <v>0</v>
      </c>
      <c r="G7728" s="196">
        <v>-114400</v>
      </c>
    </row>
    <row r="7729" spans="1:7" x14ac:dyDescent="0.3">
      <c r="A7729" s="198">
        <v>43725578</v>
      </c>
      <c r="B7729" s="192" t="s">
        <v>5573</v>
      </c>
      <c r="C7729" s="196">
        <v>-25000</v>
      </c>
      <c r="D7729" s="196">
        <v>0</v>
      </c>
      <c r="E7729" s="196">
        <v>0</v>
      </c>
      <c r="F7729" s="196">
        <v>0</v>
      </c>
      <c r="G7729" s="196">
        <v>-25000</v>
      </c>
    </row>
    <row r="7730" spans="1:7" x14ac:dyDescent="0.3">
      <c r="A7730" s="198">
        <v>43736651</v>
      </c>
      <c r="B7730" s="192" t="s">
        <v>5574</v>
      </c>
      <c r="C7730" s="196">
        <v>-50900</v>
      </c>
      <c r="D7730" s="196">
        <v>0</v>
      </c>
      <c r="E7730" s="196">
        <v>0</v>
      </c>
      <c r="F7730" s="196">
        <v>0</v>
      </c>
      <c r="G7730" s="196">
        <v>-50900</v>
      </c>
    </row>
    <row r="7731" spans="1:7" x14ac:dyDescent="0.3">
      <c r="A7731" s="198">
        <v>43427961</v>
      </c>
      <c r="B7731" s="192" t="s">
        <v>5575</v>
      </c>
      <c r="C7731" s="196">
        <v>-50900</v>
      </c>
      <c r="D7731" s="196">
        <v>0</v>
      </c>
      <c r="E7731" s="196">
        <v>0</v>
      </c>
      <c r="F7731" s="196">
        <v>0</v>
      </c>
      <c r="G7731" s="196">
        <v>-50900</v>
      </c>
    </row>
    <row r="7732" spans="1:7" x14ac:dyDescent="0.3">
      <c r="A7732" s="198">
        <v>43097576</v>
      </c>
      <c r="B7732" s="192" t="s">
        <v>5576</v>
      </c>
      <c r="C7732" s="196">
        <v>-29700</v>
      </c>
      <c r="D7732" s="196">
        <v>0</v>
      </c>
      <c r="E7732" s="196">
        <v>0</v>
      </c>
      <c r="F7732" s="196">
        <v>0</v>
      </c>
      <c r="G7732" s="196">
        <v>-29700</v>
      </c>
    </row>
    <row r="7733" spans="1:7" x14ac:dyDescent="0.3">
      <c r="A7733" s="198">
        <v>1128268390</v>
      </c>
      <c r="B7733" s="192" t="s">
        <v>5577</v>
      </c>
      <c r="C7733" s="196">
        <v>-297000</v>
      </c>
      <c r="D7733" s="196">
        <v>0</v>
      </c>
      <c r="E7733" s="196">
        <v>0</v>
      </c>
      <c r="F7733" s="196">
        <v>0</v>
      </c>
      <c r="G7733" s="196">
        <v>-297000</v>
      </c>
    </row>
    <row r="7734" spans="1:7" x14ac:dyDescent="0.3">
      <c r="A7734" s="198">
        <v>32333546</v>
      </c>
      <c r="B7734" s="192" t="s">
        <v>1334</v>
      </c>
      <c r="C7734" s="196">
        <v>-57200</v>
      </c>
      <c r="D7734" s="196">
        <v>0</v>
      </c>
      <c r="E7734" s="196">
        <v>0</v>
      </c>
      <c r="F7734" s="196">
        <v>0</v>
      </c>
      <c r="G7734" s="196">
        <v>-57200</v>
      </c>
    </row>
    <row r="7735" spans="1:7" x14ac:dyDescent="0.3">
      <c r="A7735" s="198">
        <v>63459694</v>
      </c>
      <c r="B7735" s="192" t="s">
        <v>5578</v>
      </c>
      <c r="C7735" s="196">
        <v>-38400</v>
      </c>
      <c r="D7735" s="196">
        <v>0</v>
      </c>
      <c r="E7735" s="196">
        <v>0</v>
      </c>
      <c r="F7735" s="196">
        <v>0</v>
      </c>
      <c r="G7735" s="196">
        <v>-38400</v>
      </c>
    </row>
    <row r="7736" spans="1:7" x14ac:dyDescent="0.3">
      <c r="A7736" s="198">
        <v>32469856</v>
      </c>
      <c r="B7736" s="192" t="s">
        <v>1335</v>
      </c>
      <c r="C7736" s="196">
        <v>-114400</v>
      </c>
      <c r="D7736" s="196">
        <v>0</v>
      </c>
      <c r="E7736" s="196">
        <v>57200</v>
      </c>
      <c r="F7736" s="196">
        <v>-57200</v>
      </c>
      <c r="G7736" s="196">
        <v>-171600</v>
      </c>
    </row>
    <row r="7737" spans="1:7" x14ac:dyDescent="0.3">
      <c r="A7737" s="198">
        <v>43582149</v>
      </c>
      <c r="B7737" s="192" t="s">
        <v>5579</v>
      </c>
      <c r="C7737" s="196">
        <v>-319000</v>
      </c>
      <c r="D7737" s="196">
        <v>0</v>
      </c>
      <c r="E7737" s="196">
        <v>0</v>
      </c>
      <c r="F7737" s="196">
        <v>0</v>
      </c>
      <c r="G7737" s="196">
        <v>-319000</v>
      </c>
    </row>
    <row r="7738" spans="1:7" x14ac:dyDescent="0.3">
      <c r="A7738" s="198">
        <v>42882587</v>
      </c>
      <c r="B7738" s="192" t="s">
        <v>1337</v>
      </c>
      <c r="C7738" s="196">
        <v>0</v>
      </c>
      <c r="D7738" s="196">
        <v>0</v>
      </c>
      <c r="E7738" s="196">
        <v>101800</v>
      </c>
      <c r="F7738" s="196">
        <v>-101800</v>
      </c>
      <c r="G7738" s="196">
        <v>-101800</v>
      </c>
    </row>
    <row r="7739" spans="1:7" x14ac:dyDescent="0.3">
      <c r="A7739" s="198">
        <v>43085701</v>
      </c>
      <c r="B7739" s="192" t="s">
        <v>5580</v>
      </c>
      <c r="C7739" s="196">
        <v>-50900</v>
      </c>
      <c r="D7739" s="196">
        <v>0</v>
      </c>
      <c r="E7739" s="196">
        <v>0</v>
      </c>
      <c r="F7739" s="196">
        <v>0</v>
      </c>
      <c r="G7739" s="196">
        <v>-50900</v>
      </c>
    </row>
    <row r="7740" spans="1:7" x14ac:dyDescent="0.3">
      <c r="A7740" s="198">
        <v>43673686</v>
      </c>
      <c r="B7740" s="192" t="s">
        <v>5581</v>
      </c>
      <c r="C7740" s="196">
        <v>-50900</v>
      </c>
      <c r="D7740" s="196">
        <v>0</v>
      </c>
      <c r="E7740" s="196">
        <v>0</v>
      </c>
      <c r="F7740" s="196">
        <v>0</v>
      </c>
      <c r="G7740" s="196">
        <v>-50900</v>
      </c>
    </row>
    <row r="7741" spans="1:7" x14ac:dyDescent="0.3">
      <c r="A7741" s="198">
        <v>24484264</v>
      </c>
      <c r="B7741" s="192" t="s">
        <v>5582</v>
      </c>
      <c r="C7741" s="196">
        <v>-57200</v>
      </c>
      <c r="D7741" s="196">
        <v>0</v>
      </c>
      <c r="E7741" s="196">
        <v>0</v>
      </c>
      <c r="F7741" s="196">
        <v>0</v>
      </c>
      <c r="G7741" s="196">
        <v>-57200</v>
      </c>
    </row>
    <row r="7742" spans="1:7" x14ac:dyDescent="0.3">
      <c r="A7742" s="198">
        <v>1012339408</v>
      </c>
      <c r="B7742" s="192" t="s">
        <v>5583</v>
      </c>
      <c r="C7742" s="196">
        <v>-297000</v>
      </c>
      <c r="D7742" s="196">
        <v>0</v>
      </c>
      <c r="E7742" s="196">
        <v>0</v>
      </c>
      <c r="F7742" s="196">
        <v>0</v>
      </c>
      <c r="G7742" s="196">
        <v>-297000</v>
      </c>
    </row>
    <row r="7743" spans="1:7" x14ac:dyDescent="0.3">
      <c r="A7743" s="198">
        <v>42962058</v>
      </c>
      <c r="B7743" s="192" t="s">
        <v>5584</v>
      </c>
      <c r="C7743" s="196">
        <v>-27800</v>
      </c>
      <c r="D7743" s="196">
        <v>0</v>
      </c>
      <c r="E7743" s="196">
        <v>0</v>
      </c>
      <c r="F7743" s="196">
        <v>0</v>
      </c>
      <c r="G7743" s="196">
        <v>-27800</v>
      </c>
    </row>
    <row r="7744" spans="1:7" x14ac:dyDescent="0.3">
      <c r="A7744" s="198">
        <v>43023811</v>
      </c>
      <c r="B7744" s="192" t="s">
        <v>5585</v>
      </c>
      <c r="C7744" s="196">
        <v>-45000</v>
      </c>
      <c r="D7744" s="196">
        <v>0</v>
      </c>
      <c r="E7744" s="196">
        <v>0</v>
      </c>
      <c r="F7744" s="196">
        <v>0</v>
      </c>
      <c r="G7744" s="196">
        <v>-45000</v>
      </c>
    </row>
    <row r="7745" spans="1:7" x14ac:dyDescent="0.3">
      <c r="A7745" s="198">
        <v>43816789</v>
      </c>
      <c r="B7745" s="192" t="s">
        <v>5586</v>
      </c>
      <c r="C7745" s="196">
        <v>-297000</v>
      </c>
      <c r="D7745" s="196">
        <v>0</v>
      </c>
      <c r="E7745" s="196">
        <v>0</v>
      </c>
      <c r="F7745" s="196">
        <v>0</v>
      </c>
      <c r="G7745" s="196">
        <v>-297000</v>
      </c>
    </row>
    <row r="7746" spans="1:7" x14ac:dyDescent="0.3">
      <c r="A7746" s="198">
        <v>1039912340</v>
      </c>
      <c r="B7746" s="192" t="s">
        <v>5587</v>
      </c>
      <c r="C7746" s="196">
        <v>-50900</v>
      </c>
      <c r="D7746" s="196">
        <v>0</v>
      </c>
      <c r="E7746" s="196">
        <v>0</v>
      </c>
      <c r="F7746" s="196">
        <v>0</v>
      </c>
      <c r="G7746" s="196">
        <v>-50900</v>
      </c>
    </row>
    <row r="7747" spans="1:7" x14ac:dyDescent="0.3">
      <c r="A7747" s="198">
        <v>1037666451</v>
      </c>
      <c r="B7747" s="192" t="s">
        <v>5588</v>
      </c>
      <c r="C7747" s="196">
        <v>-297000</v>
      </c>
      <c r="D7747" s="196">
        <v>0</v>
      </c>
      <c r="E7747" s="196">
        <v>0</v>
      </c>
      <c r="F7747" s="196">
        <v>0</v>
      </c>
      <c r="G7747" s="196">
        <v>-297000</v>
      </c>
    </row>
    <row r="7748" spans="1:7" x14ac:dyDescent="0.3">
      <c r="A7748" s="198">
        <v>1035026160</v>
      </c>
      <c r="B7748" s="192" t="s">
        <v>1339</v>
      </c>
      <c r="C7748" s="196">
        <v>0</v>
      </c>
      <c r="D7748" s="196">
        <v>0</v>
      </c>
      <c r="E7748" s="196">
        <v>50900</v>
      </c>
      <c r="F7748" s="196">
        <v>-50900</v>
      </c>
      <c r="G7748" s="196">
        <v>-50900</v>
      </c>
    </row>
    <row r="7749" spans="1:7" x14ac:dyDescent="0.3">
      <c r="A7749" s="198">
        <v>1035026665</v>
      </c>
      <c r="B7749" s="192" t="s">
        <v>1340</v>
      </c>
      <c r="C7749" s="196">
        <v>0</v>
      </c>
      <c r="D7749" s="196">
        <v>0</v>
      </c>
      <c r="E7749" s="196">
        <v>50900</v>
      </c>
      <c r="F7749" s="196">
        <v>-50900</v>
      </c>
      <c r="G7749" s="196">
        <v>-50900</v>
      </c>
    </row>
    <row r="7750" spans="1:7" x14ac:dyDescent="0.3">
      <c r="A7750" s="198">
        <v>1035015616</v>
      </c>
      <c r="B7750" s="192" t="s">
        <v>5589</v>
      </c>
      <c r="C7750" s="196">
        <v>-50900</v>
      </c>
      <c r="D7750" s="196">
        <v>0</v>
      </c>
      <c r="E7750" s="196">
        <v>0</v>
      </c>
      <c r="F7750" s="196">
        <v>0</v>
      </c>
      <c r="G7750" s="196">
        <v>-50900</v>
      </c>
    </row>
    <row r="7751" spans="1:7" x14ac:dyDescent="0.3">
      <c r="A7751" s="198">
        <v>683445508</v>
      </c>
      <c r="B7751" s="192" t="s">
        <v>5590</v>
      </c>
      <c r="C7751" s="196">
        <v>-297000</v>
      </c>
      <c r="D7751" s="196">
        <v>0</v>
      </c>
      <c r="E7751" s="196">
        <v>0</v>
      </c>
      <c r="F7751" s="196">
        <v>0</v>
      </c>
      <c r="G7751" s="196">
        <v>-297000</v>
      </c>
    </row>
    <row r="7752" spans="1:7" x14ac:dyDescent="0.3">
      <c r="A7752" s="198">
        <v>1035009919</v>
      </c>
      <c r="B7752" s="192" t="s">
        <v>1341</v>
      </c>
      <c r="C7752" s="196">
        <v>0</v>
      </c>
      <c r="D7752" s="196">
        <v>0</v>
      </c>
      <c r="E7752" s="196">
        <v>50900</v>
      </c>
      <c r="F7752" s="196">
        <v>-50900</v>
      </c>
      <c r="G7752" s="196">
        <v>-50900</v>
      </c>
    </row>
    <row r="7753" spans="1:7" x14ac:dyDescent="0.3">
      <c r="A7753" s="198">
        <v>1035010600</v>
      </c>
      <c r="B7753" s="192" t="s">
        <v>5591</v>
      </c>
      <c r="C7753" s="196">
        <v>-121600</v>
      </c>
      <c r="D7753" s="196">
        <v>0</v>
      </c>
      <c r="E7753" s="196">
        <v>0</v>
      </c>
      <c r="F7753" s="196">
        <v>0</v>
      </c>
      <c r="G7753" s="196">
        <v>-121600</v>
      </c>
    </row>
    <row r="7754" spans="1:7" x14ac:dyDescent="0.3">
      <c r="A7754" s="198">
        <v>1023596625</v>
      </c>
      <c r="B7754" s="192" t="s">
        <v>1342</v>
      </c>
      <c r="C7754" s="196">
        <v>0</v>
      </c>
      <c r="D7754" s="196">
        <v>0</v>
      </c>
      <c r="E7754" s="196">
        <v>50900</v>
      </c>
      <c r="F7754" s="196">
        <v>-50900</v>
      </c>
      <c r="G7754" s="196">
        <v>-50900</v>
      </c>
    </row>
    <row r="7755" spans="1:7" x14ac:dyDescent="0.3">
      <c r="A7755" s="198">
        <v>8170595</v>
      </c>
      <c r="B7755" s="192" t="s">
        <v>5592</v>
      </c>
      <c r="C7755" s="196">
        <v>-75000</v>
      </c>
      <c r="D7755" s="196">
        <v>0</v>
      </c>
      <c r="E7755" s="196">
        <v>0</v>
      </c>
      <c r="F7755" s="196">
        <v>0</v>
      </c>
      <c r="G7755" s="196">
        <v>-75000</v>
      </c>
    </row>
    <row r="7756" spans="1:7" x14ac:dyDescent="0.3">
      <c r="A7756" s="192" t="s">
        <v>5593</v>
      </c>
      <c r="B7756" s="192" t="s">
        <v>5594</v>
      </c>
      <c r="C7756" s="196">
        <v>-270000</v>
      </c>
      <c r="D7756" s="196">
        <v>0</v>
      </c>
      <c r="E7756" s="196">
        <v>0</v>
      </c>
      <c r="F7756" s="196">
        <v>0</v>
      </c>
      <c r="G7756" s="196">
        <v>-270000</v>
      </c>
    </row>
    <row r="7757" spans="1:7" x14ac:dyDescent="0.3">
      <c r="A7757" s="198">
        <v>1239490626</v>
      </c>
      <c r="B7757" s="192" t="s">
        <v>5595</v>
      </c>
      <c r="C7757" s="196">
        <v>-50900</v>
      </c>
      <c r="D7757" s="196">
        <v>0</v>
      </c>
      <c r="E7757" s="196">
        <v>0</v>
      </c>
      <c r="F7757" s="196">
        <v>0</v>
      </c>
      <c r="G7757" s="196">
        <v>-50900</v>
      </c>
    </row>
    <row r="7758" spans="1:7" x14ac:dyDescent="0.3">
      <c r="A7758" s="198">
        <v>1035023157</v>
      </c>
      <c r="B7758" s="192" t="s">
        <v>5596</v>
      </c>
      <c r="C7758" s="196">
        <v>-50900</v>
      </c>
      <c r="D7758" s="196">
        <v>0</v>
      </c>
      <c r="E7758" s="196">
        <v>0</v>
      </c>
      <c r="F7758" s="196">
        <v>0</v>
      </c>
      <c r="G7758" s="196">
        <v>-50900</v>
      </c>
    </row>
    <row r="7759" spans="1:7" x14ac:dyDescent="0.3">
      <c r="A7759" s="198">
        <v>1035016188</v>
      </c>
      <c r="B7759" s="192" t="s">
        <v>5597</v>
      </c>
      <c r="C7759" s="196">
        <v>-50900</v>
      </c>
      <c r="D7759" s="196">
        <v>0</v>
      </c>
      <c r="E7759" s="196">
        <v>0</v>
      </c>
      <c r="F7759" s="196">
        <v>0</v>
      </c>
      <c r="G7759" s="196">
        <v>-50900</v>
      </c>
    </row>
    <row r="7760" spans="1:7" x14ac:dyDescent="0.3">
      <c r="A7760" s="198">
        <v>1146545075</v>
      </c>
      <c r="B7760" s="192" t="s">
        <v>5598</v>
      </c>
      <c r="C7760" s="196">
        <v>-50500</v>
      </c>
      <c r="D7760" s="196">
        <v>0</v>
      </c>
      <c r="E7760" s="196">
        <v>0</v>
      </c>
      <c r="F7760" s="196">
        <v>0</v>
      </c>
      <c r="G7760" s="196">
        <v>-50500</v>
      </c>
    </row>
    <row r="7761" spans="1:7" x14ac:dyDescent="0.3">
      <c r="A7761" s="198">
        <v>42983680</v>
      </c>
      <c r="B7761" s="192" t="s">
        <v>5599</v>
      </c>
      <c r="C7761" s="196">
        <v>-57200</v>
      </c>
      <c r="D7761" s="196">
        <v>0</v>
      </c>
      <c r="E7761" s="196">
        <v>0</v>
      </c>
      <c r="F7761" s="196">
        <v>0</v>
      </c>
      <c r="G7761" s="196">
        <v>-57200</v>
      </c>
    </row>
    <row r="7762" spans="1:7" x14ac:dyDescent="0.3">
      <c r="A7762" s="198">
        <v>71215440</v>
      </c>
      <c r="B7762" s="192" t="s">
        <v>5600</v>
      </c>
      <c r="C7762" s="196">
        <v>-57200</v>
      </c>
      <c r="D7762" s="196">
        <v>0</v>
      </c>
      <c r="E7762" s="196">
        <v>0</v>
      </c>
      <c r="F7762" s="196">
        <v>0</v>
      </c>
      <c r="G7762" s="196">
        <v>-57200</v>
      </c>
    </row>
    <row r="7763" spans="1:7" x14ac:dyDescent="0.3">
      <c r="A7763" s="198">
        <v>98664999</v>
      </c>
      <c r="B7763" s="192" t="s">
        <v>5601</v>
      </c>
      <c r="C7763" s="196">
        <v>-50900</v>
      </c>
      <c r="D7763" s="196">
        <v>0</v>
      </c>
      <c r="E7763" s="196">
        <v>0</v>
      </c>
      <c r="F7763" s="196">
        <v>0</v>
      </c>
      <c r="G7763" s="196">
        <v>-50900</v>
      </c>
    </row>
    <row r="7764" spans="1:7" x14ac:dyDescent="0.3">
      <c r="A7764" s="198">
        <v>1152209350</v>
      </c>
      <c r="B7764" s="192" t="s">
        <v>5602</v>
      </c>
      <c r="C7764" s="196">
        <v>-100000</v>
      </c>
      <c r="D7764" s="196">
        <v>0</v>
      </c>
      <c r="E7764" s="196">
        <v>0</v>
      </c>
      <c r="F7764" s="196">
        <v>0</v>
      </c>
      <c r="G7764" s="196">
        <v>-100000</v>
      </c>
    </row>
    <row r="7765" spans="1:7" x14ac:dyDescent="0.3">
      <c r="A7765" s="198">
        <v>1193572461</v>
      </c>
      <c r="B7765" s="192" t="s">
        <v>1344</v>
      </c>
      <c r="C7765" s="196">
        <v>0</v>
      </c>
      <c r="D7765" s="196">
        <v>0</v>
      </c>
      <c r="E7765" s="196">
        <v>297000</v>
      </c>
      <c r="F7765" s="196">
        <v>-297000</v>
      </c>
      <c r="G7765" s="196">
        <v>-297000</v>
      </c>
    </row>
    <row r="7766" spans="1:7" x14ac:dyDescent="0.3">
      <c r="A7766" s="198">
        <v>15530301</v>
      </c>
      <c r="B7766" s="192" t="s">
        <v>5603</v>
      </c>
      <c r="C7766" s="196">
        <v>-28900</v>
      </c>
      <c r="D7766" s="196">
        <v>0</v>
      </c>
      <c r="E7766" s="196">
        <v>0</v>
      </c>
      <c r="F7766" s="196">
        <v>0</v>
      </c>
      <c r="G7766" s="196">
        <v>-28900</v>
      </c>
    </row>
    <row r="7767" spans="1:7" x14ac:dyDescent="0.3">
      <c r="A7767" s="198">
        <v>8356436</v>
      </c>
      <c r="B7767" s="192" t="s">
        <v>5604</v>
      </c>
      <c r="C7767" s="196">
        <v>-223000</v>
      </c>
      <c r="D7767" s="196">
        <v>0</v>
      </c>
      <c r="E7767" s="196">
        <v>0</v>
      </c>
      <c r="F7767" s="196">
        <v>0</v>
      </c>
      <c r="G7767" s="196">
        <v>-223000</v>
      </c>
    </row>
    <row r="7768" spans="1:7" x14ac:dyDescent="0.3">
      <c r="A7768" s="198">
        <v>8405418</v>
      </c>
      <c r="B7768" s="192" t="s">
        <v>1345</v>
      </c>
      <c r="C7768" s="196">
        <v>0</v>
      </c>
      <c r="D7768" s="196">
        <v>0</v>
      </c>
      <c r="E7768" s="196">
        <v>50900</v>
      </c>
      <c r="F7768" s="196">
        <v>-50900</v>
      </c>
      <c r="G7768" s="196">
        <v>-50900</v>
      </c>
    </row>
    <row r="7769" spans="1:7" x14ac:dyDescent="0.3">
      <c r="A7769" s="198">
        <v>70696789</v>
      </c>
      <c r="B7769" s="192" t="s">
        <v>5605</v>
      </c>
      <c r="C7769" s="196">
        <v>-319000</v>
      </c>
      <c r="D7769" s="196">
        <v>0</v>
      </c>
      <c r="E7769" s="196">
        <v>0</v>
      </c>
      <c r="F7769" s="196">
        <v>0</v>
      </c>
      <c r="G7769" s="196">
        <v>-319000</v>
      </c>
    </row>
    <row r="7770" spans="1:7" x14ac:dyDescent="0.3">
      <c r="A7770" s="198">
        <v>71983028</v>
      </c>
      <c r="B7770" s="192" t="s">
        <v>1346</v>
      </c>
      <c r="C7770" s="196">
        <v>-223301</v>
      </c>
      <c r="D7770" s="196">
        <v>0</v>
      </c>
      <c r="E7770" s="196">
        <v>0</v>
      </c>
      <c r="F7770" s="196">
        <v>0</v>
      </c>
      <c r="G7770" s="196">
        <v>-223301</v>
      </c>
    </row>
    <row r="7771" spans="1:7" x14ac:dyDescent="0.3">
      <c r="A7771" s="192" t="s">
        <v>5606</v>
      </c>
      <c r="B7771" s="192" t="s">
        <v>5607</v>
      </c>
      <c r="C7771" s="196">
        <v>-47400</v>
      </c>
      <c r="D7771" s="196">
        <v>0</v>
      </c>
      <c r="E7771" s="196">
        <v>0</v>
      </c>
      <c r="F7771" s="196">
        <v>0</v>
      </c>
      <c r="G7771" s="196">
        <v>-47400</v>
      </c>
    </row>
    <row r="7772" spans="1:7" x14ac:dyDescent="0.3">
      <c r="A7772" s="198">
        <v>43151196</v>
      </c>
      <c r="B7772" s="192" t="s">
        <v>5608</v>
      </c>
      <c r="C7772" s="196">
        <v>-162000</v>
      </c>
      <c r="D7772" s="196">
        <v>0</v>
      </c>
      <c r="E7772" s="196">
        <v>0</v>
      </c>
      <c r="F7772" s="196">
        <v>0</v>
      </c>
      <c r="G7772" s="196">
        <v>-162000</v>
      </c>
    </row>
    <row r="7773" spans="1:7" x14ac:dyDescent="0.3">
      <c r="A7773" s="192" t="s">
        <v>5609</v>
      </c>
      <c r="B7773" s="192" t="s">
        <v>5610</v>
      </c>
      <c r="C7773" s="196">
        <v>-297000</v>
      </c>
      <c r="D7773" s="196">
        <v>0</v>
      </c>
      <c r="E7773" s="196">
        <v>0</v>
      </c>
      <c r="F7773" s="196">
        <v>0</v>
      </c>
      <c r="G7773" s="196">
        <v>-297000</v>
      </c>
    </row>
    <row r="7774" spans="1:7" x14ac:dyDescent="0.3">
      <c r="A7774" s="198">
        <v>17031203</v>
      </c>
      <c r="B7774" s="192" t="s">
        <v>5611</v>
      </c>
      <c r="C7774" s="196">
        <v>-20000</v>
      </c>
      <c r="D7774" s="196">
        <v>0</v>
      </c>
      <c r="E7774" s="196">
        <v>0</v>
      </c>
      <c r="F7774" s="196">
        <v>0</v>
      </c>
      <c r="G7774" s="196">
        <v>-20000</v>
      </c>
    </row>
    <row r="7775" spans="1:7" x14ac:dyDescent="0.3">
      <c r="A7775" s="198">
        <v>32018361</v>
      </c>
      <c r="B7775" s="192" t="s">
        <v>1347</v>
      </c>
      <c r="C7775" s="196">
        <v>-7832000</v>
      </c>
      <c r="D7775" s="196">
        <v>0</v>
      </c>
      <c r="E7775" s="196">
        <v>0</v>
      </c>
      <c r="F7775" s="196">
        <v>0</v>
      </c>
      <c r="G7775" s="196">
        <v>-7832000</v>
      </c>
    </row>
    <row r="7776" spans="1:7" x14ac:dyDescent="0.3">
      <c r="A7776" s="198">
        <v>1054570162</v>
      </c>
      <c r="B7776" s="192" t="s">
        <v>5612</v>
      </c>
      <c r="C7776" s="196">
        <v>-49000</v>
      </c>
      <c r="D7776" s="196">
        <v>0</v>
      </c>
      <c r="E7776" s="196">
        <v>0</v>
      </c>
      <c r="F7776" s="196">
        <v>0</v>
      </c>
      <c r="G7776" s="196">
        <v>-49000</v>
      </c>
    </row>
    <row r="7777" spans="1:7" x14ac:dyDescent="0.3">
      <c r="A7777" s="198">
        <v>8313639</v>
      </c>
      <c r="B7777" s="192" t="s">
        <v>1348</v>
      </c>
      <c r="C7777" s="196">
        <v>-223300</v>
      </c>
      <c r="D7777" s="196">
        <v>0</v>
      </c>
      <c r="E7777" s="196">
        <v>0</v>
      </c>
      <c r="F7777" s="196">
        <v>0</v>
      </c>
      <c r="G7777" s="196">
        <v>-223300</v>
      </c>
    </row>
    <row r="7778" spans="1:7" x14ac:dyDescent="0.3">
      <c r="A7778" s="198">
        <v>32211123</v>
      </c>
      <c r="B7778" s="192" t="s">
        <v>5613</v>
      </c>
      <c r="C7778" s="196">
        <v>-297000</v>
      </c>
      <c r="D7778" s="196">
        <v>0</v>
      </c>
      <c r="E7778" s="196">
        <v>0</v>
      </c>
      <c r="F7778" s="196">
        <v>0</v>
      </c>
      <c r="G7778" s="196">
        <v>-297000</v>
      </c>
    </row>
    <row r="7779" spans="1:7" x14ac:dyDescent="0.3">
      <c r="A7779" s="198">
        <v>3304631</v>
      </c>
      <c r="B7779" s="192" t="s">
        <v>5614</v>
      </c>
      <c r="C7779" s="196">
        <v>-297000</v>
      </c>
      <c r="D7779" s="196">
        <v>0</v>
      </c>
      <c r="E7779" s="196">
        <v>0</v>
      </c>
      <c r="F7779" s="196">
        <v>0</v>
      </c>
      <c r="G7779" s="196">
        <v>-297000</v>
      </c>
    </row>
    <row r="7780" spans="1:7" x14ac:dyDescent="0.3">
      <c r="A7780" s="198">
        <v>15508006</v>
      </c>
      <c r="B7780" s="192" t="s">
        <v>5615</v>
      </c>
      <c r="C7780" s="196">
        <v>-319000</v>
      </c>
      <c r="D7780" s="196">
        <v>0</v>
      </c>
      <c r="E7780" s="196">
        <v>0</v>
      </c>
      <c r="F7780" s="196">
        <v>0</v>
      </c>
      <c r="G7780" s="196">
        <v>-319000</v>
      </c>
    </row>
    <row r="7781" spans="1:7" x14ac:dyDescent="0.3">
      <c r="A7781" s="198">
        <v>15402934</v>
      </c>
      <c r="B7781" s="192" t="s">
        <v>142</v>
      </c>
      <c r="C7781" s="196">
        <v>-297000</v>
      </c>
      <c r="D7781" s="196">
        <v>0</v>
      </c>
      <c r="E7781" s="196">
        <v>0</v>
      </c>
      <c r="F7781" s="196">
        <v>0</v>
      </c>
      <c r="G7781" s="196">
        <v>-297000</v>
      </c>
    </row>
    <row r="7782" spans="1:7" x14ac:dyDescent="0.3">
      <c r="A7782" s="198">
        <v>79897977</v>
      </c>
      <c r="B7782" s="192" t="s">
        <v>5616</v>
      </c>
      <c r="C7782" s="196">
        <v>-50900</v>
      </c>
      <c r="D7782" s="196">
        <v>0</v>
      </c>
      <c r="E7782" s="196">
        <v>0</v>
      </c>
      <c r="F7782" s="196">
        <v>0</v>
      </c>
      <c r="G7782" s="196">
        <v>-50900</v>
      </c>
    </row>
    <row r="7783" spans="1:7" x14ac:dyDescent="0.3">
      <c r="A7783" s="198">
        <v>70066793</v>
      </c>
      <c r="B7783" s="192" t="s">
        <v>5617</v>
      </c>
      <c r="C7783" s="196">
        <v>-101800</v>
      </c>
      <c r="D7783" s="196">
        <v>0</v>
      </c>
      <c r="E7783" s="196">
        <v>0</v>
      </c>
      <c r="F7783" s="196">
        <v>0</v>
      </c>
      <c r="G7783" s="196">
        <v>-101800</v>
      </c>
    </row>
    <row r="7784" spans="1:7" x14ac:dyDescent="0.3">
      <c r="A7784" s="198">
        <v>1063299843</v>
      </c>
      <c r="B7784" s="192" t="s">
        <v>5618</v>
      </c>
      <c r="C7784" s="196">
        <v>-270000</v>
      </c>
      <c r="D7784" s="196">
        <v>0</v>
      </c>
      <c r="E7784" s="196">
        <v>0</v>
      </c>
      <c r="F7784" s="196">
        <v>0</v>
      </c>
      <c r="G7784" s="196">
        <v>-270000</v>
      </c>
    </row>
    <row r="7785" spans="1:7" x14ac:dyDescent="0.3">
      <c r="A7785" s="198">
        <v>1077871480</v>
      </c>
      <c r="B7785" s="192" t="s">
        <v>5619</v>
      </c>
      <c r="C7785" s="196">
        <v>-110000</v>
      </c>
      <c r="D7785" s="196">
        <v>0</v>
      </c>
      <c r="E7785" s="196">
        <v>0</v>
      </c>
      <c r="F7785" s="196">
        <v>0</v>
      </c>
      <c r="G7785" s="196">
        <v>-110000</v>
      </c>
    </row>
    <row r="7786" spans="1:7" x14ac:dyDescent="0.3">
      <c r="A7786" s="198">
        <v>80795366</v>
      </c>
      <c r="B7786" s="192" t="s">
        <v>1351</v>
      </c>
      <c r="C7786" s="196">
        <v>0</v>
      </c>
      <c r="D7786" s="196">
        <v>0</v>
      </c>
      <c r="E7786" s="196">
        <v>50900</v>
      </c>
      <c r="F7786" s="196">
        <v>-50900</v>
      </c>
      <c r="G7786" s="196">
        <v>-50900</v>
      </c>
    </row>
    <row r="7787" spans="1:7" x14ac:dyDescent="0.3">
      <c r="A7787" s="198">
        <v>1094891622</v>
      </c>
      <c r="B7787" s="192" t="s">
        <v>5620</v>
      </c>
      <c r="C7787" s="196">
        <v>-88000</v>
      </c>
      <c r="D7787" s="196">
        <v>0</v>
      </c>
      <c r="E7787" s="196">
        <v>0</v>
      </c>
      <c r="F7787" s="196">
        <v>0</v>
      </c>
      <c r="G7787" s="196">
        <v>-88000</v>
      </c>
    </row>
    <row r="7788" spans="1:7" x14ac:dyDescent="0.3">
      <c r="A7788" s="198">
        <v>12263001</v>
      </c>
      <c r="B7788" s="192" t="s">
        <v>1352</v>
      </c>
      <c r="C7788" s="196">
        <v>0</v>
      </c>
      <c r="D7788" s="196">
        <v>0</v>
      </c>
      <c r="E7788" s="196">
        <v>162000</v>
      </c>
      <c r="F7788" s="196">
        <v>-162000</v>
      </c>
      <c r="G7788" s="196">
        <v>-162000</v>
      </c>
    </row>
    <row r="7789" spans="1:7" x14ac:dyDescent="0.3">
      <c r="A7789" s="198">
        <v>1018424206</v>
      </c>
      <c r="B7789" s="192" t="s">
        <v>1353</v>
      </c>
      <c r="C7789" s="196">
        <v>0</v>
      </c>
      <c r="D7789" s="196">
        <v>0</v>
      </c>
      <c r="E7789" s="196">
        <v>43900</v>
      </c>
      <c r="F7789" s="196">
        <v>-43900</v>
      </c>
      <c r="G7789" s="196">
        <v>-43900</v>
      </c>
    </row>
    <row r="7790" spans="1:7" x14ac:dyDescent="0.3">
      <c r="A7790" s="198">
        <v>92640198</v>
      </c>
      <c r="B7790" s="192" t="s">
        <v>5621</v>
      </c>
      <c r="C7790" s="196">
        <v>-50900</v>
      </c>
      <c r="D7790" s="196">
        <v>0</v>
      </c>
      <c r="E7790" s="196">
        <v>0</v>
      </c>
      <c r="F7790" s="196">
        <v>0</v>
      </c>
      <c r="G7790" s="196">
        <v>-50900</v>
      </c>
    </row>
    <row r="7791" spans="1:7" x14ac:dyDescent="0.3">
      <c r="A7791" s="198">
        <v>75090102</v>
      </c>
      <c r="B7791" s="192" t="s">
        <v>5622</v>
      </c>
      <c r="C7791" s="196">
        <v>-50900</v>
      </c>
      <c r="D7791" s="196">
        <v>0</v>
      </c>
      <c r="E7791" s="196">
        <v>0</v>
      </c>
      <c r="F7791" s="196">
        <v>0</v>
      </c>
      <c r="G7791" s="196">
        <v>-50900</v>
      </c>
    </row>
    <row r="7792" spans="1:7" x14ac:dyDescent="0.3">
      <c r="A7792" s="198">
        <v>13956258</v>
      </c>
      <c r="B7792" s="192" t="s">
        <v>5623</v>
      </c>
      <c r="C7792" s="196">
        <v>-50900</v>
      </c>
      <c r="D7792" s="196">
        <v>0</v>
      </c>
      <c r="E7792" s="196">
        <v>0</v>
      </c>
      <c r="F7792" s="196">
        <v>0</v>
      </c>
      <c r="G7792" s="196">
        <v>-50900</v>
      </c>
    </row>
    <row r="7793" spans="1:7" x14ac:dyDescent="0.3">
      <c r="A7793" s="198">
        <v>98541560</v>
      </c>
      <c r="B7793" s="192" t="s">
        <v>1354</v>
      </c>
      <c r="C7793" s="196">
        <v>0</v>
      </c>
      <c r="D7793" s="196">
        <v>0</v>
      </c>
      <c r="E7793" s="196">
        <v>57200</v>
      </c>
      <c r="F7793" s="196">
        <v>-57200</v>
      </c>
      <c r="G7793" s="196">
        <v>-57200</v>
      </c>
    </row>
    <row r="7794" spans="1:7" x14ac:dyDescent="0.3">
      <c r="A7794" s="198">
        <v>43100141</v>
      </c>
      <c r="B7794" s="192" t="s">
        <v>5624</v>
      </c>
      <c r="C7794" s="196">
        <v>-223300</v>
      </c>
      <c r="D7794" s="196">
        <v>0</v>
      </c>
      <c r="E7794" s="196">
        <v>0</v>
      </c>
      <c r="F7794" s="196">
        <v>0</v>
      </c>
      <c r="G7794" s="196">
        <v>-223300</v>
      </c>
    </row>
    <row r="7795" spans="1:7" x14ac:dyDescent="0.3">
      <c r="A7795" s="198">
        <v>71291256</v>
      </c>
      <c r="B7795" s="192" t="s">
        <v>1355</v>
      </c>
      <c r="C7795" s="196">
        <v>0</v>
      </c>
      <c r="D7795" s="196">
        <v>0</v>
      </c>
      <c r="E7795" s="196">
        <v>50900</v>
      </c>
      <c r="F7795" s="196">
        <v>-50900</v>
      </c>
      <c r="G7795" s="196">
        <v>-50900</v>
      </c>
    </row>
    <row r="7796" spans="1:7" x14ac:dyDescent="0.3">
      <c r="A7796" s="198">
        <v>1035010947</v>
      </c>
      <c r="B7796" s="192" t="s">
        <v>5625</v>
      </c>
      <c r="C7796" s="196">
        <v>-46100</v>
      </c>
      <c r="D7796" s="196">
        <v>0</v>
      </c>
      <c r="E7796" s="196">
        <v>0</v>
      </c>
      <c r="F7796" s="196">
        <v>0</v>
      </c>
      <c r="G7796" s="196">
        <v>-46100</v>
      </c>
    </row>
    <row r="7797" spans="1:7" x14ac:dyDescent="0.3">
      <c r="A7797" s="198">
        <v>92528365</v>
      </c>
      <c r="B7797" s="192" t="s">
        <v>5626</v>
      </c>
      <c r="C7797" s="196">
        <v>-46400</v>
      </c>
      <c r="D7797" s="196">
        <v>0</v>
      </c>
      <c r="E7797" s="196">
        <v>0</v>
      </c>
      <c r="F7797" s="196">
        <v>0</v>
      </c>
      <c r="G7797" s="196">
        <v>-46400</v>
      </c>
    </row>
    <row r="7798" spans="1:7" x14ac:dyDescent="0.3">
      <c r="A7798" s="198">
        <v>1017923112</v>
      </c>
      <c r="B7798" s="192" t="s">
        <v>5627</v>
      </c>
      <c r="C7798" s="196">
        <v>-50900</v>
      </c>
      <c r="D7798" s="196">
        <v>0</v>
      </c>
      <c r="E7798" s="196">
        <v>0</v>
      </c>
      <c r="F7798" s="196">
        <v>0</v>
      </c>
      <c r="G7798" s="196">
        <v>-50900</v>
      </c>
    </row>
    <row r="7799" spans="1:7" x14ac:dyDescent="0.3">
      <c r="A7799" s="198">
        <v>1034989399</v>
      </c>
      <c r="B7799" s="192" t="s">
        <v>5628</v>
      </c>
      <c r="C7799" s="196">
        <v>-47400</v>
      </c>
      <c r="D7799" s="196">
        <v>0</v>
      </c>
      <c r="E7799" s="196">
        <v>0</v>
      </c>
      <c r="F7799" s="196">
        <v>0</v>
      </c>
      <c r="G7799" s="196">
        <v>-47400</v>
      </c>
    </row>
    <row r="7800" spans="1:7" x14ac:dyDescent="0.3">
      <c r="A7800" s="198">
        <v>1035027021</v>
      </c>
      <c r="B7800" s="192" t="s">
        <v>1356</v>
      </c>
      <c r="C7800" s="196">
        <v>0</v>
      </c>
      <c r="D7800" s="196">
        <v>0</v>
      </c>
      <c r="E7800" s="196">
        <v>50900</v>
      </c>
      <c r="F7800" s="196">
        <v>-50900</v>
      </c>
      <c r="G7800" s="196">
        <v>-50900</v>
      </c>
    </row>
    <row r="7801" spans="1:7" x14ac:dyDescent="0.3">
      <c r="A7801" s="198">
        <v>1088303672</v>
      </c>
      <c r="B7801" s="192" t="s">
        <v>5629</v>
      </c>
      <c r="C7801" s="196">
        <v>-50900</v>
      </c>
      <c r="D7801" s="196">
        <v>0</v>
      </c>
      <c r="E7801" s="196">
        <v>0</v>
      </c>
      <c r="F7801" s="196">
        <v>0</v>
      </c>
      <c r="G7801" s="196">
        <v>-50900</v>
      </c>
    </row>
    <row r="7802" spans="1:7" x14ac:dyDescent="0.3">
      <c r="A7802" s="198">
        <v>70051197</v>
      </c>
      <c r="B7802" s="192" t="s">
        <v>5630</v>
      </c>
      <c r="C7802" s="196">
        <v>-57200</v>
      </c>
      <c r="D7802" s="196">
        <v>0</v>
      </c>
      <c r="E7802" s="196">
        <v>0</v>
      </c>
      <c r="F7802" s="196">
        <v>0</v>
      </c>
      <c r="G7802" s="196">
        <v>-57200</v>
      </c>
    </row>
    <row r="7803" spans="1:7" x14ac:dyDescent="0.3">
      <c r="A7803" s="198">
        <v>1152471172</v>
      </c>
      <c r="B7803" s="192" t="s">
        <v>1357</v>
      </c>
      <c r="C7803" s="196">
        <v>0</v>
      </c>
      <c r="D7803" s="196">
        <v>0</v>
      </c>
      <c r="E7803" s="196">
        <v>47000</v>
      </c>
      <c r="F7803" s="196">
        <v>-47000</v>
      </c>
      <c r="G7803" s="196">
        <v>-47000</v>
      </c>
    </row>
    <row r="7804" spans="1:7" x14ac:dyDescent="0.3">
      <c r="A7804" s="198">
        <v>71755551</v>
      </c>
      <c r="B7804" s="192" t="s">
        <v>5631</v>
      </c>
      <c r="C7804" s="196">
        <v>-47400</v>
      </c>
      <c r="D7804" s="196">
        <v>0</v>
      </c>
      <c r="E7804" s="196">
        <v>0</v>
      </c>
      <c r="F7804" s="196">
        <v>0</v>
      </c>
      <c r="G7804" s="196">
        <v>-47400</v>
      </c>
    </row>
    <row r="7805" spans="1:7" x14ac:dyDescent="0.3">
      <c r="A7805" s="198">
        <v>1017133623</v>
      </c>
      <c r="B7805" s="192" t="s">
        <v>5632</v>
      </c>
      <c r="C7805" s="196">
        <v>-46400</v>
      </c>
      <c r="D7805" s="196">
        <v>0</v>
      </c>
      <c r="E7805" s="196">
        <v>0</v>
      </c>
      <c r="F7805" s="196">
        <v>0</v>
      </c>
      <c r="G7805" s="196">
        <v>-46400</v>
      </c>
    </row>
    <row r="7806" spans="1:7" x14ac:dyDescent="0.3">
      <c r="A7806" s="198">
        <v>1035019986</v>
      </c>
      <c r="B7806" s="192" t="s">
        <v>5633</v>
      </c>
      <c r="C7806" s="196">
        <v>-50900</v>
      </c>
      <c r="D7806" s="196">
        <v>0</v>
      </c>
      <c r="E7806" s="196">
        <v>0</v>
      </c>
      <c r="F7806" s="196">
        <v>0</v>
      </c>
      <c r="G7806" s="196">
        <v>-50900</v>
      </c>
    </row>
    <row r="7807" spans="1:7" x14ac:dyDescent="0.3">
      <c r="A7807" s="198">
        <v>1152190301</v>
      </c>
      <c r="B7807" s="192" t="s">
        <v>1358</v>
      </c>
      <c r="C7807" s="196">
        <v>0</v>
      </c>
      <c r="D7807" s="196">
        <v>0</v>
      </c>
      <c r="E7807" s="196">
        <v>50900</v>
      </c>
      <c r="F7807" s="196">
        <v>-50900</v>
      </c>
      <c r="G7807" s="196">
        <v>-50900</v>
      </c>
    </row>
    <row r="7808" spans="1:7" x14ac:dyDescent="0.3">
      <c r="A7808" s="198">
        <v>1107053075</v>
      </c>
      <c r="B7808" s="192" t="s">
        <v>5634</v>
      </c>
      <c r="C7808" s="196">
        <v>-50900</v>
      </c>
      <c r="D7808" s="196">
        <v>0</v>
      </c>
      <c r="E7808" s="196">
        <v>0</v>
      </c>
      <c r="F7808" s="196">
        <v>0</v>
      </c>
      <c r="G7808" s="196">
        <v>-50900</v>
      </c>
    </row>
    <row r="7809" spans="1:7" x14ac:dyDescent="0.3">
      <c r="A7809" s="198">
        <v>31712890</v>
      </c>
      <c r="B7809" s="192" t="s">
        <v>1359</v>
      </c>
      <c r="C7809" s="196">
        <v>-319000</v>
      </c>
      <c r="D7809" s="196">
        <v>0</v>
      </c>
      <c r="E7809" s="196">
        <v>0</v>
      </c>
      <c r="F7809" s="196">
        <v>0</v>
      </c>
      <c r="G7809" s="196">
        <v>-319000</v>
      </c>
    </row>
    <row r="7810" spans="1:7" x14ac:dyDescent="0.3">
      <c r="A7810" s="198">
        <v>43843440</v>
      </c>
      <c r="B7810" s="192" t="s">
        <v>1360</v>
      </c>
      <c r="C7810" s="196">
        <v>-57200</v>
      </c>
      <c r="D7810" s="196">
        <v>0</v>
      </c>
      <c r="E7810" s="196">
        <v>57200</v>
      </c>
      <c r="F7810" s="196">
        <v>-57200</v>
      </c>
      <c r="G7810" s="196">
        <v>-114400</v>
      </c>
    </row>
    <row r="7811" spans="1:7" x14ac:dyDescent="0.3">
      <c r="A7811" s="198">
        <v>1026254393</v>
      </c>
      <c r="B7811" s="192" t="s">
        <v>5635</v>
      </c>
      <c r="C7811" s="196">
        <v>-35000</v>
      </c>
      <c r="D7811" s="196">
        <v>0</v>
      </c>
      <c r="E7811" s="196">
        <v>0</v>
      </c>
      <c r="F7811" s="196">
        <v>0</v>
      </c>
      <c r="G7811" s="196">
        <v>-35000</v>
      </c>
    </row>
    <row r="7812" spans="1:7" x14ac:dyDescent="0.3">
      <c r="A7812" s="198">
        <v>43750138</v>
      </c>
      <c r="B7812" s="192" t="s">
        <v>5636</v>
      </c>
      <c r="C7812" s="196">
        <v>-50900</v>
      </c>
      <c r="D7812" s="196">
        <v>0</v>
      </c>
      <c r="E7812" s="196">
        <v>0</v>
      </c>
      <c r="F7812" s="196">
        <v>0</v>
      </c>
      <c r="G7812" s="196">
        <v>-50900</v>
      </c>
    </row>
    <row r="7813" spans="1:7" x14ac:dyDescent="0.3">
      <c r="A7813" s="198">
        <v>1086106153</v>
      </c>
      <c r="B7813" s="192" t="s">
        <v>5637</v>
      </c>
      <c r="C7813" s="196">
        <v>-297000</v>
      </c>
      <c r="D7813" s="196">
        <v>0</v>
      </c>
      <c r="E7813" s="196">
        <v>0</v>
      </c>
      <c r="F7813" s="196">
        <v>0</v>
      </c>
      <c r="G7813" s="196">
        <v>-297000</v>
      </c>
    </row>
    <row r="7814" spans="1:7" x14ac:dyDescent="0.3">
      <c r="A7814" s="198">
        <v>43209419</v>
      </c>
      <c r="B7814" s="192" t="s">
        <v>5638</v>
      </c>
      <c r="C7814" s="196">
        <v>-25100</v>
      </c>
      <c r="D7814" s="196">
        <v>0</v>
      </c>
      <c r="E7814" s="196">
        <v>0</v>
      </c>
      <c r="F7814" s="196">
        <v>0</v>
      </c>
      <c r="G7814" s="196">
        <v>-25100</v>
      </c>
    </row>
    <row r="7815" spans="1:7" x14ac:dyDescent="0.3">
      <c r="A7815" s="198">
        <v>52436862</v>
      </c>
      <c r="B7815" s="192" t="s">
        <v>5639</v>
      </c>
      <c r="C7815" s="196">
        <v>-50900</v>
      </c>
      <c r="D7815" s="196">
        <v>0</v>
      </c>
      <c r="E7815" s="196">
        <v>0</v>
      </c>
      <c r="F7815" s="196">
        <v>0</v>
      </c>
      <c r="G7815" s="196">
        <v>-50900</v>
      </c>
    </row>
    <row r="7816" spans="1:7" x14ac:dyDescent="0.3">
      <c r="A7816" s="198">
        <v>1036615659</v>
      </c>
      <c r="B7816" s="192" t="s">
        <v>5640</v>
      </c>
      <c r="C7816" s="196">
        <v>-50900</v>
      </c>
      <c r="D7816" s="196">
        <v>0</v>
      </c>
      <c r="E7816" s="196">
        <v>0</v>
      </c>
      <c r="F7816" s="196">
        <v>0</v>
      </c>
      <c r="G7816" s="196">
        <v>-50900</v>
      </c>
    </row>
    <row r="7817" spans="1:7" x14ac:dyDescent="0.3">
      <c r="A7817" s="198">
        <v>1038104753</v>
      </c>
      <c r="B7817" s="192" t="s">
        <v>1361</v>
      </c>
      <c r="C7817" s="196">
        <v>0</v>
      </c>
      <c r="D7817" s="196">
        <v>0</v>
      </c>
      <c r="E7817" s="196">
        <v>110000</v>
      </c>
      <c r="F7817" s="196">
        <v>-110000</v>
      </c>
      <c r="G7817" s="196">
        <v>-110000</v>
      </c>
    </row>
    <row r="7818" spans="1:7" x14ac:dyDescent="0.3">
      <c r="A7818" s="198">
        <v>52715153</v>
      </c>
      <c r="B7818" s="192" t="s">
        <v>5641</v>
      </c>
      <c r="C7818" s="196">
        <v>-89100</v>
      </c>
      <c r="D7818" s="196">
        <v>0</v>
      </c>
      <c r="E7818" s="196">
        <v>0</v>
      </c>
      <c r="F7818" s="196">
        <v>0</v>
      </c>
      <c r="G7818" s="196">
        <v>-89100</v>
      </c>
    </row>
    <row r="7819" spans="1:7" x14ac:dyDescent="0.3">
      <c r="A7819" s="198">
        <v>1037622995</v>
      </c>
      <c r="B7819" s="192" t="s">
        <v>5642</v>
      </c>
      <c r="C7819" s="196">
        <v>-50900</v>
      </c>
      <c r="D7819" s="196">
        <v>0</v>
      </c>
      <c r="E7819" s="196">
        <v>0</v>
      </c>
      <c r="F7819" s="196">
        <v>0</v>
      </c>
      <c r="G7819" s="196">
        <v>-50900</v>
      </c>
    </row>
    <row r="7820" spans="1:7" x14ac:dyDescent="0.3">
      <c r="A7820" s="198">
        <v>659302</v>
      </c>
      <c r="B7820" s="192" t="s">
        <v>5643</v>
      </c>
      <c r="C7820" s="196">
        <v>-520300</v>
      </c>
      <c r="D7820" s="196">
        <v>0</v>
      </c>
      <c r="E7820" s="196">
        <v>0</v>
      </c>
      <c r="F7820" s="196">
        <v>0</v>
      </c>
      <c r="G7820" s="196">
        <v>-520300</v>
      </c>
    </row>
    <row r="7821" spans="1:7" x14ac:dyDescent="0.3">
      <c r="A7821" s="198">
        <v>722363</v>
      </c>
      <c r="B7821" s="192" t="s">
        <v>5644</v>
      </c>
      <c r="C7821" s="196">
        <v>-50900</v>
      </c>
      <c r="D7821" s="196">
        <v>0</v>
      </c>
      <c r="E7821" s="196">
        <v>0</v>
      </c>
      <c r="F7821" s="196">
        <v>0</v>
      </c>
      <c r="G7821" s="196">
        <v>-50900</v>
      </c>
    </row>
    <row r="7822" spans="1:7" x14ac:dyDescent="0.3">
      <c r="A7822" s="198">
        <v>1017942987</v>
      </c>
      <c r="B7822" s="192" t="s">
        <v>5645</v>
      </c>
      <c r="C7822" s="196">
        <v>-50900</v>
      </c>
      <c r="D7822" s="196">
        <v>0</v>
      </c>
      <c r="E7822" s="196">
        <v>0</v>
      </c>
      <c r="F7822" s="196">
        <v>0</v>
      </c>
      <c r="G7822" s="196">
        <v>-50900</v>
      </c>
    </row>
    <row r="7823" spans="1:7" x14ac:dyDescent="0.3">
      <c r="A7823" s="198">
        <v>32552001</v>
      </c>
      <c r="B7823" s="192" t="s">
        <v>5646</v>
      </c>
      <c r="C7823" s="196">
        <v>-101800</v>
      </c>
      <c r="D7823" s="196">
        <v>0</v>
      </c>
      <c r="E7823" s="196">
        <v>0</v>
      </c>
      <c r="F7823" s="196">
        <v>0</v>
      </c>
      <c r="G7823" s="196">
        <v>-101800</v>
      </c>
    </row>
    <row r="7824" spans="1:7" x14ac:dyDescent="0.3">
      <c r="A7824" s="198">
        <v>42889699</v>
      </c>
      <c r="B7824" s="192" t="s">
        <v>5647</v>
      </c>
      <c r="C7824" s="196">
        <v>-50900</v>
      </c>
      <c r="D7824" s="196">
        <v>0</v>
      </c>
      <c r="E7824" s="196">
        <v>0</v>
      </c>
      <c r="F7824" s="196">
        <v>0</v>
      </c>
      <c r="G7824" s="196">
        <v>-50900</v>
      </c>
    </row>
    <row r="7825" spans="1:7" x14ac:dyDescent="0.3">
      <c r="A7825" s="198">
        <v>1037604402</v>
      </c>
      <c r="B7825" s="192" t="s">
        <v>5648</v>
      </c>
      <c r="C7825" s="196">
        <v>-54200</v>
      </c>
      <c r="D7825" s="196">
        <v>0</v>
      </c>
      <c r="E7825" s="196">
        <v>0</v>
      </c>
      <c r="F7825" s="196">
        <v>0</v>
      </c>
      <c r="G7825" s="196">
        <v>-54200</v>
      </c>
    </row>
    <row r="7826" spans="1:7" x14ac:dyDescent="0.3">
      <c r="A7826" s="198">
        <v>43518079</v>
      </c>
      <c r="B7826" s="192" t="s">
        <v>1362</v>
      </c>
      <c r="C7826" s="196">
        <v>-165000</v>
      </c>
      <c r="D7826" s="196">
        <v>0</v>
      </c>
      <c r="E7826" s="196">
        <v>0</v>
      </c>
      <c r="F7826" s="196">
        <v>0</v>
      </c>
      <c r="G7826" s="196">
        <v>-165000</v>
      </c>
    </row>
    <row r="7827" spans="1:7" x14ac:dyDescent="0.3">
      <c r="A7827" s="198">
        <v>2000004596</v>
      </c>
      <c r="B7827" s="192" t="s">
        <v>5649</v>
      </c>
      <c r="C7827" s="196">
        <v>-101800</v>
      </c>
      <c r="D7827" s="196">
        <v>0</v>
      </c>
      <c r="E7827" s="196">
        <v>0</v>
      </c>
      <c r="F7827" s="196">
        <v>0</v>
      </c>
      <c r="G7827" s="196">
        <v>-101800</v>
      </c>
    </row>
    <row r="7828" spans="1:7" x14ac:dyDescent="0.3">
      <c r="A7828" s="198">
        <v>43062666</v>
      </c>
      <c r="B7828" s="192" t="s">
        <v>5650</v>
      </c>
      <c r="C7828" s="196">
        <v>-207900</v>
      </c>
      <c r="D7828" s="196">
        <v>0</v>
      </c>
      <c r="E7828" s="196">
        <v>0</v>
      </c>
      <c r="F7828" s="196">
        <v>0</v>
      </c>
      <c r="G7828" s="196">
        <v>-207900</v>
      </c>
    </row>
    <row r="7829" spans="1:7" x14ac:dyDescent="0.3">
      <c r="A7829" s="198">
        <v>26026995</v>
      </c>
      <c r="B7829" s="192" t="s">
        <v>1363</v>
      </c>
      <c r="C7829" s="196">
        <v>0</v>
      </c>
      <c r="D7829" s="196">
        <v>0</v>
      </c>
      <c r="E7829" s="196">
        <v>57200</v>
      </c>
      <c r="F7829" s="196">
        <v>-57200</v>
      </c>
      <c r="G7829" s="196">
        <v>-57200</v>
      </c>
    </row>
    <row r="7830" spans="1:7" x14ac:dyDescent="0.3">
      <c r="A7830" s="198">
        <v>42781777</v>
      </c>
      <c r="B7830" s="192" t="s">
        <v>1364</v>
      </c>
      <c r="C7830" s="196">
        <v>0</v>
      </c>
      <c r="D7830" s="196">
        <v>0</v>
      </c>
      <c r="E7830" s="196">
        <v>319000</v>
      </c>
      <c r="F7830" s="196">
        <v>-319000</v>
      </c>
      <c r="G7830" s="196">
        <v>-319000</v>
      </c>
    </row>
    <row r="7831" spans="1:7" x14ac:dyDescent="0.3">
      <c r="A7831" s="198">
        <v>43612135</v>
      </c>
      <c r="B7831" s="192" t="s">
        <v>1365</v>
      </c>
      <c r="C7831" s="196">
        <v>-50500</v>
      </c>
      <c r="D7831" s="196">
        <v>0</v>
      </c>
      <c r="E7831" s="196">
        <v>0</v>
      </c>
      <c r="F7831" s="196">
        <v>0</v>
      </c>
      <c r="G7831" s="196">
        <v>-50500</v>
      </c>
    </row>
    <row r="7832" spans="1:7" x14ac:dyDescent="0.3">
      <c r="A7832" s="192" t="s">
        <v>1366</v>
      </c>
      <c r="B7832" s="192" t="s">
        <v>1367</v>
      </c>
      <c r="C7832" s="196">
        <v>-119000</v>
      </c>
      <c r="D7832" s="196">
        <v>0</v>
      </c>
      <c r="E7832" s="196">
        <v>0</v>
      </c>
      <c r="F7832" s="196">
        <v>0</v>
      </c>
      <c r="G7832" s="196">
        <v>-119000</v>
      </c>
    </row>
    <row r="7833" spans="1:7" x14ac:dyDescent="0.3">
      <c r="A7833" s="198">
        <v>700772</v>
      </c>
      <c r="B7833" s="192" t="s">
        <v>5651</v>
      </c>
      <c r="C7833" s="196">
        <v>-50900</v>
      </c>
      <c r="D7833" s="196">
        <v>0</v>
      </c>
      <c r="E7833" s="196">
        <v>0</v>
      </c>
      <c r="F7833" s="196">
        <v>0</v>
      </c>
      <c r="G7833" s="196">
        <v>-50900</v>
      </c>
    </row>
    <row r="7834" spans="1:7" x14ac:dyDescent="0.3">
      <c r="A7834" s="192" t="s">
        <v>5652</v>
      </c>
      <c r="B7834" s="192" t="s">
        <v>5653</v>
      </c>
      <c r="C7834" s="196">
        <v>-297000</v>
      </c>
      <c r="D7834" s="196">
        <v>0</v>
      </c>
      <c r="E7834" s="196">
        <v>0</v>
      </c>
      <c r="F7834" s="196">
        <v>0</v>
      </c>
      <c r="G7834" s="196">
        <v>-297000</v>
      </c>
    </row>
    <row r="7835" spans="1:7" x14ac:dyDescent="0.3">
      <c r="A7835" s="198">
        <v>8028221</v>
      </c>
      <c r="B7835" s="192" t="s">
        <v>5654</v>
      </c>
      <c r="C7835" s="196">
        <v>-98000</v>
      </c>
      <c r="D7835" s="196">
        <v>0</v>
      </c>
      <c r="E7835" s="196">
        <v>0</v>
      </c>
      <c r="F7835" s="196">
        <v>0</v>
      </c>
      <c r="G7835" s="196">
        <v>-98000</v>
      </c>
    </row>
    <row r="7836" spans="1:7" x14ac:dyDescent="0.3">
      <c r="A7836" s="198">
        <v>1037237770</v>
      </c>
      <c r="B7836" s="192" t="s">
        <v>5655</v>
      </c>
      <c r="C7836" s="196">
        <v>-49000</v>
      </c>
      <c r="D7836" s="196">
        <v>0</v>
      </c>
      <c r="E7836" s="196">
        <v>0</v>
      </c>
      <c r="F7836" s="196">
        <v>0</v>
      </c>
      <c r="G7836" s="196">
        <v>-49000</v>
      </c>
    </row>
    <row r="7837" spans="1:7" x14ac:dyDescent="0.3">
      <c r="A7837" s="198">
        <v>8240891</v>
      </c>
      <c r="B7837" s="192" t="s">
        <v>5656</v>
      </c>
      <c r="C7837" s="196">
        <v>-119000</v>
      </c>
      <c r="D7837" s="196">
        <v>0</v>
      </c>
      <c r="E7837" s="196">
        <v>0</v>
      </c>
      <c r="F7837" s="196">
        <v>0</v>
      </c>
      <c r="G7837" s="196">
        <v>-119000</v>
      </c>
    </row>
    <row r="7838" spans="1:7" x14ac:dyDescent="0.3">
      <c r="A7838" s="198">
        <v>42825703</v>
      </c>
      <c r="B7838" s="192" t="s">
        <v>1368</v>
      </c>
      <c r="C7838" s="196">
        <v>-297000</v>
      </c>
      <c r="D7838" s="196">
        <v>0</v>
      </c>
      <c r="E7838" s="196">
        <v>0</v>
      </c>
      <c r="F7838" s="196">
        <v>0</v>
      </c>
      <c r="G7838" s="196">
        <v>-297000</v>
      </c>
    </row>
    <row r="7839" spans="1:7" x14ac:dyDescent="0.3">
      <c r="A7839" s="198">
        <v>32180722</v>
      </c>
      <c r="B7839" s="192" t="s">
        <v>5657</v>
      </c>
      <c r="C7839" s="196">
        <v>-50900</v>
      </c>
      <c r="D7839" s="196">
        <v>0</v>
      </c>
      <c r="E7839" s="196">
        <v>0</v>
      </c>
      <c r="F7839" s="196">
        <v>0</v>
      </c>
      <c r="G7839" s="196">
        <v>-50900</v>
      </c>
    </row>
    <row r="7840" spans="1:7" x14ac:dyDescent="0.3">
      <c r="A7840" s="192" t="s">
        <v>5658</v>
      </c>
      <c r="B7840" s="192" t="s">
        <v>5659</v>
      </c>
      <c r="C7840" s="196">
        <v>-270000</v>
      </c>
      <c r="D7840" s="196">
        <v>0</v>
      </c>
      <c r="E7840" s="196">
        <v>0</v>
      </c>
      <c r="F7840" s="196">
        <v>0</v>
      </c>
      <c r="G7840" s="196">
        <v>-270000</v>
      </c>
    </row>
    <row r="7841" spans="1:7" x14ac:dyDescent="0.3">
      <c r="A7841" s="198">
        <v>43868927</v>
      </c>
      <c r="B7841" s="192" t="s">
        <v>5660</v>
      </c>
      <c r="C7841" s="196">
        <v>-47400</v>
      </c>
      <c r="D7841" s="196">
        <v>0</v>
      </c>
      <c r="E7841" s="196">
        <v>0</v>
      </c>
      <c r="F7841" s="196">
        <v>0</v>
      </c>
      <c r="G7841" s="196">
        <v>-47400</v>
      </c>
    </row>
    <row r="7842" spans="1:7" x14ac:dyDescent="0.3">
      <c r="A7842" s="198">
        <v>1017184299</v>
      </c>
      <c r="B7842" s="192" t="s">
        <v>1369</v>
      </c>
      <c r="C7842" s="196">
        <v>-50900</v>
      </c>
      <c r="D7842" s="196">
        <v>0</v>
      </c>
      <c r="E7842" s="196">
        <v>0</v>
      </c>
      <c r="F7842" s="196">
        <v>0</v>
      </c>
      <c r="G7842" s="196">
        <v>-50900</v>
      </c>
    </row>
    <row r="7843" spans="1:7" x14ac:dyDescent="0.3">
      <c r="A7843" s="198">
        <v>21526829</v>
      </c>
      <c r="B7843" s="192" t="s">
        <v>5661</v>
      </c>
      <c r="C7843" s="196">
        <v>-50900</v>
      </c>
      <c r="D7843" s="196">
        <v>0</v>
      </c>
      <c r="E7843" s="196">
        <v>0</v>
      </c>
      <c r="F7843" s="196">
        <v>0</v>
      </c>
      <c r="G7843" s="196">
        <v>-50900</v>
      </c>
    </row>
    <row r="7844" spans="1:7" x14ac:dyDescent="0.3">
      <c r="A7844" s="198">
        <v>43875819</v>
      </c>
      <c r="B7844" s="192" t="s">
        <v>5662</v>
      </c>
      <c r="C7844" s="196">
        <v>-54200</v>
      </c>
      <c r="D7844" s="196">
        <v>0</v>
      </c>
      <c r="E7844" s="196">
        <v>0</v>
      </c>
      <c r="F7844" s="196">
        <v>0</v>
      </c>
      <c r="G7844" s="196">
        <v>-54200</v>
      </c>
    </row>
    <row r="7845" spans="1:7" x14ac:dyDescent="0.3">
      <c r="A7845" s="198">
        <v>1026139929</v>
      </c>
      <c r="B7845" s="192" t="s">
        <v>5663</v>
      </c>
      <c r="C7845" s="196">
        <v>-110000</v>
      </c>
      <c r="D7845" s="196">
        <v>0</v>
      </c>
      <c r="E7845" s="196">
        <v>0</v>
      </c>
      <c r="F7845" s="196">
        <v>0</v>
      </c>
      <c r="G7845" s="196">
        <v>-110000</v>
      </c>
    </row>
    <row r="7846" spans="1:7" x14ac:dyDescent="0.3">
      <c r="A7846" s="198">
        <v>1007480686</v>
      </c>
      <c r="B7846" s="192" t="s">
        <v>5664</v>
      </c>
      <c r="C7846" s="196">
        <v>-110000</v>
      </c>
      <c r="D7846" s="196">
        <v>0</v>
      </c>
      <c r="E7846" s="196">
        <v>0</v>
      </c>
      <c r="F7846" s="196">
        <v>0</v>
      </c>
      <c r="G7846" s="196">
        <v>-110000</v>
      </c>
    </row>
    <row r="7847" spans="1:7" x14ac:dyDescent="0.3">
      <c r="A7847" s="198">
        <v>1128384960</v>
      </c>
      <c r="B7847" s="192" t="s">
        <v>5665</v>
      </c>
      <c r="C7847" s="196">
        <v>-290000</v>
      </c>
      <c r="D7847" s="196">
        <v>0</v>
      </c>
      <c r="E7847" s="196">
        <v>0</v>
      </c>
      <c r="F7847" s="196">
        <v>0</v>
      </c>
      <c r="G7847" s="196">
        <v>-290000</v>
      </c>
    </row>
    <row r="7848" spans="1:7" x14ac:dyDescent="0.3">
      <c r="A7848" s="198">
        <v>1036942476</v>
      </c>
      <c r="B7848" s="192" t="s">
        <v>5666</v>
      </c>
      <c r="C7848" s="196">
        <v>-275000</v>
      </c>
      <c r="D7848" s="196">
        <v>0</v>
      </c>
      <c r="E7848" s="196">
        <v>0</v>
      </c>
      <c r="F7848" s="196">
        <v>0</v>
      </c>
      <c r="G7848" s="196">
        <v>-275000</v>
      </c>
    </row>
    <row r="7849" spans="1:7" x14ac:dyDescent="0.3">
      <c r="A7849" s="198">
        <v>21532635</v>
      </c>
      <c r="B7849" s="192" t="s">
        <v>5667</v>
      </c>
      <c r="C7849" s="196">
        <v>-319000</v>
      </c>
      <c r="D7849" s="196">
        <v>0</v>
      </c>
      <c r="E7849" s="196">
        <v>0</v>
      </c>
      <c r="F7849" s="196">
        <v>0</v>
      </c>
      <c r="G7849" s="196">
        <v>-319000</v>
      </c>
    </row>
    <row r="7850" spans="1:7" x14ac:dyDescent="0.3">
      <c r="A7850" s="198">
        <v>43623477</v>
      </c>
      <c r="B7850" s="192" t="s">
        <v>5668</v>
      </c>
      <c r="C7850" s="196">
        <v>-57200</v>
      </c>
      <c r="D7850" s="196">
        <v>0</v>
      </c>
      <c r="E7850" s="196">
        <v>0</v>
      </c>
      <c r="F7850" s="196">
        <v>0</v>
      </c>
      <c r="G7850" s="196">
        <v>-57200</v>
      </c>
    </row>
    <row r="7851" spans="1:7" x14ac:dyDescent="0.3">
      <c r="A7851" s="198">
        <v>32242589</v>
      </c>
      <c r="B7851" s="192" t="s">
        <v>1372</v>
      </c>
      <c r="C7851" s="196">
        <v>0</v>
      </c>
      <c r="D7851" s="196">
        <v>0</v>
      </c>
      <c r="E7851" s="196">
        <v>50900</v>
      </c>
      <c r="F7851" s="196">
        <v>-50900</v>
      </c>
      <c r="G7851" s="196">
        <v>-50900</v>
      </c>
    </row>
    <row r="7852" spans="1:7" x14ac:dyDescent="0.3">
      <c r="A7852" s="198">
        <v>1007423602</v>
      </c>
      <c r="B7852" s="192" t="s">
        <v>5669</v>
      </c>
      <c r="C7852" s="196">
        <v>-297000</v>
      </c>
      <c r="D7852" s="196">
        <v>0</v>
      </c>
      <c r="E7852" s="196">
        <v>0</v>
      </c>
      <c r="F7852" s="196">
        <v>0</v>
      </c>
      <c r="G7852" s="196">
        <v>-297000</v>
      </c>
    </row>
    <row r="7853" spans="1:7" x14ac:dyDescent="0.3">
      <c r="A7853" s="198">
        <v>52145529</v>
      </c>
      <c r="B7853" s="192" t="s">
        <v>5670</v>
      </c>
      <c r="C7853" s="196">
        <v>-50900</v>
      </c>
      <c r="D7853" s="196">
        <v>0</v>
      </c>
      <c r="E7853" s="196">
        <v>0</v>
      </c>
      <c r="F7853" s="196">
        <v>0</v>
      </c>
      <c r="G7853" s="196">
        <v>-50900</v>
      </c>
    </row>
    <row r="7854" spans="1:7" x14ac:dyDescent="0.3">
      <c r="A7854" s="198">
        <v>1015451315</v>
      </c>
      <c r="B7854" s="192" t="s">
        <v>5671</v>
      </c>
      <c r="C7854" s="196">
        <v>-46400</v>
      </c>
      <c r="D7854" s="196">
        <v>0</v>
      </c>
      <c r="E7854" s="196">
        <v>0</v>
      </c>
      <c r="F7854" s="196">
        <v>0</v>
      </c>
      <c r="G7854" s="196">
        <v>-46400</v>
      </c>
    </row>
    <row r="7855" spans="1:7" x14ac:dyDescent="0.3">
      <c r="A7855" s="198">
        <v>1035021563</v>
      </c>
      <c r="B7855" s="192" t="s">
        <v>5672</v>
      </c>
      <c r="C7855" s="196">
        <v>-101800</v>
      </c>
      <c r="D7855" s="196">
        <v>0</v>
      </c>
      <c r="E7855" s="196">
        <v>0</v>
      </c>
      <c r="F7855" s="196">
        <v>0</v>
      </c>
      <c r="G7855" s="196">
        <v>-101800</v>
      </c>
    </row>
    <row r="7856" spans="1:7" x14ac:dyDescent="0.3">
      <c r="A7856" s="198">
        <v>1023526586</v>
      </c>
      <c r="B7856" s="192" t="s">
        <v>5673</v>
      </c>
      <c r="C7856" s="196">
        <v>-108400</v>
      </c>
      <c r="D7856" s="196">
        <v>0</v>
      </c>
      <c r="E7856" s="196">
        <v>0</v>
      </c>
      <c r="F7856" s="196">
        <v>0</v>
      </c>
      <c r="G7856" s="196">
        <v>-108400</v>
      </c>
    </row>
    <row r="7857" spans="1:7" x14ac:dyDescent="0.3">
      <c r="A7857" s="198">
        <v>1019919126</v>
      </c>
      <c r="B7857" s="192" t="s">
        <v>1376</v>
      </c>
      <c r="C7857" s="196">
        <v>0</v>
      </c>
      <c r="D7857" s="196">
        <v>0</v>
      </c>
      <c r="E7857" s="196">
        <v>50900</v>
      </c>
      <c r="F7857" s="196">
        <v>-50900</v>
      </c>
      <c r="G7857" s="196">
        <v>-50900</v>
      </c>
    </row>
    <row r="7858" spans="1:7" x14ac:dyDescent="0.3">
      <c r="A7858" s="198">
        <v>1034931148</v>
      </c>
      <c r="B7858" s="192" t="s">
        <v>5674</v>
      </c>
      <c r="C7858" s="196">
        <v>-50900</v>
      </c>
      <c r="D7858" s="196">
        <v>0</v>
      </c>
      <c r="E7858" s="196">
        <v>0</v>
      </c>
      <c r="F7858" s="196">
        <v>0</v>
      </c>
      <c r="G7858" s="196">
        <v>-50900</v>
      </c>
    </row>
    <row r="7859" spans="1:7" x14ac:dyDescent="0.3">
      <c r="A7859" s="198">
        <v>1017939920</v>
      </c>
      <c r="B7859" s="192" t="s">
        <v>5675</v>
      </c>
      <c r="C7859" s="196">
        <v>-41400</v>
      </c>
      <c r="D7859" s="196">
        <v>0</v>
      </c>
      <c r="E7859" s="196">
        <v>0</v>
      </c>
      <c r="F7859" s="196">
        <v>0</v>
      </c>
      <c r="G7859" s="196">
        <v>-41400</v>
      </c>
    </row>
    <row r="7860" spans="1:7" x14ac:dyDescent="0.3">
      <c r="A7860" s="198">
        <v>14325117</v>
      </c>
      <c r="B7860" s="192" t="s">
        <v>1377</v>
      </c>
      <c r="C7860" s="196">
        <v>0</v>
      </c>
      <c r="D7860" s="196">
        <v>0</v>
      </c>
      <c r="E7860" s="196">
        <v>41400</v>
      </c>
      <c r="F7860" s="196">
        <v>-41400</v>
      </c>
      <c r="G7860" s="196">
        <v>-41400</v>
      </c>
    </row>
    <row r="7861" spans="1:7" x14ac:dyDescent="0.3">
      <c r="A7861" s="198">
        <v>1035021639</v>
      </c>
      <c r="B7861" s="192" t="s">
        <v>5676</v>
      </c>
      <c r="C7861" s="196">
        <v>-47400</v>
      </c>
      <c r="D7861" s="196">
        <v>0</v>
      </c>
      <c r="E7861" s="196">
        <v>0</v>
      </c>
      <c r="F7861" s="196">
        <v>0</v>
      </c>
      <c r="G7861" s="196">
        <v>-47400</v>
      </c>
    </row>
    <row r="7862" spans="1:7" x14ac:dyDescent="0.3">
      <c r="A7862" s="198">
        <v>79546687</v>
      </c>
      <c r="B7862" s="192" t="s">
        <v>5677</v>
      </c>
      <c r="C7862" s="196">
        <v>-25100</v>
      </c>
      <c r="D7862" s="196">
        <v>0</v>
      </c>
      <c r="E7862" s="196">
        <v>0</v>
      </c>
      <c r="F7862" s="196">
        <v>0</v>
      </c>
      <c r="G7862" s="196">
        <v>-25100</v>
      </c>
    </row>
    <row r="7863" spans="1:7" x14ac:dyDescent="0.3">
      <c r="A7863" s="198">
        <v>1035004490</v>
      </c>
      <c r="B7863" s="192" t="s">
        <v>5678</v>
      </c>
      <c r="C7863" s="196">
        <v>-50900</v>
      </c>
      <c r="D7863" s="196">
        <v>0</v>
      </c>
      <c r="E7863" s="196">
        <v>0</v>
      </c>
      <c r="F7863" s="196">
        <v>0</v>
      </c>
      <c r="G7863" s="196">
        <v>-50900</v>
      </c>
    </row>
    <row r="7864" spans="1:7" x14ac:dyDescent="0.3">
      <c r="A7864" s="198">
        <v>70105109</v>
      </c>
      <c r="B7864" s="192" t="s">
        <v>5679</v>
      </c>
      <c r="C7864" s="196">
        <v>-57200</v>
      </c>
      <c r="D7864" s="196">
        <v>0</v>
      </c>
      <c r="E7864" s="196">
        <v>0</v>
      </c>
      <c r="F7864" s="196">
        <v>0</v>
      </c>
      <c r="G7864" s="196">
        <v>-57200</v>
      </c>
    </row>
    <row r="7865" spans="1:7" x14ac:dyDescent="0.3">
      <c r="A7865" s="198">
        <v>1000409845</v>
      </c>
      <c r="B7865" s="192" t="s">
        <v>1378</v>
      </c>
      <c r="C7865" s="196">
        <v>0</v>
      </c>
      <c r="D7865" s="196">
        <v>0</v>
      </c>
      <c r="E7865" s="196">
        <v>50900</v>
      </c>
      <c r="F7865" s="196">
        <v>-50900</v>
      </c>
      <c r="G7865" s="196">
        <v>-50900</v>
      </c>
    </row>
    <row r="7866" spans="1:7" x14ac:dyDescent="0.3">
      <c r="A7866" s="198">
        <v>1035016845</v>
      </c>
      <c r="B7866" s="192" t="s">
        <v>1379</v>
      </c>
      <c r="C7866" s="196">
        <v>0</v>
      </c>
      <c r="D7866" s="196">
        <v>0</v>
      </c>
      <c r="E7866" s="196">
        <v>50900</v>
      </c>
      <c r="F7866" s="196">
        <v>-50900</v>
      </c>
      <c r="G7866" s="196">
        <v>-50900</v>
      </c>
    </row>
    <row r="7867" spans="1:7" x14ac:dyDescent="0.3">
      <c r="A7867" s="198">
        <v>1035011339</v>
      </c>
      <c r="B7867" s="192" t="s">
        <v>5680</v>
      </c>
      <c r="C7867" s="196">
        <v>-50900</v>
      </c>
      <c r="D7867" s="196">
        <v>0</v>
      </c>
      <c r="E7867" s="196">
        <v>0</v>
      </c>
      <c r="F7867" s="196">
        <v>0</v>
      </c>
      <c r="G7867" s="196">
        <v>-50900</v>
      </c>
    </row>
    <row r="7868" spans="1:7" x14ac:dyDescent="0.3">
      <c r="A7868" s="198">
        <v>264861559</v>
      </c>
      <c r="B7868" s="192" t="s">
        <v>5681</v>
      </c>
      <c r="C7868" s="196">
        <v>-247000</v>
      </c>
      <c r="D7868" s="196">
        <v>0</v>
      </c>
      <c r="E7868" s="196">
        <v>0</v>
      </c>
      <c r="F7868" s="196">
        <v>0</v>
      </c>
      <c r="G7868" s="196">
        <v>-247000</v>
      </c>
    </row>
    <row r="7869" spans="1:7" x14ac:dyDescent="0.3">
      <c r="A7869" s="198">
        <v>1020325861</v>
      </c>
      <c r="B7869" s="192" t="s">
        <v>5682</v>
      </c>
      <c r="C7869" s="196">
        <v>-50900</v>
      </c>
      <c r="D7869" s="196">
        <v>0</v>
      </c>
      <c r="E7869" s="196">
        <v>0</v>
      </c>
      <c r="F7869" s="196">
        <v>0</v>
      </c>
      <c r="G7869" s="196">
        <v>-50900</v>
      </c>
    </row>
    <row r="7870" spans="1:7" x14ac:dyDescent="0.3">
      <c r="A7870" s="198">
        <v>1035013796</v>
      </c>
      <c r="B7870" s="192" t="s">
        <v>5683</v>
      </c>
      <c r="C7870" s="196">
        <v>-50900</v>
      </c>
      <c r="D7870" s="196">
        <v>0</v>
      </c>
      <c r="E7870" s="196">
        <v>0</v>
      </c>
      <c r="F7870" s="196">
        <v>0</v>
      </c>
      <c r="G7870" s="196">
        <v>-50900</v>
      </c>
    </row>
    <row r="7871" spans="1:7" x14ac:dyDescent="0.3">
      <c r="A7871" s="198">
        <v>70064910</v>
      </c>
      <c r="B7871" s="192" t="s">
        <v>5684</v>
      </c>
      <c r="C7871" s="196">
        <v>-228800</v>
      </c>
      <c r="D7871" s="196">
        <v>0</v>
      </c>
      <c r="E7871" s="196">
        <v>0</v>
      </c>
      <c r="F7871" s="196">
        <v>0</v>
      </c>
      <c r="G7871" s="196">
        <v>-228800</v>
      </c>
    </row>
    <row r="7872" spans="1:7" x14ac:dyDescent="0.3">
      <c r="A7872" s="198">
        <v>1035026790</v>
      </c>
      <c r="B7872" s="192" t="s">
        <v>5685</v>
      </c>
      <c r="C7872" s="196">
        <v>-41400</v>
      </c>
      <c r="D7872" s="196">
        <v>0</v>
      </c>
      <c r="E7872" s="196">
        <v>0</v>
      </c>
      <c r="F7872" s="196">
        <v>0</v>
      </c>
      <c r="G7872" s="196">
        <v>-41400</v>
      </c>
    </row>
    <row r="7873" spans="1:7" x14ac:dyDescent="0.3">
      <c r="A7873" s="198">
        <v>1000411269</v>
      </c>
      <c r="B7873" s="192" t="s">
        <v>5686</v>
      </c>
      <c r="C7873" s="196">
        <v>-38400</v>
      </c>
      <c r="D7873" s="196">
        <v>0</v>
      </c>
      <c r="E7873" s="196">
        <v>0</v>
      </c>
      <c r="F7873" s="196">
        <v>0</v>
      </c>
      <c r="G7873" s="196">
        <v>-38400</v>
      </c>
    </row>
    <row r="7874" spans="1:7" x14ac:dyDescent="0.3">
      <c r="A7874" s="198">
        <v>1035016475</v>
      </c>
      <c r="B7874" s="192" t="s">
        <v>5687</v>
      </c>
      <c r="C7874" s="196">
        <v>-50900</v>
      </c>
      <c r="D7874" s="196">
        <v>0</v>
      </c>
      <c r="E7874" s="196">
        <v>0</v>
      </c>
      <c r="F7874" s="196">
        <v>0</v>
      </c>
      <c r="G7874" s="196">
        <v>-50900</v>
      </c>
    </row>
    <row r="7875" spans="1:7" x14ac:dyDescent="0.3">
      <c r="A7875" s="198">
        <v>80262826</v>
      </c>
      <c r="B7875" s="192" t="s">
        <v>5688</v>
      </c>
      <c r="C7875" s="196">
        <v>-38400</v>
      </c>
      <c r="D7875" s="196">
        <v>0</v>
      </c>
      <c r="E7875" s="196">
        <v>0</v>
      </c>
      <c r="F7875" s="196">
        <v>0</v>
      </c>
      <c r="G7875" s="196">
        <v>-38400</v>
      </c>
    </row>
    <row r="7876" spans="1:7" x14ac:dyDescent="0.3">
      <c r="A7876" s="198">
        <v>1020127978</v>
      </c>
      <c r="B7876" s="192" t="s">
        <v>5689</v>
      </c>
      <c r="C7876" s="196">
        <v>-49000</v>
      </c>
      <c r="D7876" s="196">
        <v>0</v>
      </c>
      <c r="E7876" s="196">
        <v>0</v>
      </c>
      <c r="F7876" s="196">
        <v>0</v>
      </c>
      <c r="G7876" s="196">
        <v>-49000</v>
      </c>
    </row>
    <row r="7877" spans="1:7" x14ac:dyDescent="0.3">
      <c r="A7877" s="198">
        <v>1035025368</v>
      </c>
      <c r="B7877" s="192" t="s">
        <v>1380</v>
      </c>
      <c r="C7877" s="196">
        <v>0</v>
      </c>
      <c r="D7877" s="196">
        <v>0</v>
      </c>
      <c r="E7877" s="196">
        <v>50900</v>
      </c>
      <c r="F7877" s="196">
        <v>-50900</v>
      </c>
      <c r="G7877" s="196">
        <v>-50900</v>
      </c>
    </row>
    <row r="7878" spans="1:7" x14ac:dyDescent="0.3">
      <c r="A7878" s="198">
        <v>1023525561</v>
      </c>
      <c r="B7878" s="192" t="s">
        <v>5690</v>
      </c>
      <c r="C7878" s="196">
        <v>-50900</v>
      </c>
      <c r="D7878" s="196">
        <v>0</v>
      </c>
      <c r="E7878" s="196">
        <v>0</v>
      </c>
      <c r="F7878" s="196">
        <v>0</v>
      </c>
      <c r="G7878" s="196">
        <v>-50900</v>
      </c>
    </row>
    <row r="7879" spans="1:7" x14ac:dyDescent="0.3">
      <c r="A7879" s="198">
        <v>1035021193</v>
      </c>
      <c r="B7879" s="192" t="s">
        <v>5691</v>
      </c>
      <c r="C7879" s="196">
        <v>-50900</v>
      </c>
      <c r="D7879" s="196">
        <v>0</v>
      </c>
      <c r="E7879" s="196">
        <v>0</v>
      </c>
      <c r="F7879" s="196">
        <v>0</v>
      </c>
      <c r="G7879" s="196">
        <v>-50900</v>
      </c>
    </row>
    <row r="7880" spans="1:7" x14ac:dyDescent="0.3">
      <c r="A7880" s="198">
        <v>1035003247</v>
      </c>
      <c r="B7880" s="192" t="s">
        <v>5692</v>
      </c>
      <c r="C7880" s="196">
        <v>-50900</v>
      </c>
      <c r="D7880" s="196">
        <v>0</v>
      </c>
      <c r="E7880" s="196">
        <v>0</v>
      </c>
      <c r="F7880" s="196">
        <v>0</v>
      </c>
      <c r="G7880" s="196">
        <v>-50900</v>
      </c>
    </row>
    <row r="7881" spans="1:7" x14ac:dyDescent="0.3">
      <c r="A7881" s="198">
        <v>1094242544</v>
      </c>
      <c r="B7881" s="192" t="s">
        <v>5693</v>
      </c>
      <c r="C7881" s="196">
        <v>-101800</v>
      </c>
      <c r="D7881" s="196">
        <v>0</v>
      </c>
      <c r="E7881" s="196">
        <v>0</v>
      </c>
      <c r="F7881" s="196">
        <v>0</v>
      </c>
      <c r="G7881" s="196">
        <v>-101800</v>
      </c>
    </row>
    <row r="7882" spans="1:7" x14ac:dyDescent="0.3">
      <c r="A7882" s="198">
        <v>43752409</v>
      </c>
      <c r="B7882" s="192" t="s">
        <v>5694</v>
      </c>
      <c r="C7882" s="196">
        <v>-50900</v>
      </c>
      <c r="D7882" s="196">
        <v>0</v>
      </c>
      <c r="E7882" s="196">
        <v>0</v>
      </c>
      <c r="F7882" s="196">
        <v>0</v>
      </c>
      <c r="G7882" s="196">
        <v>-50900</v>
      </c>
    </row>
    <row r="7883" spans="1:7" x14ac:dyDescent="0.3">
      <c r="A7883" s="198">
        <v>43080938</v>
      </c>
      <c r="B7883" s="192" t="s">
        <v>5695</v>
      </c>
      <c r="C7883" s="196">
        <v>-55000</v>
      </c>
      <c r="D7883" s="196">
        <v>0</v>
      </c>
      <c r="E7883" s="196">
        <v>0</v>
      </c>
      <c r="F7883" s="196">
        <v>0</v>
      </c>
      <c r="G7883" s="196">
        <v>-55000</v>
      </c>
    </row>
    <row r="7884" spans="1:7" x14ac:dyDescent="0.3">
      <c r="A7884" s="198">
        <v>36156102</v>
      </c>
      <c r="B7884" s="192" t="s">
        <v>5696</v>
      </c>
      <c r="C7884" s="196">
        <v>-297000</v>
      </c>
      <c r="D7884" s="196">
        <v>0</v>
      </c>
      <c r="E7884" s="196">
        <v>0</v>
      </c>
      <c r="F7884" s="196">
        <v>0</v>
      </c>
      <c r="G7884" s="196">
        <v>-297000</v>
      </c>
    </row>
    <row r="7885" spans="1:7" x14ac:dyDescent="0.3">
      <c r="A7885" s="198">
        <v>32443011</v>
      </c>
      <c r="B7885" s="192" t="s">
        <v>5697</v>
      </c>
      <c r="C7885" s="196">
        <v>-57200</v>
      </c>
      <c r="D7885" s="196">
        <v>0</v>
      </c>
      <c r="E7885" s="196">
        <v>0</v>
      </c>
      <c r="F7885" s="196">
        <v>0</v>
      </c>
      <c r="G7885" s="196">
        <v>-57200</v>
      </c>
    </row>
    <row r="7886" spans="1:7" x14ac:dyDescent="0.3">
      <c r="A7886" s="198">
        <v>21526856</v>
      </c>
      <c r="B7886" s="192" t="s">
        <v>5698</v>
      </c>
      <c r="C7886" s="196">
        <v>-57200</v>
      </c>
      <c r="D7886" s="196">
        <v>0</v>
      </c>
      <c r="E7886" s="196">
        <v>0</v>
      </c>
      <c r="F7886" s="196">
        <v>0</v>
      </c>
      <c r="G7886" s="196">
        <v>-57200</v>
      </c>
    </row>
    <row r="7887" spans="1:7" x14ac:dyDescent="0.3">
      <c r="A7887" s="198">
        <v>22385085</v>
      </c>
      <c r="B7887" s="192" t="s">
        <v>1382</v>
      </c>
      <c r="C7887" s="196">
        <v>-380000</v>
      </c>
      <c r="D7887" s="196">
        <v>0</v>
      </c>
      <c r="E7887" s="196">
        <v>190000</v>
      </c>
      <c r="F7887" s="196">
        <v>-190000</v>
      </c>
      <c r="G7887" s="196">
        <v>-570000</v>
      </c>
    </row>
    <row r="7888" spans="1:7" x14ac:dyDescent="0.3">
      <c r="A7888" s="198">
        <v>4891570</v>
      </c>
      <c r="B7888" s="192" t="s">
        <v>1383</v>
      </c>
      <c r="C7888" s="196">
        <v>0</v>
      </c>
      <c r="D7888" s="196">
        <v>0</v>
      </c>
      <c r="E7888" s="196">
        <v>247000</v>
      </c>
      <c r="F7888" s="196">
        <v>-247000</v>
      </c>
      <c r="G7888" s="196">
        <v>-247000</v>
      </c>
    </row>
    <row r="7889" spans="1:7" x14ac:dyDescent="0.3">
      <c r="A7889" s="192" t="s">
        <v>5699</v>
      </c>
      <c r="B7889" s="192" t="s">
        <v>5700</v>
      </c>
      <c r="C7889" s="196">
        <v>-207000</v>
      </c>
      <c r="D7889" s="196">
        <v>0</v>
      </c>
      <c r="E7889" s="196">
        <v>0</v>
      </c>
      <c r="F7889" s="196">
        <v>0</v>
      </c>
      <c r="G7889" s="196">
        <v>-207000</v>
      </c>
    </row>
    <row r="7890" spans="1:7" x14ac:dyDescent="0.3">
      <c r="A7890" s="198">
        <v>42935565</v>
      </c>
      <c r="B7890" s="192" t="s">
        <v>5701</v>
      </c>
      <c r="C7890" s="196">
        <v>-20000</v>
      </c>
      <c r="D7890" s="196">
        <v>0</v>
      </c>
      <c r="E7890" s="196">
        <v>0</v>
      </c>
      <c r="F7890" s="196">
        <v>0</v>
      </c>
      <c r="G7890" s="196">
        <v>-20000</v>
      </c>
    </row>
    <row r="7891" spans="1:7" x14ac:dyDescent="0.3">
      <c r="A7891" s="198">
        <v>52716772</v>
      </c>
      <c r="B7891" s="192" t="s">
        <v>5702</v>
      </c>
      <c r="C7891" s="196">
        <v>-50500</v>
      </c>
      <c r="D7891" s="196">
        <v>0</v>
      </c>
      <c r="E7891" s="196">
        <v>0</v>
      </c>
      <c r="F7891" s="196">
        <v>0</v>
      </c>
      <c r="G7891" s="196">
        <v>-50500</v>
      </c>
    </row>
    <row r="7892" spans="1:7" x14ac:dyDescent="0.3">
      <c r="A7892" s="198">
        <v>400848</v>
      </c>
      <c r="B7892" s="192" t="s">
        <v>5703</v>
      </c>
      <c r="C7892" s="196">
        <v>-47400</v>
      </c>
      <c r="D7892" s="196">
        <v>0</v>
      </c>
      <c r="E7892" s="196">
        <v>0</v>
      </c>
      <c r="F7892" s="196">
        <v>0</v>
      </c>
      <c r="G7892" s="196">
        <v>-47400</v>
      </c>
    </row>
    <row r="7893" spans="1:7" x14ac:dyDescent="0.3">
      <c r="A7893" s="198">
        <v>1017245908</v>
      </c>
      <c r="B7893" s="192" t="s">
        <v>5704</v>
      </c>
      <c r="C7893" s="196">
        <v>-47400</v>
      </c>
      <c r="D7893" s="196">
        <v>0</v>
      </c>
      <c r="E7893" s="196">
        <v>0</v>
      </c>
      <c r="F7893" s="196">
        <v>0</v>
      </c>
      <c r="G7893" s="196">
        <v>-47400</v>
      </c>
    </row>
    <row r="7894" spans="1:7" x14ac:dyDescent="0.3">
      <c r="A7894" s="198">
        <v>71796957</v>
      </c>
      <c r="B7894" s="192" t="s">
        <v>5705</v>
      </c>
      <c r="C7894" s="196">
        <v>-57200</v>
      </c>
      <c r="D7894" s="196">
        <v>0</v>
      </c>
      <c r="E7894" s="196">
        <v>0</v>
      </c>
      <c r="F7894" s="196">
        <v>0</v>
      </c>
      <c r="G7894" s="196">
        <v>-57200</v>
      </c>
    </row>
    <row r="7895" spans="1:7" x14ac:dyDescent="0.3">
      <c r="A7895" s="198">
        <v>11814571</v>
      </c>
      <c r="B7895" s="192" t="s">
        <v>1385</v>
      </c>
      <c r="C7895" s="196">
        <v>-50901</v>
      </c>
      <c r="D7895" s="196">
        <v>0</v>
      </c>
      <c r="E7895" s="196">
        <v>0</v>
      </c>
      <c r="F7895" s="196">
        <v>0</v>
      </c>
      <c r="G7895" s="196">
        <v>-50901</v>
      </c>
    </row>
    <row r="7896" spans="1:7" x14ac:dyDescent="0.3">
      <c r="A7896" s="198">
        <v>680036</v>
      </c>
      <c r="B7896" s="192" t="s">
        <v>1663</v>
      </c>
      <c r="C7896" s="196">
        <v>-308000</v>
      </c>
      <c r="D7896" s="196">
        <v>0</v>
      </c>
      <c r="E7896" s="196">
        <v>0</v>
      </c>
      <c r="F7896" s="196">
        <v>0</v>
      </c>
      <c r="G7896" s="196">
        <v>-308000</v>
      </c>
    </row>
    <row r="7897" spans="1:7" x14ac:dyDescent="0.3">
      <c r="A7897" s="198">
        <v>9865538</v>
      </c>
      <c r="B7897" s="192" t="s">
        <v>5706</v>
      </c>
      <c r="C7897" s="196">
        <v>-50900</v>
      </c>
      <c r="D7897" s="196">
        <v>0</v>
      </c>
      <c r="E7897" s="196">
        <v>0</v>
      </c>
      <c r="F7897" s="196">
        <v>0</v>
      </c>
      <c r="G7897" s="196">
        <v>-50900</v>
      </c>
    </row>
    <row r="7898" spans="1:7" x14ac:dyDescent="0.3">
      <c r="A7898" s="198">
        <v>1022008786</v>
      </c>
      <c r="B7898" s="192" t="s">
        <v>5707</v>
      </c>
      <c r="C7898" s="196">
        <v>-50900</v>
      </c>
      <c r="D7898" s="196">
        <v>0</v>
      </c>
      <c r="E7898" s="196">
        <v>0</v>
      </c>
      <c r="F7898" s="196">
        <v>0</v>
      </c>
      <c r="G7898" s="196">
        <v>-50900</v>
      </c>
    </row>
    <row r="7899" spans="1:7" x14ac:dyDescent="0.3">
      <c r="A7899" s="198">
        <v>8297537</v>
      </c>
      <c r="B7899" s="192" t="s">
        <v>5708</v>
      </c>
      <c r="C7899" s="196">
        <v>-57200</v>
      </c>
      <c r="D7899" s="196">
        <v>0</v>
      </c>
      <c r="E7899" s="196">
        <v>0</v>
      </c>
      <c r="F7899" s="196">
        <v>0</v>
      </c>
      <c r="G7899" s="196">
        <v>-57200</v>
      </c>
    </row>
    <row r="7900" spans="1:7" x14ac:dyDescent="0.3">
      <c r="A7900" s="198">
        <v>70601766</v>
      </c>
      <c r="B7900" s="192" t="s">
        <v>5709</v>
      </c>
      <c r="C7900" s="196">
        <v>-297000</v>
      </c>
      <c r="D7900" s="196">
        <v>0</v>
      </c>
      <c r="E7900" s="196">
        <v>0</v>
      </c>
      <c r="F7900" s="196">
        <v>0</v>
      </c>
      <c r="G7900" s="196">
        <v>-297000</v>
      </c>
    </row>
    <row r="7901" spans="1:7" x14ac:dyDescent="0.3">
      <c r="A7901" s="198">
        <v>70567772</v>
      </c>
      <c r="B7901" s="192" t="s">
        <v>5710</v>
      </c>
      <c r="C7901" s="196">
        <v>-50900</v>
      </c>
      <c r="D7901" s="196">
        <v>0</v>
      </c>
      <c r="E7901" s="196">
        <v>0</v>
      </c>
      <c r="F7901" s="196">
        <v>0</v>
      </c>
      <c r="G7901" s="196">
        <v>-50900</v>
      </c>
    </row>
    <row r="7902" spans="1:7" x14ac:dyDescent="0.3">
      <c r="A7902" s="198">
        <v>1036641211</v>
      </c>
      <c r="B7902" s="192" t="s">
        <v>1387</v>
      </c>
      <c r="C7902" s="196">
        <v>-50900</v>
      </c>
      <c r="D7902" s="196">
        <v>0</v>
      </c>
      <c r="E7902" s="196">
        <v>0</v>
      </c>
      <c r="F7902" s="196">
        <v>0</v>
      </c>
      <c r="G7902" s="196">
        <v>-50900</v>
      </c>
    </row>
    <row r="7903" spans="1:7" x14ac:dyDescent="0.3">
      <c r="A7903" s="198">
        <v>17950917</v>
      </c>
      <c r="B7903" s="192" t="s">
        <v>5711</v>
      </c>
      <c r="C7903" s="196">
        <v>-319000</v>
      </c>
      <c r="D7903" s="196">
        <v>0</v>
      </c>
      <c r="E7903" s="196">
        <v>0</v>
      </c>
      <c r="F7903" s="196">
        <v>0</v>
      </c>
      <c r="G7903" s="196">
        <v>-319000</v>
      </c>
    </row>
    <row r="7904" spans="1:7" x14ac:dyDescent="0.3">
      <c r="A7904" s="198">
        <v>1035007785</v>
      </c>
      <c r="B7904" s="192" t="s">
        <v>5712</v>
      </c>
      <c r="C7904" s="196">
        <v>-121600</v>
      </c>
      <c r="D7904" s="196">
        <v>0</v>
      </c>
      <c r="E7904" s="196">
        <v>0</v>
      </c>
      <c r="F7904" s="196">
        <v>0</v>
      </c>
      <c r="G7904" s="196">
        <v>-121600</v>
      </c>
    </row>
    <row r="7905" spans="1:7" x14ac:dyDescent="0.3">
      <c r="A7905" s="198">
        <v>1035012733</v>
      </c>
      <c r="B7905" s="192" t="s">
        <v>5713</v>
      </c>
      <c r="C7905" s="196">
        <v>-50900</v>
      </c>
      <c r="D7905" s="196">
        <v>0</v>
      </c>
      <c r="E7905" s="196">
        <v>0</v>
      </c>
      <c r="F7905" s="196">
        <v>0</v>
      </c>
      <c r="G7905" s="196">
        <v>-50900</v>
      </c>
    </row>
    <row r="7906" spans="1:7" x14ac:dyDescent="0.3">
      <c r="A7906" s="198">
        <v>70810340</v>
      </c>
      <c r="B7906" s="192" t="s">
        <v>1388</v>
      </c>
      <c r="C7906" s="196">
        <v>-57200</v>
      </c>
      <c r="D7906" s="196">
        <v>0</v>
      </c>
      <c r="E7906" s="196">
        <v>114400</v>
      </c>
      <c r="F7906" s="196">
        <v>-114400</v>
      </c>
      <c r="G7906" s="196">
        <v>-171600</v>
      </c>
    </row>
    <row r="7907" spans="1:7" x14ac:dyDescent="0.3">
      <c r="A7907" s="198">
        <v>1035015491</v>
      </c>
      <c r="B7907" s="192" t="s">
        <v>5714</v>
      </c>
      <c r="C7907" s="196">
        <v>-121600</v>
      </c>
      <c r="D7907" s="196">
        <v>0</v>
      </c>
      <c r="E7907" s="196">
        <v>0</v>
      </c>
      <c r="F7907" s="196">
        <v>0</v>
      </c>
      <c r="G7907" s="196">
        <v>-121600</v>
      </c>
    </row>
    <row r="7908" spans="1:7" x14ac:dyDescent="0.3">
      <c r="A7908" s="198">
        <v>1027743301</v>
      </c>
      <c r="B7908" s="192" t="s">
        <v>5715</v>
      </c>
      <c r="C7908" s="196">
        <v>-50900</v>
      </c>
      <c r="D7908" s="196">
        <v>0</v>
      </c>
      <c r="E7908" s="196">
        <v>0</v>
      </c>
      <c r="F7908" s="196">
        <v>0</v>
      </c>
      <c r="G7908" s="196">
        <v>-50900</v>
      </c>
    </row>
    <row r="7909" spans="1:7" x14ac:dyDescent="0.3">
      <c r="A7909" s="198">
        <v>548454915</v>
      </c>
      <c r="B7909" s="192" t="s">
        <v>1389</v>
      </c>
      <c r="C7909" s="196">
        <v>0</v>
      </c>
      <c r="D7909" s="196">
        <v>0</v>
      </c>
      <c r="E7909" s="196">
        <v>297000</v>
      </c>
      <c r="F7909" s="196">
        <v>-297000</v>
      </c>
      <c r="G7909" s="196">
        <v>-297000</v>
      </c>
    </row>
    <row r="7910" spans="1:7" x14ac:dyDescent="0.3">
      <c r="A7910" s="198">
        <v>1015079835</v>
      </c>
      <c r="B7910" s="192" t="s">
        <v>5716</v>
      </c>
      <c r="C7910" s="196">
        <v>-50900</v>
      </c>
      <c r="D7910" s="196">
        <v>0</v>
      </c>
      <c r="E7910" s="196">
        <v>0</v>
      </c>
      <c r="F7910" s="196">
        <v>0</v>
      </c>
      <c r="G7910" s="196">
        <v>-50900</v>
      </c>
    </row>
    <row r="7911" spans="1:7" x14ac:dyDescent="0.3">
      <c r="A7911" s="198">
        <v>583631959</v>
      </c>
      <c r="B7911" s="192" t="s">
        <v>5717</v>
      </c>
      <c r="C7911" s="196">
        <v>-270000</v>
      </c>
      <c r="D7911" s="196">
        <v>0</v>
      </c>
      <c r="E7911" s="196">
        <v>0</v>
      </c>
      <c r="F7911" s="196">
        <v>0</v>
      </c>
      <c r="G7911" s="196">
        <v>-270000</v>
      </c>
    </row>
    <row r="7912" spans="1:7" x14ac:dyDescent="0.3">
      <c r="A7912" s="198">
        <v>71681169</v>
      </c>
      <c r="B7912" s="192" t="s">
        <v>5718</v>
      </c>
      <c r="C7912" s="196">
        <v>-50900</v>
      </c>
      <c r="D7912" s="196">
        <v>0</v>
      </c>
      <c r="E7912" s="196">
        <v>0</v>
      </c>
      <c r="F7912" s="196">
        <v>0</v>
      </c>
      <c r="G7912" s="196">
        <v>-50900</v>
      </c>
    </row>
    <row r="7913" spans="1:7" x14ac:dyDescent="0.3">
      <c r="A7913" s="198">
        <v>70552313</v>
      </c>
      <c r="B7913" s="192" t="s">
        <v>1390</v>
      </c>
      <c r="C7913" s="196">
        <v>0</v>
      </c>
      <c r="D7913" s="196">
        <v>0</v>
      </c>
      <c r="E7913" s="196">
        <v>50900</v>
      </c>
      <c r="F7913" s="196">
        <v>-50900</v>
      </c>
      <c r="G7913" s="196">
        <v>-50900</v>
      </c>
    </row>
    <row r="7914" spans="1:7" x14ac:dyDescent="0.3">
      <c r="A7914" s="198">
        <v>70043496</v>
      </c>
      <c r="B7914" s="192" t="s">
        <v>5719</v>
      </c>
      <c r="C7914" s="196">
        <v>-54200</v>
      </c>
      <c r="D7914" s="196">
        <v>0</v>
      </c>
      <c r="E7914" s="196">
        <v>0</v>
      </c>
      <c r="F7914" s="196">
        <v>0</v>
      </c>
      <c r="G7914" s="196">
        <v>-54200</v>
      </c>
    </row>
    <row r="7915" spans="1:7" x14ac:dyDescent="0.3">
      <c r="A7915" s="192" t="s">
        <v>5720</v>
      </c>
      <c r="B7915" s="192" t="s">
        <v>5721</v>
      </c>
      <c r="C7915" s="196">
        <v>-162000</v>
      </c>
      <c r="D7915" s="196">
        <v>0</v>
      </c>
      <c r="E7915" s="196">
        <v>0</v>
      </c>
      <c r="F7915" s="196">
        <v>0</v>
      </c>
      <c r="G7915" s="196">
        <v>-162000</v>
      </c>
    </row>
    <row r="7916" spans="1:7" x14ac:dyDescent="0.3">
      <c r="A7916" s="198">
        <v>1128274535</v>
      </c>
      <c r="B7916" s="192" t="s">
        <v>5722</v>
      </c>
      <c r="C7916" s="196">
        <v>-50900</v>
      </c>
      <c r="D7916" s="196">
        <v>0</v>
      </c>
      <c r="E7916" s="196">
        <v>0</v>
      </c>
      <c r="F7916" s="196">
        <v>0</v>
      </c>
      <c r="G7916" s="196">
        <v>-50900</v>
      </c>
    </row>
    <row r="7917" spans="1:7" x14ac:dyDescent="0.3">
      <c r="A7917" s="198">
        <v>16352292</v>
      </c>
      <c r="B7917" s="192" t="s">
        <v>5723</v>
      </c>
      <c r="C7917" s="196">
        <v>-57200</v>
      </c>
      <c r="D7917" s="196">
        <v>0</v>
      </c>
      <c r="E7917" s="196">
        <v>0</v>
      </c>
      <c r="F7917" s="196">
        <v>0</v>
      </c>
      <c r="G7917" s="196">
        <v>-57200</v>
      </c>
    </row>
    <row r="7918" spans="1:7" x14ac:dyDescent="0.3">
      <c r="A7918" s="198">
        <v>15371597</v>
      </c>
      <c r="B7918" s="192" t="s">
        <v>5724</v>
      </c>
      <c r="C7918" s="196">
        <v>-50900</v>
      </c>
      <c r="D7918" s="196">
        <v>0</v>
      </c>
      <c r="E7918" s="196">
        <v>0</v>
      </c>
      <c r="F7918" s="196">
        <v>0</v>
      </c>
      <c r="G7918" s="196">
        <v>-50900</v>
      </c>
    </row>
    <row r="7919" spans="1:7" x14ac:dyDescent="0.3">
      <c r="A7919" s="198">
        <v>80503932</v>
      </c>
      <c r="B7919" s="192" t="s">
        <v>5725</v>
      </c>
      <c r="C7919" s="196">
        <v>-43900</v>
      </c>
      <c r="D7919" s="196">
        <v>0</v>
      </c>
      <c r="E7919" s="196">
        <v>0</v>
      </c>
      <c r="F7919" s="196">
        <v>0</v>
      </c>
      <c r="G7919" s="196">
        <v>-43900</v>
      </c>
    </row>
    <row r="7920" spans="1:7" x14ac:dyDescent="0.3">
      <c r="A7920" s="192" t="s">
        <v>1391</v>
      </c>
      <c r="B7920" s="192" t="s">
        <v>1392</v>
      </c>
      <c r="C7920" s="196">
        <v>0</v>
      </c>
      <c r="D7920" s="196">
        <v>0</v>
      </c>
      <c r="E7920" s="196">
        <v>162000</v>
      </c>
      <c r="F7920" s="196">
        <v>-162000</v>
      </c>
      <c r="G7920" s="196">
        <v>-162000</v>
      </c>
    </row>
    <row r="7921" spans="1:7" x14ac:dyDescent="0.3">
      <c r="A7921" s="198">
        <v>8224809</v>
      </c>
      <c r="B7921" s="192" t="s">
        <v>1393</v>
      </c>
      <c r="C7921" s="196">
        <v>0</v>
      </c>
      <c r="D7921" s="196">
        <v>0</v>
      </c>
      <c r="E7921" s="196">
        <v>41400</v>
      </c>
      <c r="F7921" s="196">
        <v>-41400</v>
      </c>
      <c r="G7921" s="196">
        <v>-41400</v>
      </c>
    </row>
    <row r="7922" spans="1:7" x14ac:dyDescent="0.3">
      <c r="A7922" s="198">
        <v>1000408497</v>
      </c>
      <c r="B7922" s="192" t="s">
        <v>5726</v>
      </c>
      <c r="C7922" s="196">
        <v>-165000</v>
      </c>
      <c r="D7922" s="196">
        <v>0</v>
      </c>
      <c r="E7922" s="196">
        <v>0</v>
      </c>
      <c r="F7922" s="196">
        <v>0</v>
      </c>
      <c r="G7922" s="196">
        <v>-165000</v>
      </c>
    </row>
    <row r="7923" spans="1:7" x14ac:dyDescent="0.3">
      <c r="A7923" s="192" t="s">
        <v>5727</v>
      </c>
      <c r="B7923" s="192" t="s">
        <v>5728</v>
      </c>
      <c r="C7923" s="196">
        <v>-162000</v>
      </c>
      <c r="D7923" s="196">
        <v>0</v>
      </c>
      <c r="E7923" s="196">
        <v>0</v>
      </c>
      <c r="F7923" s="196">
        <v>0</v>
      </c>
      <c r="G7923" s="196">
        <v>-162000</v>
      </c>
    </row>
    <row r="7924" spans="1:7" x14ac:dyDescent="0.3">
      <c r="A7924" s="198">
        <v>1113648792</v>
      </c>
      <c r="B7924" s="192" t="s">
        <v>5729</v>
      </c>
      <c r="C7924" s="196">
        <v>-250000</v>
      </c>
      <c r="D7924" s="196">
        <v>0</v>
      </c>
      <c r="E7924" s="196">
        <v>0</v>
      </c>
      <c r="F7924" s="196">
        <v>0</v>
      </c>
      <c r="G7924" s="196">
        <v>-250000</v>
      </c>
    </row>
    <row r="7925" spans="1:7" x14ac:dyDescent="0.3">
      <c r="A7925" s="198">
        <v>27034898</v>
      </c>
      <c r="B7925" s="192" t="s">
        <v>5730</v>
      </c>
      <c r="C7925" s="196">
        <v>-47400</v>
      </c>
      <c r="D7925" s="196">
        <v>0</v>
      </c>
      <c r="E7925" s="196">
        <v>0</v>
      </c>
      <c r="F7925" s="196">
        <v>0</v>
      </c>
      <c r="G7925" s="196">
        <v>-47400</v>
      </c>
    </row>
    <row r="7926" spans="1:7" x14ac:dyDescent="0.3">
      <c r="A7926" s="198">
        <v>37820644</v>
      </c>
      <c r="B7926" s="192" t="s">
        <v>1394</v>
      </c>
      <c r="C7926" s="196">
        <v>0</v>
      </c>
      <c r="D7926" s="196">
        <v>0</v>
      </c>
      <c r="E7926" s="196">
        <v>207900</v>
      </c>
      <c r="F7926" s="196">
        <v>-207900</v>
      </c>
      <c r="G7926" s="196">
        <v>-207900</v>
      </c>
    </row>
    <row r="7927" spans="1:7" x14ac:dyDescent="0.3">
      <c r="A7927" s="198">
        <v>1035003736</v>
      </c>
      <c r="B7927" s="192" t="s">
        <v>1395</v>
      </c>
      <c r="C7927" s="196">
        <v>0</v>
      </c>
      <c r="D7927" s="196">
        <v>0</v>
      </c>
      <c r="E7927" s="196">
        <v>88000</v>
      </c>
      <c r="F7927" s="196">
        <v>-88000</v>
      </c>
      <c r="G7927" s="196">
        <v>-88000</v>
      </c>
    </row>
    <row r="7928" spans="1:7" x14ac:dyDescent="0.3">
      <c r="A7928" s="198">
        <v>1035015972</v>
      </c>
      <c r="B7928" s="192" t="s">
        <v>5731</v>
      </c>
      <c r="C7928" s="196">
        <v>-50900</v>
      </c>
      <c r="D7928" s="196">
        <v>0</v>
      </c>
      <c r="E7928" s="196">
        <v>0</v>
      </c>
      <c r="F7928" s="196">
        <v>0</v>
      </c>
      <c r="G7928" s="196">
        <v>-50900</v>
      </c>
    </row>
    <row r="7929" spans="1:7" x14ac:dyDescent="0.3">
      <c r="A7929" s="198">
        <v>1021809873</v>
      </c>
      <c r="B7929" s="192" t="s">
        <v>1396</v>
      </c>
      <c r="C7929" s="196">
        <v>0</v>
      </c>
      <c r="D7929" s="196">
        <v>37999</v>
      </c>
      <c r="E7929" s="196">
        <v>335000</v>
      </c>
      <c r="F7929" s="196">
        <v>-297001</v>
      </c>
      <c r="G7929" s="196">
        <v>-297001</v>
      </c>
    </row>
    <row r="7930" spans="1:7" x14ac:dyDescent="0.3">
      <c r="A7930" s="192" t="s">
        <v>5732</v>
      </c>
      <c r="B7930" s="192" t="s">
        <v>5733</v>
      </c>
      <c r="C7930" s="196">
        <v>-110000</v>
      </c>
      <c r="D7930" s="196">
        <v>0</v>
      </c>
      <c r="E7930" s="196">
        <v>0</v>
      </c>
      <c r="F7930" s="196">
        <v>0</v>
      </c>
      <c r="G7930" s="196">
        <v>-110000</v>
      </c>
    </row>
    <row r="7931" spans="1:7" x14ac:dyDescent="0.3">
      <c r="A7931" s="198">
        <v>35745085</v>
      </c>
      <c r="B7931" s="192" t="s">
        <v>1397</v>
      </c>
      <c r="C7931" s="196">
        <v>-223300</v>
      </c>
      <c r="D7931" s="196">
        <v>0</v>
      </c>
      <c r="E7931" s="196">
        <v>223300</v>
      </c>
      <c r="F7931" s="196">
        <v>-223300</v>
      </c>
      <c r="G7931" s="196">
        <v>-446600</v>
      </c>
    </row>
    <row r="7932" spans="1:7" x14ac:dyDescent="0.3">
      <c r="A7932" s="198">
        <v>27019514</v>
      </c>
      <c r="B7932" s="192" t="s">
        <v>5734</v>
      </c>
      <c r="C7932" s="196">
        <v>-297000</v>
      </c>
      <c r="D7932" s="196">
        <v>0</v>
      </c>
      <c r="E7932" s="196">
        <v>0</v>
      </c>
      <c r="F7932" s="196">
        <v>0</v>
      </c>
      <c r="G7932" s="196">
        <v>-297000</v>
      </c>
    </row>
    <row r="7933" spans="1:7" x14ac:dyDescent="0.3">
      <c r="A7933" s="198">
        <v>32484957</v>
      </c>
      <c r="B7933" s="192" t="s">
        <v>1398</v>
      </c>
      <c r="C7933" s="196">
        <v>0</v>
      </c>
      <c r="D7933" s="196">
        <v>0</v>
      </c>
      <c r="E7933" s="196">
        <v>297000</v>
      </c>
      <c r="F7933" s="196">
        <v>-297000</v>
      </c>
      <c r="G7933" s="196">
        <v>-297000</v>
      </c>
    </row>
    <row r="7934" spans="1:7" x14ac:dyDescent="0.3">
      <c r="A7934" s="192" t="s">
        <v>5735</v>
      </c>
      <c r="B7934" s="192" t="s">
        <v>5736</v>
      </c>
      <c r="C7934" s="196">
        <v>-47400</v>
      </c>
      <c r="D7934" s="196">
        <v>0</v>
      </c>
      <c r="E7934" s="196">
        <v>0</v>
      </c>
      <c r="F7934" s="196">
        <v>0</v>
      </c>
      <c r="G7934" s="196">
        <v>-47400</v>
      </c>
    </row>
    <row r="7935" spans="1:7" x14ac:dyDescent="0.3">
      <c r="A7935" s="198">
        <v>1020466585</v>
      </c>
      <c r="B7935" s="192" t="s">
        <v>5737</v>
      </c>
      <c r="C7935" s="196">
        <v>-57200</v>
      </c>
      <c r="D7935" s="196">
        <v>0</v>
      </c>
      <c r="E7935" s="196">
        <v>0</v>
      </c>
      <c r="F7935" s="196">
        <v>0</v>
      </c>
      <c r="G7935" s="196">
        <v>-57200</v>
      </c>
    </row>
    <row r="7936" spans="1:7" x14ac:dyDescent="0.3">
      <c r="A7936" s="198">
        <v>3521088</v>
      </c>
      <c r="B7936" s="192" t="s">
        <v>5738</v>
      </c>
      <c r="C7936" s="196">
        <v>-297000</v>
      </c>
      <c r="D7936" s="196">
        <v>0</v>
      </c>
      <c r="E7936" s="196">
        <v>0</v>
      </c>
      <c r="F7936" s="196">
        <v>0</v>
      </c>
      <c r="G7936" s="196">
        <v>-297000</v>
      </c>
    </row>
    <row r="7937" spans="1:7" x14ac:dyDescent="0.3">
      <c r="A7937" s="198">
        <v>1102801127</v>
      </c>
      <c r="B7937" s="192" t="s">
        <v>5739</v>
      </c>
      <c r="C7937" s="196">
        <v>-297000</v>
      </c>
      <c r="D7937" s="196">
        <v>0</v>
      </c>
      <c r="E7937" s="196">
        <v>0</v>
      </c>
      <c r="F7937" s="196">
        <v>0</v>
      </c>
      <c r="G7937" s="196">
        <v>-297000</v>
      </c>
    </row>
    <row r="7938" spans="1:7" x14ac:dyDescent="0.3">
      <c r="A7938" s="198">
        <v>1758519837</v>
      </c>
      <c r="B7938" s="192" t="s">
        <v>5740</v>
      </c>
      <c r="C7938" s="196">
        <v>-50900</v>
      </c>
      <c r="D7938" s="196">
        <v>0</v>
      </c>
      <c r="E7938" s="196">
        <v>0</v>
      </c>
      <c r="F7938" s="196">
        <v>0</v>
      </c>
      <c r="G7938" s="196">
        <v>-50900</v>
      </c>
    </row>
    <row r="7939" spans="1:7" x14ac:dyDescent="0.3">
      <c r="A7939" s="198">
        <v>1020128468</v>
      </c>
      <c r="B7939" s="192" t="s">
        <v>5741</v>
      </c>
      <c r="C7939" s="196">
        <v>-47400</v>
      </c>
      <c r="D7939" s="196">
        <v>0</v>
      </c>
      <c r="E7939" s="196">
        <v>0</v>
      </c>
      <c r="F7939" s="196">
        <v>0</v>
      </c>
      <c r="G7939" s="196">
        <v>-47400</v>
      </c>
    </row>
    <row r="7940" spans="1:7" x14ac:dyDescent="0.3">
      <c r="A7940" s="192" t="s">
        <v>5742</v>
      </c>
      <c r="B7940" s="192" t="s">
        <v>5743</v>
      </c>
      <c r="C7940" s="196">
        <v>-319000</v>
      </c>
      <c r="D7940" s="196">
        <v>0</v>
      </c>
      <c r="E7940" s="196">
        <v>0</v>
      </c>
      <c r="F7940" s="196">
        <v>0</v>
      </c>
      <c r="G7940" s="196">
        <v>-319000</v>
      </c>
    </row>
    <row r="7941" spans="1:7" x14ac:dyDescent="0.3">
      <c r="A7941" s="198">
        <v>93377107</v>
      </c>
      <c r="B7941" s="192" t="s">
        <v>5744</v>
      </c>
      <c r="C7941" s="196">
        <v>-41400</v>
      </c>
      <c r="D7941" s="196">
        <v>0</v>
      </c>
      <c r="E7941" s="196">
        <v>0</v>
      </c>
      <c r="F7941" s="196">
        <v>0</v>
      </c>
      <c r="G7941" s="196">
        <v>-41400</v>
      </c>
    </row>
    <row r="7942" spans="1:7" x14ac:dyDescent="0.3">
      <c r="A7942" s="198">
        <v>98524172</v>
      </c>
      <c r="B7942" s="192" t="s">
        <v>5745</v>
      </c>
      <c r="C7942" s="196">
        <v>-50900</v>
      </c>
      <c r="D7942" s="196">
        <v>0</v>
      </c>
      <c r="E7942" s="196">
        <v>0</v>
      </c>
      <c r="F7942" s="196">
        <v>0</v>
      </c>
      <c r="G7942" s="196">
        <v>-50900</v>
      </c>
    </row>
    <row r="7943" spans="1:7" x14ac:dyDescent="0.3">
      <c r="A7943" s="198">
        <v>79387476</v>
      </c>
      <c r="B7943" s="192" t="s">
        <v>1399</v>
      </c>
      <c r="C7943" s="196">
        <v>0</v>
      </c>
      <c r="D7943" s="196">
        <v>0</v>
      </c>
      <c r="E7943" s="196">
        <v>46800</v>
      </c>
      <c r="F7943" s="196">
        <v>-46800</v>
      </c>
      <c r="G7943" s="196">
        <v>-46800</v>
      </c>
    </row>
    <row r="7944" spans="1:7" x14ac:dyDescent="0.3">
      <c r="A7944" s="192" t="s">
        <v>5746</v>
      </c>
      <c r="B7944" s="192" t="s">
        <v>5747</v>
      </c>
      <c r="C7944" s="196">
        <v>-297000</v>
      </c>
      <c r="D7944" s="196">
        <v>0</v>
      </c>
      <c r="E7944" s="196">
        <v>0</v>
      </c>
      <c r="F7944" s="196">
        <v>0</v>
      </c>
      <c r="G7944" s="196">
        <v>-297000</v>
      </c>
    </row>
    <row r="7945" spans="1:7" x14ac:dyDescent="0.3">
      <c r="A7945" s="198">
        <v>399612</v>
      </c>
      <c r="B7945" s="192" t="s">
        <v>5748</v>
      </c>
      <c r="C7945" s="196">
        <v>-101800</v>
      </c>
      <c r="D7945" s="196">
        <v>0</v>
      </c>
      <c r="E7945" s="196">
        <v>0</v>
      </c>
      <c r="F7945" s="196">
        <v>0</v>
      </c>
      <c r="G7945" s="196">
        <v>-101800</v>
      </c>
    </row>
    <row r="7946" spans="1:7" x14ac:dyDescent="0.3">
      <c r="A7946" s="198">
        <v>71754485</v>
      </c>
      <c r="B7946" s="192" t="s">
        <v>5749</v>
      </c>
      <c r="C7946" s="196">
        <v>-50900</v>
      </c>
      <c r="D7946" s="196">
        <v>0</v>
      </c>
      <c r="E7946" s="196">
        <v>0</v>
      </c>
      <c r="F7946" s="196">
        <v>0</v>
      </c>
      <c r="G7946" s="196">
        <v>-50900</v>
      </c>
    </row>
    <row r="7947" spans="1:7" x14ac:dyDescent="0.3">
      <c r="A7947" s="198">
        <v>15341570</v>
      </c>
      <c r="B7947" s="192" t="s">
        <v>1400</v>
      </c>
      <c r="C7947" s="196">
        <v>0</v>
      </c>
      <c r="D7947" s="196">
        <v>0</v>
      </c>
      <c r="E7947" s="196">
        <v>85000</v>
      </c>
      <c r="F7947" s="196">
        <v>-85000</v>
      </c>
      <c r="G7947" s="196">
        <v>-85000</v>
      </c>
    </row>
    <row r="7948" spans="1:7" x14ac:dyDescent="0.3">
      <c r="A7948" s="198">
        <v>8262275</v>
      </c>
      <c r="B7948" s="192" t="s">
        <v>5750</v>
      </c>
      <c r="C7948" s="196">
        <v>-57200</v>
      </c>
      <c r="D7948" s="196">
        <v>0</v>
      </c>
      <c r="E7948" s="196">
        <v>0</v>
      </c>
      <c r="F7948" s="196">
        <v>0</v>
      </c>
      <c r="G7948" s="196">
        <v>-57200</v>
      </c>
    </row>
    <row r="7949" spans="1:7" x14ac:dyDescent="0.3">
      <c r="A7949" s="198">
        <v>1037647611</v>
      </c>
      <c r="B7949" s="192" t="s">
        <v>1401</v>
      </c>
      <c r="C7949" s="196">
        <v>0</v>
      </c>
      <c r="D7949" s="196">
        <v>0</v>
      </c>
      <c r="E7949" s="196">
        <v>57200</v>
      </c>
      <c r="F7949" s="196">
        <v>-57200</v>
      </c>
      <c r="G7949" s="196">
        <v>-57200</v>
      </c>
    </row>
    <row r="7950" spans="1:7" x14ac:dyDescent="0.3">
      <c r="A7950" s="198">
        <v>19372998</v>
      </c>
      <c r="B7950" s="192" t="s">
        <v>5751</v>
      </c>
      <c r="C7950" s="196">
        <v>-57200</v>
      </c>
      <c r="D7950" s="196">
        <v>0</v>
      </c>
      <c r="E7950" s="196">
        <v>0</v>
      </c>
      <c r="F7950" s="196">
        <v>0</v>
      </c>
      <c r="G7950" s="196">
        <v>-57200</v>
      </c>
    </row>
    <row r="7951" spans="1:7" x14ac:dyDescent="0.3">
      <c r="A7951" s="198">
        <v>1128265111</v>
      </c>
      <c r="B7951" s="192" t="s">
        <v>5752</v>
      </c>
      <c r="C7951" s="196">
        <v>-297000</v>
      </c>
      <c r="D7951" s="196">
        <v>0</v>
      </c>
      <c r="E7951" s="196">
        <v>0</v>
      </c>
      <c r="F7951" s="196">
        <v>0</v>
      </c>
      <c r="G7951" s="196">
        <v>-297000</v>
      </c>
    </row>
    <row r="7952" spans="1:7" x14ac:dyDescent="0.3">
      <c r="A7952" s="198">
        <v>8507533</v>
      </c>
      <c r="B7952" s="192" t="s">
        <v>1402</v>
      </c>
      <c r="C7952" s="196">
        <v>0</v>
      </c>
      <c r="D7952" s="196">
        <v>0</v>
      </c>
      <c r="E7952" s="196">
        <v>247000</v>
      </c>
      <c r="F7952" s="196">
        <v>-247000</v>
      </c>
      <c r="G7952" s="196">
        <v>-247000</v>
      </c>
    </row>
    <row r="7953" spans="1:7" x14ac:dyDescent="0.3">
      <c r="A7953" s="198">
        <v>79939804</v>
      </c>
      <c r="B7953" s="192" t="s">
        <v>5753</v>
      </c>
      <c r="C7953" s="196">
        <v>-50900</v>
      </c>
      <c r="D7953" s="196">
        <v>0</v>
      </c>
      <c r="E7953" s="196">
        <v>0</v>
      </c>
      <c r="F7953" s="196">
        <v>0</v>
      </c>
      <c r="G7953" s="196">
        <v>-50900</v>
      </c>
    </row>
    <row r="7954" spans="1:7" x14ac:dyDescent="0.3">
      <c r="A7954" s="192" t="s">
        <v>5754</v>
      </c>
      <c r="B7954" s="192" t="s">
        <v>5755</v>
      </c>
      <c r="C7954" s="196">
        <v>-319000</v>
      </c>
      <c r="D7954" s="196">
        <v>0</v>
      </c>
      <c r="E7954" s="196">
        <v>0</v>
      </c>
      <c r="F7954" s="196">
        <v>0</v>
      </c>
      <c r="G7954" s="196">
        <v>-319000</v>
      </c>
    </row>
    <row r="7955" spans="1:7" x14ac:dyDescent="0.3">
      <c r="A7955" s="198">
        <v>530962818</v>
      </c>
      <c r="B7955" s="192" t="s">
        <v>143</v>
      </c>
      <c r="C7955" s="196">
        <v>-162000</v>
      </c>
      <c r="D7955" s="196">
        <v>0</v>
      </c>
      <c r="E7955" s="196">
        <v>0</v>
      </c>
      <c r="F7955" s="196">
        <v>0</v>
      </c>
      <c r="G7955" s="196">
        <v>-162000</v>
      </c>
    </row>
    <row r="7956" spans="1:7" x14ac:dyDescent="0.3">
      <c r="A7956" s="192" t="s">
        <v>5756</v>
      </c>
      <c r="B7956" s="192" t="s">
        <v>5757</v>
      </c>
      <c r="C7956" s="196">
        <v>-270000</v>
      </c>
      <c r="D7956" s="196">
        <v>0</v>
      </c>
      <c r="E7956" s="196">
        <v>0</v>
      </c>
      <c r="F7956" s="196">
        <v>0</v>
      </c>
      <c r="G7956" s="196">
        <v>-270000</v>
      </c>
    </row>
    <row r="7957" spans="1:7" x14ac:dyDescent="0.3">
      <c r="A7957" s="192" t="s">
        <v>5758</v>
      </c>
      <c r="B7957" s="192" t="s">
        <v>5759</v>
      </c>
      <c r="C7957" s="196">
        <v>-207000</v>
      </c>
      <c r="D7957" s="196">
        <v>0</v>
      </c>
      <c r="E7957" s="196">
        <v>0</v>
      </c>
      <c r="F7957" s="196">
        <v>0</v>
      </c>
      <c r="G7957" s="196">
        <v>-207000</v>
      </c>
    </row>
    <row r="7958" spans="1:7" x14ac:dyDescent="0.3">
      <c r="A7958" s="192" t="s">
        <v>5760</v>
      </c>
      <c r="B7958" s="192" t="s">
        <v>5761</v>
      </c>
      <c r="C7958" s="196">
        <v>-297000</v>
      </c>
      <c r="D7958" s="196">
        <v>0</v>
      </c>
      <c r="E7958" s="196">
        <v>0</v>
      </c>
      <c r="F7958" s="196">
        <v>0</v>
      </c>
      <c r="G7958" s="196">
        <v>-297000</v>
      </c>
    </row>
    <row r="7959" spans="1:7" x14ac:dyDescent="0.3">
      <c r="A7959" s="198">
        <v>30772170</v>
      </c>
      <c r="B7959" s="192" t="s">
        <v>1403</v>
      </c>
      <c r="C7959" s="196">
        <v>0</v>
      </c>
      <c r="D7959" s="196">
        <v>0</v>
      </c>
      <c r="E7959" s="196">
        <v>297000</v>
      </c>
      <c r="F7959" s="196">
        <v>-297000</v>
      </c>
      <c r="G7959" s="196">
        <v>-297000</v>
      </c>
    </row>
    <row r="7960" spans="1:7" x14ac:dyDescent="0.3">
      <c r="A7960" s="192" t="s">
        <v>1404</v>
      </c>
      <c r="B7960" s="192" t="s">
        <v>1405</v>
      </c>
      <c r="C7960" s="196">
        <v>0</v>
      </c>
      <c r="D7960" s="196">
        <v>0</v>
      </c>
      <c r="E7960" s="196">
        <v>50900</v>
      </c>
      <c r="F7960" s="196">
        <v>-50900</v>
      </c>
      <c r="G7960" s="196">
        <v>-50900</v>
      </c>
    </row>
    <row r="7961" spans="1:7" x14ac:dyDescent="0.3">
      <c r="A7961" s="198">
        <v>21688863</v>
      </c>
      <c r="B7961" s="192" t="s">
        <v>5762</v>
      </c>
      <c r="C7961" s="196">
        <v>-297000</v>
      </c>
      <c r="D7961" s="196">
        <v>0</v>
      </c>
      <c r="E7961" s="196">
        <v>0</v>
      </c>
      <c r="F7961" s="196">
        <v>0</v>
      </c>
      <c r="G7961" s="196">
        <v>-297000</v>
      </c>
    </row>
    <row r="7962" spans="1:7" x14ac:dyDescent="0.3">
      <c r="A7962" s="198">
        <v>79142172</v>
      </c>
      <c r="B7962" s="192" t="s">
        <v>1406</v>
      </c>
      <c r="C7962" s="196">
        <v>0</v>
      </c>
      <c r="D7962" s="196">
        <v>0</v>
      </c>
      <c r="E7962" s="196">
        <v>297000</v>
      </c>
      <c r="F7962" s="196">
        <v>-297000</v>
      </c>
      <c r="G7962" s="196">
        <v>-297000</v>
      </c>
    </row>
    <row r="7963" spans="1:7" x14ac:dyDescent="0.3">
      <c r="A7963" s="198">
        <v>98645836</v>
      </c>
      <c r="B7963" s="192" t="s">
        <v>5763</v>
      </c>
      <c r="C7963" s="196">
        <v>-165000</v>
      </c>
      <c r="D7963" s="196">
        <v>0</v>
      </c>
      <c r="E7963" s="196">
        <v>0</v>
      </c>
      <c r="F7963" s="196">
        <v>0</v>
      </c>
      <c r="G7963" s="196">
        <v>-165000</v>
      </c>
    </row>
    <row r="7964" spans="1:7" x14ac:dyDescent="0.3">
      <c r="A7964" s="198">
        <v>3604452</v>
      </c>
      <c r="B7964" s="192" t="s">
        <v>5764</v>
      </c>
      <c r="C7964" s="196">
        <v>-319000</v>
      </c>
      <c r="D7964" s="196">
        <v>0</v>
      </c>
      <c r="E7964" s="196">
        <v>0</v>
      </c>
      <c r="F7964" s="196">
        <v>0</v>
      </c>
      <c r="G7964" s="196">
        <v>-319000</v>
      </c>
    </row>
    <row r="7965" spans="1:7" x14ac:dyDescent="0.3">
      <c r="A7965" s="198">
        <v>3507952</v>
      </c>
      <c r="B7965" s="192" t="s">
        <v>5765</v>
      </c>
      <c r="C7965" s="196">
        <v>-50900</v>
      </c>
      <c r="D7965" s="196">
        <v>0</v>
      </c>
      <c r="E7965" s="196">
        <v>0</v>
      </c>
      <c r="F7965" s="196">
        <v>0</v>
      </c>
      <c r="G7965" s="196">
        <v>-50900</v>
      </c>
    </row>
    <row r="7966" spans="1:7" x14ac:dyDescent="0.3">
      <c r="A7966" s="198">
        <v>70567935</v>
      </c>
      <c r="B7966" s="192" t="s">
        <v>5766</v>
      </c>
      <c r="C7966" s="196">
        <v>-101800</v>
      </c>
      <c r="D7966" s="196">
        <v>0</v>
      </c>
      <c r="E7966" s="196">
        <v>0</v>
      </c>
      <c r="F7966" s="196">
        <v>0</v>
      </c>
      <c r="G7966" s="196">
        <v>-101800</v>
      </c>
    </row>
    <row r="7967" spans="1:7" x14ac:dyDescent="0.3">
      <c r="A7967" s="198">
        <v>1037580072</v>
      </c>
      <c r="B7967" s="192" t="s">
        <v>5767</v>
      </c>
      <c r="C7967" s="196">
        <v>-38400</v>
      </c>
      <c r="D7967" s="196">
        <v>0</v>
      </c>
      <c r="E7967" s="196">
        <v>0</v>
      </c>
      <c r="F7967" s="196">
        <v>0</v>
      </c>
      <c r="G7967" s="196">
        <v>-38400</v>
      </c>
    </row>
    <row r="7968" spans="1:7" x14ac:dyDescent="0.3">
      <c r="A7968" s="198">
        <v>71193643</v>
      </c>
      <c r="B7968" s="192" t="s">
        <v>5768</v>
      </c>
      <c r="C7968" s="196">
        <v>-297000</v>
      </c>
      <c r="D7968" s="196">
        <v>0</v>
      </c>
      <c r="E7968" s="196">
        <v>0</v>
      </c>
      <c r="F7968" s="196">
        <v>0</v>
      </c>
      <c r="G7968" s="196">
        <v>-297000</v>
      </c>
    </row>
    <row r="7969" spans="1:7" x14ac:dyDescent="0.3">
      <c r="A7969" s="198">
        <v>8718593</v>
      </c>
      <c r="B7969" s="192" t="s">
        <v>5769</v>
      </c>
      <c r="C7969" s="196">
        <v>-297000</v>
      </c>
      <c r="D7969" s="196">
        <v>0</v>
      </c>
      <c r="E7969" s="196">
        <v>0</v>
      </c>
      <c r="F7969" s="196">
        <v>0</v>
      </c>
      <c r="G7969" s="196">
        <v>-297000</v>
      </c>
    </row>
    <row r="7970" spans="1:7" x14ac:dyDescent="0.3">
      <c r="A7970" s="198">
        <v>46457313</v>
      </c>
      <c r="B7970" s="192" t="s">
        <v>5770</v>
      </c>
      <c r="C7970" s="196">
        <v>-119000</v>
      </c>
      <c r="D7970" s="196">
        <v>0</v>
      </c>
      <c r="E7970" s="196">
        <v>0</v>
      </c>
      <c r="F7970" s="196">
        <v>0</v>
      </c>
      <c r="G7970" s="196">
        <v>-119000</v>
      </c>
    </row>
    <row r="7971" spans="1:7" x14ac:dyDescent="0.3">
      <c r="A7971" s="198">
        <v>21407194</v>
      </c>
      <c r="B7971" s="192" t="s">
        <v>5771</v>
      </c>
      <c r="C7971" s="196">
        <v>-47000</v>
      </c>
      <c r="D7971" s="196">
        <v>0</v>
      </c>
      <c r="E7971" s="196">
        <v>0</v>
      </c>
      <c r="F7971" s="196">
        <v>0</v>
      </c>
      <c r="G7971" s="196">
        <v>-47000</v>
      </c>
    </row>
    <row r="7972" spans="1:7" x14ac:dyDescent="0.3">
      <c r="A7972" s="198">
        <v>25389956</v>
      </c>
      <c r="B7972" s="192" t="s">
        <v>5772</v>
      </c>
      <c r="C7972" s="196">
        <v>-250000</v>
      </c>
      <c r="D7972" s="196">
        <v>0</v>
      </c>
      <c r="E7972" s="196">
        <v>0</v>
      </c>
      <c r="F7972" s="196">
        <v>0</v>
      </c>
      <c r="G7972" s="196">
        <v>-250000</v>
      </c>
    </row>
    <row r="7973" spans="1:7" x14ac:dyDescent="0.3">
      <c r="A7973" s="198">
        <v>30039380</v>
      </c>
      <c r="B7973" s="192" t="s">
        <v>5773</v>
      </c>
      <c r="C7973" s="196">
        <v>-50900</v>
      </c>
      <c r="D7973" s="196">
        <v>0</v>
      </c>
      <c r="E7973" s="196">
        <v>0</v>
      </c>
      <c r="F7973" s="196">
        <v>0</v>
      </c>
      <c r="G7973" s="196">
        <v>-50900</v>
      </c>
    </row>
    <row r="7974" spans="1:7" x14ac:dyDescent="0.3">
      <c r="A7974" s="198">
        <v>8458296</v>
      </c>
      <c r="B7974" s="192" t="s">
        <v>5774</v>
      </c>
      <c r="C7974" s="196">
        <v>-140000</v>
      </c>
      <c r="D7974" s="196">
        <v>0</v>
      </c>
      <c r="E7974" s="196">
        <v>0</v>
      </c>
      <c r="F7974" s="196">
        <v>0</v>
      </c>
      <c r="G7974" s="196">
        <v>-140000</v>
      </c>
    </row>
    <row r="7975" spans="1:7" x14ac:dyDescent="0.3">
      <c r="A7975" s="198">
        <v>1115190522</v>
      </c>
      <c r="B7975" s="192" t="s">
        <v>5775</v>
      </c>
      <c r="C7975" s="196">
        <v>-50900</v>
      </c>
      <c r="D7975" s="196">
        <v>0</v>
      </c>
      <c r="E7975" s="196">
        <v>0</v>
      </c>
      <c r="F7975" s="196">
        <v>0</v>
      </c>
      <c r="G7975" s="196">
        <v>-50900</v>
      </c>
    </row>
    <row r="7976" spans="1:7" x14ac:dyDescent="0.3">
      <c r="A7976" s="198">
        <v>8348775</v>
      </c>
      <c r="B7976" s="192" t="s">
        <v>5776</v>
      </c>
      <c r="C7976" s="196">
        <v>-50900</v>
      </c>
      <c r="D7976" s="196">
        <v>0</v>
      </c>
      <c r="E7976" s="196">
        <v>0</v>
      </c>
      <c r="F7976" s="196">
        <v>0</v>
      </c>
      <c r="G7976" s="196">
        <v>-50900</v>
      </c>
    </row>
    <row r="7977" spans="1:7" x14ac:dyDescent="0.3">
      <c r="A7977" s="198">
        <v>3609945</v>
      </c>
      <c r="B7977" s="192" t="s">
        <v>5777</v>
      </c>
      <c r="C7977" s="196">
        <v>-319000</v>
      </c>
      <c r="D7977" s="196">
        <v>0</v>
      </c>
      <c r="E7977" s="196">
        <v>0</v>
      </c>
      <c r="F7977" s="196">
        <v>0</v>
      </c>
      <c r="G7977" s="196">
        <v>-319000</v>
      </c>
    </row>
    <row r="7978" spans="1:7" x14ac:dyDescent="0.3">
      <c r="A7978" s="198">
        <v>759107</v>
      </c>
      <c r="B7978" s="192" t="s">
        <v>5778</v>
      </c>
      <c r="C7978" s="196">
        <v>-40000</v>
      </c>
      <c r="D7978" s="196">
        <v>0</v>
      </c>
      <c r="E7978" s="196">
        <v>0</v>
      </c>
      <c r="F7978" s="196">
        <v>0</v>
      </c>
      <c r="G7978" s="196">
        <v>-40000</v>
      </c>
    </row>
    <row r="7979" spans="1:7" x14ac:dyDescent="0.3">
      <c r="A7979" s="198">
        <v>70121718</v>
      </c>
      <c r="B7979" s="192" t="s">
        <v>1408</v>
      </c>
      <c r="C7979" s="196">
        <v>0</v>
      </c>
      <c r="D7979" s="196">
        <v>0</v>
      </c>
      <c r="E7979" s="196">
        <v>297000</v>
      </c>
      <c r="F7979" s="196">
        <v>-297000</v>
      </c>
      <c r="G7979" s="196">
        <v>-297000</v>
      </c>
    </row>
    <row r="7980" spans="1:7" x14ac:dyDescent="0.3">
      <c r="A7980" s="198">
        <v>6894768</v>
      </c>
      <c r="B7980" s="192" t="s">
        <v>5779</v>
      </c>
      <c r="C7980" s="196">
        <v>-319000</v>
      </c>
      <c r="D7980" s="196">
        <v>0</v>
      </c>
      <c r="E7980" s="196">
        <v>0</v>
      </c>
      <c r="F7980" s="196">
        <v>0</v>
      </c>
      <c r="G7980" s="196">
        <v>-319000</v>
      </c>
    </row>
    <row r="7981" spans="1:7" x14ac:dyDescent="0.3">
      <c r="A7981" s="192" t="s">
        <v>5780</v>
      </c>
      <c r="B7981" s="192" t="s">
        <v>5781</v>
      </c>
      <c r="C7981" s="196">
        <v>-50900</v>
      </c>
      <c r="D7981" s="196">
        <v>0</v>
      </c>
      <c r="E7981" s="196">
        <v>0</v>
      </c>
      <c r="F7981" s="196">
        <v>0</v>
      </c>
      <c r="G7981" s="196">
        <v>-50900</v>
      </c>
    </row>
    <row r="7982" spans="1:7" x14ac:dyDescent="0.3">
      <c r="A7982" s="198">
        <v>32593646</v>
      </c>
      <c r="B7982" s="192" t="s">
        <v>5782</v>
      </c>
      <c r="C7982" s="196">
        <v>-310000</v>
      </c>
      <c r="D7982" s="196">
        <v>0</v>
      </c>
      <c r="E7982" s="196">
        <v>0</v>
      </c>
      <c r="F7982" s="196">
        <v>0</v>
      </c>
      <c r="G7982" s="196">
        <v>-310000</v>
      </c>
    </row>
    <row r="7983" spans="1:7" x14ac:dyDescent="0.3">
      <c r="A7983" s="198">
        <v>1011414295</v>
      </c>
      <c r="B7983" s="192" t="s">
        <v>1409</v>
      </c>
      <c r="C7983" s="196">
        <v>0</v>
      </c>
      <c r="D7983" s="196">
        <v>0</v>
      </c>
      <c r="E7983" s="196">
        <v>50900</v>
      </c>
      <c r="F7983" s="196">
        <v>-50900</v>
      </c>
      <c r="G7983" s="196">
        <v>-50900</v>
      </c>
    </row>
    <row r="7984" spans="1:7" x14ac:dyDescent="0.3">
      <c r="A7984" s="198">
        <v>1018344491</v>
      </c>
      <c r="B7984" s="192" t="s">
        <v>5783</v>
      </c>
      <c r="C7984" s="196">
        <v>-416000</v>
      </c>
      <c r="D7984" s="196">
        <v>0</v>
      </c>
      <c r="E7984" s="196">
        <v>0</v>
      </c>
      <c r="F7984" s="196">
        <v>0</v>
      </c>
      <c r="G7984" s="196">
        <v>-416000</v>
      </c>
    </row>
    <row r="7985" spans="1:7" x14ac:dyDescent="0.3">
      <c r="A7985" s="198">
        <v>1127242902</v>
      </c>
      <c r="B7985" s="192" t="s">
        <v>5784</v>
      </c>
      <c r="C7985" s="196">
        <v>-47400</v>
      </c>
      <c r="D7985" s="196">
        <v>0</v>
      </c>
      <c r="E7985" s="196">
        <v>0</v>
      </c>
      <c r="F7985" s="196">
        <v>0</v>
      </c>
      <c r="G7985" s="196">
        <v>-47400</v>
      </c>
    </row>
    <row r="7986" spans="1:7" x14ac:dyDescent="0.3">
      <c r="A7986" s="192" t="s">
        <v>5785</v>
      </c>
      <c r="B7986" s="192" t="s">
        <v>5786</v>
      </c>
      <c r="C7986" s="196">
        <v>-110000</v>
      </c>
      <c r="D7986" s="196">
        <v>0</v>
      </c>
      <c r="E7986" s="196">
        <v>0</v>
      </c>
      <c r="F7986" s="196">
        <v>0</v>
      </c>
      <c r="G7986" s="196">
        <v>-110000</v>
      </c>
    </row>
    <row r="7987" spans="1:7" x14ac:dyDescent="0.3">
      <c r="A7987" s="198">
        <v>1105405</v>
      </c>
      <c r="B7987" s="192" t="s">
        <v>5787</v>
      </c>
      <c r="C7987" s="196">
        <v>-380000</v>
      </c>
      <c r="D7987" s="196">
        <v>0</v>
      </c>
      <c r="E7987" s="196">
        <v>0</v>
      </c>
      <c r="F7987" s="196">
        <v>0</v>
      </c>
      <c r="G7987" s="196">
        <v>-380000</v>
      </c>
    </row>
    <row r="7988" spans="1:7" x14ac:dyDescent="0.3">
      <c r="A7988" s="198">
        <v>32462289</v>
      </c>
      <c r="B7988" s="192" t="s">
        <v>5788</v>
      </c>
      <c r="C7988" s="196">
        <v>-57200</v>
      </c>
      <c r="D7988" s="196">
        <v>0</v>
      </c>
      <c r="E7988" s="196">
        <v>0</v>
      </c>
      <c r="F7988" s="196">
        <v>0</v>
      </c>
      <c r="G7988" s="196">
        <v>-57200</v>
      </c>
    </row>
    <row r="7989" spans="1:7" x14ac:dyDescent="0.3">
      <c r="A7989" s="198">
        <v>22007633</v>
      </c>
      <c r="B7989" s="192" t="s">
        <v>5789</v>
      </c>
      <c r="C7989" s="196">
        <v>-380000</v>
      </c>
      <c r="D7989" s="196">
        <v>0</v>
      </c>
      <c r="E7989" s="196">
        <v>0</v>
      </c>
      <c r="F7989" s="196">
        <v>0</v>
      </c>
      <c r="G7989" s="196">
        <v>-380000</v>
      </c>
    </row>
    <row r="7990" spans="1:7" x14ac:dyDescent="0.3">
      <c r="A7990" s="198">
        <v>32322417</v>
      </c>
      <c r="B7990" s="192" t="s">
        <v>5790</v>
      </c>
      <c r="C7990" s="196">
        <v>-57200</v>
      </c>
      <c r="D7990" s="196">
        <v>0</v>
      </c>
      <c r="E7990" s="196">
        <v>0</v>
      </c>
      <c r="F7990" s="196">
        <v>0</v>
      </c>
      <c r="G7990" s="196">
        <v>-57200</v>
      </c>
    </row>
    <row r="7991" spans="1:7" x14ac:dyDescent="0.3">
      <c r="A7991" s="198">
        <v>41104413</v>
      </c>
      <c r="B7991" s="192" t="s">
        <v>5791</v>
      </c>
      <c r="C7991" s="196">
        <v>-364600</v>
      </c>
      <c r="D7991" s="196">
        <v>0</v>
      </c>
      <c r="E7991" s="196">
        <v>0</v>
      </c>
      <c r="F7991" s="196">
        <v>0</v>
      </c>
      <c r="G7991" s="196">
        <v>-364600</v>
      </c>
    </row>
    <row r="7992" spans="1:7" x14ac:dyDescent="0.3">
      <c r="A7992" s="198">
        <v>24297943</v>
      </c>
      <c r="B7992" s="192" t="s">
        <v>1410</v>
      </c>
      <c r="C7992" s="196">
        <v>-520330</v>
      </c>
      <c r="D7992" s="196">
        <v>0</v>
      </c>
      <c r="E7992" s="196">
        <v>0</v>
      </c>
      <c r="F7992" s="196">
        <v>0</v>
      </c>
      <c r="G7992" s="196">
        <v>-520330</v>
      </c>
    </row>
    <row r="7993" spans="1:7" x14ac:dyDescent="0.3">
      <c r="A7993" s="198">
        <v>52160394</v>
      </c>
      <c r="B7993" s="192" t="s">
        <v>1411</v>
      </c>
      <c r="C7993" s="196">
        <v>-319000</v>
      </c>
      <c r="D7993" s="196">
        <v>0</v>
      </c>
      <c r="E7993" s="196">
        <v>0</v>
      </c>
      <c r="F7993" s="196">
        <v>0</v>
      </c>
      <c r="G7993" s="196">
        <v>-319000</v>
      </c>
    </row>
    <row r="7994" spans="1:7" x14ac:dyDescent="0.3">
      <c r="A7994" s="198">
        <v>32313008</v>
      </c>
      <c r="B7994" s="192" t="s">
        <v>1412</v>
      </c>
      <c r="C7994" s="196">
        <v>0</v>
      </c>
      <c r="D7994" s="196">
        <v>0</v>
      </c>
      <c r="E7994" s="196">
        <v>297000</v>
      </c>
      <c r="F7994" s="196">
        <v>-297000</v>
      </c>
      <c r="G7994" s="196">
        <v>-297000</v>
      </c>
    </row>
    <row r="7995" spans="1:7" x14ac:dyDescent="0.3">
      <c r="A7995" s="198">
        <v>51822042</v>
      </c>
      <c r="B7995" s="192" t="s">
        <v>5792</v>
      </c>
      <c r="C7995" s="196">
        <v>-162000</v>
      </c>
      <c r="D7995" s="196">
        <v>0</v>
      </c>
      <c r="E7995" s="196">
        <v>0</v>
      </c>
      <c r="F7995" s="196">
        <v>0</v>
      </c>
      <c r="G7995" s="196">
        <v>-162000</v>
      </c>
    </row>
    <row r="7996" spans="1:7" x14ac:dyDescent="0.3">
      <c r="A7996" s="198">
        <v>31243881</v>
      </c>
      <c r="B7996" s="192" t="s">
        <v>1413</v>
      </c>
      <c r="C7996" s="196">
        <v>-57200</v>
      </c>
      <c r="D7996" s="196">
        <v>0</v>
      </c>
      <c r="E7996" s="196">
        <v>0</v>
      </c>
      <c r="F7996" s="196">
        <v>0</v>
      </c>
      <c r="G7996" s="196">
        <v>-57200</v>
      </c>
    </row>
    <row r="7997" spans="1:7" x14ac:dyDescent="0.3">
      <c r="A7997" s="198">
        <v>32424215</v>
      </c>
      <c r="B7997" s="192" t="s">
        <v>5793</v>
      </c>
      <c r="C7997" s="196">
        <v>-57200</v>
      </c>
      <c r="D7997" s="196">
        <v>0</v>
      </c>
      <c r="E7997" s="196">
        <v>0</v>
      </c>
      <c r="F7997" s="196">
        <v>0</v>
      </c>
      <c r="G7997" s="196">
        <v>-57200</v>
      </c>
    </row>
    <row r="7998" spans="1:7" x14ac:dyDescent="0.3">
      <c r="A7998" s="198">
        <v>21353923</v>
      </c>
      <c r="B7998" s="192" t="s">
        <v>5794</v>
      </c>
      <c r="C7998" s="196">
        <v>-100000</v>
      </c>
      <c r="D7998" s="196">
        <v>0</v>
      </c>
      <c r="E7998" s="196">
        <v>0</v>
      </c>
      <c r="F7998" s="196">
        <v>0</v>
      </c>
      <c r="G7998" s="196">
        <v>-100000</v>
      </c>
    </row>
    <row r="7999" spans="1:7" x14ac:dyDescent="0.3">
      <c r="A7999" s="198">
        <v>1034990281</v>
      </c>
      <c r="B7999" s="192" t="s">
        <v>5795</v>
      </c>
      <c r="C7999" s="196">
        <v>-50900</v>
      </c>
      <c r="D7999" s="196">
        <v>0</v>
      </c>
      <c r="E7999" s="196">
        <v>0</v>
      </c>
      <c r="F7999" s="196">
        <v>0</v>
      </c>
      <c r="G7999" s="196">
        <v>-50900</v>
      </c>
    </row>
    <row r="8000" spans="1:7" x14ac:dyDescent="0.3">
      <c r="A8000" s="198">
        <v>1035013452</v>
      </c>
      <c r="B8000" s="192" t="s">
        <v>5796</v>
      </c>
      <c r="C8000" s="196">
        <v>-49000</v>
      </c>
      <c r="D8000" s="196">
        <v>0</v>
      </c>
      <c r="E8000" s="196">
        <v>0</v>
      </c>
      <c r="F8000" s="196">
        <v>0</v>
      </c>
      <c r="G8000" s="196">
        <v>-49000</v>
      </c>
    </row>
    <row r="8001" spans="1:7" x14ac:dyDescent="0.3">
      <c r="A8001" s="198">
        <v>1035024993</v>
      </c>
      <c r="B8001" s="192" t="s">
        <v>5797</v>
      </c>
      <c r="C8001" s="196">
        <v>-50900</v>
      </c>
      <c r="D8001" s="196">
        <v>0</v>
      </c>
      <c r="E8001" s="196">
        <v>0</v>
      </c>
      <c r="F8001" s="196">
        <v>0</v>
      </c>
      <c r="G8001" s="196">
        <v>-50900</v>
      </c>
    </row>
    <row r="8002" spans="1:7" x14ac:dyDescent="0.3">
      <c r="A8002" s="198">
        <v>1035019025</v>
      </c>
      <c r="B8002" s="192" t="s">
        <v>1414</v>
      </c>
      <c r="C8002" s="196">
        <v>-41400</v>
      </c>
      <c r="D8002" s="196">
        <v>0</v>
      </c>
      <c r="E8002" s="196">
        <v>41400</v>
      </c>
      <c r="F8002" s="196">
        <v>-41400</v>
      </c>
      <c r="G8002" s="196">
        <v>-82800</v>
      </c>
    </row>
    <row r="8003" spans="1:7" x14ac:dyDescent="0.3">
      <c r="A8003" s="198">
        <v>1035026776</v>
      </c>
      <c r="B8003" s="192" t="s">
        <v>5798</v>
      </c>
      <c r="C8003" s="196">
        <v>-50900</v>
      </c>
      <c r="D8003" s="196">
        <v>0</v>
      </c>
      <c r="E8003" s="196">
        <v>0</v>
      </c>
      <c r="F8003" s="196">
        <v>0</v>
      </c>
      <c r="G8003" s="196">
        <v>-50900</v>
      </c>
    </row>
    <row r="8004" spans="1:7" x14ac:dyDescent="0.3">
      <c r="A8004" s="198">
        <v>1035026097</v>
      </c>
      <c r="B8004" s="192" t="s">
        <v>5799</v>
      </c>
      <c r="C8004" s="196">
        <v>-41400</v>
      </c>
      <c r="D8004" s="196">
        <v>0</v>
      </c>
      <c r="E8004" s="196">
        <v>0</v>
      </c>
      <c r="F8004" s="196">
        <v>0</v>
      </c>
      <c r="G8004" s="196">
        <v>-41400</v>
      </c>
    </row>
    <row r="8005" spans="1:7" x14ac:dyDescent="0.3">
      <c r="A8005" s="198">
        <v>32433767</v>
      </c>
      <c r="B8005" s="192" t="s">
        <v>5800</v>
      </c>
      <c r="C8005" s="196">
        <v>-388300</v>
      </c>
      <c r="D8005" s="196">
        <v>0</v>
      </c>
      <c r="E8005" s="196">
        <v>0</v>
      </c>
      <c r="F8005" s="196">
        <v>0</v>
      </c>
      <c r="G8005" s="196">
        <v>-388300</v>
      </c>
    </row>
    <row r="8006" spans="1:7" x14ac:dyDescent="0.3">
      <c r="A8006" s="198">
        <v>42776512</v>
      </c>
      <c r="B8006" s="192" t="s">
        <v>5801</v>
      </c>
      <c r="C8006" s="196">
        <v>-297000</v>
      </c>
      <c r="D8006" s="196">
        <v>0</v>
      </c>
      <c r="E8006" s="196">
        <v>0</v>
      </c>
      <c r="F8006" s="196">
        <v>0</v>
      </c>
      <c r="G8006" s="196">
        <v>-297000</v>
      </c>
    </row>
    <row r="8007" spans="1:7" x14ac:dyDescent="0.3">
      <c r="A8007" s="198">
        <v>32748971</v>
      </c>
      <c r="B8007" s="192" t="s">
        <v>1415</v>
      </c>
      <c r="C8007" s="196">
        <v>-98300</v>
      </c>
      <c r="D8007" s="196">
        <v>0</v>
      </c>
      <c r="E8007" s="196">
        <v>0</v>
      </c>
      <c r="F8007" s="196">
        <v>0</v>
      </c>
      <c r="G8007" s="196">
        <v>-98300</v>
      </c>
    </row>
    <row r="8008" spans="1:7" x14ac:dyDescent="0.3">
      <c r="A8008" s="198">
        <v>52388931</v>
      </c>
      <c r="B8008" s="192" t="s">
        <v>5802</v>
      </c>
      <c r="C8008" s="196">
        <v>-165000</v>
      </c>
      <c r="D8008" s="196">
        <v>0</v>
      </c>
      <c r="E8008" s="196">
        <v>0</v>
      </c>
      <c r="F8008" s="196">
        <v>0</v>
      </c>
      <c r="G8008" s="196">
        <v>-165000</v>
      </c>
    </row>
    <row r="8009" spans="1:7" x14ac:dyDescent="0.3">
      <c r="A8009" s="198">
        <v>1037638184</v>
      </c>
      <c r="B8009" s="192" t="s">
        <v>5803</v>
      </c>
      <c r="C8009" s="196">
        <v>-297000</v>
      </c>
      <c r="D8009" s="196">
        <v>0</v>
      </c>
      <c r="E8009" s="196">
        <v>0</v>
      </c>
      <c r="F8009" s="196">
        <v>0</v>
      </c>
      <c r="G8009" s="196">
        <v>-297000</v>
      </c>
    </row>
    <row r="8010" spans="1:7" x14ac:dyDescent="0.3">
      <c r="A8010" s="198">
        <v>1232394760</v>
      </c>
      <c r="B8010" s="192" t="s">
        <v>5804</v>
      </c>
      <c r="C8010" s="196">
        <v>-50900</v>
      </c>
      <c r="D8010" s="196">
        <v>0</v>
      </c>
      <c r="E8010" s="196">
        <v>0</v>
      </c>
      <c r="F8010" s="196">
        <v>0</v>
      </c>
      <c r="G8010" s="196">
        <v>-50900</v>
      </c>
    </row>
    <row r="8011" spans="1:7" x14ac:dyDescent="0.3">
      <c r="A8011" s="198">
        <v>32520921</v>
      </c>
      <c r="B8011" s="192" t="s">
        <v>5805</v>
      </c>
      <c r="C8011" s="196">
        <v>-228800</v>
      </c>
      <c r="D8011" s="196">
        <v>0</v>
      </c>
      <c r="E8011" s="196">
        <v>0</v>
      </c>
      <c r="F8011" s="196">
        <v>0</v>
      </c>
      <c r="G8011" s="196">
        <v>-228800</v>
      </c>
    </row>
    <row r="8012" spans="1:7" x14ac:dyDescent="0.3">
      <c r="A8012" s="192" t="s">
        <v>5806</v>
      </c>
      <c r="B8012" s="192" t="s">
        <v>5807</v>
      </c>
      <c r="C8012" s="196">
        <v>-47400</v>
      </c>
      <c r="D8012" s="196">
        <v>0</v>
      </c>
      <c r="E8012" s="196">
        <v>0</v>
      </c>
      <c r="F8012" s="196">
        <v>0</v>
      </c>
      <c r="G8012" s="196">
        <v>-47400</v>
      </c>
    </row>
    <row r="8013" spans="1:7" x14ac:dyDescent="0.3">
      <c r="A8013" s="198">
        <v>71605572</v>
      </c>
      <c r="B8013" s="192" t="s">
        <v>5808</v>
      </c>
      <c r="C8013" s="196">
        <v>-165000</v>
      </c>
      <c r="D8013" s="196">
        <v>0</v>
      </c>
      <c r="E8013" s="196">
        <v>0</v>
      </c>
      <c r="F8013" s="196">
        <v>0</v>
      </c>
      <c r="G8013" s="196">
        <v>-165000</v>
      </c>
    </row>
    <row r="8014" spans="1:7" x14ac:dyDescent="0.3">
      <c r="A8014" s="198">
        <v>8298380</v>
      </c>
      <c r="B8014" s="192" t="s">
        <v>5809</v>
      </c>
      <c r="C8014" s="196">
        <v>-594000</v>
      </c>
      <c r="D8014" s="196">
        <v>0</v>
      </c>
      <c r="E8014" s="196">
        <v>0</v>
      </c>
      <c r="F8014" s="196">
        <v>0</v>
      </c>
      <c r="G8014" s="196">
        <v>-594000</v>
      </c>
    </row>
    <row r="8015" spans="1:7" x14ac:dyDescent="0.3">
      <c r="A8015" s="198">
        <v>4822317</v>
      </c>
      <c r="B8015" s="192" t="s">
        <v>5810</v>
      </c>
      <c r="C8015" s="196">
        <v>-319000</v>
      </c>
      <c r="D8015" s="196">
        <v>0</v>
      </c>
      <c r="E8015" s="196">
        <v>0</v>
      </c>
      <c r="F8015" s="196">
        <v>0</v>
      </c>
      <c r="G8015" s="196">
        <v>-319000</v>
      </c>
    </row>
    <row r="8016" spans="1:7" x14ac:dyDescent="0.3">
      <c r="A8016" s="198">
        <v>14894545</v>
      </c>
      <c r="B8016" s="192" t="s">
        <v>1417</v>
      </c>
      <c r="C8016" s="196">
        <v>0</v>
      </c>
      <c r="D8016" s="196">
        <v>0</v>
      </c>
      <c r="E8016" s="196">
        <v>297000</v>
      </c>
      <c r="F8016" s="196">
        <v>-297000</v>
      </c>
      <c r="G8016" s="196">
        <v>-297000</v>
      </c>
    </row>
    <row r="8017" spans="1:7" x14ac:dyDescent="0.3">
      <c r="A8017" s="198">
        <v>71691810</v>
      </c>
      <c r="B8017" s="192" t="s">
        <v>5811</v>
      </c>
      <c r="C8017" s="196">
        <v>-50900</v>
      </c>
      <c r="D8017" s="196">
        <v>0</v>
      </c>
      <c r="E8017" s="196">
        <v>0</v>
      </c>
      <c r="F8017" s="196">
        <v>0</v>
      </c>
      <c r="G8017" s="196">
        <v>-50900</v>
      </c>
    </row>
    <row r="8018" spans="1:7" x14ac:dyDescent="0.3">
      <c r="A8018" s="198">
        <v>1088264837</v>
      </c>
      <c r="B8018" s="192" t="s">
        <v>1418</v>
      </c>
      <c r="C8018" s="196">
        <v>-101800</v>
      </c>
      <c r="D8018" s="196">
        <v>0</v>
      </c>
      <c r="E8018" s="196">
        <v>50900</v>
      </c>
      <c r="F8018" s="196">
        <v>-50900</v>
      </c>
      <c r="G8018" s="196">
        <v>-152700</v>
      </c>
    </row>
    <row r="8019" spans="1:7" x14ac:dyDescent="0.3">
      <c r="A8019" s="198">
        <v>39151336</v>
      </c>
      <c r="B8019" s="192" t="s">
        <v>5812</v>
      </c>
      <c r="C8019" s="196">
        <v>-98000</v>
      </c>
      <c r="D8019" s="196">
        <v>0</v>
      </c>
      <c r="E8019" s="196">
        <v>0</v>
      </c>
      <c r="F8019" s="196">
        <v>0</v>
      </c>
      <c r="G8019" s="196">
        <v>-98000</v>
      </c>
    </row>
    <row r="8020" spans="1:7" x14ac:dyDescent="0.3">
      <c r="A8020" s="198">
        <v>43434314</v>
      </c>
      <c r="B8020" s="192" t="s">
        <v>5813</v>
      </c>
      <c r="C8020" s="196">
        <v>-270000</v>
      </c>
      <c r="D8020" s="196">
        <v>0</v>
      </c>
      <c r="E8020" s="196">
        <v>0</v>
      </c>
      <c r="F8020" s="196">
        <v>0</v>
      </c>
      <c r="G8020" s="196">
        <v>-270000</v>
      </c>
    </row>
    <row r="8021" spans="1:7" x14ac:dyDescent="0.3">
      <c r="A8021" s="198">
        <v>32301252</v>
      </c>
      <c r="B8021" s="192" t="s">
        <v>5814</v>
      </c>
      <c r="C8021" s="196">
        <v>-319000</v>
      </c>
      <c r="D8021" s="196">
        <v>0</v>
      </c>
      <c r="E8021" s="196">
        <v>0</v>
      </c>
      <c r="F8021" s="196">
        <v>0</v>
      </c>
      <c r="G8021" s="196">
        <v>-319000</v>
      </c>
    </row>
    <row r="8022" spans="1:7" x14ac:dyDescent="0.3">
      <c r="A8022" s="198">
        <v>40764233</v>
      </c>
      <c r="B8022" s="192" t="s">
        <v>5815</v>
      </c>
      <c r="C8022" s="196">
        <v>-88000</v>
      </c>
      <c r="D8022" s="196">
        <v>0</v>
      </c>
      <c r="E8022" s="196">
        <v>0</v>
      </c>
      <c r="F8022" s="196">
        <v>0</v>
      </c>
      <c r="G8022" s="196">
        <v>-88000</v>
      </c>
    </row>
    <row r="8023" spans="1:7" x14ac:dyDescent="0.3">
      <c r="A8023" s="198">
        <v>42119056</v>
      </c>
      <c r="B8023" s="192" t="s">
        <v>5816</v>
      </c>
      <c r="C8023" s="196">
        <v>-247000</v>
      </c>
      <c r="D8023" s="196">
        <v>0</v>
      </c>
      <c r="E8023" s="196">
        <v>0</v>
      </c>
      <c r="F8023" s="196">
        <v>0</v>
      </c>
      <c r="G8023" s="196">
        <v>-247000</v>
      </c>
    </row>
    <row r="8024" spans="1:7" x14ac:dyDescent="0.3">
      <c r="A8024" s="198">
        <v>32314210</v>
      </c>
      <c r="B8024" s="192" t="s">
        <v>5817</v>
      </c>
      <c r="C8024" s="196">
        <v>-114400</v>
      </c>
      <c r="D8024" s="196">
        <v>0</v>
      </c>
      <c r="E8024" s="196">
        <v>0</v>
      </c>
      <c r="F8024" s="196">
        <v>0</v>
      </c>
      <c r="G8024" s="196">
        <v>-114400</v>
      </c>
    </row>
    <row r="8025" spans="1:7" x14ac:dyDescent="0.3">
      <c r="A8025" s="198">
        <v>1121903565</v>
      </c>
      <c r="B8025" s="192" t="s">
        <v>5818</v>
      </c>
      <c r="C8025" s="196">
        <v>-398800</v>
      </c>
      <c r="D8025" s="196">
        <v>0</v>
      </c>
      <c r="E8025" s="196">
        <v>0</v>
      </c>
      <c r="F8025" s="196">
        <v>0</v>
      </c>
      <c r="G8025" s="196">
        <v>-398800</v>
      </c>
    </row>
    <row r="8026" spans="1:7" x14ac:dyDescent="0.3">
      <c r="A8026" s="198">
        <v>37444430</v>
      </c>
      <c r="B8026" s="192" t="s">
        <v>5819</v>
      </c>
      <c r="C8026" s="196">
        <v>-250000</v>
      </c>
      <c r="D8026" s="196">
        <v>0</v>
      </c>
      <c r="E8026" s="196">
        <v>0</v>
      </c>
      <c r="F8026" s="196">
        <v>0</v>
      </c>
      <c r="G8026" s="196">
        <v>-250000</v>
      </c>
    </row>
    <row r="8027" spans="1:7" x14ac:dyDescent="0.3">
      <c r="A8027" s="198">
        <v>1152185731</v>
      </c>
      <c r="B8027" s="192" t="s">
        <v>5820</v>
      </c>
      <c r="C8027" s="196">
        <v>-108000</v>
      </c>
      <c r="D8027" s="196">
        <v>0</v>
      </c>
      <c r="E8027" s="196">
        <v>0</v>
      </c>
      <c r="F8027" s="196">
        <v>0</v>
      </c>
      <c r="G8027" s="196">
        <v>-108000</v>
      </c>
    </row>
    <row r="8028" spans="1:7" x14ac:dyDescent="0.3">
      <c r="A8028" s="198">
        <v>1056769612</v>
      </c>
      <c r="B8028" s="192" t="s">
        <v>5821</v>
      </c>
      <c r="C8028" s="196">
        <v>-110000</v>
      </c>
      <c r="D8028" s="196">
        <v>0</v>
      </c>
      <c r="E8028" s="196">
        <v>0</v>
      </c>
      <c r="F8028" s="196">
        <v>0</v>
      </c>
      <c r="G8028" s="196">
        <v>-110000</v>
      </c>
    </row>
    <row r="8029" spans="1:7" x14ac:dyDescent="0.3">
      <c r="A8029" s="198">
        <v>39694126</v>
      </c>
      <c r="B8029" s="192" t="s">
        <v>1421</v>
      </c>
      <c r="C8029" s="196">
        <v>0</v>
      </c>
      <c r="D8029" s="196">
        <v>0</v>
      </c>
      <c r="E8029" s="196">
        <v>50900</v>
      </c>
      <c r="F8029" s="196">
        <v>-50900</v>
      </c>
      <c r="G8029" s="196">
        <v>-50900</v>
      </c>
    </row>
    <row r="8030" spans="1:7" x14ac:dyDescent="0.3">
      <c r="A8030" s="192" t="s">
        <v>5822</v>
      </c>
      <c r="B8030" s="192" t="s">
        <v>5823</v>
      </c>
      <c r="C8030" s="196">
        <v>-638000</v>
      </c>
      <c r="D8030" s="196">
        <v>0</v>
      </c>
      <c r="E8030" s="196">
        <v>0</v>
      </c>
      <c r="F8030" s="196">
        <v>0</v>
      </c>
      <c r="G8030" s="196">
        <v>-638000</v>
      </c>
    </row>
    <row r="8031" spans="1:7" x14ac:dyDescent="0.3">
      <c r="A8031" s="198">
        <v>32347191</v>
      </c>
      <c r="B8031" s="192" t="s">
        <v>5824</v>
      </c>
      <c r="C8031" s="196">
        <v>-50900</v>
      </c>
      <c r="D8031" s="196">
        <v>0</v>
      </c>
      <c r="E8031" s="196">
        <v>0</v>
      </c>
      <c r="F8031" s="196">
        <v>0</v>
      </c>
      <c r="G8031" s="196">
        <v>-50900</v>
      </c>
    </row>
    <row r="8032" spans="1:7" x14ac:dyDescent="0.3">
      <c r="A8032" s="192" t="s">
        <v>5825</v>
      </c>
      <c r="B8032" s="192" t="s">
        <v>5826</v>
      </c>
      <c r="C8032" s="196">
        <v>-110000</v>
      </c>
      <c r="D8032" s="196">
        <v>0</v>
      </c>
      <c r="E8032" s="196">
        <v>0</v>
      </c>
      <c r="F8032" s="196">
        <v>0</v>
      </c>
      <c r="G8032" s="196">
        <v>-110000</v>
      </c>
    </row>
    <row r="8033" spans="1:7" x14ac:dyDescent="0.3">
      <c r="A8033" s="198">
        <v>1128276254</v>
      </c>
      <c r="B8033" s="192" t="s">
        <v>5827</v>
      </c>
      <c r="C8033" s="196">
        <v>-47400</v>
      </c>
      <c r="D8033" s="196">
        <v>0</v>
      </c>
      <c r="E8033" s="196">
        <v>0</v>
      </c>
      <c r="F8033" s="196">
        <v>0</v>
      </c>
      <c r="G8033" s="196">
        <v>-47400</v>
      </c>
    </row>
    <row r="8034" spans="1:7" x14ac:dyDescent="0.3">
      <c r="A8034" s="198">
        <v>79624709</v>
      </c>
      <c r="B8034" s="192" t="s">
        <v>5828</v>
      </c>
      <c r="C8034" s="196">
        <v>-47400</v>
      </c>
      <c r="D8034" s="196">
        <v>0</v>
      </c>
      <c r="E8034" s="196">
        <v>0</v>
      </c>
      <c r="F8034" s="196">
        <v>0</v>
      </c>
      <c r="G8034" s="196">
        <v>-47400</v>
      </c>
    </row>
    <row r="8035" spans="1:7" x14ac:dyDescent="0.3">
      <c r="A8035" s="198">
        <v>1038876375</v>
      </c>
      <c r="B8035" s="192" t="s">
        <v>1422</v>
      </c>
      <c r="C8035" s="196">
        <v>0</v>
      </c>
      <c r="D8035" s="196">
        <v>0</v>
      </c>
      <c r="E8035" s="196">
        <v>50900</v>
      </c>
      <c r="F8035" s="196">
        <v>-50900</v>
      </c>
      <c r="G8035" s="196">
        <v>-50900</v>
      </c>
    </row>
    <row r="8036" spans="1:7" x14ac:dyDescent="0.3">
      <c r="A8036" s="198">
        <v>1022008946</v>
      </c>
      <c r="B8036" s="192" t="s">
        <v>1423</v>
      </c>
      <c r="C8036" s="196">
        <v>0</v>
      </c>
      <c r="D8036" s="196">
        <v>0</v>
      </c>
      <c r="E8036" s="196">
        <v>50900</v>
      </c>
      <c r="F8036" s="196">
        <v>-50900</v>
      </c>
      <c r="G8036" s="196">
        <v>-50900</v>
      </c>
    </row>
    <row r="8037" spans="1:7" x14ac:dyDescent="0.3">
      <c r="A8037" s="198">
        <v>1066892647</v>
      </c>
      <c r="B8037" s="192" t="s">
        <v>1424</v>
      </c>
      <c r="C8037" s="196">
        <v>0</v>
      </c>
      <c r="D8037" s="196">
        <v>0</v>
      </c>
      <c r="E8037" s="196">
        <v>41400</v>
      </c>
      <c r="F8037" s="196">
        <v>-41400</v>
      </c>
      <c r="G8037" s="196">
        <v>-41400</v>
      </c>
    </row>
    <row r="8038" spans="1:7" x14ac:dyDescent="0.3">
      <c r="A8038" s="198">
        <v>1035007040</v>
      </c>
      <c r="B8038" s="192" t="s">
        <v>5829</v>
      </c>
      <c r="C8038" s="196">
        <v>-50900</v>
      </c>
      <c r="D8038" s="196">
        <v>0</v>
      </c>
      <c r="E8038" s="196">
        <v>0</v>
      </c>
      <c r="F8038" s="196">
        <v>0</v>
      </c>
      <c r="G8038" s="196">
        <v>-50900</v>
      </c>
    </row>
    <row r="8039" spans="1:7" x14ac:dyDescent="0.3">
      <c r="A8039" s="198">
        <v>1021926649</v>
      </c>
      <c r="B8039" s="192" t="s">
        <v>2225</v>
      </c>
      <c r="C8039" s="196">
        <v>-207900</v>
      </c>
      <c r="D8039" s="196">
        <v>0</v>
      </c>
      <c r="E8039" s="196">
        <v>0</v>
      </c>
      <c r="F8039" s="196">
        <v>0</v>
      </c>
      <c r="G8039" s="196">
        <v>-207900</v>
      </c>
    </row>
    <row r="8040" spans="1:7" x14ac:dyDescent="0.3">
      <c r="A8040" s="198">
        <v>1021806820</v>
      </c>
      <c r="B8040" s="192" t="s">
        <v>5830</v>
      </c>
      <c r="C8040" s="196">
        <v>-50900</v>
      </c>
      <c r="D8040" s="196">
        <v>0</v>
      </c>
      <c r="E8040" s="196">
        <v>0</v>
      </c>
      <c r="F8040" s="196">
        <v>0</v>
      </c>
      <c r="G8040" s="196">
        <v>-50900</v>
      </c>
    </row>
    <row r="8041" spans="1:7" x14ac:dyDescent="0.3">
      <c r="A8041" s="198">
        <v>1001003938</v>
      </c>
      <c r="B8041" s="192" t="s">
        <v>5831</v>
      </c>
      <c r="C8041" s="196">
        <v>-50900</v>
      </c>
      <c r="D8041" s="196">
        <v>0</v>
      </c>
      <c r="E8041" s="196">
        <v>0</v>
      </c>
      <c r="F8041" s="196">
        <v>0</v>
      </c>
      <c r="G8041" s="196">
        <v>-50900</v>
      </c>
    </row>
    <row r="8042" spans="1:7" x14ac:dyDescent="0.3">
      <c r="A8042" s="198">
        <v>1034988124</v>
      </c>
      <c r="B8042" s="192" t="s">
        <v>5832</v>
      </c>
      <c r="C8042" s="196">
        <v>-57200</v>
      </c>
      <c r="D8042" s="196">
        <v>0</v>
      </c>
      <c r="E8042" s="196">
        <v>0</v>
      </c>
      <c r="F8042" s="196">
        <v>0</v>
      </c>
      <c r="G8042" s="196">
        <v>-57200</v>
      </c>
    </row>
    <row r="8043" spans="1:7" x14ac:dyDescent="0.3">
      <c r="A8043" s="198">
        <v>1025901245</v>
      </c>
      <c r="B8043" s="192" t="s">
        <v>1425</v>
      </c>
      <c r="C8043" s="196">
        <v>0</v>
      </c>
      <c r="D8043" s="196">
        <v>0</v>
      </c>
      <c r="E8043" s="196">
        <v>47000</v>
      </c>
      <c r="F8043" s="196">
        <v>-47000</v>
      </c>
      <c r="G8043" s="196">
        <v>-47000</v>
      </c>
    </row>
    <row r="8044" spans="1:7" x14ac:dyDescent="0.3">
      <c r="A8044" s="198">
        <v>1188219180</v>
      </c>
      <c r="B8044" s="192" t="s">
        <v>5833</v>
      </c>
      <c r="C8044" s="196">
        <v>-50900</v>
      </c>
      <c r="D8044" s="196">
        <v>0</v>
      </c>
      <c r="E8044" s="196">
        <v>0</v>
      </c>
      <c r="F8044" s="196">
        <v>0</v>
      </c>
      <c r="G8044" s="196">
        <v>-50900</v>
      </c>
    </row>
    <row r="8045" spans="1:7" x14ac:dyDescent="0.3">
      <c r="A8045" s="198">
        <v>1032183355</v>
      </c>
      <c r="B8045" s="192" t="s">
        <v>5834</v>
      </c>
      <c r="C8045" s="196">
        <v>-47400</v>
      </c>
      <c r="D8045" s="196">
        <v>0</v>
      </c>
      <c r="E8045" s="196">
        <v>0</v>
      </c>
      <c r="F8045" s="196">
        <v>0</v>
      </c>
      <c r="G8045" s="196">
        <v>-47400</v>
      </c>
    </row>
    <row r="8046" spans="1:7" x14ac:dyDescent="0.3">
      <c r="A8046" s="198">
        <v>1034996978</v>
      </c>
      <c r="B8046" s="192" t="s">
        <v>5835</v>
      </c>
      <c r="C8046" s="196">
        <v>-50900</v>
      </c>
      <c r="D8046" s="196">
        <v>0</v>
      </c>
      <c r="E8046" s="196">
        <v>0</v>
      </c>
      <c r="F8046" s="196">
        <v>0</v>
      </c>
      <c r="G8046" s="196">
        <v>-50900</v>
      </c>
    </row>
    <row r="8047" spans="1:7" x14ac:dyDescent="0.3">
      <c r="A8047" s="198">
        <v>1123314028</v>
      </c>
      <c r="B8047" s="192" t="s">
        <v>5836</v>
      </c>
      <c r="C8047" s="196">
        <v>-43900</v>
      </c>
      <c r="D8047" s="196">
        <v>0</v>
      </c>
      <c r="E8047" s="196">
        <v>0</v>
      </c>
      <c r="F8047" s="196">
        <v>0</v>
      </c>
      <c r="G8047" s="196">
        <v>-43900</v>
      </c>
    </row>
    <row r="8048" spans="1:7" x14ac:dyDescent="0.3">
      <c r="A8048" s="198">
        <v>1027809476</v>
      </c>
      <c r="B8048" s="192" t="s">
        <v>5837</v>
      </c>
      <c r="C8048" s="196">
        <v>-47000</v>
      </c>
      <c r="D8048" s="196">
        <v>0</v>
      </c>
      <c r="E8048" s="196">
        <v>0</v>
      </c>
      <c r="F8048" s="196">
        <v>0</v>
      </c>
      <c r="G8048" s="196">
        <v>-47000</v>
      </c>
    </row>
    <row r="8049" spans="1:7" x14ac:dyDescent="0.3">
      <c r="A8049" s="198">
        <v>1022008867</v>
      </c>
      <c r="B8049" s="192" t="s">
        <v>5838</v>
      </c>
      <c r="C8049" s="196">
        <v>-50900</v>
      </c>
      <c r="D8049" s="196">
        <v>0</v>
      </c>
      <c r="E8049" s="196">
        <v>0</v>
      </c>
      <c r="F8049" s="196">
        <v>0</v>
      </c>
      <c r="G8049" s="196">
        <v>-50900</v>
      </c>
    </row>
    <row r="8050" spans="1:7" x14ac:dyDescent="0.3">
      <c r="A8050" s="198">
        <v>1034995355</v>
      </c>
      <c r="B8050" s="192" t="s">
        <v>5839</v>
      </c>
      <c r="C8050" s="196">
        <v>-50900</v>
      </c>
      <c r="D8050" s="196">
        <v>0</v>
      </c>
      <c r="E8050" s="196">
        <v>0</v>
      </c>
      <c r="F8050" s="196">
        <v>0</v>
      </c>
      <c r="G8050" s="196">
        <v>-50900</v>
      </c>
    </row>
    <row r="8051" spans="1:7" x14ac:dyDescent="0.3">
      <c r="A8051" s="198">
        <v>1035026127</v>
      </c>
      <c r="B8051" s="192" t="s">
        <v>5840</v>
      </c>
      <c r="C8051" s="196">
        <v>-50900</v>
      </c>
      <c r="D8051" s="196">
        <v>0</v>
      </c>
      <c r="E8051" s="196">
        <v>0</v>
      </c>
      <c r="F8051" s="196">
        <v>0</v>
      </c>
      <c r="G8051" s="196">
        <v>-50900</v>
      </c>
    </row>
    <row r="8052" spans="1:7" x14ac:dyDescent="0.3">
      <c r="A8052" s="198">
        <v>1035014877</v>
      </c>
      <c r="B8052" s="192" t="s">
        <v>5841</v>
      </c>
      <c r="C8052" s="196">
        <v>-50900</v>
      </c>
      <c r="D8052" s="196">
        <v>0</v>
      </c>
      <c r="E8052" s="196">
        <v>0</v>
      </c>
      <c r="F8052" s="196">
        <v>0</v>
      </c>
      <c r="G8052" s="196">
        <v>-50900</v>
      </c>
    </row>
    <row r="8053" spans="1:7" x14ac:dyDescent="0.3">
      <c r="A8053" s="198">
        <v>1035014292</v>
      </c>
      <c r="B8053" s="192" t="s">
        <v>5842</v>
      </c>
      <c r="C8053" s="196">
        <v>-98300</v>
      </c>
      <c r="D8053" s="196">
        <v>0</v>
      </c>
      <c r="E8053" s="196">
        <v>0</v>
      </c>
      <c r="F8053" s="196">
        <v>0</v>
      </c>
      <c r="G8053" s="196">
        <v>-98300</v>
      </c>
    </row>
    <row r="8054" spans="1:7" x14ac:dyDescent="0.3">
      <c r="A8054" s="198">
        <v>1015198165</v>
      </c>
      <c r="B8054" s="192" t="s">
        <v>1426</v>
      </c>
      <c r="C8054" s="196">
        <v>0</v>
      </c>
      <c r="D8054" s="196">
        <v>0</v>
      </c>
      <c r="E8054" s="196">
        <v>50900</v>
      </c>
      <c r="F8054" s="196">
        <v>-50900</v>
      </c>
      <c r="G8054" s="196">
        <v>-50900</v>
      </c>
    </row>
    <row r="8055" spans="1:7" x14ac:dyDescent="0.3">
      <c r="A8055" s="198">
        <v>1020128521</v>
      </c>
      <c r="B8055" s="192" t="s">
        <v>5843</v>
      </c>
      <c r="C8055" s="196">
        <v>-38400</v>
      </c>
      <c r="D8055" s="196">
        <v>0</v>
      </c>
      <c r="E8055" s="196">
        <v>0</v>
      </c>
      <c r="F8055" s="196">
        <v>0</v>
      </c>
      <c r="G8055" s="196">
        <v>-38400</v>
      </c>
    </row>
    <row r="8056" spans="1:7" x14ac:dyDescent="0.3">
      <c r="A8056" s="198">
        <v>1023595886</v>
      </c>
      <c r="B8056" s="192" t="s">
        <v>5844</v>
      </c>
      <c r="C8056" s="196">
        <v>-47400</v>
      </c>
      <c r="D8056" s="196">
        <v>0</v>
      </c>
      <c r="E8056" s="196">
        <v>0</v>
      </c>
      <c r="F8056" s="196">
        <v>0</v>
      </c>
      <c r="G8056" s="196">
        <v>-47400</v>
      </c>
    </row>
    <row r="8057" spans="1:7" x14ac:dyDescent="0.3">
      <c r="A8057" s="198">
        <v>1123639882</v>
      </c>
      <c r="B8057" s="192" t="s">
        <v>5845</v>
      </c>
      <c r="C8057" s="196">
        <v>-270000</v>
      </c>
      <c r="D8057" s="196">
        <v>0</v>
      </c>
      <c r="E8057" s="196">
        <v>0</v>
      </c>
      <c r="F8057" s="196">
        <v>0</v>
      </c>
      <c r="G8057" s="196">
        <v>-270000</v>
      </c>
    </row>
    <row r="8058" spans="1:7" x14ac:dyDescent="0.3">
      <c r="A8058" s="198">
        <v>1022008298</v>
      </c>
      <c r="B8058" s="192" t="s">
        <v>5846</v>
      </c>
      <c r="C8058" s="196">
        <v>-57200</v>
      </c>
      <c r="D8058" s="196">
        <v>0</v>
      </c>
      <c r="E8058" s="196">
        <v>0</v>
      </c>
      <c r="F8058" s="196">
        <v>0</v>
      </c>
      <c r="G8058" s="196">
        <v>-57200</v>
      </c>
    </row>
    <row r="8059" spans="1:7" x14ac:dyDescent="0.3">
      <c r="A8059" s="198">
        <v>1022008102</v>
      </c>
      <c r="B8059" s="192" t="s">
        <v>5847</v>
      </c>
      <c r="C8059" s="196">
        <v>-50900</v>
      </c>
      <c r="D8059" s="196">
        <v>0</v>
      </c>
      <c r="E8059" s="196">
        <v>0</v>
      </c>
      <c r="F8059" s="196">
        <v>0</v>
      </c>
      <c r="G8059" s="196">
        <v>-50900</v>
      </c>
    </row>
    <row r="8060" spans="1:7" x14ac:dyDescent="0.3">
      <c r="A8060" s="198">
        <v>1036462630</v>
      </c>
      <c r="B8060" s="192" t="s">
        <v>5848</v>
      </c>
      <c r="C8060" s="196">
        <v>-50900</v>
      </c>
      <c r="D8060" s="196">
        <v>0</v>
      </c>
      <c r="E8060" s="196">
        <v>0</v>
      </c>
      <c r="F8060" s="196">
        <v>0</v>
      </c>
      <c r="G8060" s="196">
        <v>-50900</v>
      </c>
    </row>
    <row r="8061" spans="1:7" x14ac:dyDescent="0.3">
      <c r="A8061" s="198">
        <v>1027742948</v>
      </c>
      <c r="B8061" s="192" t="s">
        <v>5849</v>
      </c>
      <c r="C8061" s="196">
        <v>-50900</v>
      </c>
      <c r="D8061" s="196">
        <v>0</v>
      </c>
      <c r="E8061" s="196">
        <v>0</v>
      </c>
      <c r="F8061" s="196">
        <v>0</v>
      </c>
      <c r="G8061" s="196">
        <v>-50900</v>
      </c>
    </row>
    <row r="8062" spans="1:7" x14ac:dyDescent="0.3">
      <c r="A8062" s="198">
        <v>1035026054</v>
      </c>
      <c r="B8062" s="192" t="s">
        <v>5850</v>
      </c>
      <c r="C8062" s="196">
        <v>-50900</v>
      </c>
      <c r="D8062" s="196">
        <v>0</v>
      </c>
      <c r="E8062" s="196">
        <v>0</v>
      </c>
      <c r="F8062" s="196">
        <v>0</v>
      </c>
      <c r="G8062" s="196">
        <v>-50900</v>
      </c>
    </row>
    <row r="8063" spans="1:7" x14ac:dyDescent="0.3">
      <c r="A8063" s="198">
        <v>1017942323</v>
      </c>
      <c r="B8063" s="192" t="s">
        <v>5851</v>
      </c>
      <c r="C8063" s="196">
        <v>-57200</v>
      </c>
      <c r="D8063" s="196">
        <v>0</v>
      </c>
      <c r="E8063" s="196">
        <v>0</v>
      </c>
      <c r="F8063" s="196">
        <v>0</v>
      </c>
      <c r="G8063" s="196">
        <v>-57200</v>
      </c>
    </row>
    <row r="8064" spans="1:7" x14ac:dyDescent="0.3">
      <c r="A8064" s="198">
        <v>1035011444</v>
      </c>
      <c r="B8064" s="192" t="s">
        <v>5852</v>
      </c>
      <c r="C8064" s="196">
        <v>-50900</v>
      </c>
      <c r="D8064" s="196">
        <v>0</v>
      </c>
      <c r="E8064" s="196">
        <v>0</v>
      </c>
      <c r="F8064" s="196">
        <v>0</v>
      </c>
      <c r="G8064" s="196">
        <v>-50900</v>
      </c>
    </row>
    <row r="8065" spans="1:7" x14ac:dyDescent="0.3">
      <c r="A8065" s="198">
        <v>1020244493</v>
      </c>
      <c r="B8065" s="192" t="s">
        <v>1427</v>
      </c>
      <c r="C8065" s="196">
        <v>0</v>
      </c>
      <c r="D8065" s="196">
        <v>0</v>
      </c>
      <c r="E8065" s="196">
        <v>340000</v>
      </c>
      <c r="F8065" s="196">
        <v>-340000</v>
      </c>
      <c r="G8065" s="196">
        <v>-340000</v>
      </c>
    </row>
    <row r="8066" spans="1:7" x14ac:dyDescent="0.3">
      <c r="A8066" s="198">
        <v>1035025617</v>
      </c>
      <c r="B8066" s="192" t="s">
        <v>5853</v>
      </c>
      <c r="C8066" s="196">
        <v>-47400</v>
      </c>
      <c r="D8066" s="196">
        <v>0</v>
      </c>
      <c r="E8066" s="196">
        <v>0</v>
      </c>
      <c r="F8066" s="196">
        <v>0</v>
      </c>
      <c r="G8066" s="196">
        <v>-47400</v>
      </c>
    </row>
    <row r="8067" spans="1:7" x14ac:dyDescent="0.3">
      <c r="A8067" s="198">
        <v>1220476272</v>
      </c>
      <c r="B8067" s="192" t="s">
        <v>5854</v>
      </c>
      <c r="C8067" s="196">
        <v>-50900</v>
      </c>
      <c r="D8067" s="196">
        <v>0</v>
      </c>
      <c r="E8067" s="196">
        <v>0</v>
      </c>
      <c r="F8067" s="196">
        <v>0</v>
      </c>
      <c r="G8067" s="196">
        <v>-50900</v>
      </c>
    </row>
    <row r="8068" spans="1:7" x14ac:dyDescent="0.3">
      <c r="A8068" s="198">
        <v>1017942865</v>
      </c>
      <c r="B8068" s="192" t="s">
        <v>1428</v>
      </c>
      <c r="C8068" s="196">
        <v>0</v>
      </c>
      <c r="D8068" s="196">
        <v>0</v>
      </c>
      <c r="E8068" s="196">
        <v>50900</v>
      </c>
      <c r="F8068" s="196">
        <v>-50900</v>
      </c>
      <c r="G8068" s="196">
        <v>-50900</v>
      </c>
    </row>
    <row r="8069" spans="1:7" x14ac:dyDescent="0.3">
      <c r="A8069" s="198">
        <v>1035009146</v>
      </c>
      <c r="B8069" s="192" t="s">
        <v>5855</v>
      </c>
      <c r="C8069" s="196">
        <v>-50900</v>
      </c>
      <c r="D8069" s="196">
        <v>0</v>
      </c>
      <c r="E8069" s="196">
        <v>0</v>
      </c>
      <c r="F8069" s="196">
        <v>0</v>
      </c>
      <c r="G8069" s="196">
        <v>-50900</v>
      </c>
    </row>
    <row r="8070" spans="1:7" x14ac:dyDescent="0.3">
      <c r="A8070" s="198">
        <v>1011520032</v>
      </c>
      <c r="B8070" s="192" t="s">
        <v>5856</v>
      </c>
      <c r="C8070" s="196">
        <v>-50900</v>
      </c>
      <c r="D8070" s="196">
        <v>0</v>
      </c>
      <c r="E8070" s="196">
        <v>0</v>
      </c>
      <c r="F8070" s="196">
        <v>0</v>
      </c>
      <c r="G8070" s="196">
        <v>-50900</v>
      </c>
    </row>
    <row r="8071" spans="1:7" x14ac:dyDescent="0.3">
      <c r="A8071" s="198">
        <v>1013026494</v>
      </c>
      <c r="B8071" s="192" t="s">
        <v>5857</v>
      </c>
      <c r="C8071" s="196">
        <v>-50900</v>
      </c>
      <c r="D8071" s="196">
        <v>0</v>
      </c>
      <c r="E8071" s="196">
        <v>0</v>
      </c>
      <c r="F8071" s="196">
        <v>0</v>
      </c>
      <c r="G8071" s="196">
        <v>-50900</v>
      </c>
    </row>
    <row r="8072" spans="1:7" x14ac:dyDescent="0.3">
      <c r="A8072" s="198">
        <v>1023596430</v>
      </c>
      <c r="B8072" s="192" t="s">
        <v>1429</v>
      </c>
      <c r="C8072" s="196">
        <v>0</v>
      </c>
      <c r="D8072" s="196">
        <v>0</v>
      </c>
      <c r="E8072" s="196">
        <v>50900</v>
      </c>
      <c r="F8072" s="196">
        <v>-50900</v>
      </c>
      <c r="G8072" s="196">
        <v>-50900</v>
      </c>
    </row>
    <row r="8073" spans="1:7" x14ac:dyDescent="0.3">
      <c r="A8073" s="198">
        <v>1121554112</v>
      </c>
      <c r="B8073" s="192" t="s">
        <v>5858</v>
      </c>
      <c r="C8073" s="196">
        <v>-50900</v>
      </c>
      <c r="D8073" s="196">
        <v>0</v>
      </c>
      <c r="E8073" s="196">
        <v>0</v>
      </c>
      <c r="F8073" s="196">
        <v>0</v>
      </c>
      <c r="G8073" s="196">
        <v>-50900</v>
      </c>
    </row>
    <row r="8074" spans="1:7" x14ac:dyDescent="0.3">
      <c r="A8074" s="198">
        <v>1018259529</v>
      </c>
      <c r="B8074" s="192" t="s">
        <v>5859</v>
      </c>
      <c r="C8074" s="196">
        <v>-250000</v>
      </c>
      <c r="D8074" s="196">
        <v>0</v>
      </c>
      <c r="E8074" s="196">
        <v>0</v>
      </c>
      <c r="F8074" s="196">
        <v>0</v>
      </c>
      <c r="G8074" s="196">
        <v>-250000</v>
      </c>
    </row>
    <row r="8075" spans="1:7" x14ac:dyDescent="0.3">
      <c r="A8075" s="198">
        <v>1035009122</v>
      </c>
      <c r="B8075" s="192" t="s">
        <v>5860</v>
      </c>
      <c r="C8075" s="196">
        <v>-50900</v>
      </c>
      <c r="D8075" s="196">
        <v>0</v>
      </c>
      <c r="E8075" s="196">
        <v>0</v>
      </c>
      <c r="F8075" s="196">
        <v>0</v>
      </c>
      <c r="G8075" s="196">
        <v>-50900</v>
      </c>
    </row>
    <row r="8076" spans="1:7" x14ac:dyDescent="0.3">
      <c r="A8076" s="198">
        <v>1023566231</v>
      </c>
      <c r="B8076" s="192" t="s">
        <v>5861</v>
      </c>
      <c r="C8076" s="196">
        <v>-50900</v>
      </c>
      <c r="D8076" s="196">
        <v>0</v>
      </c>
      <c r="E8076" s="196">
        <v>0</v>
      </c>
      <c r="F8076" s="196">
        <v>0</v>
      </c>
      <c r="G8076" s="196">
        <v>-50900</v>
      </c>
    </row>
    <row r="8077" spans="1:7" x14ac:dyDescent="0.3">
      <c r="A8077" s="192" t="s">
        <v>1430</v>
      </c>
      <c r="B8077" s="192" t="s">
        <v>1431</v>
      </c>
      <c r="C8077" s="196">
        <v>0</v>
      </c>
      <c r="D8077" s="196">
        <v>0</v>
      </c>
      <c r="E8077" s="196">
        <v>340000</v>
      </c>
      <c r="F8077" s="196">
        <v>-340000</v>
      </c>
      <c r="G8077" s="196">
        <v>-340000</v>
      </c>
    </row>
    <row r="8078" spans="1:7" x14ac:dyDescent="0.3">
      <c r="A8078" s="198">
        <v>1048465221</v>
      </c>
      <c r="B8078" s="192" t="s">
        <v>5862</v>
      </c>
      <c r="C8078" s="196">
        <v>-340000</v>
      </c>
      <c r="D8078" s="196">
        <v>0</v>
      </c>
      <c r="E8078" s="196">
        <v>0</v>
      </c>
      <c r="F8078" s="196">
        <v>0</v>
      </c>
      <c r="G8078" s="196">
        <v>-340000</v>
      </c>
    </row>
    <row r="8079" spans="1:7" x14ac:dyDescent="0.3">
      <c r="A8079" s="198">
        <v>1046910317</v>
      </c>
      <c r="B8079" s="192" t="s">
        <v>5863</v>
      </c>
      <c r="C8079" s="196">
        <v>-100000</v>
      </c>
      <c r="D8079" s="196">
        <v>0</v>
      </c>
      <c r="E8079" s="196">
        <v>0</v>
      </c>
      <c r="F8079" s="196">
        <v>0</v>
      </c>
      <c r="G8079" s="196">
        <v>-100000</v>
      </c>
    </row>
    <row r="8080" spans="1:7" x14ac:dyDescent="0.3">
      <c r="A8080" s="198">
        <v>26274665</v>
      </c>
      <c r="B8080" s="192" t="s">
        <v>1432</v>
      </c>
      <c r="C8080" s="196">
        <v>0</v>
      </c>
      <c r="D8080" s="196">
        <v>0</v>
      </c>
      <c r="E8080" s="196">
        <v>297000</v>
      </c>
      <c r="F8080" s="196">
        <v>-297000</v>
      </c>
      <c r="G8080" s="196">
        <v>-297000</v>
      </c>
    </row>
    <row r="8081" spans="1:7" x14ac:dyDescent="0.3">
      <c r="A8081" s="198">
        <v>1027741741</v>
      </c>
      <c r="B8081" s="192" t="s">
        <v>1433</v>
      </c>
      <c r="C8081" s="196">
        <v>0</v>
      </c>
      <c r="D8081" s="196">
        <v>0</v>
      </c>
      <c r="E8081" s="196">
        <v>50900</v>
      </c>
      <c r="F8081" s="196">
        <v>-50900</v>
      </c>
      <c r="G8081" s="196">
        <v>-50900</v>
      </c>
    </row>
    <row r="8082" spans="1:7" x14ac:dyDescent="0.3">
      <c r="A8082" s="198">
        <v>1033430038</v>
      </c>
      <c r="B8082" s="192" t="s">
        <v>5864</v>
      </c>
      <c r="C8082" s="196">
        <v>-340000</v>
      </c>
      <c r="D8082" s="196">
        <v>0</v>
      </c>
      <c r="E8082" s="196">
        <v>0</v>
      </c>
      <c r="F8082" s="196">
        <v>0</v>
      </c>
      <c r="G8082" s="196">
        <v>-340000</v>
      </c>
    </row>
    <row r="8083" spans="1:7" x14ac:dyDescent="0.3">
      <c r="A8083" s="198">
        <v>1034519940</v>
      </c>
      <c r="B8083" s="192" t="s">
        <v>5865</v>
      </c>
      <c r="C8083" s="196">
        <v>-98300</v>
      </c>
      <c r="D8083" s="196">
        <v>0</v>
      </c>
      <c r="E8083" s="196">
        <v>0</v>
      </c>
      <c r="F8083" s="196">
        <v>0</v>
      </c>
      <c r="G8083" s="196">
        <v>-98300</v>
      </c>
    </row>
    <row r="8084" spans="1:7" x14ac:dyDescent="0.3">
      <c r="A8084" s="198">
        <v>1141519581</v>
      </c>
      <c r="B8084" s="192" t="s">
        <v>5866</v>
      </c>
      <c r="C8084" s="196">
        <v>-150000</v>
      </c>
      <c r="D8084" s="196">
        <v>0</v>
      </c>
      <c r="E8084" s="196">
        <v>0</v>
      </c>
      <c r="F8084" s="196">
        <v>0</v>
      </c>
      <c r="G8084" s="196">
        <v>-150000</v>
      </c>
    </row>
    <row r="8085" spans="1:7" x14ac:dyDescent="0.3">
      <c r="A8085" s="198">
        <v>1037650679</v>
      </c>
      <c r="B8085" s="192" t="s">
        <v>1434</v>
      </c>
      <c r="C8085" s="196">
        <v>0</v>
      </c>
      <c r="D8085" s="196">
        <v>0</v>
      </c>
      <c r="E8085" s="196">
        <v>50900</v>
      </c>
      <c r="F8085" s="196">
        <v>-50900</v>
      </c>
      <c r="G8085" s="196">
        <v>-50900</v>
      </c>
    </row>
    <row r="8086" spans="1:7" x14ac:dyDescent="0.3">
      <c r="A8086" s="198">
        <v>1022008210</v>
      </c>
      <c r="B8086" s="192" t="s">
        <v>5867</v>
      </c>
      <c r="C8086" s="196">
        <v>-42000</v>
      </c>
      <c r="D8086" s="196">
        <v>0</v>
      </c>
      <c r="E8086" s="196">
        <v>0</v>
      </c>
      <c r="F8086" s="196">
        <v>0</v>
      </c>
      <c r="G8086" s="196">
        <v>-42000</v>
      </c>
    </row>
    <row r="8087" spans="1:7" x14ac:dyDescent="0.3">
      <c r="A8087" s="198">
        <v>6052828</v>
      </c>
      <c r="B8087" s="192" t="s">
        <v>5868</v>
      </c>
      <c r="C8087" s="196">
        <v>-290000</v>
      </c>
      <c r="D8087" s="196">
        <v>0</v>
      </c>
      <c r="E8087" s="196">
        <v>0</v>
      </c>
      <c r="F8087" s="196">
        <v>0</v>
      </c>
      <c r="G8087" s="196">
        <v>-290000</v>
      </c>
    </row>
    <row r="8088" spans="1:7" x14ac:dyDescent="0.3">
      <c r="A8088" s="198">
        <v>70504034</v>
      </c>
      <c r="B8088" s="192" t="s">
        <v>5869</v>
      </c>
      <c r="C8088" s="196">
        <v>-50900</v>
      </c>
      <c r="D8088" s="196">
        <v>0</v>
      </c>
      <c r="E8088" s="196">
        <v>0</v>
      </c>
      <c r="F8088" s="196">
        <v>0</v>
      </c>
      <c r="G8088" s="196">
        <v>-50900</v>
      </c>
    </row>
    <row r="8089" spans="1:7" x14ac:dyDescent="0.3">
      <c r="A8089" s="198">
        <v>1061786251</v>
      </c>
      <c r="B8089" s="192" t="s">
        <v>5870</v>
      </c>
      <c r="C8089" s="196">
        <v>-290000</v>
      </c>
      <c r="D8089" s="196">
        <v>0</v>
      </c>
      <c r="E8089" s="196">
        <v>0</v>
      </c>
      <c r="F8089" s="196">
        <v>0</v>
      </c>
      <c r="G8089" s="196">
        <v>-290000</v>
      </c>
    </row>
    <row r="8090" spans="1:7" x14ac:dyDescent="0.3">
      <c r="A8090" s="198">
        <v>1017934225</v>
      </c>
      <c r="B8090" s="192" t="s">
        <v>5871</v>
      </c>
      <c r="C8090" s="196">
        <v>-50900</v>
      </c>
      <c r="D8090" s="196">
        <v>0</v>
      </c>
      <c r="E8090" s="196">
        <v>0</v>
      </c>
      <c r="F8090" s="196">
        <v>0</v>
      </c>
      <c r="G8090" s="196">
        <v>-50900</v>
      </c>
    </row>
    <row r="8091" spans="1:7" x14ac:dyDescent="0.3">
      <c r="A8091" s="198">
        <v>1016916220</v>
      </c>
      <c r="B8091" s="192" t="s">
        <v>5872</v>
      </c>
      <c r="C8091" s="196">
        <v>-43900</v>
      </c>
      <c r="D8091" s="196">
        <v>0</v>
      </c>
      <c r="E8091" s="196">
        <v>0</v>
      </c>
      <c r="F8091" s="196">
        <v>0</v>
      </c>
      <c r="G8091" s="196">
        <v>-43900</v>
      </c>
    </row>
    <row r="8092" spans="1:7" x14ac:dyDescent="0.3">
      <c r="A8092" s="198">
        <v>1000851478</v>
      </c>
      <c r="B8092" s="192" t="s">
        <v>5873</v>
      </c>
      <c r="C8092" s="196">
        <v>-100000</v>
      </c>
      <c r="D8092" s="196">
        <v>0</v>
      </c>
      <c r="E8092" s="196">
        <v>0</v>
      </c>
      <c r="F8092" s="196">
        <v>0</v>
      </c>
      <c r="G8092" s="196">
        <v>-100000</v>
      </c>
    </row>
    <row r="8093" spans="1:7" x14ac:dyDescent="0.3">
      <c r="A8093" s="198">
        <v>1020304172</v>
      </c>
      <c r="B8093" s="192" t="s">
        <v>5874</v>
      </c>
      <c r="C8093" s="196">
        <v>-50900</v>
      </c>
      <c r="D8093" s="196">
        <v>0</v>
      </c>
      <c r="E8093" s="196">
        <v>0</v>
      </c>
      <c r="F8093" s="196">
        <v>0</v>
      </c>
      <c r="G8093" s="196">
        <v>-50900</v>
      </c>
    </row>
    <row r="8094" spans="1:7" x14ac:dyDescent="0.3">
      <c r="A8094" s="198">
        <v>1020325829</v>
      </c>
      <c r="B8094" s="192" t="s">
        <v>5875</v>
      </c>
      <c r="C8094" s="196">
        <v>-28100</v>
      </c>
      <c r="D8094" s="196">
        <v>0</v>
      </c>
      <c r="E8094" s="196">
        <v>0</v>
      </c>
      <c r="F8094" s="196">
        <v>0</v>
      </c>
      <c r="G8094" s="196">
        <v>-28100</v>
      </c>
    </row>
    <row r="8095" spans="1:7" x14ac:dyDescent="0.3">
      <c r="A8095" s="198">
        <v>1035026362</v>
      </c>
      <c r="B8095" s="192" t="s">
        <v>5876</v>
      </c>
      <c r="C8095" s="196">
        <v>-50900</v>
      </c>
      <c r="D8095" s="196">
        <v>0</v>
      </c>
      <c r="E8095" s="196">
        <v>0</v>
      </c>
      <c r="F8095" s="196">
        <v>0</v>
      </c>
      <c r="G8095" s="196">
        <v>-50900</v>
      </c>
    </row>
    <row r="8096" spans="1:7" x14ac:dyDescent="0.3">
      <c r="A8096" s="198">
        <v>1014891773</v>
      </c>
      <c r="B8096" s="192" t="s">
        <v>5877</v>
      </c>
      <c r="C8096" s="196">
        <v>-36600</v>
      </c>
      <c r="D8096" s="196">
        <v>0</v>
      </c>
      <c r="E8096" s="196">
        <v>0</v>
      </c>
      <c r="F8096" s="196">
        <v>0</v>
      </c>
      <c r="G8096" s="196">
        <v>-36600</v>
      </c>
    </row>
    <row r="8097" spans="1:7" x14ac:dyDescent="0.3">
      <c r="A8097" s="198">
        <v>1035972067</v>
      </c>
      <c r="B8097" s="192" t="s">
        <v>5878</v>
      </c>
      <c r="C8097" s="196">
        <v>-101800</v>
      </c>
      <c r="D8097" s="196">
        <v>0</v>
      </c>
      <c r="E8097" s="196">
        <v>0</v>
      </c>
      <c r="F8097" s="196">
        <v>0</v>
      </c>
      <c r="G8097" s="196">
        <v>-101800</v>
      </c>
    </row>
    <row r="8098" spans="1:7" x14ac:dyDescent="0.3">
      <c r="A8098" s="198">
        <v>1011414030</v>
      </c>
      <c r="B8098" s="192" t="s">
        <v>1435</v>
      </c>
      <c r="C8098" s="196">
        <v>0</v>
      </c>
      <c r="D8098" s="196">
        <v>0</v>
      </c>
      <c r="E8098" s="196">
        <v>340000</v>
      </c>
      <c r="F8098" s="196">
        <v>-340000</v>
      </c>
      <c r="G8098" s="196">
        <v>-340000</v>
      </c>
    </row>
    <row r="8099" spans="1:7" x14ac:dyDescent="0.3">
      <c r="A8099" s="198">
        <v>1035014363</v>
      </c>
      <c r="B8099" s="192" t="s">
        <v>5879</v>
      </c>
      <c r="C8099" s="196">
        <v>-47000</v>
      </c>
      <c r="D8099" s="196">
        <v>0</v>
      </c>
      <c r="E8099" s="196">
        <v>0</v>
      </c>
      <c r="F8099" s="196">
        <v>0</v>
      </c>
      <c r="G8099" s="196">
        <v>-47000</v>
      </c>
    </row>
    <row r="8100" spans="1:7" x14ac:dyDescent="0.3">
      <c r="A8100" s="198">
        <v>71664548</v>
      </c>
      <c r="B8100" s="192" t="s">
        <v>5880</v>
      </c>
      <c r="C8100" s="196">
        <v>-50900</v>
      </c>
      <c r="D8100" s="196">
        <v>0</v>
      </c>
      <c r="E8100" s="196">
        <v>0</v>
      </c>
      <c r="F8100" s="196">
        <v>0</v>
      </c>
      <c r="G8100" s="196">
        <v>-50900</v>
      </c>
    </row>
    <row r="8101" spans="1:7" x14ac:dyDescent="0.3">
      <c r="A8101" s="198">
        <v>1011519622</v>
      </c>
      <c r="B8101" s="192" t="s">
        <v>5881</v>
      </c>
      <c r="C8101" s="196">
        <v>-50900</v>
      </c>
      <c r="D8101" s="196">
        <v>0</v>
      </c>
      <c r="E8101" s="196">
        <v>0</v>
      </c>
      <c r="F8101" s="196">
        <v>0</v>
      </c>
      <c r="G8101" s="196">
        <v>-50900</v>
      </c>
    </row>
    <row r="8102" spans="1:7" x14ac:dyDescent="0.3">
      <c r="A8102" s="198">
        <v>1034991804</v>
      </c>
      <c r="B8102" s="192" t="s">
        <v>5882</v>
      </c>
      <c r="C8102" s="196">
        <v>-50900</v>
      </c>
      <c r="D8102" s="196">
        <v>0</v>
      </c>
      <c r="E8102" s="196">
        <v>0</v>
      </c>
      <c r="F8102" s="196">
        <v>0</v>
      </c>
      <c r="G8102" s="196">
        <v>-50900</v>
      </c>
    </row>
    <row r="8103" spans="1:7" x14ac:dyDescent="0.3">
      <c r="A8103" s="198">
        <v>1040752807</v>
      </c>
      <c r="B8103" s="192" t="s">
        <v>5883</v>
      </c>
      <c r="C8103" s="196">
        <v>-57200</v>
      </c>
      <c r="D8103" s="196">
        <v>0</v>
      </c>
      <c r="E8103" s="196">
        <v>0</v>
      </c>
      <c r="F8103" s="196">
        <v>0</v>
      </c>
      <c r="G8103" s="196">
        <v>-57200</v>
      </c>
    </row>
    <row r="8104" spans="1:7" x14ac:dyDescent="0.3">
      <c r="A8104" s="198">
        <v>1033264906</v>
      </c>
      <c r="B8104" s="192" t="s">
        <v>5884</v>
      </c>
      <c r="C8104" s="196">
        <v>-50900</v>
      </c>
      <c r="D8104" s="196">
        <v>0</v>
      </c>
      <c r="E8104" s="196">
        <v>0</v>
      </c>
      <c r="F8104" s="196">
        <v>0</v>
      </c>
      <c r="G8104" s="196">
        <v>-50900</v>
      </c>
    </row>
    <row r="8105" spans="1:7" x14ac:dyDescent="0.3">
      <c r="A8105" s="198">
        <v>1035003880</v>
      </c>
      <c r="B8105" s="192" t="s">
        <v>5885</v>
      </c>
      <c r="C8105" s="196">
        <v>-50900</v>
      </c>
      <c r="D8105" s="196">
        <v>0</v>
      </c>
      <c r="E8105" s="196">
        <v>0</v>
      </c>
      <c r="F8105" s="196">
        <v>0</v>
      </c>
      <c r="G8105" s="196">
        <v>-50900</v>
      </c>
    </row>
    <row r="8106" spans="1:7" x14ac:dyDescent="0.3">
      <c r="A8106" s="198">
        <v>597452019</v>
      </c>
      <c r="B8106" s="192" t="s">
        <v>5886</v>
      </c>
      <c r="C8106" s="196">
        <v>-50900</v>
      </c>
      <c r="D8106" s="196">
        <v>0</v>
      </c>
      <c r="E8106" s="196">
        <v>0</v>
      </c>
      <c r="F8106" s="196">
        <v>0</v>
      </c>
      <c r="G8106" s="196">
        <v>-50900</v>
      </c>
    </row>
    <row r="8107" spans="1:7" x14ac:dyDescent="0.3">
      <c r="A8107" s="198">
        <v>1000654903</v>
      </c>
      <c r="B8107" s="192" t="s">
        <v>5887</v>
      </c>
      <c r="C8107" s="196">
        <v>-46400</v>
      </c>
      <c r="D8107" s="196">
        <v>0</v>
      </c>
      <c r="E8107" s="196">
        <v>0</v>
      </c>
      <c r="F8107" s="196">
        <v>0</v>
      </c>
      <c r="G8107" s="196">
        <v>-46400</v>
      </c>
    </row>
    <row r="8108" spans="1:7" x14ac:dyDescent="0.3">
      <c r="A8108" s="198">
        <v>1020320160</v>
      </c>
      <c r="B8108" s="192" t="s">
        <v>5888</v>
      </c>
      <c r="C8108" s="196">
        <v>-50900</v>
      </c>
      <c r="D8108" s="196">
        <v>0</v>
      </c>
      <c r="E8108" s="196">
        <v>0</v>
      </c>
      <c r="F8108" s="196">
        <v>0</v>
      </c>
      <c r="G8108" s="196">
        <v>-50900</v>
      </c>
    </row>
    <row r="8109" spans="1:7" x14ac:dyDescent="0.3">
      <c r="A8109" s="198">
        <v>1027807744</v>
      </c>
      <c r="B8109" s="192" t="s">
        <v>5889</v>
      </c>
      <c r="C8109" s="196">
        <v>-38400</v>
      </c>
      <c r="D8109" s="196">
        <v>0</v>
      </c>
      <c r="E8109" s="196">
        <v>0</v>
      </c>
      <c r="F8109" s="196">
        <v>0</v>
      </c>
      <c r="G8109" s="196">
        <v>-38400</v>
      </c>
    </row>
    <row r="8110" spans="1:7" x14ac:dyDescent="0.3">
      <c r="A8110" s="198">
        <v>1034988498</v>
      </c>
      <c r="B8110" s="192" t="s">
        <v>5890</v>
      </c>
      <c r="C8110" s="196">
        <v>-50900</v>
      </c>
      <c r="D8110" s="196">
        <v>0</v>
      </c>
      <c r="E8110" s="196">
        <v>0</v>
      </c>
      <c r="F8110" s="196">
        <v>0</v>
      </c>
      <c r="G8110" s="196">
        <v>-50900</v>
      </c>
    </row>
    <row r="8111" spans="1:7" x14ac:dyDescent="0.3">
      <c r="A8111" s="198">
        <v>1040570629</v>
      </c>
      <c r="B8111" s="192" t="s">
        <v>5891</v>
      </c>
      <c r="C8111" s="196">
        <v>-47400</v>
      </c>
      <c r="D8111" s="196">
        <v>0</v>
      </c>
      <c r="E8111" s="196">
        <v>0</v>
      </c>
      <c r="F8111" s="196">
        <v>0</v>
      </c>
      <c r="G8111" s="196">
        <v>-47400</v>
      </c>
    </row>
    <row r="8112" spans="1:7" x14ac:dyDescent="0.3">
      <c r="A8112" s="198">
        <v>1034999384</v>
      </c>
      <c r="B8112" s="192" t="s">
        <v>5892</v>
      </c>
      <c r="C8112" s="196">
        <v>-50900</v>
      </c>
      <c r="D8112" s="196">
        <v>0</v>
      </c>
      <c r="E8112" s="196">
        <v>0</v>
      </c>
      <c r="F8112" s="196">
        <v>0</v>
      </c>
      <c r="G8112" s="196">
        <v>-50900</v>
      </c>
    </row>
    <row r="8113" spans="1:7" x14ac:dyDescent="0.3">
      <c r="A8113" s="198">
        <v>1020128953</v>
      </c>
      <c r="B8113" s="192" t="s">
        <v>5893</v>
      </c>
      <c r="C8113" s="196">
        <v>-50900</v>
      </c>
      <c r="D8113" s="196">
        <v>0</v>
      </c>
      <c r="E8113" s="196">
        <v>0</v>
      </c>
      <c r="F8113" s="196">
        <v>0</v>
      </c>
      <c r="G8113" s="196">
        <v>-50900</v>
      </c>
    </row>
    <row r="8114" spans="1:7" x14ac:dyDescent="0.3">
      <c r="A8114" s="198">
        <v>42898514</v>
      </c>
      <c r="B8114" s="192" t="s">
        <v>5894</v>
      </c>
      <c r="C8114" s="196">
        <v>-54200</v>
      </c>
      <c r="D8114" s="196">
        <v>0</v>
      </c>
      <c r="E8114" s="196">
        <v>0</v>
      </c>
      <c r="F8114" s="196">
        <v>0</v>
      </c>
      <c r="G8114" s="196">
        <v>-54200</v>
      </c>
    </row>
    <row r="8115" spans="1:7" x14ac:dyDescent="0.3">
      <c r="A8115" s="198">
        <v>52583438</v>
      </c>
      <c r="B8115" s="192" t="s">
        <v>5895</v>
      </c>
      <c r="C8115" s="196">
        <v>-297000</v>
      </c>
      <c r="D8115" s="196">
        <v>0</v>
      </c>
      <c r="E8115" s="196">
        <v>0</v>
      </c>
      <c r="F8115" s="196">
        <v>0</v>
      </c>
      <c r="G8115" s="196">
        <v>-297000</v>
      </c>
    </row>
    <row r="8116" spans="1:7" x14ac:dyDescent="0.3">
      <c r="A8116" s="198">
        <v>43867319</v>
      </c>
      <c r="B8116" s="192" t="s">
        <v>5896</v>
      </c>
      <c r="C8116" s="196">
        <v>-47000</v>
      </c>
      <c r="D8116" s="196">
        <v>0</v>
      </c>
      <c r="E8116" s="196">
        <v>0</v>
      </c>
      <c r="F8116" s="196">
        <v>0</v>
      </c>
      <c r="G8116" s="196">
        <v>-47000</v>
      </c>
    </row>
    <row r="8117" spans="1:7" x14ac:dyDescent="0.3">
      <c r="A8117" s="198">
        <v>42876837</v>
      </c>
      <c r="B8117" s="192" t="s">
        <v>5897</v>
      </c>
      <c r="C8117" s="196">
        <v>-50900</v>
      </c>
      <c r="D8117" s="196">
        <v>0</v>
      </c>
      <c r="E8117" s="196">
        <v>0</v>
      </c>
      <c r="F8117" s="196">
        <v>0</v>
      </c>
      <c r="G8117" s="196">
        <v>-50900</v>
      </c>
    </row>
    <row r="8118" spans="1:7" x14ac:dyDescent="0.3">
      <c r="A8118" s="198">
        <v>51902631</v>
      </c>
      <c r="B8118" s="192" t="s">
        <v>5898</v>
      </c>
      <c r="C8118" s="196">
        <v>-47400</v>
      </c>
      <c r="D8118" s="196">
        <v>0</v>
      </c>
      <c r="E8118" s="196">
        <v>0</v>
      </c>
      <c r="F8118" s="196">
        <v>0</v>
      </c>
      <c r="G8118" s="196">
        <v>-47400</v>
      </c>
    </row>
    <row r="8119" spans="1:7" x14ac:dyDescent="0.3">
      <c r="A8119" s="198">
        <v>43531548</v>
      </c>
      <c r="B8119" s="192" t="s">
        <v>1436</v>
      </c>
      <c r="C8119" s="196">
        <v>0</v>
      </c>
      <c r="D8119" s="196">
        <v>0</v>
      </c>
      <c r="E8119" s="196">
        <v>319000</v>
      </c>
      <c r="F8119" s="196">
        <v>-319000</v>
      </c>
      <c r="G8119" s="196">
        <v>-319000</v>
      </c>
    </row>
    <row r="8120" spans="1:7" x14ac:dyDescent="0.3">
      <c r="A8120" s="198">
        <v>43653618</v>
      </c>
      <c r="B8120" s="192" t="s">
        <v>1437</v>
      </c>
      <c r="C8120" s="196">
        <v>0</v>
      </c>
      <c r="D8120" s="196">
        <v>0</v>
      </c>
      <c r="E8120" s="196">
        <v>319000</v>
      </c>
      <c r="F8120" s="196">
        <v>-319000</v>
      </c>
      <c r="G8120" s="196">
        <v>-319000</v>
      </c>
    </row>
    <row r="8121" spans="1:7" x14ac:dyDescent="0.3">
      <c r="A8121" s="198">
        <v>39534453</v>
      </c>
      <c r="B8121" s="192" t="s">
        <v>1438</v>
      </c>
      <c r="C8121" s="196">
        <v>-319000</v>
      </c>
      <c r="D8121" s="196">
        <v>0</v>
      </c>
      <c r="E8121" s="196">
        <v>119000</v>
      </c>
      <c r="F8121" s="196">
        <v>-119000</v>
      </c>
      <c r="G8121" s="196">
        <v>-438000</v>
      </c>
    </row>
    <row r="8122" spans="1:7" x14ac:dyDescent="0.3">
      <c r="A8122" s="198">
        <v>32103785</v>
      </c>
      <c r="B8122" s="192" t="s">
        <v>5899</v>
      </c>
      <c r="C8122" s="196">
        <v>-319000</v>
      </c>
      <c r="D8122" s="196">
        <v>0</v>
      </c>
      <c r="E8122" s="196">
        <v>0</v>
      </c>
      <c r="F8122" s="196">
        <v>0</v>
      </c>
      <c r="G8122" s="196">
        <v>-319000</v>
      </c>
    </row>
    <row r="8123" spans="1:7" x14ac:dyDescent="0.3">
      <c r="A8123" s="198">
        <v>30405481</v>
      </c>
      <c r="B8123" s="192" t="s">
        <v>5900</v>
      </c>
      <c r="C8123" s="196">
        <v>-98300</v>
      </c>
      <c r="D8123" s="196">
        <v>0</v>
      </c>
      <c r="E8123" s="196">
        <v>0</v>
      </c>
      <c r="F8123" s="196">
        <v>0</v>
      </c>
      <c r="G8123" s="196">
        <v>-98300</v>
      </c>
    </row>
    <row r="8124" spans="1:7" x14ac:dyDescent="0.3">
      <c r="A8124" s="198">
        <v>43570114</v>
      </c>
      <c r="B8124" s="192" t="s">
        <v>5901</v>
      </c>
      <c r="C8124" s="196">
        <v>-50900</v>
      </c>
      <c r="D8124" s="196">
        <v>0</v>
      </c>
      <c r="E8124" s="196">
        <v>0</v>
      </c>
      <c r="F8124" s="196">
        <v>0</v>
      </c>
      <c r="G8124" s="196">
        <v>-50900</v>
      </c>
    </row>
    <row r="8125" spans="1:7" x14ac:dyDescent="0.3">
      <c r="A8125" s="198">
        <v>32221162</v>
      </c>
      <c r="B8125" s="192" t="s">
        <v>5902</v>
      </c>
      <c r="C8125" s="196">
        <v>-50900</v>
      </c>
      <c r="D8125" s="196">
        <v>0</v>
      </c>
      <c r="E8125" s="196">
        <v>0</v>
      </c>
      <c r="F8125" s="196">
        <v>0</v>
      </c>
      <c r="G8125" s="196">
        <v>-50900</v>
      </c>
    </row>
    <row r="8126" spans="1:7" x14ac:dyDescent="0.3">
      <c r="A8126" s="198">
        <v>43824835</v>
      </c>
      <c r="B8126" s="192" t="s">
        <v>5903</v>
      </c>
      <c r="C8126" s="196">
        <v>-50900</v>
      </c>
      <c r="D8126" s="196">
        <v>0</v>
      </c>
      <c r="E8126" s="196">
        <v>0</v>
      </c>
      <c r="F8126" s="196">
        <v>0</v>
      </c>
      <c r="G8126" s="196">
        <v>-50900</v>
      </c>
    </row>
    <row r="8127" spans="1:7" x14ac:dyDescent="0.3">
      <c r="A8127" s="198">
        <v>43709614</v>
      </c>
      <c r="B8127" s="192" t="s">
        <v>1440</v>
      </c>
      <c r="C8127" s="196">
        <v>0</v>
      </c>
      <c r="D8127" s="196">
        <v>0</v>
      </c>
      <c r="E8127" s="196">
        <v>297000</v>
      </c>
      <c r="F8127" s="196">
        <v>-297000</v>
      </c>
      <c r="G8127" s="196">
        <v>-297000</v>
      </c>
    </row>
    <row r="8128" spans="1:7" x14ac:dyDescent="0.3">
      <c r="A8128" s="198">
        <v>1020392743</v>
      </c>
      <c r="B8128" s="192" t="s">
        <v>5904</v>
      </c>
      <c r="C8128" s="196">
        <v>-50900</v>
      </c>
      <c r="D8128" s="196">
        <v>0</v>
      </c>
      <c r="E8128" s="196">
        <v>0</v>
      </c>
      <c r="F8128" s="196">
        <v>0</v>
      </c>
      <c r="G8128" s="196">
        <v>-50900</v>
      </c>
    </row>
    <row r="8129" spans="1:7" x14ac:dyDescent="0.3">
      <c r="A8129" s="198">
        <v>42118316</v>
      </c>
      <c r="B8129" s="192" t="s">
        <v>5905</v>
      </c>
      <c r="C8129" s="196">
        <v>-57200</v>
      </c>
      <c r="D8129" s="196">
        <v>0</v>
      </c>
      <c r="E8129" s="196">
        <v>0</v>
      </c>
      <c r="F8129" s="196">
        <v>0</v>
      </c>
      <c r="G8129" s="196">
        <v>-57200</v>
      </c>
    </row>
    <row r="8130" spans="1:7" x14ac:dyDescent="0.3">
      <c r="A8130" s="198">
        <v>43267619</v>
      </c>
      <c r="B8130" s="192" t="s">
        <v>5906</v>
      </c>
      <c r="C8130" s="196">
        <v>-50900</v>
      </c>
      <c r="D8130" s="196">
        <v>0</v>
      </c>
      <c r="E8130" s="196">
        <v>0</v>
      </c>
      <c r="F8130" s="196">
        <v>0</v>
      </c>
      <c r="G8130" s="196">
        <v>-50900</v>
      </c>
    </row>
    <row r="8131" spans="1:7" x14ac:dyDescent="0.3">
      <c r="A8131" s="198">
        <v>43841150</v>
      </c>
      <c r="B8131" s="192" t="s">
        <v>1441</v>
      </c>
      <c r="C8131" s="196">
        <v>0</v>
      </c>
      <c r="D8131" s="196">
        <v>0</v>
      </c>
      <c r="E8131" s="196">
        <v>50900</v>
      </c>
      <c r="F8131" s="196">
        <v>-50900</v>
      </c>
      <c r="G8131" s="196">
        <v>-50900</v>
      </c>
    </row>
    <row r="8132" spans="1:7" x14ac:dyDescent="0.3">
      <c r="A8132" s="198">
        <v>1128273187</v>
      </c>
      <c r="B8132" s="192" t="s">
        <v>5907</v>
      </c>
      <c r="C8132" s="196">
        <v>-57200</v>
      </c>
      <c r="D8132" s="196">
        <v>0</v>
      </c>
      <c r="E8132" s="196">
        <v>0</v>
      </c>
      <c r="F8132" s="196">
        <v>0</v>
      </c>
      <c r="G8132" s="196">
        <v>-57200</v>
      </c>
    </row>
    <row r="8133" spans="1:7" x14ac:dyDescent="0.3">
      <c r="A8133" s="198">
        <v>1042770889</v>
      </c>
      <c r="B8133" s="192" t="s">
        <v>1442</v>
      </c>
      <c r="C8133" s="196">
        <v>0</v>
      </c>
      <c r="D8133" s="196">
        <v>0</v>
      </c>
      <c r="E8133" s="196">
        <v>110000</v>
      </c>
      <c r="F8133" s="196">
        <v>-110000</v>
      </c>
      <c r="G8133" s="196">
        <v>-110000</v>
      </c>
    </row>
    <row r="8134" spans="1:7" x14ac:dyDescent="0.3">
      <c r="A8134" s="198">
        <v>42131936</v>
      </c>
      <c r="B8134" s="192" t="s">
        <v>5908</v>
      </c>
      <c r="C8134" s="196">
        <v>-162000</v>
      </c>
      <c r="D8134" s="196">
        <v>0</v>
      </c>
      <c r="E8134" s="196">
        <v>0</v>
      </c>
      <c r="F8134" s="196">
        <v>0</v>
      </c>
      <c r="G8134" s="196">
        <v>-162000</v>
      </c>
    </row>
    <row r="8135" spans="1:7" x14ac:dyDescent="0.3">
      <c r="A8135" s="198">
        <v>46373890</v>
      </c>
      <c r="B8135" s="192" t="s">
        <v>1444</v>
      </c>
      <c r="C8135" s="196">
        <v>-297000</v>
      </c>
      <c r="D8135" s="196">
        <v>0</v>
      </c>
      <c r="E8135" s="196">
        <v>0</v>
      </c>
      <c r="F8135" s="196">
        <v>0</v>
      </c>
      <c r="G8135" s="196">
        <v>-297000</v>
      </c>
    </row>
    <row r="8136" spans="1:7" x14ac:dyDescent="0.3">
      <c r="A8136" s="198">
        <v>45561841</v>
      </c>
      <c r="B8136" s="192" t="s">
        <v>5909</v>
      </c>
      <c r="C8136" s="196">
        <v>-50900</v>
      </c>
      <c r="D8136" s="196">
        <v>0</v>
      </c>
      <c r="E8136" s="196">
        <v>0</v>
      </c>
      <c r="F8136" s="196">
        <v>0</v>
      </c>
      <c r="G8136" s="196">
        <v>-50900</v>
      </c>
    </row>
    <row r="8137" spans="1:7" x14ac:dyDescent="0.3">
      <c r="A8137" s="198">
        <v>1125998281</v>
      </c>
      <c r="B8137" s="192" t="s">
        <v>1445</v>
      </c>
      <c r="C8137" s="196">
        <v>0</v>
      </c>
      <c r="D8137" s="196">
        <v>0</v>
      </c>
      <c r="E8137" s="196">
        <v>110000</v>
      </c>
      <c r="F8137" s="196">
        <v>-110000</v>
      </c>
      <c r="G8137" s="196">
        <v>-110000</v>
      </c>
    </row>
    <row r="8138" spans="1:7" x14ac:dyDescent="0.3">
      <c r="A8138" s="198">
        <v>1035231631</v>
      </c>
      <c r="B8138" s="192" t="s">
        <v>5910</v>
      </c>
      <c r="C8138" s="196">
        <v>-57200</v>
      </c>
      <c r="D8138" s="196">
        <v>0</v>
      </c>
      <c r="E8138" s="196">
        <v>0</v>
      </c>
      <c r="F8138" s="196">
        <v>0</v>
      </c>
      <c r="G8138" s="196">
        <v>-57200</v>
      </c>
    </row>
    <row r="8139" spans="1:7" x14ac:dyDescent="0.3">
      <c r="A8139" s="198">
        <v>39661080</v>
      </c>
      <c r="B8139" s="192" t="s">
        <v>5911</v>
      </c>
      <c r="C8139" s="196">
        <v>-89800</v>
      </c>
      <c r="D8139" s="196">
        <v>0</v>
      </c>
      <c r="E8139" s="196">
        <v>0</v>
      </c>
      <c r="F8139" s="196">
        <v>0</v>
      </c>
      <c r="G8139" s="196">
        <v>-89800</v>
      </c>
    </row>
    <row r="8140" spans="1:7" x14ac:dyDescent="0.3">
      <c r="A8140" s="198">
        <v>43977341</v>
      </c>
      <c r="B8140" s="192" t="s">
        <v>5912</v>
      </c>
      <c r="C8140" s="196">
        <v>-50900</v>
      </c>
      <c r="D8140" s="196">
        <v>0</v>
      </c>
      <c r="E8140" s="196">
        <v>0</v>
      </c>
      <c r="F8140" s="196">
        <v>0</v>
      </c>
      <c r="G8140" s="196">
        <v>-50900</v>
      </c>
    </row>
    <row r="8141" spans="1:7" x14ac:dyDescent="0.3">
      <c r="A8141" s="198">
        <v>1152184773</v>
      </c>
      <c r="B8141" s="192" t="s">
        <v>5913</v>
      </c>
      <c r="C8141" s="196">
        <v>-88000</v>
      </c>
      <c r="D8141" s="196">
        <v>0</v>
      </c>
      <c r="E8141" s="196">
        <v>0</v>
      </c>
      <c r="F8141" s="196">
        <v>0</v>
      </c>
      <c r="G8141" s="196">
        <v>-88000</v>
      </c>
    </row>
    <row r="8142" spans="1:7" x14ac:dyDescent="0.3">
      <c r="A8142" s="198">
        <v>21496106</v>
      </c>
      <c r="B8142" s="192" t="s">
        <v>1446</v>
      </c>
      <c r="C8142" s="196">
        <v>0</v>
      </c>
      <c r="D8142" s="196">
        <v>0</v>
      </c>
      <c r="E8142" s="196">
        <v>85000</v>
      </c>
      <c r="F8142" s="196">
        <v>-85000</v>
      </c>
      <c r="G8142" s="196">
        <v>-85000</v>
      </c>
    </row>
    <row r="8143" spans="1:7" x14ac:dyDescent="0.3">
      <c r="A8143" s="198">
        <v>43838266</v>
      </c>
      <c r="B8143" s="192" t="s">
        <v>5914</v>
      </c>
      <c r="C8143" s="196">
        <v>-50900</v>
      </c>
      <c r="D8143" s="196">
        <v>0</v>
      </c>
      <c r="E8143" s="196">
        <v>0</v>
      </c>
      <c r="F8143" s="196">
        <v>0</v>
      </c>
      <c r="G8143" s="196">
        <v>-50900</v>
      </c>
    </row>
    <row r="8144" spans="1:7" x14ac:dyDescent="0.3">
      <c r="A8144" s="198">
        <v>1053780407</v>
      </c>
      <c r="B8144" s="192" t="s">
        <v>5915</v>
      </c>
      <c r="C8144" s="196">
        <v>-108000</v>
      </c>
      <c r="D8144" s="196">
        <v>0</v>
      </c>
      <c r="E8144" s="196">
        <v>0</v>
      </c>
      <c r="F8144" s="196">
        <v>0</v>
      </c>
      <c r="G8144" s="196">
        <v>-108000</v>
      </c>
    </row>
    <row r="8145" spans="1:7" x14ac:dyDescent="0.3">
      <c r="A8145" s="198">
        <v>2000013783</v>
      </c>
      <c r="B8145" s="192" t="s">
        <v>5916</v>
      </c>
      <c r="C8145" s="196">
        <v>-98300</v>
      </c>
      <c r="D8145" s="196">
        <v>0</v>
      </c>
      <c r="E8145" s="196">
        <v>0</v>
      </c>
      <c r="F8145" s="196">
        <v>0</v>
      </c>
      <c r="G8145" s="196">
        <v>-98300</v>
      </c>
    </row>
    <row r="8146" spans="1:7" x14ac:dyDescent="0.3">
      <c r="A8146" s="198">
        <v>1020128828</v>
      </c>
      <c r="B8146" s="192" t="s">
        <v>1448</v>
      </c>
      <c r="C8146" s="196">
        <v>0</v>
      </c>
      <c r="D8146" s="196">
        <v>0</v>
      </c>
      <c r="E8146" s="196">
        <v>50900</v>
      </c>
      <c r="F8146" s="196">
        <v>-50900</v>
      </c>
      <c r="G8146" s="196">
        <v>-50900</v>
      </c>
    </row>
    <row r="8147" spans="1:7" x14ac:dyDescent="0.3">
      <c r="A8147" s="198">
        <v>70103738</v>
      </c>
      <c r="B8147" s="192" t="s">
        <v>5917</v>
      </c>
      <c r="C8147" s="196">
        <v>-380000</v>
      </c>
      <c r="D8147" s="196">
        <v>0</v>
      </c>
      <c r="E8147" s="196">
        <v>0</v>
      </c>
      <c r="F8147" s="196">
        <v>0</v>
      </c>
      <c r="G8147" s="196">
        <v>-380000</v>
      </c>
    </row>
    <row r="8148" spans="1:7" x14ac:dyDescent="0.3">
      <c r="A8148" s="198">
        <v>1152466270</v>
      </c>
      <c r="B8148" s="192" t="s">
        <v>5918</v>
      </c>
      <c r="C8148" s="196">
        <v>-46400</v>
      </c>
      <c r="D8148" s="196">
        <v>0</v>
      </c>
      <c r="E8148" s="196">
        <v>0</v>
      </c>
      <c r="F8148" s="196">
        <v>0</v>
      </c>
      <c r="G8148" s="196">
        <v>-46400</v>
      </c>
    </row>
    <row r="8149" spans="1:7" x14ac:dyDescent="0.3">
      <c r="A8149" s="198">
        <v>1152715596</v>
      </c>
      <c r="B8149" s="192" t="s">
        <v>1449</v>
      </c>
      <c r="C8149" s="196">
        <v>-110000</v>
      </c>
      <c r="D8149" s="196">
        <v>0</v>
      </c>
      <c r="E8149" s="196">
        <v>165000</v>
      </c>
      <c r="F8149" s="196">
        <v>-165000</v>
      </c>
      <c r="G8149" s="196">
        <v>-275000</v>
      </c>
    </row>
    <row r="8150" spans="1:7" x14ac:dyDescent="0.3">
      <c r="A8150" s="198">
        <v>15436695</v>
      </c>
      <c r="B8150" s="192" t="s">
        <v>5919</v>
      </c>
      <c r="C8150" s="196">
        <v>-50900</v>
      </c>
      <c r="D8150" s="196">
        <v>0</v>
      </c>
      <c r="E8150" s="196">
        <v>0</v>
      </c>
      <c r="F8150" s="196">
        <v>0</v>
      </c>
      <c r="G8150" s="196">
        <v>-50900</v>
      </c>
    </row>
    <row r="8151" spans="1:7" x14ac:dyDescent="0.3">
      <c r="A8151" s="198">
        <v>1019844989</v>
      </c>
      <c r="B8151" s="192" t="s">
        <v>1451</v>
      </c>
      <c r="C8151" s="196">
        <v>0</v>
      </c>
      <c r="D8151" s="196">
        <v>0</v>
      </c>
      <c r="E8151" s="196">
        <v>50900</v>
      </c>
      <c r="F8151" s="196">
        <v>-50900</v>
      </c>
      <c r="G8151" s="196">
        <v>-50900</v>
      </c>
    </row>
    <row r="8152" spans="1:7" x14ac:dyDescent="0.3">
      <c r="A8152" s="198">
        <v>1037627709</v>
      </c>
      <c r="B8152" s="192" t="s">
        <v>5920</v>
      </c>
      <c r="C8152" s="196">
        <v>-41400</v>
      </c>
      <c r="D8152" s="196">
        <v>0</v>
      </c>
      <c r="E8152" s="196">
        <v>0</v>
      </c>
      <c r="F8152" s="196">
        <v>0</v>
      </c>
      <c r="G8152" s="196">
        <v>-41400</v>
      </c>
    </row>
    <row r="8153" spans="1:7" x14ac:dyDescent="0.3">
      <c r="A8153" s="198">
        <v>1000410282</v>
      </c>
      <c r="B8153" s="192" t="s">
        <v>5921</v>
      </c>
      <c r="C8153" s="196">
        <v>-152700</v>
      </c>
      <c r="D8153" s="196">
        <v>0</v>
      </c>
      <c r="E8153" s="196">
        <v>0</v>
      </c>
      <c r="F8153" s="196">
        <v>0</v>
      </c>
      <c r="G8153" s="196">
        <v>-152700</v>
      </c>
    </row>
    <row r="8154" spans="1:7" x14ac:dyDescent="0.3">
      <c r="A8154" s="198">
        <v>71527010</v>
      </c>
      <c r="B8154" s="192" t="s">
        <v>5922</v>
      </c>
      <c r="C8154" s="196">
        <v>-47400</v>
      </c>
      <c r="D8154" s="196">
        <v>0</v>
      </c>
      <c r="E8154" s="196">
        <v>0</v>
      </c>
      <c r="F8154" s="196">
        <v>0</v>
      </c>
      <c r="G8154" s="196">
        <v>-47400</v>
      </c>
    </row>
    <row r="8155" spans="1:7" x14ac:dyDescent="0.3">
      <c r="A8155" s="198">
        <v>1036670823</v>
      </c>
      <c r="B8155" s="192" t="s">
        <v>5923</v>
      </c>
      <c r="C8155" s="196">
        <v>-52500</v>
      </c>
      <c r="D8155" s="196">
        <v>0</v>
      </c>
      <c r="E8155" s="196">
        <v>0</v>
      </c>
      <c r="F8155" s="196">
        <v>0</v>
      </c>
      <c r="G8155" s="196">
        <v>-52500</v>
      </c>
    </row>
    <row r="8156" spans="1:7" x14ac:dyDescent="0.3">
      <c r="A8156" s="198">
        <v>1017233617</v>
      </c>
      <c r="B8156" s="192" t="s">
        <v>1452</v>
      </c>
      <c r="C8156" s="196">
        <v>0</v>
      </c>
      <c r="D8156" s="196">
        <v>0</v>
      </c>
      <c r="E8156" s="196">
        <v>50900</v>
      </c>
      <c r="F8156" s="196">
        <v>-50900</v>
      </c>
      <c r="G8156" s="196">
        <v>-50900</v>
      </c>
    </row>
    <row r="8157" spans="1:7" x14ac:dyDescent="0.3">
      <c r="A8157" s="198">
        <v>98542202</v>
      </c>
      <c r="B8157" s="192" t="s">
        <v>5924</v>
      </c>
      <c r="C8157" s="196">
        <v>-50900</v>
      </c>
      <c r="D8157" s="196">
        <v>0</v>
      </c>
      <c r="E8157" s="196">
        <v>0</v>
      </c>
      <c r="F8157" s="196">
        <v>0</v>
      </c>
      <c r="G8157" s="196">
        <v>-50900</v>
      </c>
    </row>
    <row r="8158" spans="1:7" x14ac:dyDescent="0.3">
      <c r="A8158" s="198">
        <v>1034994431</v>
      </c>
      <c r="B8158" s="192" t="s">
        <v>5925</v>
      </c>
      <c r="C8158" s="196">
        <v>-270000</v>
      </c>
      <c r="D8158" s="196">
        <v>0</v>
      </c>
      <c r="E8158" s="196">
        <v>0</v>
      </c>
      <c r="F8158" s="196">
        <v>0</v>
      </c>
      <c r="G8158" s="196">
        <v>-270000</v>
      </c>
    </row>
    <row r="8159" spans="1:7" x14ac:dyDescent="0.3">
      <c r="A8159" s="198">
        <v>1001367124</v>
      </c>
      <c r="B8159" s="192" t="s">
        <v>5926</v>
      </c>
      <c r="C8159" s="196">
        <v>-50900</v>
      </c>
      <c r="D8159" s="196">
        <v>0</v>
      </c>
      <c r="E8159" s="196">
        <v>0</v>
      </c>
      <c r="F8159" s="196">
        <v>0</v>
      </c>
      <c r="G8159" s="196">
        <v>-50900</v>
      </c>
    </row>
    <row r="8160" spans="1:7" x14ac:dyDescent="0.3">
      <c r="A8160" s="198">
        <v>8026679</v>
      </c>
      <c r="B8160" s="192" t="s">
        <v>5927</v>
      </c>
      <c r="C8160" s="196">
        <v>-50900</v>
      </c>
      <c r="D8160" s="196">
        <v>0</v>
      </c>
      <c r="E8160" s="196">
        <v>0</v>
      </c>
      <c r="F8160" s="196">
        <v>0</v>
      </c>
      <c r="G8160" s="196">
        <v>-50900</v>
      </c>
    </row>
    <row r="8161" spans="1:7" x14ac:dyDescent="0.3">
      <c r="A8161" s="198">
        <v>1035978251</v>
      </c>
      <c r="B8161" s="192" t="s">
        <v>5928</v>
      </c>
      <c r="C8161" s="196">
        <v>-174000</v>
      </c>
      <c r="D8161" s="196">
        <v>0</v>
      </c>
      <c r="E8161" s="196">
        <v>0</v>
      </c>
      <c r="F8161" s="196">
        <v>0</v>
      </c>
      <c r="G8161" s="196">
        <v>-174000</v>
      </c>
    </row>
    <row r="8162" spans="1:7" x14ac:dyDescent="0.3">
      <c r="A8162" s="198">
        <v>8105862</v>
      </c>
      <c r="B8162" s="192" t="s">
        <v>5929</v>
      </c>
      <c r="C8162" s="196">
        <v>-47400</v>
      </c>
      <c r="D8162" s="196">
        <v>0</v>
      </c>
      <c r="E8162" s="196">
        <v>0</v>
      </c>
      <c r="F8162" s="196">
        <v>0</v>
      </c>
      <c r="G8162" s="196">
        <v>-47400</v>
      </c>
    </row>
    <row r="8163" spans="1:7" x14ac:dyDescent="0.3">
      <c r="A8163" s="198">
        <v>71370780</v>
      </c>
      <c r="B8163" s="192" t="s">
        <v>5930</v>
      </c>
      <c r="C8163" s="196">
        <v>-101800</v>
      </c>
      <c r="D8163" s="196">
        <v>0</v>
      </c>
      <c r="E8163" s="196">
        <v>0</v>
      </c>
      <c r="F8163" s="196">
        <v>0</v>
      </c>
      <c r="G8163" s="196">
        <v>-101800</v>
      </c>
    </row>
    <row r="8164" spans="1:7" x14ac:dyDescent="0.3">
      <c r="A8164" s="198">
        <v>1000409721</v>
      </c>
      <c r="B8164" s="192" t="s">
        <v>5931</v>
      </c>
      <c r="C8164" s="196">
        <v>-145700</v>
      </c>
      <c r="D8164" s="196">
        <v>0</v>
      </c>
      <c r="E8164" s="196">
        <v>0</v>
      </c>
      <c r="F8164" s="196">
        <v>0</v>
      </c>
      <c r="G8164" s="196">
        <v>-145700</v>
      </c>
    </row>
    <row r="8165" spans="1:7" x14ac:dyDescent="0.3">
      <c r="A8165" s="192" t="s">
        <v>5932</v>
      </c>
      <c r="B8165" s="192" t="s">
        <v>5933</v>
      </c>
      <c r="C8165" s="196">
        <v>-110000</v>
      </c>
      <c r="D8165" s="196">
        <v>0</v>
      </c>
      <c r="E8165" s="196">
        <v>0</v>
      </c>
      <c r="F8165" s="196">
        <v>0</v>
      </c>
      <c r="G8165" s="196">
        <v>-110000</v>
      </c>
    </row>
    <row r="8166" spans="1:7" x14ac:dyDescent="0.3">
      <c r="A8166" s="198">
        <v>1152469824</v>
      </c>
      <c r="B8166" s="192" t="s">
        <v>5934</v>
      </c>
      <c r="C8166" s="196">
        <v>-270000</v>
      </c>
      <c r="D8166" s="196">
        <v>0</v>
      </c>
      <c r="E8166" s="196">
        <v>0</v>
      </c>
      <c r="F8166" s="196">
        <v>0</v>
      </c>
      <c r="G8166" s="196">
        <v>-270000</v>
      </c>
    </row>
    <row r="8167" spans="1:7" x14ac:dyDescent="0.3">
      <c r="A8167" s="198">
        <v>1092857823</v>
      </c>
      <c r="B8167" s="192" t="s">
        <v>5935</v>
      </c>
      <c r="C8167" s="196">
        <v>-96000</v>
      </c>
      <c r="D8167" s="196">
        <v>0</v>
      </c>
      <c r="E8167" s="196">
        <v>0</v>
      </c>
      <c r="F8167" s="196">
        <v>0</v>
      </c>
      <c r="G8167" s="196">
        <v>-96000</v>
      </c>
    </row>
    <row r="8168" spans="1:7" x14ac:dyDescent="0.3">
      <c r="A8168" s="198">
        <v>1002210832</v>
      </c>
      <c r="B8168" s="192" t="s">
        <v>5936</v>
      </c>
      <c r="C8168" s="196">
        <v>-110000</v>
      </c>
      <c r="D8168" s="196">
        <v>0</v>
      </c>
      <c r="E8168" s="196">
        <v>0</v>
      </c>
      <c r="F8168" s="196">
        <v>0</v>
      </c>
      <c r="G8168" s="196">
        <v>-110000</v>
      </c>
    </row>
    <row r="8169" spans="1:7" x14ac:dyDescent="0.3">
      <c r="A8169" s="198">
        <v>1039477115</v>
      </c>
      <c r="B8169" s="192" t="s">
        <v>5937</v>
      </c>
      <c r="C8169" s="196">
        <v>-50900</v>
      </c>
      <c r="D8169" s="196">
        <v>0</v>
      </c>
      <c r="E8169" s="196">
        <v>0</v>
      </c>
      <c r="F8169" s="196">
        <v>0</v>
      </c>
      <c r="G8169" s="196">
        <v>-50900</v>
      </c>
    </row>
    <row r="8170" spans="1:7" x14ac:dyDescent="0.3">
      <c r="A8170" s="198">
        <v>1220473649</v>
      </c>
      <c r="B8170" s="192" t="s">
        <v>5938</v>
      </c>
      <c r="C8170" s="196">
        <v>-319000</v>
      </c>
      <c r="D8170" s="196">
        <v>0</v>
      </c>
      <c r="E8170" s="196">
        <v>0</v>
      </c>
      <c r="F8170" s="196">
        <v>0</v>
      </c>
      <c r="G8170" s="196">
        <v>-319000</v>
      </c>
    </row>
    <row r="8171" spans="1:7" x14ac:dyDescent="0.3">
      <c r="A8171" s="198">
        <v>8163627</v>
      </c>
      <c r="B8171" s="192" t="s">
        <v>5939</v>
      </c>
      <c r="C8171" s="196">
        <v>-50900</v>
      </c>
      <c r="D8171" s="196">
        <v>0</v>
      </c>
      <c r="E8171" s="196">
        <v>0</v>
      </c>
      <c r="F8171" s="196">
        <v>0</v>
      </c>
      <c r="G8171" s="196">
        <v>-50900</v>
      </c>
    </row>
    <row r="8172" spans="1:7" x14ac:dyDescent="0.3">
      <c r="A8172" s="198">
        <v>1035006865</v>
      </c>
      <c r="B8172" s="192" t="s">
        <v>5940</v>
      </c>
      <c r="C8172" s="196">
        <v>-50900</v>
      </c>
      <c r="D8172" s="196">
        <v>0</v>
      </c>
      <c r="E8172" s="196">
        <v>0</v>
      </c>
      <c r="F8172" s="196">
        <v>0</v>
      </c>
      <c r="G8172" s="196">
        <v>-50900</v>
      </c>
    </row>
    <row r="8173" spans="1:7" x14ac:dyDescent="0.3">
      <c r="A8173" s="198">
        <v>1220472462</v>
      </c>
      <c r="B8173" s="192" t="s">
        <v>5941</v>
      </c>
      <c r="C8173" s="196">
        <v>-54200</v>
      </c>
      <c r="D8173" s="196">
        <v>0</v>
      </c>
      <c r="E8173" s="196">
        <v>0</v>
      </c>
      <c r="F8173" s="196">
        <v>0</v>
      </c>
      <c r="G8173" s="196">
        <v>-54200</v>
      </c>
    </row>
    <row r="8174" spans="1:7" x14ac:dyDescent="0.3">
      <c r="A8174" s="198">
        <v>1037608176</v>
      </c>
      <c r="B8174" s="192" t="s">
        <v>1453</v>
      </c>
      <c r="C8174" s="196">
        <v>0</v>
      </c>
      <c r="D8174" s="196">
        <v>0</v>
      </c>
      <c r="E8174" s="196">
        <v>50900</v>
      </c>
      <c r="F8174" s="196">
        <v>-50900</v>
      </c>
      <c r="G8174" s="196">
        <v>-50900</v>
      </c>
    </row>
    <row r="8175" spans="1:7" x14ac:dyDescent="0.3">
      <c r="A8175" s="198">
        <v>1017201633</v>
      </c>
      <c r="B8175" s="192" t="s">
        <v>1454</v>
      </c>
      <c r="C8175" s="196">
        <v>0</v>
      </c>
      <c r="D8175" s="196">
        <v>0</v>
      </c>
      <c r="E8175" s="196">
        <v>50900</v>
      </c>
      <c r="F8175" s="196">
        <v>-50900</v>
      </c>
      <c r="G8175" s="196">
        <v>-50900</v>
      </c>
    </row>
    <row r="8176" spans="1:7" x14ac:dyDescent="0.3">
      <c r="A8176" s="198">
        <v>1092862539</v>
      </c>
      <c r="B8176" s="192" t="s">
        <v>5942</v>
      </c>
      <c r="C8176" s="196">
        <v>-50900</v>
      </c>
      <c r="D8176" s="196">
        <v>0</v>
      </c>
      <c r="E8176" s="196">
        <v>0</v>
      </c>
      <c r="F8176" s="196">
        <v>0</v>
      </c>
      <c r="G8176" s="196">
        <v>-50900</v>
      </c>
    </row>
    <row r="8177" spans="1:7" x14ac:dyDescent="0.3">
      <c r="A8177" s="198">
        <v>1007054772</v>
      </c>
      <c r="B8177" s="192" t="s">
        <v>5943</v>
      </c>
      <c r="C8177" s="196">
        <v>-50900</v>
      </c>
      <c r="D8177" s="196">
        <v>0</v>
      </c>
      <c r="E8177" s="196">
        <v>0</v>
      </c>
      <c r="F8177" s="196">
        <v>0</v>
      </c>
      <c r="G8177" s="196">
        <v>-50900</v>
      </c>
    </row>
    <row r="8178" spans="1:7" x14ac:dyDescent="0.3">
      <c r="A8178" s="198">
        <v>1035011445</v>
      </c>
      <c r="B8178" s="192" t="s">
        <v>1455</v>
      </c>
      <c r="C8178" s="196">
        <v>0</v>
      </c>
      <c r="D8178" s="196">
        <v>0</v>
      </c>
      <c r="E8178" s="196">
        <v>50900</v>
      </c>
      <c r="F8178" s="196">
        <v>-50900</v>
      </c>
      <c r="G8178" s="196">
        <v>-50900</v>
      </c>
    </row>
    <row r="8179" spans="1:7" x14ac:dyDescent="0.3">
      <c r="A8179" s="198">
        <v>1238939906</v>
      </c>
      <c r="B8179" s="192" t="s">
        <v>5944</v>
      </c>
      <c r="C8179" s="196">
        <v>-340000</v>
      </c>
      <c r="D8179" s="196">
        <v>0</v>
      </c>
      <c r="E8179" s="196">
        <v>0</v>
      </c>
      <c r="F8179" s="196">
        <v>0</v>
      </c>
      <c r="G8179" s="196">
        <v>-340000</v>
      </c>
    </row>
    <row r="8180" spans="1:7" x14ac:dyDescent="0.3">
      <c r="A8180" s="198">
        <v>1128283612</v>
      </c>
      <c r="B8180" s="192" t="s">
        <v>5945</v>
      </c>
      <c r="C8180" s="196">
        <v>-50900</v>
      </c>
      <c r="D8180" s="196">
        <v>0</v>
      </c>
      <c r="E8180" s="196">
        <v>0</v>
      </c>
      <c r="F8180" s="196">
        <v>0</v>
      </c>
      <c r="G8180" s="196">
        <v>-50900</v>
      </c>
    </row>
    <row r="8181" spans="1:7" x14ac:dyDescent="0.3">
      <c r="A8181" s="198">
        <v>53081362</v>
      </c>
      <c r="B8181" s="192" t="s">
        <v>5946</v>
      </c>
      <c r="C8181" s="196">
        <v>-416000</v>
      </c>
      <c r="D8181" s="196">
        <v>0</v>
      </c>
      <c r="E8181" s="196">
        <v>0</v>
      </c>
      <c r="F8181" s="196">
        <v>0</v>
      </c>
      <c r="G8181" s="196">
        <v>-416000</v>
      </c>
    </row>
    <row r="8182" spans="1:7" x14ac:dyDescent="0.3">
      <c r="A8182" s="198">
        <v>1036642667</v>
      </c>
      <c r="B8182" s="192" t="s">
        <v>5947</v>
      </c>
      <c r="C8182" s="196">
        <v>-50900</v>
      </c>
      <c r="D8182" s="196">
        <v>0</v>
      </c>
      <c r="E8182" s="196">
        <v>0</v>
      </c>
      <c r="F8182" s="196">
        <v>0</v>
      </c>
      <c r="G8182" s="196">
        <v>-50900</v>
      </c>
    </row>
    <row r="8183" spans="1:7" x14ac:dyDescent="0.3">
      <c r="A8183" s="198">
        <v>1001370734</v>
      </c>
      <c r="B8183" s="192" t="s">
        <v>5948</v>
      </c>
      <c r="C8183" s="196">
        <v>-49000</v>
      </c>
      <c r="D8183" s="196">
        <v>0</v>
      </c>
      <c r="E8183" s="196">
        <v>0</v>
      </c>
      <c r="F8183" s="196">
        <v>0</v>
      </c>
      <c r="G8183" s="196">
        <v>-49000</v>
      </c>
    </row>
    <row r="8184" spans="1:7" x14ac:dyDescent="0.3">
      <c r="A8184" s="198">
        <v>1035018056</v>
      </c>
      <c r="B8184" s="192" t="s">
        <v>5949</v>
      </c>
      <c r="C8184" s="196">
        <v>-50900</v>
      </c>
      <c r="D8184" s="196">
        <v>0</v>
      </c>
      <c r="E8184" s="196">
        <v>0</v>
      </c>
      <c r="F8184" s="196">
        <v>0</v>
      </c>
      <c r="G8184" s="196">
        <v>-50900</v>
      </c>
    </row>
    <row r="8185" spans="1:7" x14ac:dyDescent="0.3">
      <c r="A8185" s="198">
        <v>1038875019</v>
      </c>
      <c r="B8185" s="192" t="s">
        <v>5950</v>
      </c>
      <c r="C8185" s="196">
        <v>-41400</v>
      </c>
      <c r="D8185" s="196">
        <v>0</v>
      </c>
      <c r="E8185" s="196">
        <v>0</v>
      </c>
      <c r="F8185" s="196">
        <v>0</v>
      </c>
      <c r="G8185" s="196">
        <v>-41400</v>
      </c>
    </row>
    <row r="8186" spans="1:7" x14ac:dyDescent="0.3">
      <c r="A8186" s="198">
        <v>1152469925</v>
      </c>
      <c r="B8186" s="192" t="s">
        <v>5951</v>
      </c>
      <c r="C8186" s="196">
        <v>-57200</v>
      </c>
      <c r="D8186" s="196">
        <v>0</v>
      </c>
      <c r="E8186" s="196">
        <v>0</v>
      </c>
      <c r="F8186" s="196">
        <v>0</v>
      </c>
      <c r="G8186" s="196">
        <v>-57200</v>
      </c>
    </row>
    <row r="8187" spans="1:7" x14ac:dyDescent="0.3">
      <c r="A8187" s="198">
        <v>1001369679</v>
      </c>
      <c r="B8187" s="192" t="s">
        <v>5952</v>
      </c>
      <c r="C8187" s="196">
        <v>-114400</v>
      </c>
      <c r="D8187" s="196">
        <v>0</v>
      </c>
      <c r="E8187" s="196">
        <v>0</v>
      </c>
      <c r="F8187" s="196">
        <v>0</v>
      </c>
      <c r="G8187" s="196">
        <v>-114400</v>
      </c>
    </row>
    <row r="8188" spans="1:7" x14ac:dyDescent="0.3">
      <c r="A8188" s="198">
        <v>1037238474</v>
      </c>
      <c r="B8188" s="192" t="s">
        <v>1458</v>
      </c>
      <c r="C8188" s="196">
        <v>0</v>
      </c>
      <c r="D8188" s="196">
        <v>0</v>
      </c>
      <c r="E8188" s="196">
        <v>41400</v>
      </c>
      <c r="F8188" s="196">
        <v>-41400</v>
      </c>
      <c r="G8188" s="196">
        <v>-41400</v>
      </c>
    </row>
    <row r="8189" spans="1:7" x14ac:dyDescent="0.3">
      <c r="A8189" s="198">
        <v>43023429</v>
      </c>
      <c r="B8189" s="192" t="s">
        <v>5953</v>
      </c>
      <c r="C8189" s="196">
        <v>-101800</v>
      </c>
      <c r="D8189" s="196">
        <v>0</v>
      </c>
      <c r="E8189" s="196">
        <v>0</v>
      </c>
      <c r="F8189" s="196">
        <v>0</v>
      </c>
      <c r="G8189" s="196">
        <v>-101800</v>
      </c>
    </row>
    <row r="8190" spans="1:7" x14ac:dyDescent="0.3">
      <c r="A8190" s="198">
        <v>1034995187</v>
      </c>
      <c r="B8190" s="192" t="s">
        <v>5954</v>
      </c>
      <c r="C8190" s="196">
        <v>-50900</v>
      </c>
      <c r="D8190" s="196">
        <v>0</v>
      </c>
      <c r="E8190" s="196">
        <v>0</v>
      </c>
      <c r="F8190" s="196">
        <v>0</v>
      </c>
      <c r="G8190" s="196">
        <v>-50900</v>
      </c>
    </row>
    <row r="8191" spans="1:7" x14ac:dyDescent="0.3">
      <c r="A8191" s="198">
        <v>1152438873</v>
      </c>
      <c r="B8191" s="192" t="s">
        <v>1459</v>
      </c>
      <c r="C8191" s="196">
        <v>-47000</v>
      </c>
      <c r="D8191" s="196">
        <v>0</v>
      </c>
      <c r="E8191" s="196">
        <v>165000</v>
      </c>
      <c r="F8191" s="196">
        <v>-165000</v>
      </c>
      <c r="G8191" s="196">
        <v>-212000</v>
      </c>
    </row>
    <row r="8192" spans="1:7" x14ac:dyDescent="0.3">
      <c r="A8192" s="198">
        <v>1011511984</v>
      </c>
      <c r="B8192" s="192" t="s">
        <v>5955</v>
      </c>
      <c r="C8192" s="196">
        <v>-50900</v>
      </c>
      <c r="D8192" s="196">
        <v>0</v>
      </c>
      <c r="E8192" s="196">
        <v>0</v>
      </c>
      <c r="F8192" s="196">
        <v>0</v>
      </c>
      <c r="G8192" s="196">
        <v>-50900</v>
      </c>
    </row>
    <row r="8193" spans="1:7" x14ac:dyDescent="0.3">
      <c r="A8193" s="198">
        <v>1037621765</v>
      </c>
      <c r="B8193" s="192" t="s">
        <v>5956</v>
      </c>
      <c r="C8193" s="196">
        <v>-82800</v>
      </c>
      <c r="D8193" s="196">
        <v>0</v>
      </c>
      <c r="E8193" s="196">
        <v>0</v>
      </c>
      <c r="F8193" s="196">
        <v>0</v>
      </c>
      <c r="G8193" s="196">
        <v>-82800</v>
      </c>
    </row>
    <row r="8194" spans="1:7" x14ac:dyDescent="0.3">
      <c r="A8194" s="198">
        <v>1216715224</v>
      </c>
      <c r="B8194" s="192" t="s">
        <v>5957</v>
      </c>
      <c r="C8194" s="196">
        <v>-46400</v>
      </c>
      <c r="D8194" s="196">
        <v>0</v>
      </c>
      <c r="E8194" s="196">
        <v>0</v>
      </c>
      <c r="F8194" s="196">
        <v>0</v>
      </c>
      <c r="G8194" s="196">
        <v>-46400</v>
      </c>
    </row>
    <row r="8195" spans="1:7" x14ac:dyDescent="0.3">
      <c r="A8195" s="198">
        <v>1015076672</v>
      </c>
      <c r="B8195" s="192" t="s">
        <v>5958</v>
      </c>
      <c r="C8195" s="196">
        <v>-47400</v>
      </c>
      <c r="D8195" s="196">
        <v>0</v>
      </c>
      <c r="E8195" s="196">
        <v>0</v>
      </c>
      <c r="F8195" s="196">
        <v>0</v>
      </c>
      <c r="G8195" s="196">
        <v>-47400</v>
      </c>
    </row>
    <row r="8196" spans="1:7" x14ac:dyDescent="0.3">
      <c r="A8196" s="198">
        <v>1037653638</v>
      </c>
      <c r="B8196" s="192" t="s">
        <v>5959</v>
      </c>
      <c r="C8196" s="196">
        <v>-100000</v>
      </c>
      <c r="D8196" s="196">
        <v>0</v>
      </c>
      <c r="E8196" s="196">
        <v>0</v>
      </c>
      <c r="F8196" s="196">
        <v>0</v>
      </c>
      <c r="G8196" s="196">
        <v>-100000</v>
      </c>
    </row>
    <row r="8197" spans="1:7" x14ac:dyDescent="0.3">
      <c r="A8197" s="198">
        <v>1152437930</v>
      </c>
      <c r="B8197" s="192" t="s">
        <v>5960</v>
      </c>
      <c r="C8197" s="196">
        <v>-98300</v>
      </c>
      <c r="D8197" s="196">
        <v>0</v>
      </c>
      <c r="E8197" s="196">
        <v>0</v>
      </c>
      <c r="F8197" s="196">
        <v>0</v>
      </c>
      <c r="G8197" s="196">
        <v>-98300</v>
      </c>
    </row>
    <row r="8198" spans="1:7" x14ac:dyDescent="0.3">
      <c r="A8198" s="198">
        <v>1200213025</v>
      </c>
      <c r="B8198" s="192" t="s">
        <v>5961</v>
      </c>
      <c r="C8198" s="196">
        <v>-165000</v>
      </c>
      <c r="D8198" s="196">
        <v>0</v>
      </c>
      <c r="E8198" s="196">
        <v>0</v>
      </c>
      <c r="F8198" s="196">
        <v>0</v>
      </c>
      <c r="G8198" s="196">
        <v>-165000</v>
      </c>
    </row>
    <row r="8199" spans="1:7" x14ac:dyDescent="0.3">
      <c r="A8199" s="198">
        <v>1001015864</v>
      </c>
      <c r="B8199" s="192" t="s">
        <v>5962</v>
      </c>
      <c r="C8199" s="196">
        <v>-50500</v>
      </c>
      <c r="D8199" s="196">
        <v>0</v>
      </c>
      <c r="E8199" s="196">
        <v>0</v>
      </c>
      <c r="F8199" s="196">
        <v>0</v>
      </c>
      <c r="G8199" s="196">
        <v>-50500</v>
      </c>
    </row>
    <row r="8200" spans="1:7" x14ac:dyDescent="0.3">
      <c r="A8200" s="198">
        <v>1001294145</v>
      </c>
      <c r="B8200" s="192" t="s">
        <v>5963</v>
      </c>
      <c r="C8200" s="196">
        <v>-50900</v>
      </c>
      <c r="D8200" s="196">
        <v>0</v>
      </c>
      <c r="E8200" s="196">
        <v>0</v>
      </c>
      <c r="F8200" s="196">
        <v>0</v>
      </c>
      <c r="G8200" s="196">
        <v>-50900</v>
      </c>
    </row>
    <row r="8201" spans="1:7" x14ac:dyDescent="0.3">
      <c r="A8201" s="198">
        <v>1036664679</v>
      </c>
      <c r="B8201" s="192" t="s">
        <v>5964</v>
      </c>
      <c r="C8201" s="196">
        <v>-50900</v>
      </c>
      <c r="D8201" s="196">
        <v>0</v>
      </c>
      <c r="E8201" s="196">
        <v>0</v>
      </c>
      <c r="F8201" s="196">
        <v>0</v>
      </c>
      <c r="G8201" s="196">
        <v>-50900</v>
      </c>
    </row>
    <row r="8202" spans="1:7" x14ac:dyDescent="0.3">
      <c r="A8202" s="198">
        <v>1029146242</v>
      </c>
      <c r="B8202" s="192" t="s">
        <v>5965</v>
      </c>
      <c r="C8202" s="196">
        <v>-50900</v>
      </c>
      <c r="D8202" s="196">
        <v>0</v>
      </c>
      <c r="E8202" s="196">
        <v>0</v>
      </c>
      <c r="F8202" s="196">
        <v>0</v>
      </c>
      <c r="G8202" s="196">
        <v>-50900</v>
      </c>
    </row>
    <row r="8203" spans="1:7" x14ac:dyDescent="0.3">
      <c r="A8203" s="198">
        <v>1128418920</v>
      </c>
      <c r="B8203" s="192" t="s">
        <v>5966</v>
      </c>
      <c r="C8203" s="196">
        <v>-47400</v>
      </c>
      <c r="D8203" s="196">
        <v>0</v>
      </c>
      <c r="E8203" s="196">
        <v>0</v>
      </c>
      <c r="F8203" s="196">
        <v>0</v>
      </c>
      <c r="G8203" s="196">
        <v>-47400</v>
      </c>
    </row>
    <row r="8204" spans="1:7" x14ac:dyDescent="0.3">
      <c r="A8204" s="198">
        <v>1037636219</v>
      </c>
      <c r="B8204" s="192" t="s">
        <v>5967</v>
      </c>
      <c r="C8204" s="196">
        <v>-57200</v>
      </c>
      <c r="D8204" s="196">
        <v>0</v>
      </c>
      <c r="E8204" s="196">
        <v>0</v>
      </c>
      <c r="F8204" s="196">
        <v>0</v>
      </c>
      <c r="G8204" s="196">
        <v>-57200</v>
      </c>
    </row>
    <row r="8205" spans="1:7" x14ac:dyDescent="0.3">
      <c r="A8205" s="198">
        <v>1193078887</v>
      </c>
      <c r="B8205" s="192" t="s">
        <v>5968</v>
      </c>
      <c r="C8205" s="196">
        <v>-319000</v>
      </c>
      <c r="D8205" s="196">
        <v>0</v>
      </c>
      <c r="E8205" s="196">
        <v>0</v>
      </c>
      <c r="F8205" s="196">
        <v>0</v>
      </c>
      <c r="G8205" s="196">
        <v>-319000</v>
      </c>
    </row>
    <row r="8206" spans="1:7" x14ac:dyDescent="0.3">
      <c r="A8206" s="198">
        <v>1020103091</v>
      </c>
      <c r="B8206" s="192" t="s">
        <v>5969</v>
      </c>
      <c r="C8206" s="196">
        <v>-25000</v>
      </c>
      <c r="D8206" s="196">
        <v>0</v>
      </c>
      <c r="E8206" s="196">
        <v>0</v>
      </c>
      <c r="F8206" s="196">
        <v>0</v>
      </c>
      <c r="G8206" s="196">
        <v>-25000</v>
      </c>
    </row>
    <row r="8207" spans="1:7" x14ac:dyDescent="0.3">
      <c r="A8207" s="198">
        <v>21526335</v>
      </c>
      <c r="B8207" s="192" t="s">
        <v>5970</v>
      </c>
      <c r="C8207" s="196">
        <v>-50900</v>
      </c>
      <c r="D8207" s="196">
        <v>0</v>
      </c>
      <c r="E8207" s="196">
        <v>0</v>
      </c>
      <c r="F8207" s="196">
        <v>0</v>
      </c>
      <c r="G8207" s="196">
        <v>-50900</v>
      </c>
    </row>
    <row r="8208" spans="1:7" x14ac:dyDescent="0.3">
      <c r="A8208" s="198">
        <v>1105385778</v>
      </c>
      <c r="B8208" s="192" t="s">
        <v>5971</v>
      </c>
      <c r="C8208" s="196">
        <v>-50900</v>
      </c>
      <c r="D8208" s="196">
        <v>0</v>
      </c>
      <c r="E8208" s="196">
        <v>0</v>
      </c>
      <c r="F8208" s="196">
        <v>0</v>
      </c>
      <c r="G8208" s="196">
        <v>-50900</v>
      </c>
    </row>
    <row r="8209" spans="1:7" x14ac:dyDescent="0.3">
      <c r="A8209" s="198">
        <v>1127242826</v>
      </c>
      <c r="B8209" s="192" t="s">
        <v>5972</v>
      </c>
      <c r="C8209" s="196">
        <v>-50900</v>
      </c>
      <c r="D8209" s="196">
        <v>0</v>
      </c>
      <c r="E8209" s="196">
        <v>0</v>
      </c>
      <c r="F8209" s="196">
        <v>0</v>
      </c>
      <c r="G8209" s="196">
        <v>-50900</v>
      </c>
    </row>
    <row r="8210" spans="1:7" x14ac:dyDescent="0.3">
      <c r="A8210" s="198">
        <v>1013467375</v>
      </c>
      <c r="B8210" s="192" t="s">
        <v>5973</v>
      </c>
      <c r="C8210" s="196">
        <v>-50900</v>
      </c>
      <c r="D8210" s="196">
        <v>0</v>
      </c>
      <c r="E8210" s="196">
        <v>0</v>
      </c>
      <c r="F8210" s="196">
        <v>0</v>
      </c>
      <c r="G8210" s="196">
        <v>-50900</v>
      </c>
    </row>
    <row r="8211" spans="1:7" x14ac:dyDescent="0.3">
      <c r="A8211" s="198">
        <v>1037627343</v>
      </c>
      <c r="B8211" s="192" t="s">
        <v>5974</v>
      </c>
      <c r="C8211" s="196">
        <v>-50900</v>
      </c>
      <c r="D8211" s="196">
        <v>0</v>
      </c>
      <c r="E8211" s="196">
        <v>0</v>
      </c>
      <c r="F8211" s="196">
        <v>0</v>
      </c>
      <c r="G8211" s="196">
        <v>-50900</v>
      </c>
    </row>
    <row r="8212" spans="1:7" x14ac:dyDescent="0.3">
      <c r="A8212" s="198">
        <v>1089102099</v>
      </c>
      <c r="B8212" s="192" t="s">
        <v>5975</v>
      </c>
      <c r="C8212" s="196">
        <v>-250000</v>
      </c>
      <c r="D8212" s="196">
        <v>0</v>
      </c>
      <c r="E8212" s="196">
        <v>0</v>
      </c>
      <c r="F8212" s="196">
        <v>0</v>
      </c>
      <c r="G8212" s="196">
        <v>-250000</v>
      </c>
    </row>
    <row r="8213" spans="1:7" x14ac:dyDescent="0.3">
      <c r="A8213" s="198">
        <v>1020309571</v>
      </c>
      <c r="B8213" s="192" t="s">
        <v>5976</v>
      </c>
      <c r="C8213" s="196">
        <v>-85000</v>
      </c>
      <c r="D8213" s="196">
        <v>0</v>
      </c>
      <c r="E8213" s="196">
        <v>0</v>
      </c>
      <c r="F8213" s="196">
        <v>0</v>
      </c>
      <c r="G8213" s="196">
        <v>-85000</v>
      </c>
    </row>
    <row r="8214" spans="1:7" x14ac:dyDescent="0.3">
      <c r="A8214" s="198">
        <v>1041350867</v>
      </c>
      <c r="B8214" s="192" t="s">
        <v>5977</v>
      </c>
      <c r="C8214" s="196">
        <v>-297000</v>
      </c>
      <c r="D8214" s="196">
        <v>0</v>
      </c>
      <c r="E8214" s="196">
        <v>0</v>
      </c>
      <c r="F8214" s="196">
        <v>0</v>
      </c>
      <c r="G8214" s="196">
        <v>-297000</v>
      </c>
    </row>
    <row r="8215" spans="1:7" x14ac:dyDescent="0.3">
      <c r="A8215" s="192" t="s">
        <v>5978</v>
      </c>
      <c r="B8215" s="192" t="s">
        <v>5979</v>
      </c>
      <c r="C8215" s="196">
        <v>-110000</v>
      </c>
      <c r="D8215" s="196">
        <v>0</v>
      </c>
      <c r="E8215" s="196">
        <v>0</v>
      </c>
      <c r="F8215" s="196">
        <v>0</v>
      </c>
      <c r="G8215" s="196">
        <v>-110000</v>
      </c>
    </row>
    <row r="8216" spans="1:7" x14ac:dyDescent="0.3">
      <c r="A8216" s="198">
        <v>73236547</v>
      </c>
      <c r="B8216" s="192" t="s">
        <v>5980</v>
      </c>
      <c r="C8216" s="196">
        <v>-270000</v>
      </c>
      <c r="D8216" s="196">
        <v>0</v>
      </c>
      <c r="E8216" s="196">
        <v>0</v>
      </c>
      <c r="F8216" s="196">
        <v>0</v>
      </c>
      <c r="G8216" s="196">
        <v>-270000</v>
      </c>
    </row>
    <row r="8217" spans="1:7" x14ac:dyDescent="0.3">
      <c r="A8217" s="198">
        <v>1037673127</v>
      </c>
      <c r="B8217" s="192" t="s">
        <v>5981</v>
      </c>
      <c r="C8217" s="196">
        <v>-223300</v>
      </c>
      <c r="D8217" s="196">
        <v>0</v>
      </c>
      <c r="E8217" s="196">
        <v>0</v>
      </c>
      <c r="F8217" s="196">
        <v>0</v>
      </c>
      <c r="G8217" s="196">
        <v>-223300</v>
      </c>
    </row>
    <row r="8218" spans="1:7" x14ac:dyDescent="0.3">
      <c r="A8218" s="198">
        <v>1037607343</v>
      </c>
      <c r="B8218" s="192" t="s">
        <v>5982</v>
      </c>
      <c r="C8218" s="196">
        <v>-108400</v>
      </c>
      <c r="D8218" s="196">
        <v>0</v>
      </c>
      <c r="E8218" s="196">
        <v>0</v>
      </c>
      <c r="F8218" s="196">
        <v>0</v>
      </c>
      <c r="G8218" s="196">
        <v>-108400</v>
      </c>
    </row>
    <row r="8219" spans="1:7" x14ac:dyDescent="0.3">
      <c r="A8219" s="198">
        <v>1017255817</v>
      </c>
      <c r="B8219" s="192" t="s">
        <v>5983</v>
      </c>
      <c r="C8219" s="196">
        <v>-297000</v>
      </c>
      <c r="D8219" s="196">
        <v>0</v>
      </c>
      <c r="E8219" s="196">
        <v>0</v>
      </c>
      <c r="F8219" s="196">
        <v>0</v>
      </c>
      <c r="G8219" s="196">
        <v>-297000</v>
      </c>
    </row>
    <row r="8220" spans="1:7" x14ac:dyDescent="0.3">
      <c r="A8220" s="198">
        <v>1128404303</v>
      </c>
      <c r="B8220" s="192" t="s">
        <v>5984</v>
      </c>
      <c r="C8220" s="196">
        <v>-50900</v>
      </c>
      <c r="D8220" s="196">
        <v>0</v>
      </c>
      <c r="E8220" s="196">
        <v>0</v>
      </c>
      <c r="F8220" s="196">
        <v>0</v>
      </c>
      <c r="G8220" s="196">
        <v>-50900</v>
      </c>
    </row>
    <row r="8221" spans="1:7" x14ac:dyDescent="0.3">
      <c r="A8221" s="198">
        <v>1040577299</v>
      </c>
      <c r="B8221" s="192" t="s">
        <v>5985</v>
      </c>
      <c r="C8221" s="196">
        <v>-41400</v>
      </c>
      <c r="D8221" s="196">
        <v>0</v>
      </c>
      <c r="E8221" s="196">
        <v>0</v>
      </c>
      <c r="F8221" s="196">
        <v>0</v>
      </c>
      <c r="G8221" s="196">
        <v>-41400</v>
      </c>
    </row>
    <row r="8222" spans="1:7" x14ac:dyDescent="0.3">
      <c r="A8222" s="198">
        <v>1036613057</v>
      </c>
      <c r="B8222" s="192" t="s">
        <v>5986</v>
      </c>
      <c r="C8222" s="196">
        <v>-50900</v>
      </c>
      <c r="D8222" s="196">
        <v>0</v>
      </c>
      <c r="E8222" s="196">
        <v>0</v>
      </c>
      <c r="F8222" s="196">
        <v>0</v>
      </c>
      <c r="G8222" s="196">
        <v>-50900</v>
      </c>
    </row>
    <row r="8223" spans="1:7" x14ac:dyDescent="0.3">
      <c r="A8223" s="198">
        <v>1128470128</v>
      </c>
      <c r="B8223" s="192" t="s">
        <v>5987</v>
      </c>
      <c r="C8223" s="196">
        <v>-50900</v>
      </c>
      <c r="D8223" s="196">
        <v>0</v>
      </c>
      <c r="E8223" s="196">
        <v>0</v>
      </c>
      <c r="F8223" s="196">
        <v>0</v>
      </c>
      <c r="G8223" s="196">
        <v>-50900</v>
      </c>
    </row>
    <row r="8224" spans="1:7" x14ac:dyDescent="0.3">
      <c r="A8224" s="198">
        <v>1035017545</v>
      </c>
      <c r="B8224" s="192" t="s">
        <v>5988</v>
      </c>
      <c r="C8224" s="196">
        <v>-50900</v>
      </c>
      <c r="D8224" s="196">
        <v>0</v>
      </c>
      <c r="E8224" s="196">
        <v>0</v>
      </c>
      <c r="F8224" s="196">
        <v>0</v>
      </c>
      <c r="G8224" s="196">
        <v>-50900</v>
      </c>
    </row>
    <row r="8225" spans="1:7" x14ac:dyDescent="0.3">
      <c r="A8225" s="198">
        <v>1059694350</v>
      </c>
      <c r="B8225" s="192" t="s">
        <v>5989</v>
      </c>
      <c r="C8225" s="196">
        <v>-50900</v>
      </c>
      <c r="D8225" s="196">
        <v>0</v>
      </c>
      <c r="E8225" s="196">
        <v>0</v>
      </c>
      <c r="F8225" s="196">
        <v>0</v>
      </c>
      <c r="G8225" s="196">
        <v>-50900</v>
      </c>
    </row>
    <row r="8226" spans="1:7" x14ac:dyDescent="0.3">
      <c r="A8226" s="198">
        <v>1037626470</v>
      </c>
      <c r="B8226" s="192" t="s">
        <v>5990</v>
      </c>
      <c r="C8226" s="196">
        <v>-38400</v>
      </c>
      <c r="D8226" s="196">
        <v>0</v>
      </c>
      <c r="E8226" s="196">
        <v>0</v>
      </c>
      <c r="F8226" s="196">
        <v>0</v>
      </c>
      <c r="G8226" s="196">
        <v>-38400</v>
      </c>
    </row>
    <row r="8227" spans="1:7" x14ac:dyDescent="0.3">
      <c r="A8227" s="198">
        <v>1039474094</v>
      </c>
      <c r="B8227" s="192" t="s">
        <v>1462</v>
      </c>
      <c r="C8227" s="196">
        <v>0</v>
      </c>
      <c r="D8227" s="196">
        <v>0</v>
      </c>
      <c r="E8227" s="196">
        <v>38400</v>
      </c>
      <c r="F8227" s="196">
        <v>-38400</v>
      </c>
      <c r="G8227" s="196">
        <v>-38400</v>
      </c>
    </row>
    <row r="8228" spans="1:7" x14ac:dyDescent="0.3">
      <c r="A8228" s="198">
        <v>223226771</v>
      </c>
      <c r="B8228" s="192" t="s">
        <v>5991</v>
      </c>
      <c r="C8228" s="196">
        <v>-50900</v>
      </c>
      <c r="D8228" s="196">
        <v>0</v>
      </c>
      <c r="E8228" s="196">
        <v>0</v>
      </c>
      <c r="F8228" s="196">
        <v>0</v>
      </c>
      <c r="G8228" s="196">
        <v>-50900</v>
      </c>
    </row>
    <row r="8229" spans="1:7" x14ac:dyDescent="0.3">
      <c r="A8229" s="198">
        <v>1017242646</v>
      </c>
      <c r="B8229" s="192" t="s">
        <v>1463</v>
      </c>
      <c r="C8229" s="196">
        <v>-94001</v>
      </c>
      <c r="D8229" s="196">
        <v>0</v>
      </c>
      <c r="E8229" s="196">
        <v>0</v>
      </c>
      <c r="F8229" s="196">
        <v>0</v>
      </c>
      <c r="G8229" s="196">
        <v>-94001</v>
      </c>
    </row>
    <row r="8230" spans="1:7" x14ac:dyDescent="0.3">
      <c r="A8230" s="198">
        <v>1034996417</v>
      </c>
      <c r="B8230" s="192" t="s">
        <v>5992</v>
      </c>
      <c r="C8230" s="196">
        <v>-297000</v>
      </c>
      <c r="D8230" s="196">
        <v>0</v>
      </c>
      <c r="E8230" s="196">
        <v>0</v>
      </c>
      <c r="F8230" s="196">
        <v>0</v>
      </c>
      <c r="G8230" s="196">
        <v>-297000</v>
      </c>
    </row>
    <row r="8231" spans="1:7" x14ac:dyDescent="0.3">
      <c r="A8231" s="198">
        <v>1017242392</v>
      </c>
      <c r="B8231" s="192" t="s">
        <v>5993</v>
      </c>
      <c r="C8231" s="196">
        <v>-380000</v>
      </c>
      <c r="D8231" s="196">
        <v>0</v>
      </c>
      <c r="E8231" s="196">
        <v>0</v>
      </c>
      <c r="F8231" s="196">
        <v>0</v>
      </c>
      <c r="G8231" s="196">
        <v>-380000</v>
      </c>
    </row>
    <row r="8232" spans="1:7" x14ac:dyDescent="0.3">
      <c r="A8232" s="198">
        <v>1035018282</v>
      </c>
      <c r="B8232" s="192" t="s">
        <v>5994</v>
      </c>
      <c r="C8232" s="196">
        <v>-297000</v>
      </c>
      <c r="D8232" s="196">
        <v>0</v>
      </c>
      <c r="E8232" s="196">
        <v>0</v>
      </c>
      <c r="F8232" s="196">
        <v>0</v>
      </c>
      <c r="G8232" s="196">
        <v>-297000</v>
      </c>
    </row>
    <row r="8233" spans="1:7" x14ac:dyDescent="0.3">
      <c r="A8233" s="198">
        <v>1128481021</v>
      </c>
      <c r="B8233" s="192" t="s">
        <v>1465</v>
      </c>
      <c r="C8233" s="196">
        <v>0</v>
      </c>
      <c r="D8233" s="196">
        <v>0</v>
      </c>
      <c r="E8233" s="196">
        <v>50900</v>
      </c>
      <c r="F8233" s="196">
        <v>-50900</v>
      </c>
      <c r="G8233" s="196">
        <v>-50900</v>
      </c>
    </row>
    <row r="8234" spans="1:7" x14ac:dyDescent="0.3">
      <c r="A8234" s="198">
        <v>1037617093</v>
      </c>
      <c r="B8234" s="192" t="s">
        <v>5995</v>
      </c>
      <c r="C8234" s="196">
        <v>-50900</v>
      </c>
      <c r="D8234" s="196">
        <v>0</v>
      </c>
      <c r="E8234" s="196">
        <v>0</v>
      </c>
      <c r="F8234" s="196">
        <v>0</v>
      </c>
      <c r="G8234" s="196">
        <v>-50900</v>
      </c>
    </row>
    <row r="8235" spans="1:7" x14ac:dyDescent="0.3">
      <c r="A8235" s="198">
        <v>1036450198</v>
      </c>
      <c r="B8235" s="192" t="s">
        <v>5996</v>
      </c>
      <c r="C8235" s="196">
        <v>-265000</v>
      </c>
      <c r="D8235" s="196">
        <v>0</v>
      </c>
      <c r="E8235" s="196">
        <v>0</v>
      </c>
      <c r="F8235" s="196">
        <v>0</v>
      </c>
      <c r="G8235" s="196">
        <v>-265000</v>
      </c>
    </row>
    <row r="8236" spans="1:7" x14ac:dyDescent="0.3">
      <c r="A8236" s="198">
        <v>1000100365</v>
      </c>
      <c r="B8236" s="192" t="s">
        <v>5997</v>
      </c>
      <c r="C8236" s="196">
        <v>-110000</v>
      </c>
      <c r="D8236" s="196">
        <v>0</v>
      </c>
      <c r="E8236" s="196">
        <v>0</v>
      </c>
      <c r="F8236" s="196">
        <v>0</v>
      </c>
      <c r="G8236" s="196">
        <v>-110000</v>
      </c>
    </row>
    <row r="8237" spans="1:7" x14ac:dyDescent="0.3">
      <c r="A8237" s="198">
        <v>890903790</v>
      </c>
      <c r="B8237" s="192" t="s">
        <v>1466</v>
      </c>
      <c r="C8237" s="196">
        <v>-152362384</v>
      </c>
      <c r="D8237" s="196">
        <v>0</v>
      </c>
      <c r="E8237" s="196">
        <v>27696300</v>
      </c>
      <c r="F8237" s="196">
        <v>-27696300</v>
      </c>
      <c r="G8237" s="196">
        <v>-180058684</v>
      </c>
    </row>
    <row r="8238" spans="1:7" x14ac:dyDescent="0.3">
      <c r="A8238" s="198">
        <v>1037661462</v>
      </c>
      <c r="B8238" s="192" t="s">
        <v>1468</v>
      </c>
      <c r="C8238" s="196">
        <v>0</v>
      </c>
      <c r="D8238" s="196">
        <v>0</v>
      </c>
      <c r="E8238" s="196">
        <v>297000</v>
      </c>
      <c r="F8238" s="196">
        <v>-297000</v>
      </c>
      <c r="G8238" s="196">
        <v>-297000</v>
      </c>
    </row>
    <row r="8239" spans="1:7" x14ac:dyDescent="0.3">
      <c r="A8239" s="198">
        <v>1035024143</v>
      </c>
      <c r="B8239" s="192" t="s">
        <v>5998</v>
      </c>
      <c r="C8239" s="196">
        <v>-50900</v>
      </c>
      <c r="D8239" s="196">
        <v>0</v>
      </c>
      <c r="E8239" s="196">
        <v>0</v>
      </c>
      <c r="F8239" s="196">
        <v>0</v>
      </c>
      <c r="G8239" s="196">
        <v>-50900</v>
      </c>
    </row>
    <row r="8240" spans="1:7" x14ac:dyDescent="0.3">
      <c r="A8240" s="198">
        <v>80415076</v>
      </c>
      <c r="B8240" s="192" t="s">
        <v>5999</v>
      </c>
      <c r="C8240" s="196">
        <v>-50900</v>
      </c>
      <c r="D8240" s="196">
        <v>0</v>
      </c>
      <c r="E8240" s="196">
        <v>0</v>
      </c>
      <c r="F8240" s="196">
        <v>0</v>
      </c>
      <c r="G8240" s="196">
        <v>-50900</v>
      </c>
    </row>
    <row r="8241" spans="1:7" x14ac:dyDescent="0.3">
      <c r="A8241" s="198">
        <v>8029728</v>
      </c>
      <c r="B8241" s="192" t="s">
        <v>6000</v>
      </c>
      <c r="C8241" s="196">
        <v>-50900</v>
      </c>
      <c r="D8241" s="196">
        <v>0</v>
      </c>
      <c r="E8241" s="196">
        <v>0</v>
      </c>
      <c r="F8241" s="196">
        <v>0</v>
      </c>
      <c r="G8241" s="196">
        <v>-50900</v>
      </c>
    </row>
    <row r="8242" spans="1:7" x14ac:dyDescent="0.3">
      <c r="A8242" s="198">
        <v>71702150</v>
      </c>
      <c r="B8242" s="192" t="s">
        <v>6001</v>
      </c>
      <c r="C8242" s="196">
        <v>-98300</v>
      </c>
      <c r="D8242" s="196">
        <v>0</v>
      </c>
      <c r="E8242" s="196">
        <v>0</v>
      </c>
      <c r="F8242" s="196">
        <v>0</v>
      </c>
      <c r="G8242" s="196">
        <v>-98300</v>
      </c>
    </row>
    <row r="8243" spans="1:7" x14ac:dyDescent="0.3">
      <c r="A8243" s="198">
        <v>1127248073</v>
      </c>
      <c r="B8243" s="192" t="s">
        <v>6002</v>
      </c>
      <c r="C8243" s="196">
        <v>-50900</v>
      </c>
      <c r="D8243" s="196">
        <v>0</v>
      </c>
      <c r="E8243" s="196">
        <v>0</v>
      </c>
      <c r="F8243" s="196">
        <v>0</v>
      </c>
      <c r="G8243" s="196">
        <v>-50900</v>
      </c>
    </row>
    <row r="8244" spans="1:7" x14ac:dyDescent="0.3">
      <c r="A8244" s="198">
        <v>1047374813</v>
      </c>
      <c r="B8244" s="192" t="s">
        <v>6003</v>
      </c>
      <c r="C8244" s="196">
        <v>-50900</v>
      </c>
      <c r="D8244" s="196">
        <v>0</v>
      </c>
      <c r="E8244" s="196">
        <v>0</v>
      </c>
      <c r="F8244" s="196">
        <v>0</v>
      </c>
      <c r="G8244" s="196">
        <v>-50900</v>
      </c>
    </row>
    <row r="8245" spans="1:7" x14ac:dyDescent="0.3">
      <c r="A8245" s="198">
        <v>71788174</v>
      </c>
      <c r="B8245" s="192" t="s">
        <v>6004</v>
      </c>
      <c r="C8245" s="196">
        <v>-50900</v>
      </c>
      <c r="D8245" s="196">
        <v>0</v>
      </c>
      <c r="E8245" s="196">
        <v>0</v>
      </c>
      <c r="F8245" s="196">
        <v>0</v>
      </c>
      <c r="G8245" s="196">
        <v>-50900</v>
      </c>
    </row>
    <row r="8246" spans="1:7" x14ac:dyDescent="0.3">
      <c r="A8246" s="198">
        <v>1032398527</v>
      </c>
      <c r="B8246" s="192" t="s">
        <v>6005</v>
      </c>
      <c r="C8246" s="196">
        <v>-43900</v>
      </c>
      <c r="D8246" s="196">
        <v>0</v>
      </c>
      <c r="E8246" s="196">
        <v>0</v>
      </c>
      <c r="F8246" s="196">
        <v>0</v>
      </c>
      <c r="G8246" s="196">
        <v>-43900</v>
      </c>
    </row>
    <row r="8247" spans="1:7" x14ac:dyDescent="0.3">
      <c r="A8247" s="198">
        <v>71656936</v>
      </c>
      <c r="B8247" s="192" t="s">
        <v>6006</v>
      </c>
      <c r="C8247" s="196">
        <v>-38400</v>
      </c>
      <c r="D8247" s="196">
        <v>0</v>
      </c>
      <c r="E8247" s="196">
        <v>0</v>
      </c>
      <c r="F8247" s="196">
        <v>0</v>
      </c>
      <c r="G8247" s="196">
        <v>-38400</v>
      </c>
    </row>
    <row r="8248" spans="1:7" x14ac:dyDescent="0.3">
      <c r="A8248" s="198">
        <v>19488514</v>
      </c>
      <c r="B8248" s="192" t="s">
        <v>6007</v>
      </c>
      <c r="C8248" s="196">
        <v>-98300</v>
      </c>
      <c r="D8248" s="196">
        <v>0</v>
      </c>
      <c r="E8248" s="196">
        <v>0</v>
      </c>
      <c r="F8248" s="196">
        <v>0</v>
      </c>
      <c r="G8248" s="196">
        <v>-98300</v>
      </c>
    </row>
    <row r="8249" spans="1:7" x14ac:dyDescent="0.3">
      <c r="A8249" s="198">
        <v>1152448631</v>
      </c>
      <c r="B8249" s="192" t="s">
        <v>1470</v>
      </c>
      <c r="C8249" s="196">
        <v>-165000</v>
      </c>
      <c r="D8249" s="196">
        <v>0</v>
      </c>
      <c r="E8249" s="196">
        <v>85000</v>
      </c>
      <c r="F8249" s="196">
        <v>-85000</v>
      </c>
      <c r="G8249" s="196">
        <v>-250000</v>
      </c>
    </row>
    <row r="8250" spans="1:7" x14ac:dyDescent="0.3">
      <c r="A8250" s="198">
        <v>71599304</v>
      </c>
      <c r="B8250" s="192" t="s">
        <v>6008</v>
      </c>
      <c r="C8250" s="196">
        <v>-57200</v>
      </c>
      <c r="D8250" s="196">
        <v>0</v>
      </c>
      <c r="E8250" s="196">
        <v>0</v>
      </c>
      <c r="F8250" s="196">
        <v>0</v>
      </c>
      <c r="G8250" s="196">
        <v>-57200</v>
      </c>
    </row>
    <row r="8251" spans="1:7" x14ac:dyDescent="0.3">
      <c r="A8251" s="198">
        <v>80844951</v>
      </c>
      <c r="B8251" s="192" t="s">
        <v>1471</v>
      </c>
      <c r="C8251" s="196">
        <v>-41400</v>
      </c>
      <c r="D8251" s="196">
        <v>0</v>
      </c>
      <c r="E8251" s="196">
        <v>41400</v>
      </c>
      <c r="F8251" s="196">
        <v>-41400</v>
      </c>
      <c r="G8251" s="196">
        <v>-82800</v>
      </c>
    </row>
    <row r="8252" spans="1:7" x14ac:dyDescent="0.3">
      <c r="A8252" s="198">
        <v>71332735</v>
      </c>
      <c r="B8252" s="192" t="s">
        <v>1472</v>
      </c>
      <c r="C8252" s="196">
        <v>-270000</v>
      </c>
      <c r="D8252" s="196">
        <v>0</v>
      </c>
      <c r="E8252" s="196">
        <v>319000</v>
      </c>
      <c r="F8252" s="196">
        <v>-319000</v>
      </c>
      <c r="G8252" s="196">
        <v>-589000</v>
      </c>
    </row>
    <row r="8253" spans="1:7" x14ac:dyDescent="0.3">
      <c r="A8253" s="198">
        <v>71607554</v>
      </c>
      <c r="B8253" s="192" t="s">
        <v>1473</v>
      </c>
      <c r="C8253" s="196">
        <v>0</v>
      </c>
      <c r="D8253" s="196">
        <v>0</v>
      </c>
      <c r="E8253" s="196">
        <v>105400</v>
      </c>
      <c r="F8253" s="196">
        <v>-105400</v>
      </c>
      <c r="G8253" s="196">
        <v>-105400</v>
      </c>
    </row>
    <row r="8254" spans="1:7" x14ac:dyDescent="0.3">
      <c r="A8254" s="198">
        <v>1127534809</v>
      </c>
      <c r="B8254" s="192" t="s">
        <v>6009</v>
      </c>
      <c r="C8254" s="196">
        <v>-105900</v>
      </c>
      <c r="D8254" s="196">
        <v>0</v>
      </c>
      <c r="E8254" s="196">
        <v>0</v>
      </c>
      <c r="F8254" s="196">
        <v>0</v>
      </c>
      <c r="G8254" s="196">
        <v>-105900</v>
      </c>
    </row>
    <row r="8255" spans="1:7" x14ac:dyDescent="0.3">
      <c r="A8255" s="198">
        <v>22876753</v>
      </c>
      <c r="B8255" s="192" t="s">
        <v>6010</v>
      </c>
      <c r="C8255" s="196">
        <v>-165000</v>
      </c>
      <c r="D8255" s="196">
        <v>0</v>
      </c>
      <c r="E8255" s="196">
        <v>0</v>
      </c>
      <c r="F8255" s="196">
        <v>0</v>
      </c>
      <c r="G8255" s="196">
        <v>-165000</v>
      </c>
    </row>
    <row r="8256" spans="1:7" x14ac:dyDescent="0.3">
      <c r="A8256" s="198">
        <v>3836687</v>
      </c>
      <c r="B8256" s="192" t="s">
        <v>6011</v>
      </c>
      <c r="C8256" s="196">
        <v>-297000</v>
      </c>
      <c r="D8256" s="196">
        <v>0</v>
      </c>
      <c r="E8256" s="196">
        <v>0</v>
      </c>
      <c r="F8256" s="196">
        <v>0</v>
      </c>
      <c r="G8256" s="196">
        <v>-297000</v>
      </c>
    </row>
    <row r="8257" spans="1:7" x14ac:dyDescent="0.3">
      <c r="A8257" s="198">
        <v>5533236</v>
      </c>
      <c r="B8257" s="192" t="s">
        <v>1474</v>
      </c>
      <c r="C8257" s="196">
        <v>-110000</v>
      </c>
      <c r="D8257" s="196">
        <v>0</v>
      </c>
      <c r="E8257" s="196">
        <v>0</v>
      </c>
      <c r="F8257" s="196">
        <v>0</v>
      </c>
      <c r="G8257" s="196">
        <v>-110000</v>
      </c>
    </row>
    <row r="8258" spans="1:7" x14ac:dyDescent="0.3">
      <c r="A8258" s="198">
        <v>1023531288</v>
      </c>
      <c r="B8258" s="192" t="s">
        <v>6012</v>
      </c>
      <c r="C8258" s="196">
        <v>-297000</v>
      </c>
      <c r="D8258" s="196">
        <v>0</v>
      </c>
      <c r="E8258" s="196">
        <v>0</v>
      </c>
      <c r="F8258" s="196">
        <v>0</v>
      </c>
      <c r="G8258" s="196">
        <v>-297000</v>
      </c>
    </row>
    <row r="8259" spans="1:7" x14ac:dyDescent="0.3">
      <c r="A8259" s="192" t="s">
        <v>6013</v>
      </c>
      <c r="B8259" s="192" t="s">
        <v>6014</v>
      </c>
      <c r="C8259" s="196">
        <v>-270000</v>
      </c>
      <c r="D8259" s="196">
        <v>0</v>
      </c>
      <c r="E8259" s="196">
        <v>0</v>
      </c>
      <c r="F8259" s="196">
        <v>0</v>
      </c>
      <c r="G8259" s="196">
        <v>-270000</v>
      </c>
    </row>
    <row r="8260" spans="1:7" x14ac:dyDescent="0.3">
      <c r="A8260" s="198">
        <v>124579945</v>
      </c>
      <c r="B8260" s="192" t="s">
        <v>6015</v>
      </c>
      <c r="C8260" s="196">
        <v>-616000</v>
      </c>
      <c r="D8260" s="196">
        <v>0</v>
      </c>
      <c r="E8260" s="196">
        <v>0</v>
      </c>
      <c r="F8260" s="196">
        <v>0</v>
      </c>
      <c r="G8260" s="196">
        <v>-616000</v>
      </c>
    </row>
    <row r="8261" spans="1:7" x14ac:dyDescent="0.3">
      <c r="A8261" s="198">
        <v>1034993106</v>
      </c>
      <c r="B8261" s="192" t="s">
        <v>1476</v>
      </c>
      <c r="C8261" s="196">
        <v>0</v>
      </c>
      <c r="D8261" s="196">
        <v>0</v>
      </c>
      <c r="E8261" s="196">
        <v>50900</v>
      </c>
      <c r="F8261" s="196">
        <v>-50900</v>
      </c>
      <c r="G8261" s="196">
        <v>-50900</v>
      </c>
    </row>
    <row r="8262" spans="1:7" x14ac:dyDescent="0.3">
      <c r="A8262" s="198">
        <v>1026146547</v>
      </c>
      <c r="B8262" s="192" t="s">
        <v>6016</v>
      </c>
      <c r="C8262" s="196">
        <v>-101800</v>
      </c>
      <c r="D8262" s="196">
        <v>0</v>
      </c>
      <c r="E8262" s="196">
        <v>0</v>
      </c>
      <c r="F8262" s="196">
        <v>0</v>
      </c>
      <c r="G8262" s="196">
        <v>-101800</v>
      </c>
    </row>
    <row r="8263" spans="1:7" x14ac:dyDescent="0.3">
      <c r="A8263" s="198">
        <v>1020431916</v>
      </c>
      <c r="B8263" s="192" t="s">
        <v>6017</v>
      </c>
      <c r="C8263" s="196">
        <v>-503000</v>
      </c>
      <c r="D8263" s="196">
        <v>0</v>
      </c>
      <c r="E8263" s="196">
        <v>0</v>
      </c>
      <c r="F8263" s="196">
        <v>0</v>
      </c>
      <c r="G8263" s="196">
        <v>-503000</v>
      </c>
    </row>
    <row r="8264" spans="1:7" x14ac:dyDescent="0.3">
      <c r="A8264" s="198">
        <v>1126664971</v>
      </c>
      <c r="B8264" s="192" t="s">
        <v>6018</v>
      </c>
      <c r="C8264" s="196">
        <v>-380000</v>
      </c>
      <c r="D8264" s="196">
        <v>0</v>
      </c>
      <c r="E8264" s="196">
        <v>0</v>
      </c>
      <c r="F8264" s="196">
        <v>0</v>
      </c>
      <c r="G8264" s="196">
        <v>-380000</v>
      </c>
    </row>
    <row r="8265" spans="1:7" x14ac:dyDescent="0.3">
      <c r="A8265" s="198">
        <v>71905296</v>
      </c>
      <c r="B8265" s="192" t="s">
        <v>6019</v>
      </c>
      <c r="C8265" s="196">
        <v>-290000</v>
      </c>
      <c r="D8265" s="196">
        <v>0</v>
      </c>
      <c r="E8265" s="196">
        <v>0</v>
      </c>
      <c r="F8265" s="196">
        <v>0</v>
      </c>
      <c r="G8265" s="196">
        <v>-290000</v>
      </c>
    </row>
    <row r="8266" spans="1:7" x14ac:dyDescent="0.3">
      <c r="A8266" s="198">
        <v>32723602</v>
      </c>
      <c r="B8266" s="192" t="s">
        <v>6020</v>
      </c>
      <c r="C8266" s="196">
        <v>-616000</v>
      </c>
      <c r="D8266" s="196">
        <v>0</v>
      </c>
      <c r="E8266" s="196">
        <v>0</v>
      </c>
      <c r="F8266" s="196">
        <v>0</v>
      </c>
      <c r="G8266" s="196">
        <v>-616000</v>
      </c>
    </row>
    <row r="8267" spans="1:7" x14ac:dyDescent="0.3">
      <c r="A8267" s="198">
        <v>1025065404</v>
      </c>
      <c r="B8267" s="192" t="s">
        <v>1477</v>
      </c>
      <c r="C8267" s="196">
        <v>0</v>
      </c>
      <c r="D8267" s="196">
        <v>0</v>
      </c>
      <c r="E8267" s="196">
        <v>50900</v>
      </c>
      <c r="F8267" s="196">
        <v>-50900</v>
      </c>
      <c r="G8267" s="196">
        <v>-50900</v>
      </c>
    </row>
    <row r="8268" spans="1:7" x14ac:dyDescent="0.3">
      <c r="A8268" s="198">
        <v>32461224</v>
      </c>
      <c r="B8268" s="192" t="s">
        <v>6021</v>
      </c>
      <c r="C8268" s="196">
        <v>-50900</v>
      </c>
      <c r="D8268" s="196">
        <v>0</v>
      </c>
      <c r="E8268" s="196">
        <v>0</v>
      </c>
      <c r="F8268" s="196">
        <v>0</v>
      </c>
      <c r="G8268" s="196">
        <v>-50900</v>
      </c>
    </row>
    <row r="8269" spans="1:7" x14ac:dyDescent="0.3">
      <c r="A8269" s="198">
        <v>22008326</v>
      </c>
      <c r="B8269" s="192" t="s">
        <v>6022</v>
      </c>
      <c r="C8269" s="196">
        <v>-57200</v>
      </c>
      <c r="D8269" s="196">
        <v>0</v>
      </c>
      <c r="E8269" s="196">
        <v>0</v>
      </c>
      <c r="F8269" s="196">
        <v>0</v>
      </c>
      <c r="G8269" s="196">
        <v>-57200</v>
      </c>
    </row>
    <row r="8270" spans="1:7" x14ac:dyDescent="0.3">
      <c r="A8270" s="198">
        <v>21809854</v>
      </c>
      <c r="B8270" s="192" t="s">
        <v>1478</v>
      </c>
      <c r="C8270" s="196">
        <v>-71501</v>
      </c>
      <c r="D8270" s="196">
        <v>0</v>
      </c>
      <c r="E8270" s="196">
        <v>0</v>
      </c>
      <c r="F8270" s="196">
        <v>0</v>
      </c>
      <c r="G8270" s="196">
        <v>-71501</v>
      </c>
    </row>
    <row r="8271" spans="1:7" x14ac:dyDescent="0.3">
      <c r="A8271" s="198">
        <v>42896846</v>
      </c>
      <c r="B8271" s="192" t="s">
        <v>6023</v>
      </c>
      <c r="C8271" s="196">
        <v>-380000</v>
      </c>
      <c r="D8271" s="196">
        <v>0</v>
      </c>
      <c r="E8271" s="196">
        <v>0</v>
      </c>
      <c r="F8271" s="196">
        <v>0</v>
      </c>
      <c r="G8271" s="196">
        <v>-380000</v>
      </c>
    </row>
    <row r="8272" spans="1:7" x14ac:dyDescent="0.3">
      <c r="A8272" s="198">
        <v>1143343723</v>
      </c>
      <c r="B8272" s="192" t="s">
        <v>6024</v>
      </c>
      <c r="C8272" s="196">
        <v>-101800</v>
      </c>
      <c r="D8272" s="196">
        <v>0</v>
      </c>
      <c r="E8272" s="196">
        <v>0</v>
      </c>
      <c r="F8272" s="196">
        <v>0</v>
      </c>
      <c r="G8272" s="196">
        <v>-101800</v>
      </c>
    </row>
    <row r="8273" spans="1:7" x14ac:dyDescent="0.3">
      <c r="A8273" s="198">
        <v>1001367710</v>
      </c>
      <c r="B8273" s="192" t="s">
        <v>6025</v>
      </c>
      <c r="C8273" s="196">
        <v>-50900</v>
      </c>
      <c r="D8273" s="196">
        <v>0</v>
      </c>
      <c r="E8273" s="196">
        <v>0</v>
      </c>
      <c r="F8273" s="196">
        <v>0</v>
      </c>
      <c r="G8273" s="196">
        <v>-50900</v>
      </c>
    </row>
    <row r="8274" spans="1:7" x14ac:dyDescent="0.3">
      <c r="A8274" s="198">
        <v>1034991146</v>
      </c>
      <c r="B8274" s="192" t="s">
        <v>6026</v>
      </c>
      <c r="C8274" s="196">
        <v>-217300</v>
      </c>
      <c r="D8274" s="196">
        <v>0</v>
      </c>
      <c r="E8274" s="196">
        <v>0</v>
      </c>
      <c r="F8274" s="196">
        <v>0</v>
      </c>
      <c r="G8274" s="196">
        <v>-217300</v>
      </c>
    </row>
    <row r="8275" spans="1:7" x14ac:dyDescent="0.3">
      <c r="A8275" s="198">
        <v>1039446176</v>
      </c>
      <c r="B8275" s="192" t="s">
        <v>6027</v>
      </c>
      <c r="C8275" s="196">
        <v>-54200</v>
      </c>
      <c r="D8275" s="196">
        <v>0</v>
      </c>
      <c r="E8275" s="196">
        <v>0</v>
      </c>
      <c r="F8275" s="196">
        <v>0</v>
      </c>
      <c r="G8275" s="196">
        <v>-54200</v>
      </c>
    </row>
    <row r="8276" spans="1:7" x14ac:dyDescent="0.3">
      <c r="A8276" s="198">
        <v>1023596071</v>
      </c>
      <c r="B8276" s="192" t="s">
        <v>1479</v>
      </c>
      <c r="C8276" s="196">
        <v>0</v>
      </c>
      <c r="D8276" s="196">
        <v>0</v>
      </c>
      <c r="E8276" s="196">
        <v>50900</v>
      </c>
      <c r="F8276" s="196">
        <v>-50900</v>
      </c>
      <c r="G8276" s="196">
        <v>-50900</v>
      </c>
    </row>
    <row r="8277" spans="1:7" x14ac:dyDescent="0.3">
      <c r="A8277" s="198">
        <v>1036659458</v>
      </c>
      <c r="B8277" s="192" t="s">
        <v>6028</v>
      </c>
      <c r="C8277" s="196">
        <v>-270000</v>
      </c>
      <c r="D8277" s="196">
        <v>0</v>
      </c>
      <c r="E8277" s="196">
        <v>0</v>
      </c>
      <c r="F8277" s="196">
        <v>0</v>
      </c>
      <c r="G8277" s="196">
        <v>-270000</v>
      </c>
    </row>
    <row r="8278" spans="1:7" x14ac:dyDescent="0.3">
      <c r="A8278" s="198">
        <v>71786130</v>
      </c>
      <c r="B8278" s="192" t="s">
        <v>1480</v>
      </c>
      <c r="C8278" s="196">
        <v>-215900</v>
      </c>
      <c r="D8278" s="196">
        <v>0</v>
      </c>
      <c r="E8278" s="196">
        <v>380000</v>
      </c>
      <c r="F8278" s="196">
        <v>-380000</v>
      </c>
      <c r="G8278" s="196">
        <v>-595900</v>
      </c>
    </row>
    <row r="8279" spans="1:7" x14ac:dyDescent="0.3">
      <c r="A8279" s="198">
        <v>1023595632</v>
      </c>
      <c r="B8279" s="192" t="s">
        <v>1481</v>
      </c>
      <c r="C8279" s="196">
        <v>-50900</v>
      </c>
      <c r="D8279" s="196">
        <v>0</v>
      </c>
      <c r="E8279" s="196">
        <v>50900</v>
      </c>
      <c r="F8279" s="196">
        <v>-50900</v>
      </c>
      <c r="G8279" s="196">
        <v>-101800</v>
      </c>
    </row>
    <row r="8280" spans="1:7" x14ac:dyDescent="0.3">
      <c r="A8280" s="198">
        <v>1017931594</v>
      </c>
      <c r="B8280" s="192" t="s">
        <v>6029</v>
      </c>
      <c r="C8280" s="196">
        <v>-50900</v>
      </c>
      <c r="D8280" s="196">
        <v>0</v>
      </c>
      <c r="E8280" s="196">
        <v>0</v>
      </c>
      <c r="F8280" s="196">
        <v>0</v>
      </c>
      <c r="G8280" s="196">
        <v>-50900</v>
      </c>
    </row>
    <row r="8281" spans="1:7" x14ac:dyDescent="0.3">
      <c r="A8281" s="198">
        <v>1034996059</v>
      </c>
      <c r="B8281" s="192" t="s">
        <v>6030</v>
      </c>
      <c r="C8281" s="196">
        <v>-50900</v>
      </c>
      <c r="D8281" s="196">
        <v>0</v>
      </c>
      <c r="E8281" s="196">
        <v>0</v>
      </c>
      <c r="F8281" s="196">
        <v>0</v>
      </c>
      <c r="G8281" s="196">
        <v>-50900</v>
      </c>
    </row>
    <row r="8282" spans="1:7" x14ac:dyDescent="0.3">
      <c r="A8282" s="198">
        <v>1023549414</v>
      </c>
      <c r="B8282" s="192" t="s">
        <v>6031</v>
      </c>
      <c r="C8282" s="196">
        <v>-41400</v>
      </c>
      <c r="D8282" s="196">
        <v>0</v>
      </c>
      <c r="E8282" s="196">
        <v>0</v>
      </c>
      <c r="F8282" s="196">
        <v>0</v>
      </c>
      <c r="G8282" s="196">
        <v>-41400</v>
      </c>
    </row>
    <row r="8283" spans="1:7" x14ac:dyDescent="0.3">
      <c r="A8283" s="198">
        <v>1036929071</v>
      </c>
      <c r="B8283" s="192" t="s">
        <v>6032</v>
      </c>
      <c r="C8283" s="196">
        <v>-101800</v>
      </c>
      <c r="D8283" s="196">
        <v>0</v>
      </c>
      <c r="E8283" s="196">
        <v>0</v>
      </c>
      <c r="F8283" s="196">
        <v>0</v>
      </c>
      <c r="G8283" s="196">
        <v>-101800</v>
      </c>
    </row>
    <row r="8284" spans="1:7" x14ac:dyDescent="0.3">
      <c r="A8284" s="198">
        <v>1037616405</v>
      </c>
      <c r="B8284" s="192" t="s">
        <v>6033</v>
      </c>
      <c r="C8284" s="196">
        <v>-50900</v>
      </c>
      <c r="D8284" s="196">
        <v>0</v>
      </c>
      <c r="E8284" s="196">
        <v>0</v>
      </c>
      <c r="F8284" s="196">
        <v>0</v>
      </c>
      <c r="G8284" s="196">
        <v>-50900</v>
      </c>
    </row>
    <row r="8285" spans="1:7" x14ac:dyDescent="0.3">
      <c r="A8285" s="198">
        <v>1062442511</v>
      </c>
      <c r="B8285" s="192" t="s">
        <v>1483</v>
      </c>
      <c r="C8285" s="196">
        <v>0</v>
      </c>
      <c r="D8285" s="196">
        <v>0</v>
      </c>
      <c r="E8285" s="196">
        <v>50900</v>
      </c>
      <c r="F8285" s="196">
        <v>-50900</v>
      </c>
      <c r="G8285" s="196">
        <v>-50900</v>
      </c>
    </row>
    <row r="8286" spans="1:7" x14ac:dyDescent="0.3">
      <c r="A8286" s="198">
        <v>8355871</v>
      </c>
      <c r="B8286" s="192" t="s">
        <v>6034</v>
      </c>
      <c r="C8286" s="196">
        <v>-50900</v>
      </c>
      <c r="D8286" s="196">
        <v>0</v>
      </c>
      <c r="E8286" s="196">
        <v>0</v>
      </c>
      <c r="F8286" s="196">
        <v>0</v>
      </c>
      <c r="G8286" s="196">
        <v>-50900</v>
      </c>
    </row>
    <row r="8287" spans="1:7" x14ac:dyDescent="0.3">
      <c r="A8287" s="198">
        <v>1037667261</v>
      </c>
      <c r="B8287" s="192" t="s">
        <v>6035</v>
      </c>
      <c r="C8287" s="196">
        <v>-54200</v>
      </c>
      <c r="D8287" s="196">
        <v>0</v>
      </c>
      <c r="E8287" s="196">
        <v>0</v>
      </c>
      <c r="F8287" s="196">
        <v>0</v>
      </c>
      <c r="G8287" s="196">
        <v>-54200</v>
      </c>
    </row>
    <row r="8288" spans="1:7" x14ac:dyDescent="0.3">
      <c r="A8288" s="198">
        <v>1035007577</v>
      </c>
      <c r="B8288" s="192" t="s">
        <v>6036</v>
      </c>
      <c r="C8288" s="196">
        <v>-50900</v>
      </c>
      <c r="D8288" s="196">
        <v>0</v>
      </c>
      <c r="E8288" s="196">
        <v>0</v>
      </c>
      <c r="F8288" s="196">
        <v>0</v>
      </c>
      <c r="G8288" s="196">
        <v>-50900</v>
      </c>
    </row>
    <row r="8289" spans="1:7" x14ac:dyDescent="0.3">
      <c r="A8289" s="198">
        <v>1035018545</v>
      </c>
      <c r="B8289" s="192" t="s">
        <v>6037</v>
      </c>
      <c r="C8289" s="196">
        <v>-54200</v>
      </c>
      <c r="D8289" s="196">
        <v>0</v>
      </c>
      <c r="E8289" s="196">
        <v>0</v>
      </c>
      <c r="F8289" s="196">
        <v>0</v>
      </c>
      <c r="G8289" s="196">
        <v>-54200</v>
      </c>
    </row>
    <row r="8290" spans="1:7" x14ac:dyDescent="0.3">
      <c r="A8290" s="198">
        <v>1238939250</v>
      </c>
      <c r="B8290" s="192" t="s">
        <v>6038</v>
      </c>
      <c r="C8290" s="196">
        <v>-50900</v>
      </c>
      <c r="D8290" s="196">
        <v>0</v>
      </c>
      <c r="E8290" s="196">
        <v>0</v>
      </c>
      <c r="F8290" s="196">
        <v>0</v>
      </c>
      <c r="G8290" s="196">
        <v>-50900</v>
      </c>
    </row>
    <row r="8291" spans="1:7" x14ac:dyDescent="0.3">
      <c r="A8291" s="198">
        <v>1035025610</v>
      </c>
      <c r="B8291" s="192" t="s">
        <v>6039</v>
      </c>
      <c r="C8291" s="196">
        <v>-50900</v>
      </c>
      <c r="D8291" s="196">
        <v>0</v>
      </c>
      <c r="E8291" s="196">
        <v>0</v>
      </c>
      <c r="F8291" s="196">
        <v>0</v>
      </c>
      <c r="G8291" s="196">
        <v>-50900</v>
      </c>
    </row>
    <row r="8292" spans="1:7" x14ac:dyDescent="0.3">
      <c r="A8292" s="198">
        <v>1035019049</v>
      </c>
      <c r="B8292" s="192" t="s">
        <v>6040</v>
      </c>
      <c r="C8292" s="196">
        <v>-50900</v>
      </c>
      <c r="D8292" s="196">
        <v>0</v>
      </c>
      <c r="E8292" s="196">
        <v>0</v>
      </c>
      <c r="F8292" s="196">
        <v>0</v>
      </c>
      <c r="G8292" s="196">
        <v>-50900</v>
      </c>
    </row>
    <row r="8293" spans="1:7" x14ac:dyDescent="0.3">
      <c r="A8293" s="198">
        <v>32241870</v>
      </c>
      <c r="B8293" s="192" t="s">
        <v>6041</v>
      </c>
      <c r="C8293" s="196">
        <v>-114400</v>
      </c>
      <c r="D8293" s="196">
        <v>0</v>
      </c>
      <c r="E8293" s="196">
        <v>0</v>
      </c>
      <c r="F8293" s="196">
        <v>0</v>
      </c>
      <c r="G8293" s="196">
        <v>-114400</v>
      </c>
    </row>
    <row r="8294" spans="1:7" x14ac:dyDescent="0.3">
      <c r="A8294" s="198">
        <v>1017170227</v>
      </c>
      <c r="B8294" s="192" t="s">
        <v>6042</v>
      </c>
      <c r="C8294" s="196">
        <v>-50900</v>
      </c>
      <c r="D8294" s="196">
        <v>0</v>
      </c>
      <c r="E8294" s="196">
        <v>0</v>
      </c>
      <c r="F8294" s="196">
        <v>0</v>
      </c>
      <c r="G8294" s="196">
        <v>-50900</v>
      </c>
    </row>
    <row r="8295" spans="1:7" x14ac:dyDescent="0.3">
      <c r="A8295" s="198">
        <v>1082774773</v>
      </c>
      <c r="B8295" s="192" t="s">
        <v>6043</v>
      </c>
      <c r="C8295" s="196">
        <v>-110000</v>
      </c>
      <c r="D8295" s="196">
        <v>0</v>
      </c>
      <c r="E8295" s="196">
        <v>0</v>
      </c>
      <c r="F8295" s="196">
        <v>0</v>
      </c>
      <c r="G8295" s="196">
        <v>-110000</v>
      </c>
    </row>
    <row r="8296" spans="1:7" x14ac:dyDescent="0.3">
      <c r="A8296" s="198">
        <v>43654038</v>
      </c>
      <c r="B8296" s="192" t="s">
        <v>6044</v>
      </c>
      <c r="C8296" s="196">
        <v>-297000</v>
      </c>
      <c r="D8296" s="196">
        <v>0</v>
      </c>
      <c r="E8296" s="196">
        <v>0</v>
      </c>
      <c r="F8296" s="196">
        <v>0</v>
      </c>
      <c r="G8296" s="196">
        <v>-297000</v>
      </c>
    </row>
    <row r="8297" spans="1:7" x14ac:dyDescent="0.3">
      <c r="A8297" s="198">
        <v>32339350</v>
      </c>
      <c r="B8297" s="192" t="s">
        <v>1484</v>
      </c>
      <c r="C8297" s="196">
        <v>-319000</v>
      </c>
      <c r="D8297" s="196">
        <v>0</v>
      </c>
      <c r="E8297" s="196">
        <v>98000</v>
      </c>
      <c r="F8297" s="196">
        <v>-98000</v>
      </c>
      <c r="G8297" s="196">
        <v>-417000</v>
      </c>
    </row>
    <row r="8298" spans="1:7" x14ac:dyDescent="0.3">
      <c r="A8298" s="198">
        <v>34982146</v>
      </c>
      <c r="B8298" s="192" t="s">
        <v>6045</v>
      </c>
      <c r="C8298" s="196">
        <v>-101800</v>
      </c>
      <c r="D8298" s="196">
        <v>0</v>
      </c>
      <c r="E8298" s="196">
        <v>0</v>
      </c>
      <c r="F8298" s="196">
        <v>0</v>
      </c>
      <c r="G8298" s="196">
        <v>-101800</v>
      </c>
    </row>
    <row r="8299" spans="1:7" x14ac:dyDescent="0.3">
      <c r="A8299" s="192" t="s">
        <v>6046</v>
      </c>
      <c r="B8299" s="192" t="s">
        <v>6047</v>
      </c>
      <c r="C8299" s="196">
        <v>-110000</v>
      </c>
      <c r="D8299" s="196">
        <v>0</v>
      </c>
      <c r="E8299" s="196">
        <v>0</v>
      </c>
      <c r="F8299" s="196">
        <v>0</v>
      </c>
      <c r="G8299" s="196">
        <v>-110000</v>
      </c>
    </row>
    <row r="8300" spans="1:7" x14ac:dyDescent="0.3">
      <c r="A8300" s="198">
        <v>1022008659</v>
      </c>
      <c r="B8300" s="192" t="s">
        <v>6048</v>
      </c>
      <c r="C8300" s="196">
        <v>-42000</v>
      </c>
      <c r="D8300" s="196">
        <v>0</v>
      </c>
      <c r="E8300" s="196">
        <v>0</v>
      </c>
      <c r="F8300" s="196">
        <v>0</v>
      </c>
      <c r="G8300" s="196">
        <v>-42000</v>
      </c>
    </row>
    <row r="8301" spans="1:7" x14ac:dyDescent="0.3">
      <c r="A8301" s="198">
        <v>1015079971</v>
      </c>
      <c r="B8301" s="192" t="s">
        <v>6049</v>
      </c>
      <c r="C8301" s="196">
        <v>-50900</v>
      </c>
      <c r="D8301" s="196">
        <v>0</v>
      </c>
      <c r="E8301" s="196">
        <v>0</v>
      </c>
      <c r="F8301" s="196">
        <v>0</v>
      </c>
      <c r="G8301" s="196">
        <v>-50900</v>
      </c>
    </row>
    <row r="8302" spans="1:7" x14ac:dyDescent="0.3">
      <c r="A8302" s="198">
        <v>1022008611</v>
      </c>
      <c r="B8302" s="192" t="s">
        <v>6050</v>
      </c>
      <c r="C8302" s="196">
        <v>-50900</v>
      </c>
      <c r="D8302" s="196">
        <v>0</v>
      </c>
      <c r="E8302" s="196">
        <v>0</v>
      </c>
      <c r="F8302" s="196">
        <v>0</v>
      </c>
      <c r="G8302" s="196">
        <v>-50900</v>
      </c>
    </row>
    <row r="8303" spans="1:7" x14ac:dyDescent="0.3">
      <c r="A8303" s="198">
        <v>1020303554</v>
      </c>
      <c r="B8303" s="192" t="s">
        <v>1486</v>
      </c>
      <c r="C8303" s="196">
        <v>0</v>
      </c>
      <c r="D8303" s="196">
        <v>0</v>
      </c>
      <c r="E8303" s="196">
        <v>50900</v>
      </c>
      <c r="F8303" s="196">
        <v>-50900</v>
      </c>
      <c r="G8303" s="196">
        <v>-50900</v>
      </c>
    </row>
    <row r="8304" spans="1:7" x14ac:dyDescent="0.3">
      <c r="A8304" s="198">
        <v>22354088</v>
      </c>
      <c r="B8304" s="192" t="s">
        <v>6051</v>
      </c>
      <c r="C8304" s="196">
        <v>-319000</v>
      </c>
      <c r="D8304" s="196">
        <v>0</v>
      </c>
      <c r="E8304" s="196">
        <v>0</v>
      </c>
      <c r="F8304" s="196">
        <v>0</v>
      </c>
      <c r="G8304" s="196">
        <v>-319000</v>
      </c>
    </row>
    <row r="8305" spans="1:7" x14ac:dyDescent="0.3">
      <c r="A8305" s="198">
        <v>1023084793</v>
      </c>
      <c r="B8305" s="192" t="s">
        <v>6052</v>
      </c>
      <c r="C8305" s="196">
        <v>-36600</v>
      </c>
      <c r="D8305" s="196">
        <v>0</v>
      </c>
      <c r="E8305" s="196">
        <v>0</v>
      </c>
      <c r="F8305" s="196">
        <v>0</v>
      </c>
      <c r="G8305" s="196">
        <v>-36600</v>
      </c>
    </row>
    <row r="8306" spans="1:7" x14ac:dyDescent="0.3">
      <c r="A8306" s="198">
        <v>1126789291</v>
      </c>
      <c r="B8306" s="192" t="s">
        <v>6053</v>
      </c>
      <c r="C8306" s="196">
        <v>-50900</v>
      </c>
      <c r="D8306" s="196">
        <v>0</v>
      </c>
      <c r="E8306" s="196">
        <v>0</v>
      </c>
      <c r="F8306" s="196">
        <v>0</v>
      </c>
      <c r="G8306" s="196">
        <v>-50900</v>
      </c>
    </row>
    <row r="8307" spans="1:7" x14ac:dyDescent="0.3">
      <c r="A8307" s="198">
        <v>7627766</v>
      </c>
      <c r="B8307" s="192" t="s">
        <v>6054</v>
      </c>
      <c r="C8307" s="196">
        <v>-50900</v>
      </c>
      <c r="D8307" s="196">
        <v>0</v>
      </c>
      <c r="E8307" s="196">
        <v>0</v>
      </c>
      <c r="F8307" s="196">
        <v>0</v>
      </c>
      <c r="G8307" s="196">
        <v>-50900</v>
      </c>
    </row>
    <row r="8308" spans="1:7" x14ac:dyDescent="0.3">
      <c r="A8308" s="198">
        <v>1083047525</v>
      </c>
      <c r="B8308" s="192" t="s">
        <v>6055</v>
      </c>
      <c r="C8308" s="196">
        <v>-49000</v>
      </c>
      <c r="D8308" s="196">
        <v>0</v>
      </c>
      <c r="E8308" s="196">
        <v>0</v>
      </c>
      <c r="F8308" s="196">
        <v>0</v>
      </c>
      <c r="G8308" s="196">
        <v>-49000</v>
      </c>
    </row>
    <row r="8309" spans="1:7" x14ac:dyDescent="0.3">
      <c r="A8309" s="198">
        <v>1035025913</v>
      </c>
      <c r="B8309" s="192" t="s">
        <v>6056</v>
      </c>
      <c r="C8309" s="196">
        <v>-47400</v>
      </c>
      <c r="D8309" s="196">
        <v>0</v>
      </c>
      <c r="E8309" s="196">
        <v>0</v>
      </c>
      <c r="F8309" s="196">
        <v>0</v>
      </c>
      <c r="G8309" s="196">
        <v>-47400</v>
      </c>
    </row>
    <row r="8310" spans="1:7" x14ac:dyDescent="0.3">
      <c r="A8310" s="198">
        <v>1032186850</v>
      </c>
      <c r="B8310" s="192" t="s">
        <v>1487</v>
      </c>
      <c r="C8310" s="196">
        <v>0</v>
      </c>
      <c r="D8310" s="196">
        <v>0</v>
      </c>
      <c r="E8310" s="196">
        <v>50900</v>
      </c>
      <c r="F8310" s="196">
        <v>-50900</v>
      </c>
      <c r="G8310" s="196">
        <v>-50900</v>
      </c>
    </row>
    <row r="8311" spans="1:7" x14ac:dyDescent="0.3">
      <c r="A8311" s="198">
        <v>1034994145</v>
      </c>
      <c r="B8311" s="192" t="s">
        <v>1488</v>
      </c>
      <c r="C8311" s="196">
        <v>-50900</v>
      </c>
      <c r="D8311" s="196">
        <v>0</v>
      </c>
      <c r="E8311" s="196">
        <v>0</v>
      </c>
      <c r="F8311" s="196">
        <v>0</v>
      </c>
      <c r="G8311" s="196">
        <v>-50900</v>
      </c>
    </row>
    <row r="8312" spans="1:7" x14ac:dyDescent="0.3">
      <c r="A8312" s="198">
        <v>1017933078</v>
      </c>
      <c r="B8312" s="192" t="s">
        <v>6057</v>
      </c>
      <c r="C8312" s="196">
        <v>-50900</v>
      </c>
      <c r="D8312" s="196">
        <v>0</v>
      </c>
      <c r="E8312" s="196">
        <v>0</v>
      </c>
      <c r="F8312" s="196">
        <v>0</v>
      </c>
      <c r="G8312" s="196">
        <v>-50900</v>
      </c>
    </row>
    <row r="8313" spans="1:7" x14ac:dyDescent="0.3">
      <c r="A8313" s="198">
        <v>1152472229</v>
      </c>
      <c r="B8313" s="192" t="s">
        <v>1489</v>
      </c>
      <c r="C8313" s="196">
        <v>-319000</v>
      </c>
      <c r="D8313" s="196">
        <v>0</v>
      </c>
      <c r="E8313" s="196">
        <v>0</v>
      </c>
      <c r="F8313" s="196">
        <v>0</v>
      </c>
      <c r="G8313" s="196">
        <v>-319000</v>
      </c>
    </row>
    <row r="8314" spans="1:7" x14ac:dyDescent="0.3">
      <c r="A8314" s="198">
        <v>1034993635</v>
      </c>
      <c r="B8314" s="192" t="s">
        <v>6058</v>
      </c>
      <c r="C8314" s="196">
        <v>-50900</v>
      </c>
      <c r="D8314" s="196">
        <v>0</v>
      </c>
      <c r="E8314" s="196">
        <v>0</v>
      </c>
      <c r="F8314" s="196">
        <v>0</v>
      </c>
      <c r="G8314" s="196">
        <v>-50900</v>
      </c>
    </row>
    <row r="8315" spans="1:7" x14ac:dyDescent="0.3">
      <c r="A8315" s="198">
        <v>1035002012</v>
      </c>
      <c r="B8315" s="192" t="s">
        <v>6059</v>
      </c>
      <c r="C8315" s="196">
        <v>-50900</v>
      </c>
      <c r="D8315" s="196">
        <v>0</v>
      </c>
      <c r="E8315" s="196">
        <v>0</v>
      </c>
      <c r="F8315" s="196">
        <v>0</v>
      </c>
      <c r="G8315" s="196">
        <v>-50900</v>
      </c>
    </row>
    <row r="8316" spans="1:7" x14ac:dyDescent="0.3">
      <c r="A8316" s="198">
        <v>1035003601</v>
      </c>
      <c r="B8316" s="192" t="s">
        <v>6060</v>
      </c>
      <c r="C8316" s="196">
        <v>-47400</v>
      </c>
      <c r="D8316" s="196">
        <v>0</v>
      </c>
      <c r="E8316" s="196">
        <v>0</v>
      </c>
      <c r="F8316" s="196">
        <v>0</v>
      </c>
      <c r="G8316" s="196">
        <v>-47400</v>
      </c>
    </row>
    <row r="8317" spans="1:7" x14ac:dyDescent="0.3">
      <c r="A8317" s="198">
        <v>1239491630</v>
      </c>
      <c r="B8317" s="192" t="s">
        <v>6061</v>
      </c>
      <c r="C8317" s="196">
        <v>-50900</v>
      </c>
      <c r="D8317" s="196">
        <v>0</v>
      </c>
      <c r="E8317" s="196">
        <v>0</v>
      </c>
      <c r="F8317" s="196">
        <v>0</v>
      </c>
      <c r="G8317" s="196">
        <v>-50900</v>
      </c>
    </row>
    <row r="8318" spans="1:7" x14ac:dyDescent="0.3">
      <c r="A8318" s="198">
        <v>223226770</v>
      </c>
      <c r="B8318" s="192" t="s">
        <v>6062</v>
      </c>
      <c r="C8318" s="196">
        <v>-50900</v>
      </c>
      <c r="D8318" s="196">
        <v>0</v>
      </c>
      <c r="E8318" s="196">
        <v>0</v>
      </c>
      <c r="F8318" s="196">
        <v>0</v>
      </c>
      <c r="G8318" s="196">
        <v>-50900</v>
      </c>
    </row>
    <row r="8319" spans="1:7" x14ac:dyDescent="0.3">
      <c r="A8319" s="198">
        <v>1193569496</v>
      </c>
      <c r="B8319" s="192" t="s">
        <v>1490</v>
      </c>
      <c r="C8319" s="196">
        <v>-297000</v>
      </c>
      <c r="D8319" s="196">
        <v>0</v>
      </c>
      <c r="E8319" s="196">
        <v>0</v>
      </c>
      <c r="F8319" s="196">
        <v>0</v>
      </c>
      <c r="G8319" s="196">
        <v>-297000</v>
      </c>
    </row>
    <row r="8320" spans="1:7" x14ac:dyDescent="0.3">
      <c r="A8320" s="198">
        <v>1033258803</v>
      </c>
      <c r="B8320" s="192" t="s">
        <v>6063</v>
      </c>
      <c r="C8320" s="196">
        <v>-47000</v>
      </c>
      <c r="D8320" s="196">
        <v>0</v>
      </c>
      <c r="E8320" s="196">
        <v>0</v>
      </c>
      <c r="F8320" s="196">
        <v>0</v>
      </c>
      <c r="G8320" s="196">
        <v>-47000</v>
      </c>
    </row>
    <row r="8321" spans="1:7" x14ac:dyDescent="0.3">
      <c r="A8321" s="198">
        <v>1092538479</v>
      </c>
      <c r="B8321" s="192" t="s">
        <v>6064</v>
      </c>
      <c r="C8321" s="196">
        <v>-50900</v>
      </c>
      <c r="D8321" s="196">
        <v>0</v>
      </c>
      <c r="E8321" s="196">
        <v>0</v>
      </c>
      <c r="F8321" s="196">
        <v>0</v>
      </c>
      <c r="G8321" s="196">
        <v>-50900</v>
      </c>
    </row>
    <row r="8322" spans="1:7" x14ac:dyDescent="0.3">
      <c r="A8322" s="198">
        <v>1053839656</v>
      </c>
      <c r="B8322" s="192" t="s">
        <v>6065</v>
      </c>
      <c r="C8322" s="196">
        <v>-50900</v>
      </c>
      <c r="D8322" s="196">
        <v>0</v>
      </c>
      <c r="E8322" s="196">
        <v>0</v>
      </c>
      <c r="F8322" s="196">
        <v>0</v>
      </c>
      <c r="G8322" s="196">
        <v>-50900</v>
      </c>
    </row>
    <row r="8323" spans="1:7" x14ac:dyDescent="0.3">
      <c r="A8323" s="198">
        <v>1020310231</v>
      </c>
      <c r="B8323" s="192" t="s">
        <v>6066</v>
      </c>
      <c r="C8323" s="196">
        <v>-50900</v>
      </c>
      <c r="D8323" s="196">
        <v>0</v>
      </c>
      <c r="E8323" s="196">
        <v>0</v>
      </c>
      <c r="F8323" s="196">
        <v>0</v>
      </c>
      <c r="G8323" s="196">
        <v>-50900</v>
      </c>
    </row>
    <row r="8324" spans="1:7" x14ac:dyDescent="0.3">
      <c r="A8324" s="198">
        <v>1020120162</v>
      </c>
      <c r="B8324" s="192" t="s">
        <v>6067</v>
      </c>
      <c r="C8324" s="196">
        <v>-28400</v>
      </c>
      <c r="D8324" s="196">
        <v>0</v>
      </c>
      <c r="E8324" s="196">
        <v>0</v>
      </c>
      <c r="F8324" s="196">
        <v>0</v>
      </c>
      <c r="G8324" s="196">
        <v>-28400</v>
      </c>
    </row>
    <row r="8325" spans="1:7" x14ac:dyDescent="0.3">
      <c r="A8325" s="198">
        <v>1001368274</v>
      </c>
      <c r="B8325" s="192" t="s">
        <v>6068</v>
      </c>
      <c r="C8325" s="196">
        <v>-50900</v>
      </c>
      <c r="D8325" s="196">
        <v>0</v>
      </c>
      <c r="E8325" s="196">
        <v>0</v>
      </c>
      <c r="F8325" s="196">
        <v>0</v>
      </c>
      <c r="G8325" s="196">
        <v>-50900</v>
      </c>
    </row>
    <row r="8326" spans="1:7" x14ac:dyDescent="0.3">
      <c r="A8326" s="198">
        <v>1035011634</v>
      </c>
      <c r="B8326" s="192" t="s">
        <v>6069</v>
      </c>
      <c r="C8326" s="196">
        <v>-50900</v>
      </c>
      <c r="D8326" s="196">
        <v>0</v>
      </c>
      <c r="E8326" s="196">
        <v>0</v>
      </c>
      <c r="F8326" s="196">
        <v>0</v>
      </c>
      <c r="G8326" s="196">
        <v>-50900</v>
      </c>
    </row>
    <row r="8327" spans="1:7" x14ac:dyDescent="0.3">
      <c r="A8327" s="198">
        <v>1022003821</v>
      </c>
      <c r="B8327" s="192" t="s">
        <v>6070</v>
      </c>
      <c r="C8327" s="196">
        <v>-101800</v>
      </c>
      <c r="D8327" s="196">
        <v>0</v>
      </c>
      <c r="E8327" s="196">
        <v>0</v>
      </c>
      <c r="F8327" s="196">
        <v>0</v>
      </c>
      <c r="G8327" s="196">
        <v>-101800</v>
      </c>
    </row>
    <row r="8328" spans="1:7" x14ac:dyDescent="0.3">
      <c r="A8328" s="198">
        <v>1017931749</v>
      </c>
      <c r="B8328" s="192" t="s">
        <v>6071</v>
      </c>
      <c r="C8328" s="196">
        <v>-50900</v>
      </c>
      <c r="D8328" s="196">
        <v>0</v>
      </c>
      <c r="E8328" s="196">
        <v>0</v>
      </c>
      <c r="F8328" s="196">
        <v>0</v>
      </c>
      <c r="G8328" s="196">
        <v>-50900</v>
      </c>
    </row>
    <row r="8329" spans="1:7" x14ac:dyDescent="0.3">
      <c r="A8329" s="198">
        <v>1035025746</v>
      </c>
      <c r="B8329" s="192" t="s">
        <v>6072</v>
      </c>
      <c r="C8329" s="196">
        <v>-50900</v>
      </c>
      <c r="D8329" s="196">
        <v>0</v>
      </c>
      <c r="E8329" s="196">
        <v>0</v>
      </c>
      <c r="F8329" s="196">
        <v>0</v>
      </c>
      <c r="G8329" s="196">
        <v>-50900</v>
      </c>
    </row>
    <row r="8330" spans="1:7" x14ac:dyDescent="0.3">
      <c r="A8330" s="192" t="s">
        <v>6073</v>
      </c>
      <c r="B8330" s="192" t="s">
        <v>6074</v>
      </c>
      <c r="C8330" s="196">
        <v>-162000</v>
      </c>
      <c r="D8330" s="196">
        <v>0</v>
      </c>
      <c r="E8330" s="196">
        <v>0</v>
      </c>
      <c r="F8330" s="196">
        <v>0</v>
      </c>
      <c r="G8330" s="196">
        <v>-162000</v>
      </c>
    </row>
    <row r="8331" spans="1:7" x14ac:dyDescent="0.3">
      <c r="A8331" s="198">
        <v>901263532</v>
      </c>
      <c r="B8331" s="192" t="s">
        <v>6075</v>
      </c>
      <c r="C8331" s="196">
        <v>-340000</v>
      </c>
      <c r="D8331" s="196">
        <v>0</v>
      </c>
      <c r="E8331" s="196">
        <v>0</v>
      </c>
      <c r="F8331" s="196">
        <v>0</v>
      </c>
      <c r="G8331" s="196">
        <v>-340000</v>
      </c>
    </row>
    <row r="8332" spans="1:7" x14ac:dyDescent="0.3">
      <c r="A8332" s="198">
        <v>1094880470</v>
      </c>
      <c r="B8332" s="192" t="s">
        <v>1491</v>
      </c>
      <c r="C8332" s="196">
        <v>0</v>
      </c>
      <c r="D8332" s="196">
        <v>0</v>
      </c>
      <c r="E8332" s="196">
        <v>319000</v>
      </c>
      <c r="F8332" s="196">
        <v>-319000</v>
      </c>
      <c r="G8332" s="196">
        <v>-319000</v>
      </c>
    </row>
    <row r="8333" spans="1:7" x14ac:dyDescent="0.3">
      <c r="A8333" s="198">
        <v>32461219</v>
      </c>
      <c r="B8333" s="192" t="s">
        <v>6076</v>
      </c>
      <c r="C8333" s="196">
        <v>-57200</v>
      </c>
      <c r="D8333" s="196">
        <v>0</v>
      </c>
      <c r="E8333" s="196">
        <v>0</v>
      </c>
      <c r="F8333" s="196">
        <v>0</v>
      </c>
      <c r="G8333" s="196">
        <v>-57200</v>
      </c>
    </row>
    <row r="8334" spans="1:7" x14ac:dyDescent="0.3">
      <c r="A8334" s="198">
        <v>21431578</v>
      </c>
      <c r="B8334" s="192" t="s">
        <v>6077</v>
      </c>
      <c r="C8334" s="196">
        <v>-50900</v>
      </c>
      <c r="D8334" s="196">
        <v>0</v>
      </c>
      <c r="E8334" s="196">
        <v>0</v>
      </c>
      <c r="F8334" s="196">
        <v>0</v>
      </c>
      <c r="G8334" s="196">
        <v>-50900</v>
      </c>
    </row>
    <row r="8335" spans="1:7" x14ac:dyDescent="0.3">
      <c r="A8335" s="198">
        <v>52066465</v>
      </c>
      <c r="B8335" s="192" t="s">
        <v>6078</v>
      </c>
      <c r="C8335" s="196">
        <v>-108400</v>
      </c>
      <c r="D8335" s="196">
        <v>0</v>
      </c>
      <c r="E8335" s="196">
        <v>0</v>
      </c>
      <c r="F8335" s="196">
        <v>0</v>
      </c>
      <c r="G8335" s="196">
        <v>-108400</v>
      </c>
    </row>
    <row r="8336" spans="1:7" x14ac:dyDescent="0.3">
      <c r="A8336" s="198">
        <v>1042063413</v>
      </c>
      <c r="B8336" s="192" t="s">
        <v>6079</v>
      </c>
      <c r="C8336" s="196">
        <v>-270000</v>
      </c>
      <c r="D8336" s="196">
        <v>0</v>
      </c>
      <c r="E8336" s="196">
        <v>0</v>
      </c>
      <c r="F8336" s="196">
        <v>0</v>
      </c>
      <c r="G8336" s="196">
        <v>-270000</v>
      </c>
    </row>
    <row r="8337" spans="1:7" x14ac:dyDescent="0.3">
      <c r="A8337" s="198">
        <v>1021809812</v>
      </c>
      <c r="B8337" s="192" t="s">
        <v>6080</v>
      </c>
      <c r="C8337" s="196">
        <v>-50900</v>
      </c>
      <c r="D8337" s="196">
        <v>0</v>
      </c>
      <c r="E8337" s="196">
        <v>0</v>
      </c>
      <c r="F8337" s="196">
        <v>0</v>
      </c>
      <c r="G8337" s="196">
        <v>-50900</v>
      </c>
    </row>
    <row r="8338" spans="1:7" x14ac:dyDescent="0.3">
      <c r="A8338" s="198">
        <v>1127541659</v>
      </c>
      <c r="B8338" s="192" t="s">
        <v>1492</v>
      </c>
      <c r="C8338" s="196">
        <v>0</v>
      </c>
      <c r="D8338" s="196">
        <v>0</v>
      </c>
      <c r="E8338" s="196">
        <v>50900</v>
      </c>
      <c r="F8338" s="196">
        <v>-50900</v>
      </c>
      <c r="G8338" s="196">
        <v>-50900</v>
      </c>
    </row>
    <row r="8339" spans="1:7" x14ac:dyDescent="0.3">
      <c r="A8339" s="198">
        <v>43742280</v>
      </c>
      <c r="B8339" s="192" t="s">
        <v>6081</v>
      </c>
      <c r="C8339" s="196">
        <v>-87800</v>
      </c>
      <c r="D8339" s="196">
        <v>0</v>
      </c>
      <c r="E8339" s="196">
        <v>0</v>
      </c>
      <c r="F8339" s="196">
        <v>0</v>
      </c>
      <c r="G8339" s="196">
        <v>-87800</v>
      </c>
    </row>
    <row r="8340" spans="1:7" x14ac:dyDescent="0.3">
      <c r="A8340" s="192" t="s">
        <v>6082</v>
      </c>
      <c r="B8340" s="192" t="s">
        <v>6083</v>
      </c>
      <c r="C8340" s="196">
        <v>-616000</v>
      </c>
      <c r="D8340" s="196">
        <v>0</v>
      </c>
      <c r="E8340" s="196">
        <v>0</v>
      </c>
      <c r="F8340" s="196">
        <v>0</v>
      </c>
      <c r="G8340" s="196">
        <v>-616000</v>
      </c>
    </row>
    <row r="8341" spans="1:7" x14ac:dyDescent="0.3">
      <c r="A8341" s="198">
        <v>6032891</v>
      </c>
      <c r="B8341" s="192" t="s">
        <v>6084</v>
      </c>
      <c r="C8341" s="196">
        <v>-50900</v>
      </c>
      <c r="D8341" s="196">
        <v>0</v>
      </c>
      <c r="E8341" s="196">
        <v>0</v>
      </c>
      <c r="F8341" s="196">
        <v>0</v>
      </c>
      <c r="G8341" s="196">
        <v>-50900</v>
      </c>
    </row>
    <row r="8342" spans="1:7" x14ac:dyDescent="0.3">
      <c r="A8342" s="198">
        <v>1000438724</v>
      </c>
      <c r="B8342" s="192" t="s">
        <v>6085</v>
      </c>
      <c r="C8342" s="196">
        <v>-101800</v>
      </c>
      <c r="D8342" s="196">
        <v>0</v>
      </c>
      <c r="E8342" s="196">
        <v>0</v>
      </c>
      <c r="F8342" s="196">
        <v>0</v>
      </c>
      <c r="G8342" s="196">
        <v>-101800</v>
      </c>
    </row>
    <row r="8343" spans="1:7" x14ac:dyDescent="0.3">
      <c r="A8343" s="198">
        <v>1017248400</v>
      </c>
      <c r="B8343" s="192" t="s">
        <v>6086</v>
      </c>
      <c r="C8343" s="196">
        <v>-165000</v>
      </c>
      <c r="D8343" s="196">
        <v>0</v>
      </c>
      <c r="E8343" s="196">
        <v>0</v>
      </c>
      <c r="F8343" s="196">
        <v>0</v>
      </c>
      <c r="G8343" s="196">
        <v>-165000</v>
      </c>
    </row>
    <row r="8344" spans="1:7" x14ac:dyDescent="0.3">
      <c r="A8344" s="198">
        <v>1152198145</v>
      </c>
      <c r="B8344" s="192" t="s">
        <v>6087</v>
      </c>
      <c r="C8344" s="196">
        <v>-57200</v>
      </c>
      <c r="D8344" s="196">
        <v>0</v>
      </c>
      <c r="E8344" s="196">
        <v>0</v>
      </c>
      <c r="F8344" s="196">
        <v>0</v>
      </c>
      <c r="G8344" s="196">
        <v>-57200</v>
      </c>
    </row>
    <row r="8345" spans="1:7" x14ac:dyDescent="0.3">
      <c r="A8345" s="192" t="s">
        <v>6088</v>
      </c>
      <c r="B8345" s="192" t="s">
        <v>6089</v>
      </c>
      <c r="C8345" s="196">
        <v>-297000</v>
      </c>
      <c r="D8345" s="196">
        <v>0</v>
      </c>
      <c r="E8345" s="196">
        <v>0</v>
      </c>
      <c r="F8345" s="196">
        <v>0</v>
      </c>
      <c r="G8345" s="196">
        <v>-297000</v>
      </c>
    </row>
    <row r="8346" spans="1:7" x14ac:dyDescent="0.3">
      <c r="A8346" s="198">
        <v>1128393643</v>
      </c>
      <c r="B8346" s="192" t="s">
        <v>6090</v>
      </c>
      <c r="C8346" s="196">
        <v>-92800</v>
      </c>
      <c r="D8346" s="196">
        <v>0</v>
      </c>
      <c r="E8346" s="196">
        <v>0</v>
      </c>
      <c r="F8346" s="196">
        <v>0</v>
      </c>
      <c r="G8346" s="196">
        <v>-92800</v>
      </c>
    </row>
    <row r="8347" spans="1:7" x14ac:dyDescent="0.3">
      <c r="A8347" s="198">
        <v>1152438376</v>
      </c>
      <c r="B8347" s="192" t="s">
        <v>1494</v>
      </c>
      <c r="C8347" s="196">
        <v>0</v>
      </c>
      <c r="D8347" s="196">
        <v>0</v>
      </c>
      <c r="E8347" s="196">
        <v>297000</v>
      </c>
      <c r="F8347" s="196">
        <v>-297000</v>
      </c>
      <c r="G8347" s="196">
        <v>-297000</v>
      </c>
    </row>
    <row r="8348" spans="1:7" x14ac:dyDescent="0.3">
      <c r="A8348" s="198">
        <v>1020781698</v>
      </c>
      <c r="B8348" s="192" t="s">
        <v>6091</v>
      </c>
      <c r="C8348" s="196">
        <v>-57200</v>
      </c>
      <c r="D8348" s="196">
        <v>0</v>
      </c>
      <c r="E8348" s="196">
        <v>0</v>
      </c>
      <c r="F8348" s="196">
        <v>0</v>
      </c>
      <c r="G8348" s="196">
        <v>-57200</v>
      </c>
    </row>
    <row r="8349" spans="1:7" x14ac:dyDescent="0.3">
      <c r="A8349" s="198">
        <v>21377385</v>
      </c>
      <c r="B8349" s="192" t="s">
        <v>6092</v>
      </c>
      <c r="C8349" s="196">
        <v>-57200</v>
      </c>
      <c r="D8349" s="196">
        <v>0</v>
      </c>
      <c r="E8349" s="196">
        <v>0</v>
      </c>
      <c r="F8349" s="196">
        <v>0</v>
      </c>
      <c r="G8349" s="196">
        <v>-57200</v>
      </c>
    </row>
    <row r="8350" spans="1:7" x14ac:dyDescent="0.3">
      <c r="A8350" s="198">
        <v>1128282259</v>
      </c>
      <c r="B8350" s="192" t="s">
        <v>6093</v>
      </c>
      <c r="C8350" s="196">
        <v>-54200</v>
      </c>
      <c r="D8350" s="196">
        <v>0</v>
      </c>
      <c r="E8350" s="196">
        <v>0</v>
      </c>
      <c r="F8350" s="196">
        <v>0</v>
      </c>
      <c r="G8350" s="196">
        <v>-54200</v>
      </c>
    </row>
    <row r="8351" spans="1:7" x14ac:dyDescent="0.3">
      <c r="A8351" s="192" t="s">
        <v>1495</v>
      </c>
      <c r="B8351" s="192" t="s">
        <v>1496</v>
      </c>
      <c r="C8351" s="196">
        <v>0</v>
      </c>
      <c r="D8351" s="196">
        <v>0</v>
      </c>
      <c r="E8351" s="196">
        <v>110000</v>
      </c>
      <c r="F8351" s="196">
        <v>-110000</v>
      </c>
      <c r="G8351" s="196">
        <v>-110000</v>
      </c>
    </row>
    <row r="8352" spans="1:7" x14ac:dyDescent="0.3">
      <c r="A8352" s="198">
        <v>1037612270</v>
      </c>
      <c r="B8352" s="192" t="s">
        <v>6094</v>
      </c>
      <c r="C8352" s="196">
        <v>-50900</v>
      </c>
      <c r="D8352" s="196">
        <v>0</v>
      </c>
      <c r="E8352" s="196">
        <v>0</v>
      </c>
      <c r="F8352" s="196">
        <v>0</v>
      </c>
      <c r="G8352" s="196">
        <v>-50900</v>
      </c>
    </row>
    <row r="8353" spans="1:7" x14ac:dyDescent="0.3">
      <c r="A8353" s="198">
        <v>1037595867</v>
      </c>
      <c r="B8353" s="192" t="s">
        <v>6095</v>
      </c>
      <c r="C8353" s="196">
        <v>-50900</v>
      </c>
      <c r="D8353" s="196">
        <v>0</v>
      </c>
      <c r="E8353" s="196">
        <v>0</v>
      </c>
      <c r="F8353" s="196">
        <v>0</v>
      </c>
      <c r="G8353" s="196">
        <v>-50900</v>
      </c>
    </row>
    <row r="8354" spans="1:7" x14ac:dyDescent="0.3">
      <c r="A8354" s="198">
        <v>1035232080</v>
      </c>
      <c r="B8354" s="192" t="s">
        <v>6096</v>
      </c>
      <c r="C8354" s="196">
        <v>-110000</v>
      </c>
      <c r="D8354" s="196">
        <v>0</v>
      </c>
      <c r="E8354" s="196">
        <v>0</v>
      </c>
      <c r="F8354" s="196">
        <v>0</v>
      </c>
      <c r="G8354" s="196">
        <v>-110000</v>
      </c>
    </row>
    <row r="8355" spans="1:7" x14ac:dyDescent="0.3">
      <c r="A8355" s="198">
        <v>1152699542</v>
      </c>
      <c r="B8355" s="192" t="s">
        <v>6097</v>
      </c>
      <c r="C8355" s="196">
        <v>-108000</v>
      </c>
      <c r="D8355" s="196">
        <v>0</v>
      </c>
      <c r="E8355" s="196">
        <v>0</v>
      </c>
      <c r="F8355" s="196">
        <v>0</v>
      </c>
      <c r="G8355" s="196">
        <v>-108000</v>
      </c>
    </row>
    <row r="8356" spans="1:7" x14ac:dyDescent="0.3">
      <c r="A8356" s="198">
        <v>1038545825</v>
      </c>
      <c r="B8356" s="192" t="s">
        <v>6098</v>
      </c>
      <c r="C8356" s="196">
        <v>-270000</v>
      </c>
      <c r="D8356" s="196">
        <v>0</v>
      </c>
      <c r="E8356" s="196">
        <v>0</v>
      </c>
      <c r="F8356" s="196">
        <v>0</v>
      </c>
      <c r="G8356" s="196">
        <v>-270000</v>
      </c>
    </row>
    <row r="8357" spans="1:7" x14ac:dyDescent="0.3">
      <c r="A8357" s="198">
        <v>1022431434</v>
      </c>
      <c r="B8357" s="192" t="s">
        <v>6099</v>
      </c>
      <c r="C8357" s="196">
        <v>-101800</v>
      </c>
      <c r="D8357" s="196">
        <v>0</v>
      </c>
      <c r="E8357" s="196">
        <v>0</v>
      </c>
      <c r="F8357" s="196">
        <v>0</v>
      </c>
      <c r="G8357" s="196">
        <v>-101800</v>
      </c>
    </row>
    <row r="8358" spans="1:7" x14ac:dyDescent="0.3">
      <c r="A8358" s="198">
        <v>1036948328</v>
      </c>
      <c r="B8358" s="192" t="s">
        <v>6100</v>
      </c>
      <c r="C8358" s="196">
        <v>-41400</v>
      </c>
      <c r="D8358" s="196">
        <v>0</v>
      </c>
      <c r="E8358" s="196">
        <v>0</v>
      </c>
      <c r="F8358" s="196">
        <v>0</v>
      </c>
      <c r="G8358" s="196">
        <v>-41400</v>
      </c>
    </row>
    <row r="8359" spans="1:7" x14ac:dyDescent="0.3">
      <c r="A8359" s="198">
        <v>1128448506</v>
      </c>
      <c r="B8359" s="192" t="s">
        <v>6101</v>
      </c>
      <c r="C8359" s="196">
        <v>-47400</v>
      </c>
      <c r="D8359" s="196">
        <v>0</v>
      </c>
      <c r="E8359" s="196">
        <v>0</v>
      </c>
      <c r="F8359" s="196">
        <v>0</v>
      </c>
      <c r="G8359" s="196">
        <v>-47400</v>
      </c>
    </row>
    <row r="8360" spans="1:7" x14ac:dyDescent="0.3">
      <c r="A8360" s="198">
        <v>1017928165</v>
      </c>
      <c r="B8360" s="192" t="s">
        <v>6102</v>
      </c>
      <c r="C8360" s="196">
        <v>-49000</v>
      </c>
      <c r="D8360" s="196">
        <v>0</v>
      </c>
      <c r="E8360" s="196">
        <v>0</v>
      </c>
      <c r="F8360" s="196">
        <v>0</v>
      </c>
      <c r="G8360" s="196">
        <v>-49000</v>
      </c>
    </row>
    <row r="8361" spans="1:7" x14ac:dyDescent="0.3">
      <c r="A8361" s="198">
        <v>1035004068</v>
      </c>
      <c r="B8361" s="192" t="s">
        <v>6103</v>
      </c>
      <c r="C8361" s="196">
        <v>-101800</v>
      </c>
      <c r="D8361" s="196">
        <v>0</v>
      </c>
      <c r="E8361" s="196">
        <v>0</v>
      </c>
      <c r="F8361" s="196">
        <v>0</v>
      </c>
      <c r="G8361" s="196">
        <v>-101800</v>
      </c>
    </row>
    <row r="8362" spans="1:7" x14ac:dyDescent="0.3">
      <c r="A8362" s="198">
        <v>1037628518</v>
      </c>
      <c r="B8362" s="192" t="s">
        <v>6104</v>
      </c>
      <c r="C8362" s="196">
        <v>-46400</v>
      </c>
      <c r="D8362" s="196">
        <v>0</v>
      </c>
      <c r="E8362" s="196">
        <v>0</v>
      </c>
      <c r="F8362" s="196">
        <v>0</v>
      </c>
      <c r="G8362" s="196">
        <v>-46400</v>
      </c>
    </row>
    <row r="8363" spans="1:7" x14ac:dyDescent="0.3">
      <c r="A8363" s="198">
        <v>1020326557</v>
      </c>
      <c r="B8363" s="192" t="s">
        <v>6105</v>
      </c>
      <c r="C8363" s="196">
        <v>-46400</v>
      </c>
      <c r="D8363" s="196">
        <v>0</v>
      </c>
      <c r="E8363" s="196">
        <v>0</v>
      </c>
      <c r="F8363" s="196">
        <v>0</v>
      </c>
      <c r="G8363" s="196">
        <v>-46400</v>
      </c>
    </row>
    <row r="8364" spans="1:7" x14ac:dyDescent="0.3">
      <c r="A8364" s="198">
        <v>1015073021</v>
      </c>
      <c r="B8364" s="192" t="s">
        <v>6106</v>
      </c>
      <c r="C8364" s="196">
        <v>-207900</v>
      </c>
      <c r="D8364" s="196">
        <v>0</v>
      </c>
      <c r="E8364" s="196">
        <v>0</v>
      </c>
      <c r="F8364" s="196">
        <v>0</v>
      </c>
      <c r="G8364" s="196">
        <v>-207900</v>
      </c>
    </row>
    <row r="8365" spans="1:7" x14ac:dyDescent="0.3">
      <c r="A8365" s="198">
        <v>43628982</v>
      </c>
      <c r="B8365" s="192" t="s">
        <v>6107</v>
      </c>
      <c r="C8365" s="196">
        <v>-57200</v>
      </c>
      <c r="D8365" s="196">
        <v>0</v>
      </c>
      <c r="E8365" s="196">
        <v>0</v>
      </c>
      <c r="F8365" s="196">
        <v>0</v>
      </c>
      <c r="G8365" s="196">
        <v>-57200</v>
      </c>
    </row>
    <row r="8366" spans="1:7" x14ac:dyDescent="0.3">
      <c r="A8366" s="192" t="s">
        <v>1502</v>
      </c>
      <c r="B8366" s="192" t="s">
        <v>1503</v>
      </c>
      <c r="C8366" s="196">
        <v>0</v>
      </c>
      <c r="D8366" s="196">
        <v>0</v>
      </c>
      <c r="E8366" s="196">
        <v>297000</v>
      </c>
      <c r="F8366" s="196">
        <v>-297000</v>
      </c>
      <c r="G8366" s="196">
        <v>-297000</v>
      </c>
    </row>
    <row r="8367" spans="1:7" x14ac:dyDescent="0.3">
      <c r="A8367" s="198">
        <v>678656860</v>
      </c>
      <c r="B8367" s="192" t="s">
        <v>6108</v>
      </c>
      <c r="C8367" s="196">
        <v>-110000</v>
      </c>
      <c r="D8367" s="196">
        <v>0</v>
      </c>
      <c r="E8367" s="196">
        <v>0</v>
      </c>
      <c r="F8367" s="196">
        <v>0</v>
      </c>
      <c r="G8367" s="196">
        <v>-110000</v>
      </c>
    </row>
    <row r="8368" spans="1:7" x14ac:dyDescent="0.3">
      <c r="A8368" s="192" t="s">
        <v>1504</v>
      </c>
      <c r="B8368" s="192" t="s">
        <v>1505</v>
      </c>
      <c r="C8368" s="196">
        <v>-110000</v>
      </c>
      <c r="D8368" s="196">
        <v>0</v>
      </c>
      <c r="E8368" s="196">
        <v>0</v>
      </c>
      <c r="F8368" s="196">
        <v>0</v>
      </c>
      <c r="G8368" s="196">
        <v>-110000</v>
      </c>
    </row>
    <row r="8369" spans="1:7" x14ac:dyDescent="0.3">
      <c r="A8369" s="192" t="s">
        <v>6109</v>
      </c>
      <c r="B8369" s="192" t="s">
        <v>6110</v>
      </c>
      <c r="C8369" s="196">
        <v>-297000</v>
      </c>
      <c r="D8369" s="196">
        <v>0</v>
      </c>
      <c r="E8369" s="196">
        <v>0</v>
      </c>
      <c r="F8369" s="196">
        <v>0</v>
      </c>
      <c r="G8369" s="196">
        <v>-297000</v>
      </c>
    </row>
    <row r="8370" spans="1:7" x14ac:dyDescent="0.3">
      <c r="A8370" s="198">
        <v>1034998186</v>
      </c>
      <c r="B8370" s="192" t="s">
        <v>6111</v>
      </c>
      <c r="C8370" s="196">
        <v>-57800</v>
      </c>
      <c r="D8370" s="196">
        <v>0</v>
      </c>
      <c r="E8370" s="196">
        <v>0</v>
      </c>
      <c r="F8370" s="196">
        <v>0</v>
      </c>
      <c r="G8370" s="196">
        <v>-57800</v>
      </c>
    </row>
    <row r="8371" spans="1:7" x14ac:dyDescent="0.3">
      <c r="A8371" s="198">
        <v>1091680778</v>
      </c>
      <c r="B8371" s="192" t="s">
        <v>1506</v>
      </c>
      <c r="C8371" s="196">
        <v>0</v>
      </c>
      <c r="D8371" s="196">
        <v>0</v>
      </c>
      <c r="E8371" s="196">
        <v>297000</v>
      </c>
      <c r="F8371" s="196">
        <v>-297000</v>
      </c>
      <c r="G8371" s="196">
        <v>-297000</v>
      </c>
    </row>
    <row r="8372" spans="1:7" x14ac:dyDescent="0.3">
      <c r="A8372" s="198">
        <v>568062356</v>
      </c>
      <c r="B8372" s="192" t="s">
        <v>6112</v>
      </c>
      <c r="C8372" s="196">
        <v>-50900</v>
      </c>
      <c r="D8372" s="196">
        <v>0</v>
      </c>
      <c r="E8372" s="196">
        <v>0</v>
      </c>
      <c r="F8372" s="196">
        <v>0</v>
      </c>
      <c r="G8372" s="196">
        <v>-50900</v>
      </c>
    </row>
    <row r="8373" spans="1:7" x14ac:dyDescent="0.3">
      <c r="A8373" s="198">
        <v>1017143205</v>
      </c>
      <c r="B8373" s="192" t="s">
        <v>1507</v>
      </c>
      <c r="C8373" s="196">
        <v>0</v>
      </c>
      <c r="D8373" s="196">
        <v>0</v>
      </c>
      <c r="E8373" s="196">
        <v>50900</v>
      </c>
      <c r="F8373" s="196">
        <v>-50900</v>
      </c>
      <c r="G8373" s="196">
        <v>-50900</v>
      </c>
    </row>
    <row r="8374" spans="1:7" x14ac:dyDescent="0.3">
      <c r="A8374" s="198">
        <v>1152461049</v>
      </c>
      <c r="B8374" s="192" t="s">
        <v>1508</v>
      </c>
      <c r="C8374" s="196">
        <v>-50900</v>
      </c>
      <c r="D8374" s="196">
        <v>0</v>
      </c>
      <c r="E8374" s="196">
        <v>50900</v>
      </c>
      <c r="F8374" s="196">
        <v>-50900</v>
      </c>
      <c r="G8374" s="196">
        <v>-101800</v>
      </c>
    </row>
    <row r="8375" spans="1:7" x14ac:dyDescent="0.3">
      <c r="A8375" s="198">
        <v>1038133430</v>
      </c>
      <c r="B8375" s="192" t="s">
        <v>1509</v>
      </c>
      <c r="C8375" s="196">
        <v>0</v>
      </c>
      <c r="D8375" s="196">
        <v>0</v>
      </c>
      <c r="E8375" s="196">
        <v>297000</v>
      </c>
      <c r="F8375" s="196">
        <v>-297000</v>
      </c>
      <c r="G8375" s="196">
        <v>-297000</v>
      </c>
    </row>
    <row r="8376" spans="1:7" x14ac:dyDescent="0.3">
      <c r="A8376" s="198">
        <v>1193393286</v>
      </c>
      <c r="B8376" s="192" t="s">
        <v>6113</v>
      </c>
      <c r="C8376" s="196">
        <v>-50900</v>
      </c>
      <c r="D8376" s="196">
        <v>0</v>
      </c>
      <c r="E8376" s="196">
        <v>0</v>
      </c>
      <c r="F8376" s="196">
        <v>0</v>
      </c>
      <c r="G8376" s="196">
        <v>-50900</v>
      </c>
    </row>
    <row r="8377" spans="1:7" x14ac:dyDescent="0.3">
      <c r="A8377" s="198">
        <v>1037597817</v>
      </c>
      <c r="B8377" s="192" t="s">
        <v>6114</v>
      </c>
      <c r="C8377" s="196">
        <v>-43900</v>
      </c>
      <c r="D8377" s="196">
        <v>0</v>
      </c>
      <c r="E8377" s="196">
        <v>0</v>
      </c>
      <c r="F8377" s="196">
        <v>0</v>
      </c>
      <c r="G8377" s="196">
        <v>-43900</v>
      </c>
    </row>
    <row r="8378" spans="1:7" x14ac:dyDescent="0.3">
      <c r="A8378" s="198">
        <v>32299799</v>
      </c>
      <c r="B8378" s="192" t="s">
        <v>6115</v>
      </c>
      <c r="C8378" s="196">
        <v>-104700</v>
      </c>
      <c r="D8378" s="196">
        <v>0</v>
      </c>
      <c r="E8378" s="196">
        <v>0</v>
      </c>
      <c r="F8378" s="196">
        <v>0</v>
      </c>
      <c r="G8378" s="196">
        <v>-104700</v>
      </c>
    </row>
    <row r="8379" spans="1:7" x14ac:dyDescent="0.3">
      <c r="A8379" s="198">
        <v>43576069</v>
      </c>
      <c r="B8379" s="192" t="s">
        <v>6116</v>
      </c>
      <c r="C8379" s="196">
        <v>-50900</v>
      </c>
      <c r="D8379" s="196">
        <v>0</v>
      </c>
      <c r="E8379" s="196">
        <v>0</v>
      </c>
      <c r="F8379" s="196">
        <v>0</v>
      </c>
      <c r="G8379" s="196">
        <v>-50900</v>
      </c>
    </row>
    <row r="8380" spans="1:7" x14ac:dyDescent="0.3">
      <c r="A8380" s="198">
        <v>43802322</v>
      </c>
      <c r="B8380" s="192" t="s">
        <v>1510</v>
      </c>
      <c r="C8380" s="196">
        <v>0</v>
      </c>
      <c r="D8380" s="196">
        <v>0</v>
      </c>
      <c r="E8380" s="196">
        <v>85000</v>
      </c>
      <c r="F8380" s="196">
        <v>-85000</v>
      </c>
      <c r="G8380" s="196">
        <v>-85000</v>
      </c>
    </row>
    <row r="8381" spans="1:7" x14ac:dyDescent="0.3">
      <c r="A8381" s="198">
        <v>1035012063</v>
      </c>
      <c r="B8381" s="192" t="s">
        <v>6117</v>
      </c>
      <c r="C8381" s="196">
        <v>-50900</v>
      </c>
      <c r="D8381" s="196">
        <v>0</v>
      </c>
      <c r="E8381" s="196">
        <v>0</v>
      </c>
      <c r="F8381" s="196">
        <v>0</v>
      </c>
      <c r="G8381" s="196">
        <v>-50900</v>
      </c>
    </row>
    <row r="8382" spans="1:7" x14ac:dyDescent="0.3">
      <c r="A8382" s="198">
        <v>1110568614</v>
      </c>
      <c r="B8382" s="192" t="s">
        <v>1511</v>
      </c>
      <c r="C8382" s="196">
        <v>0</v>
      </c>
      <c r="D8382" s="196">
        <v>0</v>
      </c>
      <c r="E8382" s="196">
        <v>319000</v>
      </c>
      <c r="F8382" s="196">
        <v>-319000</v>
      </c>
      <c r="G8382" s="196">
        <v>-319000</v>
      </c>
    </row>
    <row r="8383" spans="1:7" x14ac:dyDescent="0.3">
      <c r="A8383" s="198">
        <v>1065581387</v>
      </c>
      <c r="B8383" s="192" t="s">
        <v>6118</v>
      </c>
      <c r="C8383" s="196">
        <v>-50900</v>
      </c>
      <c r="D8383" s="196">
        <v>0</v>
      </c>
      <c r="E8383" s="196">
        <v>0</v>
      </c>
      <c r="F8383" s="196">
        <v>0</v>
      </c>
      <c r="G8383" s="196">
        <v>-50900</v>
      </c>
    </row>
    <row r="8384" spans="1:7" x14ac:dyDescent="0.3">
      <c r="A8384" s="198">
        <v>1128269459</v>
      </c>
      <c r="B8384" s="192" t="s">
        <v>6119</v>
      </c>
      <c r="C8384" s="196">
        <v>-340000</v>
      </c>
      <c r="D8384" s="196">
        <v>0</v>
      </c>
      <c r="E8384" s="196">
        <v>0</v>
      </c>
      <c r="F8384" s="196">
        <v>0</v>
      </c>
      <c r="G8384" s="196">
        <v>-340000</v>
      </c>
    </row>
    <row r="8385" spans="1:7" x14ac:dyDescent="0.3">
      <c r="A8385" s="198">
        <v>1017265018</v>
      </c>
      <c r="B8385" s="192" t="s">
        <v>1512</v>
      </c>
      <c r="C8385" s="196">
        <v>-215900</v>
      </c>
      <c r="D8385" s="196">
        <v>0</v>
      </c>
      <c r="E8385" s="196">
        <v>0</v>
      </c>
      <c r="F8385" s="196">
        <v>0</v>
      </c>
      <c r="G8385" s="196">
        <v>-215900</v>
      </c>
    </row>
    <row r="8386" spans="1:7" x14ac:dyDescent="0.3">
      <c r="A8386" s="198">
        <v>44001372</v>
      </c>
      <c r="B8386" s="192" t="s">
        <v>6120</v>
      </c>
      <c r="C8386" s="196">
        <v>-50900</v>
      </c>
      <c r="D8386" s="196">
        <v>0</v>
      </c>
      <c r="E8386" s="196">
        <v>0</v>
      </c>
      <c r="F8386" s="196">
        <v>0</v>
      </c>
      <c r="G8386" s="196">
        <v>-50900</v>
      </c>
    </row>
    <row r="8387" spans="1:7" x14ac:dyDescent="0.3">
      <c r="A8387" s="198">
        <v>1053811116</v>
      </c>
      <c r="B8387" s="192" t="s">
        <v>6121</v>
      </c>
      <c r="C8387" s="196">
        <v>-50900</v>
      </c>
      <c r="D8387" s="196">
        <v>0</v>
      </c>
      <c r="E8387" s="196">
        <v>0</v>
      </c>
      <c r="F8387" s="196">
        <v>0</v>
      </c>
      <c r="G8387" s="196">
        <v>-50900</v>
      </c>
    </row>
    <row r="8388" spans="1:7" x14ac:dyDescent="0.3">
      <c r="A8388" s="198">
        <v>1152194101</v>
      </c>
      <c r="B8388" s="192" t="s">
        <v>6122</v>
      </c>
      <c r="C8388" s="196">
        <v>-50900</v>
      </c>
      <c r="D8388" s="196">
        <v>0</v>
      </c>
      <c r="E8388" s="196">
        <v>0</v>
      </c>
      <c r="F8388" s="196">
        <v>0</v>
      </c>
      <c r="G8388" s="196">
        <v>-50900</v>
      </c>
    </row>
    <row r="8389" spans="1:7" x14ac:dyDescent="0.3">
      <c r="A8389" s="198">
        <v>1128469026</v>
      </c>
      <c r="B8389" s="192" t="s">
        <v>6123</v>
      </c>
      <c r="C8389" s="196">
        <v>-101800</v>
      </c>
      <c r="D8389" s="196">
        <v>0</v>
      </c>
      <c r="E8389" s="196">
        <v>0</v>
      </c>
      <c r="F8389" s="196">
        <v>0</v>
      </c>
      <c r="G8389" s="196">
        <v>-101800</v>
      </c>
    </row>
    <row r="8390" spans="1:7" x14ac:dyDescent="0.3">
      <c r="A8390" s="198">
        <v>680221889</v>
      </c>
      <c r="B8390" s="192" t="s">
        <v>6124</v>
      </c>
      <c r="C8390" s="196">
        <v>-75000</v>
      </c>
      <c r="D8390" s="196">
        <v>0</v>
      </c>
      <c r="E8390" s="196">
        <v>0</v>
      </c>
      <c r="F8390" s="196">
        <v>0</v>
      </c>
      <c r="G8390" s="196">
        <v>-75000</v>
      </c>
    </row>
    <row r="8391" spans="1:7" x14ac:dyDescent="0.3">
      <c r="A8391" s="198">
        <v>1017195625</v>
      </c>
      <c r="B8391" s="192" t="s">
        <v>6125</v>
      </c>
      <c r="C8391" s="196">
        <v>-36600</v>
      </c>
      <c r="D8391" s="196">
        <v>0</v>
      </c>
      <c r="E8391" s="196">
        <v>0</v>
      </c>
      <c r="F8391" s="196">
        <v>0</v>
      </c>
      <c r="G8391" s="196">
        <v>-36600</v>
      </c>
    </row>
    <row r="8392" spans="1:7" x14ac:dyDescent="0.3">
      <c r="A8392" s="198">
        <v>24713500</v>
      </c>
      <c r="B8392" s="192" t="s">
        <v>6126</v>
      </c>
      <c r="C8392" s="196">
        <v>-319000</v>
      </c>
      <c r="D8392" s="196">
        <v>0</v>
      </c>
      <c r="E8392" s="196">
        <v>0</v>
      </c>
      <c r="F8392" s="196">
        <v>0</v>
      </c>
      <c r="G8392" s="196">
        <v>-319000</v>
      </c>
    </row>
    <row r="8393" spans="1:7" x14ac:dyDescent="0.3">
      <c r="A8393" s="198">
        <v>32475022</v>
      </c>
      <c r="B8393" s="192" t="s">
        <v>1513</v>
      </c>
      <c r="C8393" s="196">
        <v>-57200</v>
      </c>
      <c r="D8393" s="196">
        <v>0</v>
      </c>
      <c r="E8393" s="196">
        <v>0</v>
      </c>
      <c r="F8393" s="196">
        <v>0</v>
      </c>
      <c r="G8393" s="196">
        <v>-57200</v>
      </c>
    </row>
    <row r="8394" spans="1:7" x14ac:dyDescent="0.3">
      <c r="A8394" s="198">
        <v>32448325</v>
      </c>
      <c r="B8394" s="192" t="s">
        <v>1514</v>
      </c>
      <c r="C8394" s="196">
        <v>0</v>
      </c>
      <c r="D8394" s="196">
        <v>0</v>
      </c>
      <c r="E8394" s="196">
        <v>207900</v>
      </c>
      <c r="F8394" s="196">
        <v>-207900</v>
      </c>
      <c r="G8394" s="196">
        <v>-207900</v>
      </c>
    </row>
    <row r="8395" spans="1:7" x14ac:dyDescent="0.3">
      <c r="A8395" s="198">
        <v>32338828</v>
      </c>
      <c r="B8395" s="192" t="s">
        <v>6127</v>
      </c>
      <c r="C8395" s="196">
        <v>-280000</v>
      </c>
      <c r="D8395" s="196">
        <v>0</v>
      </c>
      <c r="E8395" s="196">
        <v>0</v>
      </c>
      <c r="F8395" s="196">
        <v>0</v>
      </c>
      <c r="G8395" s="196">
        <v>-280000</v>
      </c>
    </row>
    <row r="8396" spans="1:7" x14ac:dyDescent="0.3">
      <c r="A8396" s="198">
        <v>32461229</v>
      </c>
      <c r="B8396" s="192" t="s">
        <v>1515</v>
      </c>
      <c r="C8396" s="196">
        <v>-306600</v>
      </c>
      <c r="D8396" s="196">
        <v>0</v>
      </c>
      <c r="E8396" s="196">
        <v>0</v>
      </c>
      <c r="F8396" s="196">
        <v>0</v>
      </c>
      <c r="G8396" s="196">
        <v>-306600</v>
      </c>
    </row>
    <row r="8397" spans="1:7" x14ac:dyDescent="0.3">
      <c r="A8397" s="198">
        <v>22228543</v>
      </c>
      <c r="B8397" s="192" t="s">
        <v>1516</v>
      </c>
      <c r="C8397" s="196">
        <v>-223300</v>
      </c>
      <c r="D8397" s="196">
        <v>0</v>
      </c>
      <c r="E8397" s="196">
        <v>223300</v>
      </c>
      <c r="F8397" s="196">
        <v>-223300</v>
      </c>
      <c r="G8397" s="196">
        <v>-446600</v>
      </c>
    </row>
    <row r="8398" spans="1:7" x14ac:dyDescent="0.3">
      <c r="A8398" s="192" t="s">
        <v>1517</v>
      </c>
      <c r="B8398" s="192" t="s">
        <v>1518</v>
      </c>
      <c r="C8398" s="196">
        <v>-270000</v>
      </c>
      <c r="D8398" s="196">
        <v>0</v>
      </c>
      <c r="E8398" s="196">
        <v>0</v>
      </c>
      <c r="F8398" s="196">
        <v>0</v>
      </c>
      <c r="G8398" s="196">
        <v>-270000</v>
      </c>
    </row>
    <row r="8399" spans="1:7" x14ac:dyDescent="0.3">
      <c r="A8399" s="198">
        <v>1020326003</v>
      </c>
      <c r="B8399" s="192" t="s">
        <v>6128</v>
      </c>
      <c r="C8399" s="196">
        <v>-50900</v>
      </c>
      <c r="D8399" s="196">
        <v>0</v>
      </c>
      <c r="E8399" s="196">
        <v>0</v>
      </c>
      <c r="F8399" s="196">
        <v>0</v>
      </c>
      <c r="G8399" s="196">
        <v>-50900</v>
      </c>
    </row>
    <row r="8400" spans="1:7" x14ac:dyDescent="0.3">
      <c r="A8400" s="198">
        <v>1022008596</v>
      </c>
      <c r="B8400" s="192" t="s">
        <v>6129</v>
      </c>
      <c r="C8400" s="196">
        <v>-47400</v>
      </c>
      <c r="D8400" s="196">
        <v>0</v>
      </c>
      <c r="E8400" s="196">
        <v>0</v>
      </c>
      <c r="F8400" s="196">
        <v>0</v>
      </c>
      <c r="G8400" s="196">
        <v>-47400</v>
      </c>
    </row>
    <row r="8401" spans="1:7" x14ac:dyDescent="0.3">
      <c r="A8401" s="198">
        <v>1035986977</v>
      </c>
      <c r="B8401" s="192" t="s">
        <v>6130</v>
      </c>
      <c r="C8401" s="196">
        <v>-47400</v>
      </c>
      <c r="D8401" s="196">
        <v>0</v>
      </c>
      <c r="E8401" s="196">
        <v>0</v>
      </c>
      <c r="F8401" s="196">
        <v>0</v>
      </c>
      <c r="G8401" s="196">
        <v>-47400</v>
      </c>
    </row>
    <row r="8402" spans="1:7" x14ac:dyDescent="0.3">
      <c r="A8402" s="198">
        <v>1035009867</v>
      </c>
      <c r="B8402" s="192" t="s">
        <v>1519</v>
      </c>
      <c r="C8402" s="196">
        <v>0</v>
      </c>
      <c r="D8402" s="196">
        <v>0</v>
      </c>
      <c r="E8402" s="196">
        <v>49000</v>
      </c>
      <c r="F8402" s="196">
        <v>-49000</v>
      </c>
      <c r="G8402" s="196">
        <v>-49000</v>
      </c>
    </row>
    <row r="8403" spans="1:7" x14ac:dyDescent="0.3">
      <c r="A8403" s="198">
        <v>1020327560</v>
      </c>
      <c r="B8403" s="192" t="s">
        <v>6131</v>
      </c>
      <c r="C8403" s="196">
        <v>-54200</v>
      </c>
      <c r="D8403" s="196">
        <v>0</v>
      </c>
      <c r="E8403" s="196">
        <v>0</v>
      </c>
      <c r="F8403" s="196">
        <v>0</v>
      </c>
      <c r="G8403" s="196">
        <v>-54200</v>
      </c>
    </row>
    <row r="8404" spans="1:7" x14ac:dyDescent="0.3">
      <c r="A8404" s="198">
        <v>1097142067</v>
      </c>
      <c r="B8404" s="192" t="s">
        <v>6132</v>
      </c>
      <c r="C8404" s="196">
        <v>-36000</v>
      </c>
      <c r="D8404" s="196">
        <v>0</v>
      </c>
      <c r="E8404" s="196">
        <v>0</v>
      </c>
      <c r="F8404" s="196">
        <v>0</v>
      </c>
      <c r="G8404" s="196">
        <v>-36000</v>
      </c>
    </row>
    <row r="8405" spans="1:7" x14ac:dyDescent="0.3">
      <c r="A8405" s="198">
        <v>1039740430</v>
      </c>
      <c r="B8405" s="192" t="s">
        <v>6133</v>
      </c>
      <c r="C8405" s="196">
        <v>-50900</v>
      </c>
      <c r="D8405" s="196">
        <v>0</v>
      </c>
      <c r="E8405" s="196">
        <v>0</v>
      </c>
      <c r="F8405" s="196">
        <v>0</v>
      </c>
      <c r="G8405" s="196">
        <v>-50900</v>
      </c>
    </row>
    <row r="8406" spans="1:7" x14ac:dyDescent="0.3">
      <c r="A8406" s="198">
        <v>1011592403</v>
      </c>
      <c r="B8406" s="192" t="s">
        <v>6134</v>
      </c>
      <c r="C8406" s="196">
        <v>-29700</v>
      </c>
      <c r="D8406" s="196">
        <v>0</v>
      </c>
      <c r="E8406" s="196">
        <v>0</v>
      </c>
      <c r="F8406" s="196">
        <v>0</v>
      </c>
      <c r="G8406" s="196">
        <v>-29700</v>
      </c>
    </row>
    <row r="8407" spans="1:7" x14ac:dyDescent="0.3">
      <c r="A8407" s="198">
        <v>1035015757</v>
      </c>
      <c r="B8407" s="192" t="s">
        <v>6135</v>
      </c>
      <c r="C8407" s="196">
        <v>-41400</v>
      </c>
      <c r="D8407" s="196">
        <v>0</v>
      </c>
      <c r="E8407" s="196">
        <v>0</v>
      </c>
      <c r="F8407" s="196">
        <v>0</v>
      </c>
      <c r="G8407" s="196">
        <v>-41400</v>
      </c>
    </row>
    <row r="8408" spans="1:7" x14ac:dyDescent="0.3">
      <c r="A8408" s="198">
        <v>1034991879</v>
      </c>
      <c r="B8408" s="192" t="s">
        <v>6136</v>
      </c>
      <c r="C8408" s="196">
        <v>-50900</v>
      </c>
      <c r="D8408" s="196">
        <v>0</v>
      </c>
      <c r="E8408" s="196">
        <v>0</v>
      </c>
      <c r="F8408" s="196">
        <v>0</v>
      </c>
      <c r="G8408" s="196">
        <v>-50900</v>
      </c>
    </row>
    <row r="8409" spans="1:7" x14ac:dyDescent="0.3">
      <c r="A8409" s="198">
        <v>1015078952</v>
      </c>
      <c r="B8409" s="192" t="s">
        <v>6137</v>
      </c>
      <c r="C8409" s="196">
        <v>-54200</v>
      </c>
      <c r="D8409" s="196">
        <v>0</v>
      </c>
      <c r="E8409" s="196">
        <v>0</v>
      </c>
      <c r="F8409" s="196">
        <v>0</v>
      </c>
      <c r="G8409" s="196">
        <v>-54200</v>
      </c>
    </row>
    <row r="8410" spans="1:7" x14ac:dyDescent="0.3">
      <c r="A8410" s="198">
        <v>567144116</v>
      </c>
      <c r="B8410" s="192" t="s">
        <v>6138</v>
      </c>
      <c r="C8410" s="196">
        <v>-319000</v>
      </c>
      <c r="D8410" s="196">
        <v>0</v>
      </c>
      <c r="E8410" s="196">
        <v>0</v>
      </c>
      <c r="F8410" s="196">
        <v>0</v>
      </c>
      <c r="G8410" s="196">
        <v>-319000</v>
      </c>
    </row>
    <row r="8411" spans="1:7" x14ac:dyDescent="0.3">
      <c r="A8411" s="198">
        <v>1022008404</v>
      </c>
      <c r="B8411" s="192" t="s">
        <v>6139</v>
      </c>
      <c r="C8411" s="196">
        <v>-47400</v>
      </c>
      <c r="D8411" s="196">
        <v>0</v>
      </c>
      <c r="E8411" s="196">
        <v>0</v>
      </c>
      <c r="F8411" s="196">
        <v>0</v>
      </c>
      <c r="G8411" s="196">
        <v>-47400</v>
      </c>
    </row>
    <row r="8412" spans="1:7" x14ac:dyDescent="0.3">
      <c r="A8412" s="198">
        <v>1035002079</v>
      </c>
      <c r="B8412" s="192" t="s">
        <v>6140</v>
      </c>
      <c r="C8412" s="196">
        <v>-101800</v>
      </c>
      <c r="D8412" s="196">
        <v>0</v>
      </c>
      <c r="E8412" s="196">
        <v>0</v>
      </c>
      <c r="F8412" s="196">
        <v>0</v>
      </c>
      <c r="G8412" s="196">
        <v>-101800</v>
      </c>
    </row>
    <row r="8413" spans="1:7" x14ac:dyDescent="0.3">
      <c r="A8413" s="198">
        <v>1041702507</v>
      </c>
      <c r="B8413" s="192" t="s">
        <v>6141</v>
      </c>
      <c r="C8413" s="196">
        <v>-50900</v>
      </c>
      <c r="D8413" s="196">
        <v>0</v>
      </c>
      <c r="E8413" s="196">
        <v>0</v>
      </c>
      <c r="F8413" s="196">
        <v>0</v>
      </c>
      <c r="G8413" s="196">
        <v>-50900</v>
      </c>
    </row>
    <row r="8414" spans="1:7" x14ac:dyDescent="0.3">
      <c r="A8414" s="198">
        <v>1001370487</v>
      </c>
      <c r="B8414" s="192" t="s">
        <v>6142</v>
      </c>
      <c r="C8414" s="196">
        <v>-47000</v>
      </c>
      <c r="D8414" s="196">
        <v>0</v>
      </c>
      <c r="E8414" s="196">
        <v>0</v>
      </c>
      <c r="F8414" s="196">
        <v>0</v>
      </c>
      <c r="G8414" s="196">
        <v>-47000</v>
      </c>
    </row>
    <row r="8415" spans="1:7" x14ac:dyDescent="0.3">
      <c r="A8415" s="198">
        <v>1039447602</v>
      </c>
      <c r="B8415" s="192" t="s">
        <v>6143</v>
      </c>
      <c r="C8415" s="196">
        <v>-101800</v>
      </c>
      <c r="D8415" s="196">
        <v>0</v>
      </c>
      <c r="E8415" s="196">
        <v>0</v>
      </c>
      <c r="F8415" s="196">
        <v>0</v>
      </c>
      <c r="G8415" s="196">
        <v>-101800</v>
      </c>
    </row>
    <row r="8416" spans="1:7" x14ac:dyDescent="0.3">
      <c r="A8416" s="198">
        <v>1023562692</v>
      </c>
      <c r="B8416" s="192" t="s">
        <v>6144</v>
      </c>
      <c r="C8416" s="196">
        <v>-50900</v>
      </c>
      <c r="D8416" s="196">
        <v>0</v>
      </c>
      <c r="E8416" s="196">
        <v>0</v>
      </c>
      <c r="F8416" s="196">
        <v>0</v>
      </c>
      <c r="G8416" s="196">
        <v>-50900</v>
      </c>
    </row>
    <row r="8417" spans="1:7" x14ac:dyDescent="0.3">
      <c r="A8417" s="198">
        <v>71370851</v>
      </c>
      <c r="B8417" s="192" t="s">
        <v>1520</v>
      </c>
      <c r="C8417" s="196">
        <v>0</v>
      </c>
      <c r="D8417" s="196">
        <v>0</v>
      </c>
      <c r="E8417" s="196">
        <v>50900</v>
      </c>
      <c r="F8417" s="196">
        <v>-50900</v>
      </c>
      <c r="G8417" s="196">
        <v>-50900</v>
      </c>
    </row>
    <row r="8418" spans="1:7" x14ac:dyDescent="0.3">
      <c r="A8418" s="198">
        <v>1073174987</v>
      </c>
      <c r="B8418" s="192" t="s">
        <v>1521</v>
      </c>
      <c r="C8418" s="196">
        <v>0</v>
      </c>
      <c r="D8418" s="196">
        <v>0</v>
      </c>
      <c r="E8418" s="196">
        <v>50900</v>
      </c>
      <c r="F8418" s="196">
        <v>-50900</v>
      </c>
      <c r="G8418" s="196">
        <v>-50900</v>
      </c>
    </row>
    <row r="8419" spans="1:7" x14ac:dyDescent="0.3">
      <c r="A8419" s="198">
        <v>1220476122</v>
      </c>
      <c r="B8419" s="192" t="s">
        <v>6145</v>
      </c>
      <c r="C8419" s="196">
        <v>-50900</v>
      </c>
      <c r="D8419" s="196">
        <v>0</v>
      </c>
      <c r="E8419" s="196">
        <v>0</v>
      </c>
      <c r="F8419" s="196">
        <v>0</v>
      </c>
      <c r="G8419" s="196">
        <v>-50900</v>
      </c>
    </row>
    <row r="8420" spans="1:7" x14ac:dyDescent="0.3">
      <c r="A8420" s="198">
        <v>1035024298</v>
      </c>
      <c r="B8420" s="192" t="s">
        <v>6146</v>
      </c>
      <c r="C8420" s="196">
        <v>-47400</v>
      </c>
      <c r="D8420" s="196">
        <v>0</v>
      </c>
      <c r="E8420" s="196">
        <v>0</v>
      </c>
      <c r="F8420" s="196">
        <v>0</v>
      </c>
      <c r="G8420" s="196">
        <v>-47400</v>
      </c>
    </row>
    <row r="8421" spans="1:7" x14ac:dyDescent="0.3">
      <c r="A8421" s="198">
        <v>1035002153</v>
      </c>
      <c r="B8421" s="192" t="s">
        <v>1522</v>
      </c>
      <c r="C8421" s="196">
        <v>0</v>
      </c>
      <c r="D8421" s="196">
        <v>0</v>
      </c>
      <c r="E8421" s="196">
        <v>50900</v>
      </c>
      <c r="F8421" s="196">
        <v>-50900</v>
      </c>
      <c r="G8421" s="196">
        <v>-50900</v>
      </c>
    </row>
    <row r="8422" spans="1:7" x14ac:dyDescent="0.3">
      <c r="A8422" s="198">
        <v>567633914</v>
      </c>
      <c r="B8422" s="192" t="s">
        <v>6147</v>
      </c>
      <c r="C8422" s="196">
        <v>-50900</v>
      </c>
      <c r="D8422" s="196">
        <v>0</v>
      </c>
      <c r="E8422" s="196">
        <v>0</v>
      </c>
      <c r="F8422" s="196">
        <v>0</v>
      </c>
      <c r="G8422" s="196">
        <v>-50900</v>
      </c>
    </row>
    <row r="8423" spans="1:7" x14ac:dyDescent="0.3">
      <c r="A8423" s="198">
        <v>1007017253</v>
      </c>
      <c r="B8423" s="192" t="s">
        <v>6148</v>
      </c>
      <c r="C8423" s="196">
        <v>-50900</v>
      </c>
      <c r="D8423" s="196">
        <v>0</v>
      </c>
      <c r="E8423" s="196">
        <v>0</v>
      </c>
      <c r="F8423" s="196">
        <v>0</v>
      </c>
      <c r="G8423" s="196">
        <v>-50900</v>
      </c>
    </row>
    <row r="8424" spans="1:7" x14ac:dyDescent="0.3">
      <c r="A8424" s="198">
        <v>1038265179</v>
      </c>
      <c r="B8424" s="192" t="s">
        <v>6149</v>
      </c>
      <c r="C8424" s="196">
        <v>-98300</v>
      </c>
      <c r="D8424" s="196">
        <v>0</v>
      </c>
      <c r="E8424" s="196">
        <v>0</v>
      </c>
      <c r="F8424" s="196">
        <v>0</v>
      </c>
      <c r="G8424" s="196">
        <v>-98300</v>
      </c>
    </row>
    <row r="8425" spans="1:7" x14ac:dyDescent="0.3">
      <c r="A8425" s="198">
        <v>1027808382</v>
      </c>
      <c r="B8425" s="192" t="s">
        <v>6150</v>
      </c>
      <c r="C8425" s="196">
        <v>-101800</v>
      </c>
      <c r="D8425" s="196">
        <v>0</v>
      </c>
      <c r="E8425" s="196">
        <v>0</v>
      </c>
      <c r="F8425" s="196">
        <v>0</v>
      </c>
      <c r="G8425" s="196">
        <v>-101800</v>
      </c>
    </row>
    <row r="8426" spans="1:7" x14ac:dyDescent="0.3">
      <c r="A8426" s="198">
        <v>1032876675</v>
      </c>
      <c r="B8426" s="192" t="s">
        <v>6151</v>
      </c>
      <c r="C8426" s="196">
        <v>-50900</v>
      </c>
      <c r="D8426" s="196">
        <v>0</v>
      </c>
      <c r="E8426" s="196">
        <v>0</v>
      </c>
      <c r="F8426" s="196">
        <v>0</v>
      </c>
      <c r="G8426" s="196">
        <v>-50900</v>
      </c>
    </row>
    <row r="8427" spans="1:7" x14ac:dyDescent="0.3">
      <c r="A8427" s="198">
        <v>1035027515</v>
      </c>
      <c r="B8427" s="192" t="s">
        <v>1523</v>
      </c>
      <c r="C8427" s="196">
        <v>0</v>
      </c>
      <c r="D8427" s="196">
        <v>0</v>
      </c>
      <c r="E8427" s="196">
        <v>50900</v>
      </c>
      <c r="F8427" s="196">
        <v>-50900</v>
      </c>
      <c r="G8427" s="196">
        <v>-50900</v>
      </c>
    </row>
    <row r="8428" spans="1:7" x14ac:dyDescent="0.3">
      <c r="A8428" s="198">
        <v>1035022795</v>
      </c>
      <c r="B8428" s="192" t="s">
        <v>6152</v>
      </c>
      <c r="C8428" s="196">
        <v>-50900</v>
      </c>
      <c r="D8428" s="196">
        <v>0</v>
      </c>
      <c r="E8428" s="196">
        <v>0</v>
      </c>
      <c r="F8428" s="196">
        <v>0</v>
      </c>
      <c r="G8428" s="196">
        <v>-50900</v>
      </c>
    </row>
    <row r="8429" spans="1:7" x14ac:dyDescent="0.3">
      <c r="A8429" s="198">
        <v>1035012860</v>
      </c>
      <c r="B8429" s="192" t="s">
        <v>6153</v>
      </c>
      <c r="C8429" s="196">
        <v>-50900</v>
      </c>
      <c r="D8429" s="196">
        <v>0</v>
      </c>
      <c r="E8429" s="196">
        <v>0</v>
      </c>
      <c r="F8429" s="196">
        <v>0</v>
      </c>
      <c r="G8429" s="196">
        <v>-50900</v>
      </c>
    </row>
    <row r="8430" spans="1:7" x14ac:dyDescent="0.3">
      <c r="A8430" s="198">
        <v>1033269877</v>
      </c>
      <c r="B8430" s="192" t="s">
        <v>1524</v>
      </c>
      <c r="C8430" s="196">
        <v>0</v>
      </c>
      <c r="D8430" s="196">
        <v>0</v>
      </c>
      <c r="E8430" s="196">
        <v>50900</v>
      </c>
      <c r="F8430" s="196">
        <v>-50900</v>
      </c>
      <c r="G8430" s="196">
        <v>-50900</v>
      </c>
    </row>
    <row r="8431" spans="1:7" x14ac:dyDescent="0.3">
      <c r="A8431" s="192" t="s">
        <v>1525</v>
      </c>
      <c r="B8431" s="192" t="s">
        <v>1526</v>
      </c>
      <c r="C8431" s="196">
        <v>0</v>
      </c>
      <c r="D8431" s="196">
        <v>0</v>
      </c>
      <c r="E8431" s="196">
        <v>50900</v>
      </c>
      <c r="F8431" s="196">
        <v>-50900</v>
      </c>
      <c r="G8431" s="196">
        <v>-50900</v>
      </c>
    </row>
    <row r="8432" spans="1:7" x14ac:dyDescent="0.3">
      <c r="A8432" s="198">
        <v>22523351</v>
      </c>
      <c r="B8432" s="192" t="s">
        <v>1527</v>
      </c>
      <c r="C8432" s="196">
        <v>0</v>
      </c>
      <c r="D8432" s="196">
        <v>0</v>
      </c>
      <c r="E8432" s="196">
        <v>57200</v>
      </c>
      <c r="F8432" s="196">
        <v>-57200</v>
      </c>
      <c r="G8432" s="196">
        <v>-57200</v>
      </c>
    </row>
    <row r="8433" spans="1:7" x14ac:dyDescent="0.3">
      <c r="A8433" s="198">
        <v>39436775</v>
      </c>
      <c r="B8433" s="192" t="s">
        <v>6154</v>
      </c>
      <c r="C8433" s="196">
        <v>-319000</v>
      </c>
      <c r="D8433" s="196">
        <v>0</v>
      </c>
      <c r="E8433" s="196">
        <v>0</v>
      </c>
      <c r="F8433" s="196">
        <v>0</v>
      </c>
      <c r="G8433" s="196">
        <v>-319000</v>
      </c>
    </row>
    <row r="8434" spans="1:7" x14ac:dyDescent="0.3">
      <c r="A8434" s="198">
        <v>88228955</v>
      </c>
      <c r="B8434" s="192" t="s">
        <v>1529</v>
      </c>
      <c r="C8434" s="196">
        <v>0</v>
      </c>
      <c r="D8434" s="196">
        <v>0</v>
      </c>
      <c r="E8434" s="196">
        <v>50900</v>
      </c>
      <c r="F8434" s="196">
        <v>-50900</v>
      </c>
      <c r="G8434" s="196">
        <v>-50900</v>
      </c>
    </row>
    <row r="8435" spans="1:7" x14ac:dyDescent="0.3">
      <c r="A8435" s="198">
        <v>13476483</v>
      </c>
      <c r="B8435" s="192" t="s">
        <v>6155</v>
      </c>
      <c r="C8435" s="196">
        <v>-54200</v>
      </c>
      <c r="D8435" s="196">
        <v>0</v>
      </c>
      <c r="E8435" s="196">
        <v>0</v>
      </c>
      <c r="F8435" s="196">
        <v>0</v>
      </c>
      <c r="G8435" s="196">
        <v>-54200</v>
      </c>
    </row>
    <row r="8436" spans="1:7" x14ac:dyDescent="0.3">
      <c r="A8436" s="198">
        <v>15328620</v>
      </c>
      <c r="B8436" s="192" t="s">
        <v>6156</v>
      </c>
      <c r="C8436" s="196">
        <v>-50900</v>
      </c>
      <c r="D8436" s="196">
        <v>0</v>
      </c>
      <c r="E8436" s="196">
        <v>0</v>
      </c>
      <c r="F8436" s="196">
        <v>0</v>
      </c>
      <c r="G8436" s="196">
        <v>-50900</v>
      </c>
    </row>
    <row r="8437" spans="1:7" x14ac:dyDescent="0.3">
      <c r="A8437" s="198">
        <v>21742809</v>
      </c>
      <c r="B8437" s="192" t="s">
        <v>6157</v>
      </c>
      <c r="C8437" s="196">
        <v>-297000</v>
      </c>
      <c r="D8437" s="196">
        <v>0</v>
      </c>
      <c r="E8437" s="196">
        <v>0</v>
      </c>
      <c r="F8437" s="196">
        <v>0</v>
      </c>
      <c r="G8437" s="196">
        <v>-297000</v>
      </c>
    </row>
    <row r="8438" spans="1:7" x14ac:dyDescent="0.3">
      <c r="A8438" s="198">
        <v>79579300</v>
      </c>
      <c r="B8438" s="192" t="s">
        <v>6158</v>
      </c>
      <c r="C8438" s="196">
        <v>-50900</v>
      </c>
      <c r="D8438" s="196">
        <v>0</v>
      </c>
      <c r="E8438" s="196">
        <v>0</v>
      </c>
      <c r="F8438" s="196">
        <v>0</v>
      </c>
      <c r="G8438" s="196">
        <v>-50900</v>
      </c>
    </row>
    <row r="8439" spans="1:7" x14ac:dyDescent="0.3">
      <c r="A8439" s="198">
        <v>1123639883</v>
      </c>
      <c r="B8439" s="192" t="s">
        <v>1530</v>
      </c>
      <c r="C8439" s="196">
        <v>-270001</v>
      </c>
      <c r="D8439" s="196">
        <v>0</v>
      </c>
      <c r="E8439" s="196">
        <v>0</v>
      </c>
      <c r="F8439" s="196">
        <v>0</v>
      </c>
      <c r="G8439" s="196">
        <v>-270001</v>
      </c>
    </row>
    <row r="8440" spans="1:7" x14ac:dyDescent="0.3">
      <c r="A8440" s="198">
        <v>1037652411</v>
      </c>
      <c r="B8440" s="192" t="s">
        <v>1531</v>
      </c>
      <c r="C8440" s="196">
        <v>-50900</v>
      </c>
      <c r="D8440" s="196">
        <v>0</v>
      </c>
      <c r="E8440" s="196">
        <v>50900</v>
      </c>
      <c r="F8440" s="196">
        <v>-50900</v>
      </c>
      <c r="G8440" s="196">
        <v>-101800</v>
      </c>
    </row>
    <row r="8441" spans="1:7" x14ac:dyDescent="0.3">
      <c r="A8441" s="198">
        <v>1027743184</v>
      </c>
      <c r="B8441" s="192" t="s">
        <v>6159</v>
      </c>
      <c r="C8441" s="196">
        <v>-50900</v>
      </c>
      <c r="D8441" s="196">
        <v>0</v>
      </c>
      <c r="E8441" s="196">
        <v>0</v>
      </c>
      <c r="F8441" s="196">
        <v>0</v>
      </c>
      <c r="G8441" s="196">
        <v>-50900</v>
      </c>
    </row>
    <row r="8442" spans="1:7" x14ac:dyDescent="0.3">
      <c r="A8442" s="198">
        <v>1023558705</v>
      </c>
      <c r="B8442" s="192" t="s">
        <v>6160</v>
      </c>
      <c r="C8442" s="196">
        <v>-165000</v>
      </c>
      <c r="D8442" s="196">
        <v>0</v>
      </c>
      <c r="E8442" s="196">
        <v>0</v>
      </c>
      <c r="F8442" s="196">
        <v>0</v>
      </c>
      <c r="G8442" s="196">
        <v>-165000</v>
      </c>
    </row>
    <row r="8443" spans="1:7" x14ac:dyDescent="0.3">
      <c r="A8443" s="198">
        <v>1035003580</v>
      </c>
      <c r="B8443" s="192" t="s">
        <v>1532</v>
      </c>
      <c r="C8443" s="196">
        <v>0</v>
      </c>
      <c r="D8443" s="196">
        <v>0</v>
      </c>
      <c r="E8443" s="196">
        <v>50900</v>
      </c>
      <c r="F8443" s="196">
        <v>-50900</v>
      </c>
      <c r="G8443" s="196">
        <v>-50900</v>
      </c>
    </row>
    <row r="8444" spans="1:7" x14ac:dyDescent="0.3">
      <c r="A8444" s="198">
        <v>1039472300</v>
      </c>
      <c r="B8444" s="192" t="s">
        <v>6161</v>
      </c>
      <c r="C8444" s="196">
        <v>-57200</v>
      </c>
      <c r="D8444" s="196">
        <v>0</v>
      </c>
      <c r="E8444" s="196">
        <v>0</v>
      </c>
      <c r="F8444" s="196">
        <v>0</v>
      </c>
      <c r="G8444" s="196">
        <v>-57200</v>
      </c>
    </row>
    <row r="8445" spans="1:7" x14ac:dyDescent="0.3">
      <c r="A8445" s="198">
        <v>1193056958</v>
      </c>
      <c r="B8445" s="192" t="s">
        <v>6162</v>
      </c>
      <c r="C8445" s="196">
        <v>-50500</v>
      </c>
      <c r="D8445" s="196">
        <v>0</v>
      </c>
      <c r="E8445" s="196">
        <v>0</v>
      </c>
      <c r="F8445" s="196">
        <v>0</v>
      </c>
      <c r="G8445" s="196">
        <v>-50500</v>
      </c>
    </row>
    <row r="8446" spans="1:7" x14ac:dyDescent="0.3">
      <c r="A8446" s="198">
        <v>1040182794</v>
      </c>
      <c r="B8446" s="192" t="s">
        <v>6163</v>
      </c>
      <c r="C8446" s="196">
        <v>-101800</v>
      </c>
      <c r="D8446" s="196">
        <v>0</v>
      </c>
      <c r="E8446" s="196">
        <v>0</v>
      </c>
      <c r="F8446" s="196">
        <v>0</v>
      </c>
      <c r="G8446" s="196">
        <v>-101800</v>
      </c>
    </row>
    <row r="8447" spans="1:7" x14ac:dyDescent="0.3">
      <c r="A8447" s="198">
        <v>1035025426</v>
      </c>
      <c r="B8447" s="192" t="s">
        <v>6164</v>
      </c>
      <c r="C8447" s="196">
        <v>-50900</v>
      </c>
      <c r="D8447" s="196">
        <v>0</v>
      </c>
      <c r="E8447" s="196">
        <v>0</v>
      </c>
      <c r="F8447" s="196">
        <v>0</v>
      </c>
      <c r="G8447" s="196">
        <v>-50900</v>
      </c>
    </row>
    <row r="8448" spans="1:7" x14ac:dyDescent="0.3">
      <c r="A8448" s="198">
        <v>1152221326</v>
      </c>
      <c r="B8448" s="192" t="s">
        <v>1534</v>
      </c>
      <c r="C8448" s="196">
        <v>0</v>
      </c>
      <c r="D8448" s="196">
        <v>0</v>
      </c>
      <c r="E8448" s="196">
        <v>297000</v>
      </c>
      <c r="F8448" s="196">
        <v>-297000</v>
      </c>
      <c r="G8448" s="196">
        <v>-297000</v>
      </c>
    </row>
    <row r="8449" spans="1:7" x14ac:dyDescent="0.3">
      <c r="A8449" s="198">
        <v>1035026152</v>
      </c>
      <c r="B8449" s="192" t="s">
        <v>6165</v>
      </c>
      <c r="C8449" s="196">
        <v>-50900</v>
      </c>
      <c r="D8449" s="196">
        <v>0</v>
      </c>
      <c r="E8449" s="196">
        <v>0</v>
      </c>
      <c r="F8449" s="196">
        <v>0</v>
      </c>
      <c r="G8449" s="196">
        <v>-50900</v>
      </c>
    </row>
    <row r="8450" spans="1:7" x14ac:dyDescent="0.3">
      <c r="A8450" s="198">
        <v>1088352075</v>
      </c>
      <c r="B8450" s="192" t="s">
        <v>6166</v>
      </c>
      <c r="C8450" s="196">
        <v>-49000</v>
      </c>
      <c r="D8450" s="196">
        <v>0</v>
      </c>
      <c r="E8450" s="196">
        <v>0</v>
      </c>
      <c r="F8450" s="196">
        <v>0</v>
      </c>
      <c r="G8450" s="196">
        <v>-49000</v>
      </c>
    </row>
    <row r="8451" spans="1:7" x14ac:dyDescent="0.3">
      <c r="A8451" s="198">
        <v>1039451222</v>
      </c>
      <c r="B8451" s="192" t="s">
        <v>6167</v>
      </c>
      <c r="C8451" s="196">
        <v>-50900</v>
      </c>
      <c r="D8451" s="196">
        <v>0</v>
      </c>
      <c r="E8451" s="196">
        <v>0</v>
      </c>
      <c r="F8451" s="196">
        <v>0</v>
      </c>
      <c r="G8451" s="196">
        <v>-50900</v>
      </c>
    </row>
    <row r="8452" spans="1:7" x14ac:dyDescent="0.3">
      <c r="A8452" s="198">
        <v>1034986161</v>
      </c>
      <c r="B8452" s="192" t="s">
        <v>6168</v>
      </c>
      <c r="C8452" s="196">
        <v>-50900</v>
      </c>
      <c r="D8452" s="196">
        <v>0</v>
      </c>
      <c r="E8452" s="196">
        <v>0</v>
      </c>
      <c r="F8452" s="196">
        <v>0</v>
      </c>
      <c r="G8452" s="196">
        <v>-50900</v>
      </c>
    </row>
    <row r="8453" spans="1:7" x14ac:dyDescent="0.3">
      <c r="A8453" s="198">
        <v>1037635372</v>
      </c>
      <c r="B8453" s="192" t="s">
        <v>6169</v>
      </c>
      <c r="C8453" s="196">
        <v>-50900</v>
      </c>
      <c r="D8453" s="196">
        <v>0</v>
      </c>
      <c r="E8453" s="196">
        <v>0</v>
      </c>
      <c r="F8453" s="196">
        <v>0</v>
      </c>
      <c r="G8453" s="196">
        <v>-50900</v>
      </c>
    </row>
    <row r="8454" spans="1:7" x14ac:dyDescent="0.3">
      <c r="A8454" s="198">
        <v>1216727424</v>
      </c>
      <c r="B8454" s="192" t="s">
        <v>1535</v>
      </c>
      <c r="C8454" s="196">
        <v>0</v>
      </c>
      <c r="D8454" s="196">
        <v>0</v>
      </c>
      <c r="E8454" s="196">
        <v>33400</v>
      </c>
      <c r="F8454" s="196">
        <v>-33400</v>
      </c>
      <c r="G8454" s="196">
        <v>-33400</v>
      </c>
    </row>
    <row r="8455" spans="1:7" x14ac:dyDescent="0.3">
      <c r="A8455" s="198">
        <v>1039454865</v>
      </c>
      <c r="B8455" s="192" t="s">
        <v>6170</v>
      </c>
      <c r="C8455" s="196">
        <v>-50900</v>
      </c>
      <c r="D8455" s="196">
        <v>0</v>
      </c>
      <c r="E8455" s="196">
        <v>0</v>
      </c>
      <c r="F8455" s="196">
        <v>0</v>
      </c>
      <c r="G8455" s="196">
        <v>-50900</v>
      </c>
    </row>
    <row r="8456" spans="1:7" x14ac:dyDescent="0.3">
      <c r="A8456" s="198">
        <v>1032177939</v>
      </c>
      <c r="B8456" s="192" t="s">
        <v>6171</v>
      </c>
      <c r="C8456" s="196">
        <v>-47400</v>
      </c>
      <c r="D8456" s="196">
        <v>0</v>
      </c>
      <c r="E8456" s="196">
        <v>0</v>
      </c>
      <c r="F8456" s="196">
        <v>0</v>
      </c>
      <c r="G8456" s="196">
        <v>-47400</v>
      </c>
    </row>
    <row r="8457" spans="1:7" x14ac:dyDescent="0.3">
      <c r="A8457" s="198">
        <v>1000645970</v>
      </c>
      <c r="B8457" s="192" t="s">
        <v>1536</v>
      </c>
      <c r="C8457" s="196">
        <v>0</v>
      </c>
      <c r="D8457" s="196">
        <v>0</v>
      </c>
      <c r="E8457" s="196">
        <v>165000</v>
      </c>
      <c r="F8457" s="196">
        <v>-165000</v>
      </c>
      <c r="G8457" s="196">
        <v>-165000</v>
      </c>
    </row>
    <row r="8458" spans="1:7" x14ac:dyDescent="0.3">
      <c r="A8458" s="198">
        <v>1037607480</v>
      </c>
      <c r="B8458" s="192" t="s">
        <v>1538</v>
      </c>
      <c r="C8458" s="196">
        <v>0</v>
      </c>
      <c r="D8458" s="196">
        <v>0</v>
      </c>
      <c r="E8458" s="196">
        <v>50900</v>
      </c>
      <c r="F8458" s="196">
        <v>-50900</v>
      </c>
      <c r="G8458" s="196">
        <v>-50900</v>
      </c>
    </row>
    <row r="8459" spans="1:7" x14ac:dyDescent="0.3">
      <c r="A8459" s="198">
        <v>1039473567</v>
      </c>
      <c r="B8459" s="192" t="s">
        <v>1539</v>
      </c>
      <c r="C8459" s="196">
        <v>-100000</v>
      </c>
      <c r="D8459" s="196">
        <v>0</v>
      </c>
      <c r="E8459" s="196">
        <v>0</v>
      </c>
      <c r="F8459" s="196">
        <v>0</v>
      </c>
      <c r="G8459" s="196">
        <v>-100000</v>
      </c>
    </row>
    <row r="8460" spans="1:7" x14ac:dyDescent="0.3">
      <c r="A8460" s="198">
        <v>1003287214</v>
      </c>
      <c r="B8460" s="192" t="s">
        <v>6172</v>
      </c>
      <c r="C8460" s="196">
        <v>-30000</v>
      </c>
      <c r="D8460" s="196">
        <v>0</v>
      </c>
      <c r="E8460" s="196">
        <v>0</v>
      </c>
      <c r="F8460" s="196">
        <v>0</v>
      </c>
      <c r="G8460" s="196">
        <v>-30000</v>
      </c>
    </row>
    <row r="8461" spans="1:7" x14ac:dyDescent="0.3">
      <c r="A8461" s="198">
        <v>1027663191</v>
      </c>
      <c r="B8461" s="192" t="s">
        <v>1540</v>
      </c>
      <c r="C8461" s="196">
        <v>0</v>
      </c>
      <c r="D8461" s="196">
        <v>0</v>
      </c>
      <c r="E8461" s="196">
        <v>25000</v>
      </c>
      <c r="F8461" s="196">
        <v>-25000</v>
      </c>
      <c r="G8461" s="196">
        <v>-25000</v>
      </c>
    </row>
    <row r="8462" spans="1:7" x14ac:dyDescent="0.3">
      <c r="A8462" s="198">
        <v>1033256483</v>
      </c>
      <c r="B8462" s="192" t="s">
        <v>6173</v>
      </c>
      <c r="C8462" s="196">
        <v>-297000</v>
      </c>
      <c r="D8462" s="196">
        <v>0</v>
      </c>
      <c r="E8462" s="196">
        <v>0</v>
      </c>
      <c r="F8462" s="196">
        <v>0</v>
      </c>
      <c r="G8462" s="196">
        <v>-297000</v>
      </c>
    </row>
    <row r="8463" spans="1:7" x14ac:dyDescent="0.3">
      <c r="A8463" s="198">
        <v>1036672233</v>
      </c>
      <c r="B8463" s="192" t="s">
        <v>6174</v>
      </c>
      <c r="C8463" s="196">
        <v>-50900</v>
      </c>
      <c r="D8463" s="196">
        <v>0</v>
      </c>
      <c r="E8463" s="196">
        <v>0</v>
      </c>
      <c r="F8463" s="196">
        <v>0</v>
      </c>
      <c r="G8463" s="196">
        <v>-50900</v>
      </c>
    </row>
    <row r="8464" spans="1:7" x14ac:dyDescent="0.3">
      <c r="A8464" s="198">
        <v>1127054390</v>
      </c>
      <c r="B8464" s="192" t="s">
        <v>1541</v>
      </c>
      <c r="C8464" s="196">
        <v>0</v>
      </c>
      <c r="D8464" s="196">
        <v>0</v>
      </c>
      <c r="E8464" s="196">
        <v>319000</v>
      </c>
      <c r="F8464" s="196">
        <v>-319000</v>
      </c>
      <c r="G8464" s="196">
        <v>-319000</v>
      </c>
    </row>
    <row r="8465" spans="1:7" x14ac:dyDescent="0.3">
      <c r="A8465" s="198">
        <v>1214735806</v>
      </c>
      <c r="B8465" s="192" t="s">
        <v>1542</v>
      </c>
      <c r="C8465" s="196">
        <v>0</v>
      </c>
      <c r="D8465" s="196">
        <v>0</v>
      </c>
      <c r="E8465" s="196">
        <v>54200</v>
      </c>
      <c r="F8465" s="196">
        <v>-54200</v>
      </c>
      <c r="G8465" s="196">
        <v>-54200</v>
      </c>
    </row>
    <row r="8466" spans="1:7" x14ac:dyDescent="0.3">
      <c r="A8466" s="198">
        <v>1000539061</v>
      </c>
      <c r="B8466" s="192" t="s">
        <v>6175</v>
      </c>
      <c r="C8466" s="196">
        <v>-57200</v>
      </c>
      <c r="D8466" s="196">
        <v>0</v>
      </c>
      <c r="E8466" s="196">
        <v>0</v>
      </c>
      <c r="F8466" s="196">
        <v>0</v>
      </c>
      <c r="G8466" s="196">
        <v>-57200</v>
      </c>
    </row>
    <row r="8467" spans="1:7" x14ac:dyDescent="0.3">
      <c r="A8467" s="198">
        <v>1000446199</v>
      </c>
      <c r="B8467" s="192" t="s">
        <v>6176</v>
      </c>
      <c r="C8467" s="196">
        <v>-47000</v>
      </c>
      <c r="D8467" s="196">
        <v>0</v>
      </c>
      <c r="E8467" s="196">
        <v>0</v>
      </c>
      <c r="F8467" s="196">
        <v>0</v>
      </c>
      <c r="G8467" s="196">
        <v>-47000</v>
      </c>
    </row>
    <row r="8468" spans="1:7" x14ac:dyDescent="0.3">
      <c r="A8468" s="198">
        <v>1093310609</v>
      </c>
      <c r="B8468" s="192" t="s">
        <v>6177</v>
      </c>
      <c r="C8468" s="196">
        <v>-41800</v>
      </c>
      <c r="D8468" s="196">
        <v>0</v>
      </c>
      <c r="E8468" s="196">
        <v>0</v>
      </c>
      <c r="F8468" s="196">
        <v>0</v>
      </c>
      <c r="G8468" s="196">
        <v>-41800</v>
      </c>
    </row>
    <row r="8469" spans="1:7" x14ac:dyDescent="0.3">
      <c r="A8469" s="198">
        <v>1000411847</v>
      </c>
      <c r="B8469" s="192" t="s">
        <v>6178</v>
      </c>
      <c r="C8469" s="196">
        <v>-101800</v>
      </c>
      <c r="D8469" s="196">
        <v>0</v>
      </c>
      <c r="E8469" s="196">
        <v>0</v>
      </c>
      <c r="F8469" s="196">
        <v>0</v>
      </c>
      <c r="G8469" s="196">
        <v>-101800</v>
      </c>
    </row>
    <row r="8470" spans="1:7" x14ac:dyDescent="0.3">
      <c r="A8470" s="198">
        <v>1035001403</v>
      </c>
      <c r="B8470" s="192" t="s">
        <v>6179</v>
      </c>
      <c r="C8470" s="196">
        <v>-54200</v>
      </c>
      <c r="D8470" s="196">
        <v>0</v>
      </c>
      <c r="E8470" s="196">
        <v>0</v>
      </c>
      <c r="F8470" s="196">
        <v>0</v>
      </c>
      <c r="G8470" s="196">
        <v>-54200</v>
      </c>
    </row>
    <row r="8471" spans="1:7" x14ac:dyDescent="0.3">
      <c r="A8471" s="198">
        <v>1022008843</v>
      </c>
      <c r="B8471" s="192" t="s">
        <v>1543</v>
      </c>
      <c r="C8471" s="196">
        <v>0</v>
      </c>
      <c r="D8471" s="196">
        <v>0</v>
      </c>
      <c r="E8471" s="196">
        <v>50900</v>
      </c>
      <c r="F8471" s="196">
        <v>-50900</v>
      </c>
      <c r="G8471" s="196">
        <v>-50900</v>
      </c>
    </row>
    <row r="8472" spans="1:7" x14ac:dyDescent="0.3">
      <c r="A8472" s="198">
        <v>1125580153</v>
      </c>
      <c r="B8472" s="192" t="s">
        <v>6180</v>
      </c>
      <c r="C8472" s="196">
        <v>-46800</v>
      </c>
      <c r="D8472" s="196">
        <v>0</v>
      </c>
      <c r="E8472" s="196">
        <v>0</v>
      </c>
      <c r="F8472" s="196">
        <v>0</v>
      </c>
      <c r="G8472" s="196">
        <v>-46800</v>
      </c>
    </row>
    <row r="8473" spans="1:7" x14ac:dyDescent="0.3">
      <c r="A8473" s="198">
        <v>1040578986</v>
      </c>
      <c r="B8473" s="192" t="s">
        <v>6181</v>
      </c>
      <c r="C8473" s="196">
        <v>-41400</v>
      </c>
      <c r="D8473" s="196">
        <v>0</v>
      </c>
      <c r="E8473" s="196">
        <v>0</v>
      </c>
      <c r="F8473" s="196">
        <v>0</v>
      </c>
      <c r="G8473" s="196">
        <v>-41400</v>
      </c>
    </row>
    <row r="8474" spans="1:7" x14ac:dyDescent="0.3">
      <c r="A8474" s="198">
        <v>32298386</v>
      </c>
      <c r="B8474" s="192" t="s">
        <v>6182</v>
      </c>
      <c r="C8474" s="196">
        <v>-50900</v>
      </c>
      <c r="D8474" s="196">
        <v>0</v>
      </c>
      <c r="E8474" s="196">
        <v>0</v>
      </c>
      <c r="F8474" s="196">
        <v>0</v>
      </c>
      <c r="G8474" s="196">
        <v>-50900</v>
      </c>
    </row>
    <row r="8475" spans="1:7" x14ac:dyDescent="0.3">
      <c r="A8475" s="198">
        <v>1001420245</v>
      </c>
      <c r="B8475" s="192" t="s">
        <v>6183</v>
      </c>
      <c r="C8475" s="196">
        <v>-110000</v>
      </c>
      <c r="D8475" s="196">
        <v>0</v>
      </c>
      <c r="E8475" s="196">
        <v>0</v>
      </c>
      <c r="F8475" s="196">
        <v>0</v>
      </c>
      <c r="G8475" s="196">
        <v>-110000</v>
      </c>
    </row>
    <row r="8476" spans="1:7" x14ac:dyDescent="0.3">
      <c r="A8476" s="198">
        <v>1000535796</v>
      </c>
      <c r="B8476" s="192" t="s">
        <v>6184</v>
      </c>
      <c r="C8476" s="196">
        <v>-165000</v>
      </c>
      <c r="D8476" s="196">
        <v>0</v>
      </c>
      <c r="E8476" s="196">
        <v>0</v>
      </c>
      <c r="F8476" s="196">
        <v>0</v>
      </c>
      <c r="G8476" s="196">
        <v>-165000</v>
      </c>
    </row>
    <row r="8477" spans="1:7" x14ac:dyDescent="0.3">
      <c r="A8477" s="198">
        <v>1006320801</v>
      </c>
      <c r="B8477" s="192" t="s">
        <v>6185</v>
      </c>
      <c r="C8477" s="196">
        <v>-297000</v>
      </c>
      <c r="D8477" s="196">
        <v>0</v>
      </c>
      <c r="E8477" s="196">
        <v>0</v>
      </c>
      <c r="F8477" s="196">
        <v>0</v>
      </c>
      <c r="G8477" s="196">
        <v>-297000</v>
      </c>
    </row>
    <row r="8478" spans="1:7" x14ac:dyDescent="0.3">
      <c r="A8478" s="198">
        <v>1025062636</v>
      </c>
      <c r="B8478" s="192" t="s">
        <v>1544</v>
      </c>
      <c r="C8478" s="196">
        <v>0</v>
      </c>
      <c r="D8478" s="196">
        <v>0</v>
      </c>
      <c r="E8478" s="196">
        <v>50900</v>
      </c>
      <c r="F8478" s="196">
        <v>-50900</v>
      </c>
      <c r="G8478" s="196">
        <v>-50900</v>
      </c>
    </row>
    <row r="8479" spans="1:7" x14ac:dyDescent="0.3">
      <c r="A8479" s="198">
        <v>1036461439</v>
      </c>
      <c r="B8479" s="192" t="s">
        <v>6186</v>
      </c>
      <c r="C8479" s="196">
        <v>-50900</v>
      </c>
      <c r="D8479" s="196">
        <v>0</v>
      </c>
      <c r="E8479" s="196">
        <v>0</v>
      </c>
      <c r="F8479" s="196">
        <v>0</v>
      </c>
      <c r="G8479" s="196">
        <v>-50900</v>
      </c>
    </row>
    <row r="8480" spans="1:7" x14ac:dyDescent="0.3">
      <c r="A8480" s="198">
        <v>1035014794</v>
      </c>
      <c r="B8480" s="192" t="s">
        <v>6187</v>
      </c>
      <c r="C8480" s="196">
        <v>-94000</v>
      </c>
      <c r="D8480" s="196">
        <v>0</v>
      </c>
      <c r="E8480" s="196">
        <v>0</v>
      </c>
      <c r="F8480" s="196">
        <v>0</v>
      </c>
      <c r="G8480" s="196">
        <v>-94000</v>
      </c>
    </row>
    <row r="8481" spans="1:7" x14ac:dyDescent="0.3">
      <c r="A8481" s="198">
        <v>1093306602</v>
      </c>
      <c r="B8481" s="192" t="s">
        <v>6188</v>
      </c>
      <c r="C8481" s="196">
        <v>-50900</v>
      </c>
      <c r="D8481" s="196">
        <v>0</v>
      </c>
      <c r="E8481" s="196">
        <v>0</v>
      </c>
      <c r="F8481" s="196">
        <v>0</v>
      </c>
      <c r="G8481" s="196">
        <v>-50900</v>
      </c>
    </row>
    <row r="8482" spans="1:7" x14ac:dyDescent="0.3">
      <c r="A8482" s="198">
        <v>1011390579</v>
      </c>
      <c r="B8482" s="192" t="s">
        <v>6189</v>
      </c>
      <c r="C8482" s="196">
        <v>-100000</v>
      </c>
      <c r="D8482" s="196">
        <v>0</v>
      </c>
      <c r="E8482" s="196">
        <v>0</v>
      </c>
      <c r="F8482" s="196">
        <v>0</v>
      </c>
      <c r="G8482" s="196">
        <v>-100000</v>
      </c>
    </row>
    <row r="8483" spans="1:7" x14ac:dyDescent="0.3">
      <c r="A8483" s="198">
        <v>671912</v>
      </c>
      <c r="B8483" s="192" t="s">
        <v>6190</v>
      </c>
      <c r="C8483" s="196">
        <v>-50900</v>
      </c>
      <c r="D8483" s="196">
        <v>0</v>
      </c>
      <c r="E8483" s="196">
        <v>0</v>
      </c>
      <c r="F8483" s="196">
        <v>0</v>
      </c>
      <c r="G8483" s="196">
        <v>-50900</v>
      </c>
    </row>
    <row r="8484" spans="1:7" x14ac:dyDescent="0.3">
      <c r="A8484" s="198">
        <v>1017937498</v>
      </c>
      <c r="B8484" s="192" t="s">
        <v>6191</v>
      </c>
      <c r="C8484" s="196">
        <v>-38400</v>
      </c>
      <c r="D8484" s="196">
        <v>0</v>
      </c>
      <c r="E8484" s="196">
        <v>0</v>
      </c>
      <c r="F8484" s="196">
        <v>0</v>
      </c>
      <c r="G8484" s="196">
        <v>-38400</v>
      </c>
    </row>
    <row r="8485" spans="1:7" x14ac:dyDescent="0.3">
      <c r="A8485" s="198">
        <v>1000438827</v>
      </c>
      <c r="B8485" s="192" t="s">
        <v>6192</v>
      </c>
      <c r="C8485" s="196">
        <v>-57200</v>
      </c>
      <c r="D8485" s="196">
        <v>0</v>
      </c>
      <c r="E8485" s="196">
        <v>0</v>
      </c>
      <c r="F8485" s="196">
        <v>0</v>
      </c>
      <c r="G8485" s="196">
        <v>-57200</v>
      </c>
    </row>
    <row r="8486" spans="1:7" x14ac:dyDescent="0.3">
      <c r="A8486" s="198">
        <v>1034990100</v>
      </c>
      <c r="B8486" s="192" t="s">
        <v>6193</v>
      </c>
      <c r="C8486" s="196">
        <v>-50900</v>
      </c>
      <c r="D8486" s="196">
        <v>0</v>
      </c>
      <c r="E8486" s="196">
        <v>0</v>
      </c>
      <c r="F8486" s="196">
        <v>0</v>
      </c>
      <c r="G8486" s="196">
        <v>-50900</v>
      </c>
    </row>
    <row r="8487" spans="1:7" x14ac:dyDescent="0.3">
      <c r="A8487" s="198">
        <v>1020325959</v>
      </c>
      <c r="B8487" s="192" t="s">
        <v>1545</v>
      </c>
      <c r="C8487" s="196">
        <v>0</v>
      </c>
      <c r="D8487" s="196">
        <v>0</v>
      </c>
      <c r="E8487" s="196">
        <v>50900</v>
      </c>
      <c r="F8487" s="196">
        <v>-50900</v>
      </c>
      <c r="G8487" s="196">
        <v>-50900</v>
      </c>
    </row>
    <row r="8488" spans="1:7" x14ac:dyDescent="0.3">
      <c r="A8488" s="198">
        <v>1035008903</v>
      </c>
      <c r="B8488" s="192" t="s">
        <v>6194</v>
      </c>
      <c r="C8488" s="196">
        <v>-57200</v>
      </c>
      <c r="D8488" s="196">
        <v>0</v>
      </c>
      <c r="E8488" s="196">
        <v>0</v>
      </c>
      <c r="F8488" s="196">
        <v>0</v>
      </c>
      <c r="G8488" s="196">
        <v>-57200</v>
      </c>
    </row>
    <row r="8489" spans="1:7" x14ac:dyDescent="0.3">
      <c r="A8489" s="198">
        <v>1033259276</v>
      </c>
      <c r="B8489" s="192" t="s">
        <v>1547</v>
      </c>
      <c r="C8489" s="196">
        <v>0</v>
      </c>
      <c r="D8489" s="196">
        <v>0</v>
      </c>
      <c r="E8489" s="196">
        <v>85000</v>
      </c>
      <c r="F8489" s="196">
        <v>-85000</v>
      </c>
      <c r="G8489" s="196">
        <v>-85000</v>
      </c>
    </row>
    <row r="8490" spans="1:7" x14ac:dyDescent="0.3">
      <c r="A8490" s="198">
        <v>1192467386</v>
      </c>
      <c r="B8490" s="192" t="s">
        <v>6195</v>
      </c>
      <c r="C8490" s="196">
        <v>-47000</v>
      </c>
      <c r="D8490" s="196">
        <v>0</v>
      </c>
      <c r="E8490" s="196">
        <v>0</v>
      </c>
      <c r="F8490" s="196">
        <v>0</v>
      </c>
      <c r="G8490" s="196">
        <v>-47000</v>
      </c>
    </row>
    <row r="8491" spans="1:7" x14ac:dyDescent="0.3">
      <c r="A8491" s="198">
        <v>1035009228</v>
      </c>
      <c r="B8491" s="192" t="s">
        <v>6196</v>
      </c>
      <c r="C8491" s="196">
        <v>-36600</v>
      </c>
      <c r="D8491" s="196">
        <v>0</v>
      </c>
      <c r="E8491" s="196">
        <v>0</v>
      </c>
      <c r="F8491" s="196">
        <v>0</v>
      </c>
      <c r="G8491" s="196">
        <v>-36600</v>
      </c>
    </row>
    <row r="8492" spans="1:7" x14ac:dyDescent="0.3">
      <c r="A8492" s="198">
        <v>1025775234</v>
      </c>
      <c r="B8492" s="192" t="s">
        <v>1548</v>
      </c>
      <c r="C8492" s="196">
        <v>-50900</v>
      </c>
      <c r="D8492" s="196">
        <v>0</v>
      </c>
      <c r="E8492" s="196">
        <v>50900</v>
      </c>
      <c r="F8492" s="196">
        <v>-50900</v>
      </c>
      <c r="G8492" s="196">
        <v>-101800</v>
      </c>
    </row>
    <row r="8493" spans="1:7" x14ac:dyDescent="0.3">
      <c r="A8493" s="198">
        <v>1089930211</v>
      </c>
      <c r="B8493" s="192" t="s">
        <v>6197</v>
      </c>
      <c r="C8493" s="196">
        <v>-50900</v>
      </c>
      <c r="D8493" s="196">
        <v>0</v>
      </c>
      <c r="E8493" s="196">
        <v>0</v>
      </c>
      <c r="F8493" s="196">
        <v>0</v>
      </c>
      <c r="G8493" s="196">
        <v>-50900</v>
      </c>
    </row>
    <row r="8494" spans="1:7" x14ac:dyDescent="0.3">
      <c r="A8494" s="198">
        <v>1001237754</v>
      </c>
      <c r="B8494" s="192" t="s">
        <v>6198</v>
      </c>
      <c r="C8494" s="196">
        <v>-110000</v>
      </c>
      <c r="D8494" s="196">
        <v>0</v>
      </c>
      <c r="E8494" s="196">
        <v>0</v>
      </c>
      <c r="F8494" s="196">
        <v>0</v>
      </c>
      <c r="G8494" s="196">
        <v>-110000</v>
      </c>
    </row>
    <row r="8495" spans="1:7" x14ac:dyDescent="0.3">
      <c r="A8495" s="198">
        <v>1125639863</v>
      </c>
      <c r="B8495" s="192" t="s">
        <v>6199</v>
      </c>
      <c r="C8495" s="196">
        <v>-43900</v>
      </c>
      <c r="D8495" s="196">
        <v>0</v>
      </c>
      <c r="E8495" s="196">
        <v>0</v>
      </c>
      <c r="F8495" s="196">
        <v>0</v>
      </c>
      <c r="G8495" s="196">
        <v>-43900</v>
      </c>
    </row>
    <row r="8496" spans="1:7" x14ac:dyDescent="0.3">
      <c r="A8496" s="198">
        <v>1036632151</v>
      </c>
      <c r="B8496" s="192" t="s">
        <v>1549</v>
      </c>
      <c r="C8496" s="196">
        <v>0</v>
      </c>
      <c r="D8496" s="196">
        <v>0</v>
      </c>
      <c r="E8496" s="196">
        <v>50900</v>
      </c>
      <c r="F8496" s="196">
        <v>-50900</v>
      </c>
      <c r="G8496" s="196">
        <v>-50900</v>
      </c>
    </row>
    <row r="8497" spans="1:7" x14ac:dyDescent="0.3">
      <c r="A8497" s="198">
        <v>1036670286</v>
      </c>
      <c r="B8497" s="192" t="s">
        <v>6200</v>
      </c>
      <c r="C8497" s="196">
        <v>-50900</v>
      </c>
      <c r="D8497" s="196">
        <v>0</v>
      </c>
      <c r="E8497" s="196">
        <v>0</v>
      </c>
      <c r="F8497" s="196">
        <v>0</v>
      </c>
      <c r="G8497" s="196">
        <v>-50900</v>
      </c>
    </row>
    <row r="8498" spans="1:7" x14ac:dyDescent="0.3">
      <c r="A8498" s="198">
        <v>22468138</v>
      </c>
      <c r="B8498" s="192" t="s">
        <v>6201</v>
      </c>
      <c r="C8498" s="196">
        <v>-72000</v>
      </c>
      <c r="D8498" s="196">
        <v>0</v>
      </c>
      <c r="E8498" s="196">
        <v>0</v>
      </c>
      <c r="F8498" s="196">
        <v>0</v>
      </c>
      <c r="G8498" s="196">
        <v>-72000</v>
      </c>
    </row>
    <row r="8499" spans="1:7" x14ac:dyDescent="0.3">
      <c r="A8499" s="198">
        <v>1039455879</v>
      </c>
      <c r="B8499" s="192" t="s">
        <v>6202</v>
      </c>
      <c r="C8499" s="196">
        <v>-35000</v>
      </c>
      <c r="D8499" s="196">
        <v>0</v>
      </c>
      <c r="E8499" s="196">
        <v>0</v>
      </c>
      <c r="F8499" s="196">
        <v>0</v>
      </c>
      <c r="G8499" s="196">
        <v>-35000</v>
      </c>
    </row>
    <row r="8500" spans="1:7" x14ac:dyDescent="0.3">
      <c r="A8500" s="198">
        <v>1040731599</v>
      </c>
      <c r="B8500" s="192" t="s">
        <v>1550</v>
      </c>
      <c r="C8500" s="196">
        <v>0</v>
      </c>
      <c r="D8500" s="196">
        <v>0</v>
      </c>
      <c r="E8500" s="196">
        <v>50900</v>
      </c>
      <c r="F8500" s="196">
        <v>-50900</v>
      </c>
      <c r="G8500" s="196">
        <v>-50900</v>
      </c>
    </row>
    <row r="8501" spans="1:7" x14ac:dyDescent="0.3">
      <c r="A8501" s="198">
        <v>1128283031</v>
      </c>
      <c r="B8501" s="192" t="s">
        <v>1551</v>
      </c>
      <c r="C8501" s="196">
        <v>0</v>
      </c>
      <c r="D8501" s="196">
        <v>0</v>
      </c>
      <c r="E8501" s="196">
        <v>50900</v>
      </c>
      <c r="F8501" s="196">
        <v>-50900</v>
      </c>
      <c r="G8501" s="196">
        <v>-50900</v>
      </c>
    </row>
    <row r="8502" spans="1:7" x14ac:dyDescent="0.3">
      <c r="A8502" s="198">
        <v>1037621862</v>
      </c>
      <c r="B8502" s="192" t="s">
        <v>6203</v>
      </c>
      <c r="C8502" s="196">
        <v>-57200</v>
      </c>
      <c r="D8502" s="196">
        <v>0</v>
      </c>
      <c r="E8502" s="196">
        <v>0</v>
      </c>
      <c r="F8502" s="196">
        <v>0</v>
      </c>
      <c r="G8502" s="196">
        <v>-57200</v>
      </c>
    </row>
    <row r="8503" spans="1:7" x14ac:dyDescent="0.3">
      <c r="A8503" s="198">
        <v>1002133839</v>
      </c>
      <c r="B8503" s="192" t="s">
        <v>6204</v>
      </c>
      <c r="C8503" s="196">
        <v>-297000</v>
      </c>
      <c r="D8503" s="196">
        <v>0</v>
      </c>
      <c r="E8503" s="196">
        <v>0</v>
      </c>
      <c r="F8503" s="196">
        <v>0</v>
      </c>
      <c r="G8503" s="196">
        <v>-297000</v>
      </c>
    </row>
    <row r="8504" spans="1:7" x14ac:dyDescent="0.3">
      <c r="A8504" s="192" t="s">
        <v>1552</v>
      </c>
      <c r="B8504" s="192" t="s">
        <v>1553</v>
      </c>
      <c r="C8504" s="196">
        <v>0</v>
      </c>
      <c r="D8504" s="196">
        <v>0</v>
      </c>
      <c r="E8504" s="196">
        <v>110000</v>
      </c>
      <c r="F8504" s="196">
        <v>-110000</v>
      </c>
      <c r="G8504" s="196">
        <v>-110000</v>
      </c>
    </row>
    <row r="8505" spans="1:7" x14ac:dyDescent="0.3">
      <c r="A8505" s="198">
        <v>32689502</v>
      </c>
      <c r="B8505" s="192" t="s">
        <v>1554</v>
      </c>
      <c r="C8505" s="196">
        <v>0</v>
      </c>
      <c r="D8505" s="196">
        <v>0</v>
      </c>
      <c r="E8505" s="196">
        <v>57200</v>
      </c>
      <c r="F8505" s="196">
        <v>-57200</v>
      </c>
      <c r="G8505" s="196">
        <v>-57200</v>
      </c>
    </row>
    <row r="8506" spans="1:7" x14ac:dyDescent="0.3">
      <c r="A8506" s="192" t="s">
        <v>6205</v>
      </c>
      <c r="B8506" s="192" t="s">
        <v>6206</v>
      </c>
      <c r="C8506" s="196">
        <v>-319000</v>
      </c>
      <c r="D8506" s="196">
        <v>0</v>
      </c>
      <c r="E8506" s="196">
        <v>0</v>
      </c>
      <c r="F8506" s="196">
        <v>0</v>
      </c>
      <c r="G8506" s="196">
        <v>-319000</v>
      </c>
    </row>
    <row r="8507" spans="1:7" x14ac:dyDescent="0.3">
      <c r="A8507" s="198">
        <v>43992944</v>
      </c>
      <c r="B8507" s="192" t="s">
        <v>6207</v>
      </c>
      <c r="C8507" s="196">
        <v>-47000</v>
      </c>
      <c r="D8507" s="196">
        <v>0</v>
      </c>
      <c r="E8507" s="196">
        <v>0</v>
      </c>
      <c r="F8507" s="196">
        <v>0</v>
      </c>
      <c r="G8507" s="196">
        <v>-47000</v>
      </c>
    </row>
    <row r="8508" spans="1:7" x14ac:dyDescent="0.3">
      <c r="A8508" s="198">
        <v>1042064548</v>
      </c>
      <c r="B8508" s="192" t="s">
        <v>6208</v>
      </c>
      <c r="C8508" s="196">
        <v>-54200</v>
      </c>
      <c r="D8508" s="196">
        <v>0</v>
      </c>
      <c r="E8508" s="196">
        <v>0</v>
      </c>
      <c r="F8508" s="196">
        <v>0</v>
      </c>
      <c r="G8508" s="196">
        <v>-54200</v>
      </c>
    </row>
    <row r="8509" spans="1:7" x14ac:dyDescent="0.3">
      <c r="A8509" s="198">
        <v>43620414</v>
      </c>
      <c r="B8509" s="192" t="s">
        <v>6209</v>
      </c>
      <c r="C8509" s="196">
        <v>-47400</v>
      </c>
      <c r="D8509" s="196">
        <v>0</v>
      </c>
      <c r="E8509" s="196">
        <v>0</v>
      </c>
      <c r="F8509" s="196">
        <v>0</v>
      </c>
      <c r="G8509" s="196">
        <v>-47400</v>
      </c>
    </row>
    <row r="8510" spans="1:7" x14ac:dyDescent="0.3">
      <c r="A8510" s="198">
        <v>1033653901</v>
      </c>
      <c r="B8510" s="192" t="s">
        <v>6210</v>
      </c>
      <c r="C8510" s="196">
        <v>-50900</v>
      </c>
      <c r="D8510" s="196">
        <v>0</v>
      </c>
      <c r="E8510" s="196">
        <v>0</v>
      </c>
      <c r="F8510" s="196">
        <v>0</v>
      </c>
      <c r="G8510" s="196">
        <v>-50900</v>
      </c>
    </row>
    <row r="8511" spans="1:7" x14ac:dyDescent="0.3">
      <c r="A8511" s="198">
        <v>1040751355</v>
      </c>
      <c r="B8511" s="192" t="s">
        <v>6211</v>
      </c>
      <c r="C8511" s="196">
        <v>-100000</v>
      </c>
      <c r="D8511" s="196">
        <v>0</v>
      </c>
      <c r="E8511" s="196">
        <v>0</v>
      </c>
      <c r="F8511" s="196">
        <v>0</v>
      </c>
      <c r="G8511" s="196">
        <v>-100000</v>
      </c>
    </row>
    <row r="8512" spans="1:7" x14ac:dyDescent="0.3">
      <c r="A8512" s="198">
        <v>1017141944</v>
      </c>
      <c r="B8512" s="192" t="s">
        <v>6212</v>
      </c>
      <c r="C8512" s="196">
        <v>-333300</v>
      </c>
      <c r="D8512" s="196">
        <v>0</v>
      </c>
      <c r="E8512" s="196">
        <v>0</v>
      </c>
      <c r="F8512" s="196">
        <v>0</v>
      </c>
      <c r="G8512" s="196">
        <v>-333300</v>
      </c>
    </row>
    <row r="8513" spans="1:7" x14ac:dyDescent="0.3">
      <c r="A8513" s="198">
        <v>1007560887</v>
      </c>
      <c r="B8513" s="192" t="s">
        <v>6213</v>
      </c>
      <c r="C8513" s="196">
        <v>-297000</v>
      </c>
      <c r="D8513" s="196">
        <v>0</v>
      </c>
      <c r="E8513" s="196">
        <v>0</v>
      </c>
      <c r="F8513" s="196">
        <v>0</v>
      </c>
      <c r="G8513" s="196">
        <v>-297000</v>
      </c>
    </row>
    <row r="8514" spans="1:7" x14ac:dyDescent="0.3">
      <c r="A8514" s="198">
        <v>3329860</v>
      </c>
      <c r="B8514" s="192" t="s">
        <v>6214</v>
      </c>
      <c r="C8514" s="196">
        <v>-319000</v>
      </c>
      <c r="D8514" s="196">
        <v>0</v>
      </c>
      <c r="E8514" s="196">
        <v>0</v>
      </c>
      <c r="F8514" s="196">
        <v>0</v>
      </c>
      <c r="G8514" s="196">
        <v>-319000</v>
      </c>
    </row>
    <row r="8515" spans="1:7" x14ac:dyDescent="0.3">
      <c r="A8515" s="198">
        <v>1035010449</v>
      </c>
      <c r="B8515" s="192" t="s">
        <v>1557</v>
      </c>
      <c r="C8515" s="196">
        <v>0</v>
      </c>
      <c r="D8515" s="196">
        <v>0</v>
      </c>
      <c r="E8515" s="196">
        <v>49000</v>
      </c>
      <c r="F8515" s="196">
        <v>-49000</v>
      </c>
      <c r="G8515" s="196">
        <v>-49000</v>
      </c>
    </row>
    <row r="8516" spans="1:7" x14ac:dyDescent="0.3">
      <c r="A8516" s="198">
        <v>1035026916</v>
      </c>
      <c r="B8516" s="192" t="s">
        <v>1558</v>
      </c>
      <c r="C8516" s="196">
        <v>0</v>
      </c>
      <c r="D8516" s="196">
        <v>0</v>
      </c>
      <c r="E8516" s="196">
        <v>50900</v>
      </c>
      <c r="F8516" s="196">
        <v>-50900</v>
      </c>
      <c r="G8516" s="196">
        <v>-50900</v>
      </c>
    </row>
    <row r="8517" spans="1:7" x14ac:dyDescent="0.3">
      <c r="A8517" s="198">
        <v>1034998747</v>
      </c>
      <c r="B8517" s="192" t="s">
        <v>1559</v>
      </c>
      <c r="C8517" s="196">
        <v>0</v>
      </c>
      <c r="D8517" s="196">
        <v>0</v>
      </c>
      <c r="E8517" s="196">
        <v>50900</v>
      </c>
      <c r="F8517" s="196">
        <v>-50900</v>
      </c>
      <c r="G8517" s="196">
        <v>-50900</v>
      </c>
    </row>
    <row r="8518" spans="1:7" x14ac:dyDescent="0.3">
      <c r="A8518" s="198">
        <v>1035022841</v>
      </c>
      <c r="B8518" s="192" t="s">
        <v>6215</v>
      </c>
      <c r="C8518" s="196">
        <v>-47400</v>
      </c>
      <c r="D8518" s="196">
        <v>0</v>
      </c>
      <c r="E8518" s="196">
        <v>0</v>
      </c>
      <c r="F8518" s="196">
        <v>0</v>
      </c>
      <c r="G8518" s="196">
        <v>-47400</v>
      </c>
    </row>
    <row r="8519" spans="1:7" x14ac:dyDescent="0.3">
      <c r="A8519" s="198">
        <v>1035022525</v>
      </c>
      <c r="B8519" s="192" t="s">
        <v>6216</v>
      </c>
      <c r="C8519" s="196">
        <v>-50900</v>
      </c>
      <c r="D8519" s="196">
        <v>0</v>
      </c>
      <c r="E8519" s="196">
        <v>0</v>
      </c>
      <c r="F8519" s="196">
        <v>0</v>
      </c>
      <c r="G8519" s="196">
        <v>-50900</v>
      </c>
    </row>
    <row r="8520" spans="1:7" x14ac:dyDescent="0.3">
      <c r="A8520" s="198">
        <v>98716926</v>
      </c>
      <c r="B8520" s="192" t="s">
        <v>6217</v>
      </c>
      <c r="C8520" s="196">
        <v>-114400</v>
      </c>
      <c r="D8520" s="196">
        <v>0</v>
      </c>
      <c r="E8520" s="196">
        <v>0</v>
      </c>
      <c r="F8520" s="196">
        <v>0</v>
      </c>
      <c r="G8520" s="196">
        <v>-114400</v>
      </c>
    </row>
    <row r="8521" spans="1:7" x14ac:dyDescent="0.3">
      <c r="A8521" s="198">
        <v>73143179</v>
      </c>
      <c r="B8521" s="192" t="s">
        <v>6218</v>
      </c>
      <c r="C8521" s="196">
        <v>-47400</v>
      </c>
      <c r="D8521" s="196">
        <v>0</v>
      </c>
      <c r="E8521" s="196">
        <v>0</v>
      </c>
      <c r="F8521" s="196">
        <v>0</v>
      </c>
      <c r="G8521" s="196">
        <v>-47400</v>
      </c>
    </row>
    <row r="8522" spans="1:7" x14ac:dyDescent="0.3">
      <c r="A8522" s="198">
        <v>451337</v>
      </c>
      <c r="B8522" s="192" t="s">
        <v>1560</v>
      </c>
      <c r="C8522" s="196">
        <v>0</v>
      </c>
      <c r="D8522" s="196">
        <v>0</v>
      </c>
      <c r="E8522" s="196">
        <v>30000</v>
      </c>
      <c r="F8522" s="196">
        <v>-30000</v>
      </c>
      <c r="G8522" s="196">
        <v>-30000</v>
      </c>
    </row>
    <row r="8523" spans="1:7" x14ac:dyDescent="0.3">
      <c r="A8523" s="198">
        <v>70079957</v>
      </c>
      <c r="B8523" s="192" t="s">
        <v>6219</v>
      </c>
      <c r="C8523" s="196">
        <v>-50900</v>
      </c>
      <c r="D8523" s="196">
        <v>0</v>
      </c>
      <c r="E8523" s="196">
        <v>0</v>
      </c>
      <c r="F8523" s="196">
        <v>0</v>
      </c>
      <c r="G8523" s="196">
        <v>-50900</v>
      </c>
    </row>
    <row r="8524" spans="1:7" x14ac:dyDescent="0.3">
      <c r="A8524" s="198">
        <v>75087380</v>
      </c>
      <c r="B8524" s="192" t="s">
        <v>6220</v>
      </c>
      <c r="C8524" s="196">
        <v>-50900</v>
      </c>
      <c r="D8524" s="196">
        <v>0</v>
      </c>
      <c r="E8524" s="196">
        <v>0</v>
      </c>
      <c r="F8524" s="196">
        <v>0</v>
      </c>
      <c r="G8524" s="196">
        <v>-50900</v>
      </c>
    </row>
    <row r="8525" spans="1:7" x14ac:dyDescent="0.3">
      <c r="A8525" s="198">
        <v>17974115</v>
      </c>
      <c r="B8525" s="192" t="s">
        <v>6221</v>
      </c>
      <c r="C8525" s="196">
        <v>-638000</v>
      </c>
      <c r="D8525" s="196">
        <v>0</v>
      </c>
      <c r="E8525" s="196">
        <v>0</v>
      </c>
      <c r="F8525" s="196">
        <v>0</v>
      </c>
      <c r="G8525" s="196">
        <v>-638000</v>
      </c>
    </row>
    <row r="8526" spans="1:7" x14ac:dyDescent="0.3">
      <c r="A8526" s="198">
        <v>1239491913</v>
      </c>
      <c r="B8526" s="192" t="s">
        <v>1561</v>
      </c>
      <c r="C8526" s="196">
        <v>0</v>
      </c>
      <c r="D8526" s="196">
        <v>0</v>
      </c>
      <c r="E8526" s="196">
        <v>340000</v>
      </c>
      <c r="F8526" s="196">
        <v>-340000</v>
      </c>
      <c r="G8526" s="196">
        <v>-340000</v>
      </c>
    </row>
    <row r="8527" spans="1:7" x14ac:dyDescent="0.3">
      <c r="A8527" s="198">
        <v>32537214</v>
      </c>
      <c r="B8527" s="192" t="s">
        <v>6222</v>
      </c>
      <c r="C8527" s="196">
        <v>-165000</v>
      </c>
      <c r="D8527" s="196">
        <v>0</v>
      </c>
      <c r="E8527" s="196">
        <v>0</v>
      </c>
      <c r="F8527" s="196">
        <v>0</v>
      </c>
      <c r="G8527" s="196">
        <v>-165000</v>
      </c>
    </row>
    <row r="8528" spans="1:7" x14ac:dyDescent="0.3">
      <c r="A8528" s="198">
        <v>1035021202</v>
      </c>
      <c r="B8528" s="192" t="s">
        <v>6223</v>
      </c>
      <c r="C8528" s="196">
        <v>-41400</v>
      </c>
      <c r="D8528" s="196">
        <v>0</v>
      </c>
      <c r="E8528" s="196">
        <v>0</v>
      </c>
      <c r="F8528" s="196">
        <v>0</v>
      </c>
      <c r="G8528" s="196">
        <v>-41400</v>
      </c>
    </row>
    <row r="8529" spans="1:7" x14ac:dyDescent="0.3">
      <c r="A8529" s="198">
        <v>1225083034</v>
      </c>
      <c r="B8529" s="192" t="s">
        <v>6224</v>
      </c>
      <c r="C8529" s="196">
        <v>-50900</v>
      </c>
      <c r="D8529" s="196">
        <v>0</v>
      </c>
      <c r="E8529" s="196">
        <v>0</v>
      </c>
      <c r="F8529" s="196">
        <v>0</v>
      </c>
      <c r="G8529" s="196">
        <v>-50900</v>
      </c>
    </row>
    <row r="8530" spans="1:7" x14ac:dyDescent="0.3">
      <c r="A8530" s="198">
        <v>1035010252</v>
      </c>
      <c r="B8530" s="192" t="s">
        <v>6225</v>
      </c>
      <c r="C8530" s="196">
        <v>-41800</v>
      </c>
      <c r="D8530" s="196">
        <v>0</v>
      </c>
      <c r="E8530" s="196">
        <v>0</v>
      </c>
      <c r="F8530" s="196">
        <v>0</v>
      </c>
      <c r="G8530" s="196">
        <v>-41800</v>
      </c>
    </row>
    <row r="8531" spans="1:7" x14ac:dyDescent="0.3">
      <c r="A8531" s="198">
        <v>1021945518</v>
      </c>
      <c r="B8531" s="192" t="s">
        <v>6226</v>
      </c>
      <c r="C8531" s="196">
        <v>-38400</v>
      </c>
      <c r="D8531" s="196">
        <v>0</v>
      </c>
      <c r="E8531" s="196">
        <v>0</v>
      </c>
      <c r="F8531" s="196">
        <v>0</v>
      </c>
      <c r="G8531" s="196">
        <v>-38400</v>
      </c>
    </row>
    <row r="8532" spans="1:7" x14ac:dyDescent="0.3">
      <c r="A8532" s="198">
        <v>7612591</v>
      </c>
      <c r="B8532" s="192" t="s">
        <v>1562</v>
      </c>
      <c r="C8532" s="196">
        <v>-297000</v>
      </c>
      <c r="D8532" s="196">
        <v>0</v>
      </c>
      <c r="E8532" s="196">
        <v>0</v>
      </c>
      <c r="F8532" s="196">
        <v>0</v>
      </c>
      <c r="G8532" s="196">
        <v>-297000</v>
      </c>
    </row>
    <row r="8533" spans="1:7" x14ac:dyDescent="0.3">
      <c r="A8533" s="192" t="s">
        <v>6227</v>
      </c>
      <c r="B8533" s="192" t="s">
        <v>6228</v>
      </c>
      <c r="C8533" s="196">
        <v>-50900</v>
      </c>
      <c r="D8533" s="196">
        <v>0</v>
      </c>
      <c r="E8533" s="196">
        <v>0</v>
      </c>
      <c r="F8533" s="196">
        <v>0</v>
      </c>
      <c r="G8533" s="196">
        <v>-50900</v>
      </c>
    </row>
    <row r="8534" spans="1:7" x14ac:dyDescent="0.3">
      <c r="A8534" s="198">
        <v>42969030</v>
      </c>
      <c r="B8534" s="192" t="s">
        <v>6229</v>
      </c>
      <c r="C8534" s="196">
        <v>-171600</v>
      </c>
      <c r="D8534" s="196">
        <v>0</v>
      </c>
      <c r="E8534" s="196">
        <v>0</v>
      </c>
      <c r="F8534" s="196">
        <v>0</v>
      </c>
      <c r="G8534" s="196">
        <v>-171600</v>
      </c>
    </row>
    <row r="8535" spans="1:7" x14ac:dyDescent="0.3">
      <c r="A8535" s="198">
        <v>1039461528</v>
      </c>
      <c r="B8535" s="192" t="s">
        <v>6230</v>
      </c>
      <c r="C8535" s="196">
        <v>-50900</v>
      </c>
      <c r="D8535" s="196">
        <v>0</v>
      </c>
      <c r="E8535" s="196">
        <v>0</v>
      </c>
      <c r="F8535" s="196">
        <v>0</v>
      </c>
      <c r="G8535" s="196">
        <v>-50900</v>
      </c>
    </row>
    <row r="8536" spans="1:7" x14ac:dyDescent="0.3">
      <c r="A8536" s="198">
        <v>3489146</v>
      </c>
      <c r="B8536" s="192" t="s">
        <v>1563</v>
      </c>
      <c r="C8536" s="196">
        <v>-319000</v>
      </c>
      <c r="D8536" s="196">
        <v>0</v>
      </c>
      <c r="E8536" s="196">
        <v>0</v>
      </c>
      <c r="F8536" s="196">
        <v>0</v>
      </c>
      <c r="G8536" s="196">
        <v>-319000</v>
      </c>
    </row>
    <row r="8537" spans="1:7" x14ac:dyDescent="0.3">
      <c r="A8537" s="192" t="s">
        <v>6231</v>
      </c>
      <c r="B8537" s="192" t="s">
        <v>6232</v>
      </c>
      <c r="C8537" s="196">
        <v>-297000</v>
      </c>
      <c r="D8537" s="196">
        <v>0</v>
      </c>
      <c r="E8537" s="196">
        <v>0</v>
      </c>
      <c r="F8537" s="196">
        <v>0</v>
      </c>
      <c r="G8537" s="196">
        <v>-297000</v>
      </c>
    </row>
    <row r="8538" spans="1:7" x14ac:dyDescent="0.3">
      <c r="A8538" s="198">
        <v>1038101569</v>
      </c>
      <c r="B8538" s="192" t="s">
        <v>1564</v>
      </c>
      <c r="C8538" s="196">
        <v>-409300</v>
      </c>
      <c r="D8538" s="196">
        <v>0</v>
      </c>
      <c r="E8538" s="196">
        <v>165000</v>
      </c>
      <c r="F8538" s="196">
        <v>-165000</v>
      </c>
      <c r="G8538" s="196">
        <v>-574300</v>
      </c>
    </row>
    <row r="8539" spans="1:7" x14ac:dyDescent="0.3">
      <c r="A8539" s="198">
        <v>1066734092</v>
      </c>
      <c r="B8539" s="192" t="s">
        <v>1565</v>
      </c>
      <c r="C8539" s="196">
        <v>0</v>
      </c>
      <c r="D8539" s="196">
        <v>0</v>
      </c>
      <c r="E8539" s="196">
        <v>54200</v>
      </c>
      <c r="F8539" s="196">
        <v>-54200</v>
      </c>
      <c r="G8539" s="196">
        <v>-54200</v>
      </c>
    </row>
    <row r="8540" spans="1:7" x14ac:dyDescent="0.3">
      <c r="A8540" s="198">
        <v>21788900</v>
      </c>
      <c r="B8540" s="192" t="s">
        <v>6233</v>
      </c>
      <c r="C8540" s="196">
        <v>-57200</v>
      </c>
      <c r="D8540" s="196">
        <v>0</v>
      </c>
      <c r="E8540" s="196">
        <v>0</v>
      </c>
      <c r="F8540" s="196">
        <v>0</v>
      </c>
      <c r="G8540" s="196">
        <v>-57200</v>
      </c>
    </row>
    <row r="8541" spans="1:7" x14ac:dyDescent="0.3">
      <c r="A8541" s="198">
        <v>356021</v>
      </c>
      <c r="B8541" s="192" t="s">
        <v>1566</v>
      </c>
      <c r="C8541" s="196">
        <v>-162001</v>
      </c>
      <c r="D8541" s="196">
        <v>0</v>
      </c>
      <c r="E8541" s="196">
        <v>0</v>
      </c>
      <c r="F8541" s="196">
        <v>0</v>
      </c>
      <c r="G8541" s="196">
        <v>-162001</v>
      </c>
    </row>
    <row r="8542" spans="1:7" x14ac:dyDescent="0.3">
      <c r="A8542" s="198">
        <v>1128385895</v>
      </c>
      <c r="B8542" s="192" t="s">
        <v>6234</v>
      </c>
      <c r="C8542" s="196">
        <v>-54200</v>
      </c>
      <c r="D8542" s="196">
        <v>0</v>
      </c>
      <c r="E8542" s="196">
        <v>0</v>
      </c>
      <c r="F8542" s="196">
        <v>0</v>
      </c>
      <c r="G8542" s="196">
        <v>-54200</v>
      </c>
    </row>
    <row r="8543" spans="1:7" x14ac:dyDescent="0.3">
      <c r="A8543" s="198">
        <v>1017193103</v>
      </c>
      <c r="B8543" s="192" t="s">
        <v>6235</v>
      </c>
      <c r="C8543" s="196">
        <v>-50900</v>
      </c>
      <c r="D8543" s="196">
        <v>0</v>
      </c>
      <c r="E8543" s="196">
        <v>0</v>
      </c>
      <c r="F8543" s="196">
        <v>0</v>
      </c>
      <c r="G8543" s="196">
        <v>-50900</v>
      </c>
    </row>
    <row r="8544" spans="1:7" x14ac:dyDescent="0.3">
      <c r="A8544" s="198">
        <v>13816360</v>
      </c>
      <c r="B8544" s="192" t="s">
        <v>6236</v>
      </c>
      <c r="C8544" s="196">
        <v>-46100</v>
      </c>
      <c r="D8544" s="196">
        <v>0</v>
      </c>
      <c r="E8544" s="196">
        <v>0</v>
      </c>
      <c r="F8544" s="196">
        <v>0</v>
      </c>
      <c r="G8544" s="196">
        <v>-46100</v>
      </c>
    </row>
    <row r="8545" spans="1:7" x14ac:dyDescent="0.3">
      <c r="A8545" s="198">
        <v>1013611218</v>
      </c>
      <c r="B8545" s="192" t="s">
        <v>6237</v>
      </c>
      <c r="C8545" s="196">
        <v>-50900</v>
      </c>
      <c r="D8545" s="196">
        <v>0</v>
      </c>
      <c r="E8545" s="196">
        <v>0</v>
      </c>
      <c r="F8545" s="196">
        <v>0</v>
      </c>
      <c r="G8545" s="196">
        <v>-50900</v>
      </c>
    </row>
    <row r="8546" spans="1:7" x14ac:dyDescent="0.3">
      <c r="A8546" s="198">
        <v>1153900</v>
      </c>
      <c r="B8546" s="192" t="s">
        <v>6238</v>
      </c>
      <c r="C8546" s="196">
        <v>-50900</v>
      </c>
      <c r="D8546" s="196">
        <v>0</v>
      </c>
      <c r="E8546" s="196">
        <v>0</v>
      </c>
      <c r="F8546" s="196">
        <v>0</v>
      </c>
      <c r="G8546" s="196">
        <v>-50900</v>
      </c>
    </row>
    <row r="8547" spans="1:7" x14ac:dyDescent="0.3">
      <c r="A8547" s="198">
        <v>7006825</v>
      </c>
      <c r="B8547" s="192" t="s">
        <v>6239</v>
      </c>
      <c r="C8547" s="196">
        <v>-101800</v>
      </c>
      <c r="D8547" s="196">
        <v>0</v>
      </c>
      <c r="E8547" s="196">
        <v>0</v>
      </c>
      <c r="F8547" s="196">
        <v>0</v>
      </c>
      <c r="G8547" s="196">
        <v>-101800</v>
      </c>
    </row>
    <row r="8548" spans="1:7" x14ac:dyDescent="0.3">
      <c r="A8548" s="198">
        <v>4519055</v>
      </c>
      <c r="B8548" s="192" t="s">
        <v>6240</v>
      </c>
      <c r="C8548" s="196">
        <v>-50900</v>
      </c>
      <c r="D8548" s="196">
        <v>0</v>
      </c>
      <c r="E8548" s="196">
        <v>0</v>
      </c>
      <c r="F8548" s="196">
        <v>0</v>
      </c>
      <c r="G8548" s="196">
        <v>-50900</v>
      </c>
    </row>
    <row r="8549" spans="1:7" x14ac:dyDescent="0.3">
      <c r="A8549" s="198">
        <v>699055</v>
      </c>
      <c r="B8549" s="192" t="s">
        <v>6241</v>
      </c>
      <c r="C8549" s="196">
        <v>-50900</v>
      </c>
      <c r="D8549" s="196">
        <v>0</v>
      </c>
      <c r="E8549" s="196">
        <v>0</v>
      </c>
      <c r="F8549" s="196">
        <v>0</v>
      </c>
      <c r="G8549" s="196">
        <v>-50900</v>
      </c>
    </row>
    <row r="8550" spans="1:7" x14ac:dyDescent="0.3">
      <c r="A8550" s="198">
        <v>8029666</v>
      </c>
      <c r="B8550" s="192" t="s">
        <v>6242</v>
      </c>
      <c r="C8550" s="196">
        <v>-36600</v>
      </c>
      <c r="D8550" s="196">
        <v>0</v>
      </c>
      <c r="E8550" s="196">
        <v>0</v>
      </c>
      <c r="F8550" s="196">
        <v>0</v>
      </c>
      <c r="G8550" s="196">
        <v>-36600</v>
      </c>
    </row>
    <row r="8551" spans="1:7" x14ac:dyDescent="0.3">
      <c r="A8551" s="198">
        <v>71938493</v>
      </c>
      <c r="B8551" s="192" t="s">
        <v>1568</v>
      </c>
      <c r="C8551" s="196">
        <v>-44901</v>
      </c>
      <c r="D8551" s="196">
        <v>0</v>
      </c>
      <c r="E8551" s="196">
        <v>0</v>
      </c>
      <c r="F8551" s="196">
        <v>0</v>
      </c>
      <c r="G8551" s="196">
        <v>-44901</v>
      </c>
    </row>
    <row r="8552" spans="1:7" x14ac:dyDescent="0.3">
      <c r="A8552" s="198">
        <v>98539110</v>
      </c>
      <c r="B8552" s="192" t="s">
        <v>1569</v>
      </c>
      <c r="C8552" s="196">
        <v>0</v>
      </c>
      <c r="D8552" s="196">
        <v>0</v>
      </c>
      <c r="E8552" s="196">
        <v>50900</v>
      </c>
      <c r="F8552" s="196">
        <v>-50900</v>
      </c>
      <c r="G8552" s="196">
        <v>-50900</v>
      </c>
    </row>
    <row r="8553" spans="1:7" x14ac:dyDescent="0.3">
      <c r="A8553" s="192" t="s">
        <v>6243</v>
      </c>
      <c r="B8553" s="192" t="s">
        <v>6244</v>
      </c>
      <c r="C8553" s="196">
        <v>-162000</v>
      </c>
      <c r="D8553" s="196">
        <v>0</v>
      </c>
      <c r="E8553" s="196">
        <v>0</v>
      </c>
      <c r="F8553" s="196">
        <v>0</v>
      </c>
      <c r="G8553" s="196">
        <v>-162000</v>
      </c>
    </row>
    <row r="8554" spans="1:7" x14ac:dyDescent="0.3">
      <c r="A8554" s="198">
        <v>4582065</v>
      </c>
      <c r="B8554" s="192" t="s">
        <v>6245</v>
      </c>
      <c r="C8554" s="196">
        <v>-46400</v>
      </c>
      <c r="D8554" s="196">
        <v>0</v>
      </c>
      <c r="E8554" s="196">
        <v>0</v>
      </c>
      <c r="F8554" s="196">
        <v>0</v>
      </c>
      <c r="G8554" s="196">
        <v>-46400</v>
      </c>
    </row>
    <row r="8555" spans="1:7" x14ac:dyDescent="0.3">
      <c r="A8555" s="198">
        <v>8426819</v>
      </c>
      <c r="B8555" s="192" t="s">
        <v>6246</v>
      </c>
      <c r="C8555" s="196">
        <v>-101800</v>
      </c>
      <c r="D8555" s="196">
        <v>0</v>
      </c>
      <c r="E8555" s="196">
        <v>0</v>
      </c>
      <c r="F8555" s="196">
        <v>0</v>
      </c>
      <c r="G8555" s="196">
        <v>-101800</v>
      </c>
    </row>
    <row r="8556" spans="1:7" x14ac:dyDescent="0.3">
      <c r="A8556" s="198">
        <v>3517719</v>
      </c>
      <c r="B8556" s="192" t="s">
        <v>6247</v>
      </c>
      <c r="C8556" s="196">
        <v>-57200</v>
      </c>
      <c r="D8556" s="196">
        <v>0</v>
      </c>
      <c r="E8556" s="196">
        <v>0</v>
      </c>
      <c r="F8556" s="196">
        <v>0</v>
      </c>
      <c r="G8556" s="196">
        <v>-57200</v>
      </c>
    </row>
    <row r="8557" spans="1:7" x14ac:dyDescent="0.3">
      <c r="A8557" s="198">
        <v>15040269</v>
      </c>
      <c r="B8557" s="192" t="s">
        <v>6248</v>
      </c>
      <c r="C8557" s="196">
        <v>-297000</v>
      </c>
      <c r="D8557" s="196">
        <v>0</v>
      </c>
      <c r="E8557" s="196">
        <v>0</v>
      </c>
      <c r="F8557" s="196">
        <v>0</v>
      </c>
      <c r="G8557" s="196">
        <v>-297000</v>
      </c>
    </row>
    <row r="8558" spans="1:7" x14ac:dyDescent="0.3">
      <c r="A8558" s="198">
        <v>1019019882</v>
      </c>
      <c r="B8558" s="192" t="s">
        <v>6249</v>
      </c>
      <c r="C8558" s="196">
        <v>-38400</v>
      </c>
      <c r="D8558" s="196">
        <v>0</v>
      </c>
      <c r="E8558" s="196">
        <v>0</v>
      </c>
      <c r="F8558" s="196">
        <v>0</v>
      </c>
      <c r="G8558" s="196">
        <v>-38400</v>
      </c>
    </row>
    <row r="8559" spans="1:7" x14ac:dyDescent="0.3">
      <c r="A8559" s="198">
        <v>371838</v>
      </c>
      <c r="B8559" s="192" t="s">
        <v>1570</v>
      </c>
      <c r="C8559" s="196">
        <v>0</v>
      </c>
      <c r="D8559" s="196">
        <v>0</v>
      </c>
      <c r="E8559" s="196">
        <v>319000</v>
      </c>
      <c r="F8559" s="196">
        <v>-319000</v>
      </c>
      <c r="G8559" s="196">
        <v>-319000</v>
      </c>
    </row>
    <row r="8560" spans="1:7" x14ac:dyDescent="0.3">
      <c r="A8560" s="198">
        <v>8732415</v>
      </c>
      <c r="B8560" s="192" t="s">
        <v>6250</v>
      </c>
      <c r="C8560" s="196">
        <v>-162000</v>
      </c>
      <c r="D8560" s="196">
        <v>0</v>
      </c>
      <c r="E8560" s="196">
        <v>0</v>
      </c>
      <c r="F8560" s="196">
        <v>0</v>
      </c>
      <c r="G8560" s="196">
        <v>-162000</v>
      </c>
    </row>
    <row r="8561" spans="1:7" x14ac:dyDescent="0.3">
      <c r="A8561" s="198">
        <v>12724722</v>
      </c>
      <c r="B8561" s="192" t="s">
        <v>1571</v>
      </c>
      <c r="C8561" s="196">
        <v>-319000</v>
      </c>
      <c r="D8561" s="196">
        <v>0</v>
      </c>
      <c r="E8561" s="196">
        <v>0</v>
      </c>
      <c r="F8561" s="196">
        <v>0</v>
      </c>
      <c r="G8561" s="196">
        <v>-319000</v>
      </c>
    </row>
    <row r="8562" spans="1:7" x14ac:dyDescent="0.3">
      <c r="A8562" s="198">
        <v>70724924</v>
      </c>
      <c r="B8562" s="192" t="s">
        <v>1572</v>
      </c>
      <c r="C8562" s="196">
        <v>-57200</v>
      </c>
      <c r="D8562" s="196">
        <v>0</v>
      </c>
      <c r="E8562" s="196">
        <v>0</v>
      </c>
      <c r="F8562" s="196">
        <v>0</v>
      </c>
      <c r="G8562" s="196">
        <v>-57200</v>
      </c>
    </row>
    <row r="8563" spans="1:7" x14ac:dyDescent="0.3">
      <c r="A8563" s="198">
        <v>11152475</v>
      </c>
      <c r="B8563" s="192" t="s">
        <v>6251</v>
      </c>
      <c r="C8563" s="196">
        <v>-150000</v>
      </c>
      <c r="D8563" s="196">
        <v>0</v>
      </c>
      <c r="E8563" s="196">
        <v>0</v>
      </c>
      <c r="F8563" s="196">
        <v>0</v>
      </c>
      <c r="G8563" s="196">
        <v>-150000</v>
      </c>
    </row>
    <row r="8564" spans="1:7" x14ac:dyDescent="0.3">
      <c r="A8564" s="198">
        <v>152912277</v>
      </c>
      <c r="B8564" s="192" t="s">
        <v>6252</v>
      </c>
      <c r="C8564" s="196">
        <v>-650000</v>
      </c>
      <c r="D8564" s="196">
        <v>0</v>
      </c>
      <c r="E8564" s="196">
        <v>0</v>
      </c>
      <c r="F8564" s="196">
        <v>0</v>
      </c>
      <c r="G8564" s="196">
        <v>-650000</v>
      </c>
    </row>
    <row r="8565" spans="1:7" x14ac:dyDescent="0.3">
      <c r="A8565" s="198">
        <v>70326525</v>
      </c>
      <c r="B8565" s="192" t="s">
        <v>6253</v>
      </c>
      <c r="C8565" s="196">
        <v>-38400</v>
      </c>
      <c r="D8565" s="196">
        <v>0</v>
      </c>
      <c r="E8565" s="196">
        <v>0</v>
      </c>
      <c r="F8565" s="196">
        <v>0</v>
      </c>
      <c r="G8565" s="196">
        <v>-38400</v>
      </c>
    </row>
    <row r="8566" spans="1:7" x14ac:dyDescent="0.3">
      <c r="A8566" s="198">
        <v>1077427408</v>
      </c>
      <c r="B8566" s="192" t="s">
        <v>1574</v>
      </c>
      <c r="C8566" s="196">
        <v>0</v>
      </c>
      <c r="D8566" s="196">
        <v>0</v>
      </c>
      <c r="E8566" s="196">
        <v>319000</v>
      </c>
      <c r="F8566" s="196">
        <v>-319000</v>
      </c>
      <c r="G8566" s="196">
        <v>-319000</v>
      </c>
    </row>
    <row r="8567" spans="1:7" x14ac:dyDescent="0.3">
      <c r="A8567" s="192" t="s">
        <v>6254</v>
      </c>
      <c r="B8567" s="192" t="s">
        <v>6255</v>
      </c>
      <c r="C8567" s="196">
        <v>-110000</v>
      </c>
      <c r="D8567" s="196">
        <v>0</v>
      </c>
      <c r="E8567" s="196">
        <v>0</v>
      </c>
      <c r="F8567" s="196">
        <v>0</v>
      </c>
      <c r="G8567" s="196">
        <v>-110000</v>
      </c>
    </row>
    <row r="8568" spans="1:7" x14ac:dyDescent="0.3">
      <c r="A8568" s="198">
        <v>1040742687</v>
      </c>
      <c r="B8568" s="192" t="s">
        <v>6256</v>
      </c>
      <c r="C8568" s="196">
        <v>-427000</v>
      </c>
      <c r="D8568" s="196">
        <v>0</v>
      </c>
      <c r="E8568" s="196">
        <v>0</v>
      </c>
      <c r="F8568" s="196">
        <v>0</v>
      </c>
      <c r="G8568" s="196">
        <v>-427000</v>
      </c>
    </row>
    <row r="8569" spans="1:7" x14ac:dyDescent="0.3">
      <c r="A8569" s="198">
        <v>71273684</v>
      </c>
      <c r="B8569" s="192" t="s">
        <v>6257</v>
      </c>
      <c r="C8569" s="196">
        <v>-50900</v>
      </c>
      <c r="D8569" s="196">
        <v>0</v>
      </c>
      <c r="E8569" s="196">
        <v>0</v>
      </c>
      <c r="F8569" s="196">
        <v>0</v>
      </c>
      <c r="G8569" s="196">
        <v>-50900</v>
      </c>
    </row>
    <row r="8570" spans="1:7" x14ac:dyDescent="0.3">
      <c r="A8570" s="198">
        <v>1003305209</v>
      </c>
      <c r="B8570" s="192" t="s">
        <v>6258</v>
      </c>
      <c r="C8570" s="196">
        <v>-162000</v>
      </c>
      <c r="D8570" s="196">
        <v>0</v>
      </c>
      <c r="E8570" s="196">
        <v>0</v>
      </c>
      <c r="F8570" s="196">
        <v>0</v>
      </c>
      <c r="G8570" s="196">
        <v>-162000</v>
      </c>
    </row>
    <row r="8571" spans="1:7" x14ac:dyDescent="0.3">
      <c r="A8571" s="198">
        <v>70002900</v>
      </c>
      <c r="B8571" s="192" t="s">
        <v>6259</v>
      </c>
      <c r="C8571" s="196">
        <v>-50900</v>
      </c>
      <c r="D8571" s="196">
        <v>0</v>
      </c>
      <c r="E8571" s="196">
        <v>0</v>
      </c>
      <c r="F8571" s="196">
        <v>0</v>
      </c>
      <c r="G8571" s="196">
        <v>-50900</v>
      </c>
    </row>
    <row r="8572" spans="1:7" x14ac:dyDescent="0.3">
      <c r="A8572" s="198">
        <v>1045026461</v>
      </c>
      <c r="B8572" s="192" t="s">
        <v>1576</v>
      </c>
      <c r="C8572" s="196">
        <v>-215900</v>
      </c>
      <c r="D8572" s="196">
        <v>0</v>
      </c>
      <c r="E8572" s="196">
        <v>50900</v>
      </c>
      <c r="F8572" s="196">
        <v>-50900</v>
      </c>
      <c r="G8572" s="196">
        <v>-266800</v>
      </c>
    </row>
    <row r="8573" spans="1:7" x14ac:dyDescent="0.3">
      <c r="A8573" s="198">
        <v>79587818</v>
      </c>
      <c r="B8573" s="192" t="s">
        <v>6260</v>
      </c>
      <c r="C8573" s="196">
        <v>-297000</v>
      </c>
      <c r="D8573" s="196">
        <v>0</v>
      </c>
      <c r="E8573" s="196">
        <v>0</v>
      </c>
      <c r="F8573" s="196">
        <v>0</v>
      </c>
      <c r="G8573" s="196">
        <v>-297000</v>
      </c>
    </row>
    <row r="8574" spans="1:7" x14ac:dyDescent="0.3">
      <c r="A8574" s="198">
        <v>1128056301</v>
      </c>
      <c r="B8574" s="192" t="s">
        <v>6261</v>
      </c>
      <c r="C8574" s="196">
        <v>-50900</v>
      </c>
      <c r="D8574" s="196">
        <v>0</v>
      </c>
      <c r="E8574" s="196">
        <v>0</v>
      </c>
      <c r="F8574" s="196">
        <v>0</v>
      </c>
      <c r="G8574" s="196">
        <v>-50900</v>
      </c>
    </row>
    <row r="8575" spans="1:7" x14ac:dyDescent="0.3">
      <c r="A8575" s="198">
        <v>43499355</v>
      </c>
      <c r="B8575" s="192" t="s">
        <v>6262</v>
      </c>
      <c r="C8575" s="196">
        <v>-297000</v>
      </c>
      <c r="D8575" s="196">
        <v>0</v>
      </c>
      <c r="E8575" s="196">
        <v>0</v>
      </c>
      <c r="F8575" s="196">
        <v>0</v>
      </c>
      <c r="G8575" s="196">
        <v>-297000</v>
      </c>
    </row>
    <row r="8576" spans="1:7" x14ac:dyDescent="0.3">
      <c r="A8576" s="192" t="s">
        <v>6263</v>
      </c>
      <c r="B8576" s="192" t="s">
        <v>6264</v>
      </c>
      <c r="C8576" s="196">
        <v>-270000</v>
      </c>
      <c r="D8576" s="196">
        <v>0</v>
      </c>
      <c r="E8576" s="196">
        <v>0</v>
      </c>
      <c r="F8576" s="196">
        <v>0</v>
      </c>
      <c r="G8576" s="196">
        <v>-270000</v>
      </c>
    </row>
    <row r="8577" spans="1:7" x14ac:dyDescent="0.3">
      <c r="A8577" s="198">
        <v>60364248</v>
      </c>
      <c r="B8577" s="192" t="s">
        <v>6265</v>
      </c>
      <c r="C8577" s="196">
        <v>-47400</v>
      </c>
      <c r="D8577" s="196">
        <v>0</v>
      </c>
      <c r="E8577" s="196">
        <v>0</v>
      </c>
      <c r="F8577" s="196">
        <v>0</v>
      </c>
      <c r="G8577" s="196">
        <v>-47400</v>
      </c>
    </row>
    <row r="8578" spans="1:7" x14ac:dyDescent="0.3">
      <c r="A8578" s="192" t="s">
        <v>6266</v>
      </c>
      <c r="B8578" s="192" t="s">
        <v>6267</v>
      </c>
      <c r="C8578" s="196">
        <v>-162000</v>
      </c>
      <c r="D8578" s="196">
        <v>0</v>
      </c>
      <c r="E8578" s="196">
        <v>0</v>
      </c>
      <c r="F8578" s="196">
        <v>0</v>
      </c>
      <c r="G8578" s="196">
        <v>-162000</v>
      </c>
    </row>
    <row r="8579" spans="1:7" x14ac:dyDescent="0.3">
      <c r="A8579" s="198">
        <v>23119815</v>
      </c>
      <c r="B8579" s="192" t="s">
        <v>6268</v>
      </c>
      <c r="C8579" s="196">
        <v>-297000</v>
      </c>
      <c r="D8579" s="196">
        <v>0</v>
      </c>
      <c r="E8579" s="196">
        <v>0</v>
      </c>
      <c r="F8579" s="196">
        <v>0</v>
      </c>
      <c r="G8579" s="196">
        <v>-297000</v>
      </c>
    </row>
    <row r="8580" spans="1:7" x14ac:dyDescent="0.3">
      <c r="A8580" s="198">
        <v>1127573964</v>
      </c>
      <c r="B8580" s="192" t="s">
        <v>6269</v>
      </c>
      <c r="C8580" s="196">
        <v>-297000</v>
      </c>
      <c r="D8580" s="196">
        <v>0</v>
      </c>
      <c r="E8580" s="196">
        <v>0</v>
      </c>
      <c r="F8580" s="196">
        <v>0</v>
      </c>
      <c r="G8580" s="196">
        <v>-297000</v>
      </c>
    </row>
    <row r="8581" spans="1:7" x14ac:dyDescent="0.3">
      <c r="A8581" s="198">
        <v>42149508</v>
      </c>
      <c r="B8581" s="192" t="s">
        <v>6270</v>
      </c>
      <c r="C8581" s="196">
        <v>-50900</v>
      </c>
      <c r="D8581" s="196">
        <v>0</v>
      </c>
      <c r="E8581" s="196">
        <v>0</v>
      </c>
      <c r="F8581" s="196">
        <v>0</v>
      </c>
      <c r="G8581" s="196">
        <v>-50900</v>
      </c>
    </row>
    <row r="8582" spans="1:7" x14ac:dyDescent="0.3">
      <c r="A8582" s="198">
        <v>88256251</v>
      </c>
      <c r="B8582" s="192" t="s">
        <v>6271</v>
      </c>
      <c r="C8582" s="196">
        <v>-50900</v>
      </c>
      <c r="D8582" s="196">
        <v>0</v>
      </c>
      <c r="E8582" s="196">
        <v>0</v>
      </c>
      <c r="F8582" s="196">
        <v>0</v>
      </c>
      <c r="G8582" s="196">
        <v>-50900</v>
      </c>
    </row>
    <row r="8583" spans="1:7" x14ac:dyDescent="0.3">
      <c r="A8583" s="198">
        <v>43754530</v>
      </c>
      <c r="B8583" s="192" t="s">
        <v>6272</v>
      </c>
      <c r="C8583" s="196">
        <v>-50900</v>
      </c>
      <c r="D8583" s="196">
        <v>0</v>
      </c>
      <c r="E8583" s="196">
        <v>0</v>
      </c>
      <c r="F8583" s="196">
        <v>0</v>
      </c>
      <c r="G8583" s="196">
        <v>-50900</v>
      </c>
    </row>
    <row r="8584" spans="1:7" x14ac:dyDescent="0.3">
      <c r="A8584" s="198">
        <v>43872324</v>
      </c>
      <c r="B8584" s="192" t="s">
        <v>6273</v>
      </c>
      <c r="C8584" s="196">
        <v>-207900</v>
      </c>
      <c r="D8584" s="196">
        <v>0</v>
      </c>
      <c r="E8584" s="196">
        <v>0</v>
      </c>
      <c r="F8584" s="196">
        <v>0</v>
      </c>
      <c r="G8584" s="196">
        <v>-207900</v>
      </c>
    </row>
    <row r="8585" spans="1:7" x14ac:dyDescent="0.3">
      <c r="A8585" s="198">
        <v>1040320079</v>
      </c>
      <c r="B8585" s="192" t="s">
        <v>6274</v>
      </c>
      <c r="C8585" s="196">
        <v>-110000</v>
      </c>
      <c r="D8585" s="196">
        <v>0</v>
      </c>
      <c r="E8585" s="196">
        <v>0</v>
      </c>
      <c r="F8585" s="196">
        <v>0</v>
      </c>
      <c r="G8585" s="196">
        <v>-110000</v>
      </c>
    </row>
    <row r="8586" spans="1:7" x14ac:dyDescent="0.3">
      <c r="A8586" s="198">
        <v>1096200275</v>
      </c>
      <c r="B8586" s="192" t="s">
        <v>6275</v>
      </c>
      <c r="C8586" s="196">
        <v>-297000</v>
      </c>
      <c r="D8586" s="196">
        <v>0</v>
      </c>
      <c r="E8586" s="196">
        <v>0</v>
      </c>
      <c r="F8586" s="196">
        <v>0</v>
      </c>
      <c r="G8586" s="196">
        <v>-297000</v>
      </c>
    </row>
    <row r="8587" spans="1:7" x14ac:dyDescent="0.3">
      <c r="A8587" s="192" t="s">
        <v>6276</v>
      </c>
      <c r="B8587" s="192" t="s">
        <v>6277</v>
      </c>
      <c r="C8587" s="196">
        <v>-270000</v>
      </c>
      <c r="D8587" s="196">
        <v>0</v>
      </c>
      <c r="E8587" s="196">
        <v>0</v>
      </c>
      <c r="F8587" s="196">
        <v>0</v>
      </c>
      <c r="G8587" s="196">
        <v>-270000</v>
      </c>
    </row>
    <row r="8588" spans="1:7" x14ac:dyDescent="0.3">
      <c r="A8588" s="198">
        <v>51875515</v>
      </c>
      <c r="B8588" s="192" t="s">
        <v>6278</v>
      </c>
      <c r="C8588" s="196">
        <v>-50900</v>
      </c>
      <c r="D8588" s="196">
        <v>0</v>
      </c>
      <c r="E8588" s="196">
        <v>0</v>
      </c>
      <c r="F8588" s="196">
        <v>0</v>
      </c>
      <c r="G8588" s="196">
        <v>-50900</v>
      </c>
    </row>
    <row r="8589" spans="1:7" x14ac:dyDescent="0.3">
      <c r="A8589" s="198">
        <v>1152712932</v>
      </c>
      <c r="B8589" s="192" t="s">
        <v>1579</v>
      </c>
      <c r="C8589" s="196">
        <v>-150000</v>
      </c>
      <c r="D8589" s="196">
        <v>0</v>
      </c>
      <c r="E8589" s="196">
        <v>38000</v>
      </c>
      <c r="F8589" s="196">
        <v>-38000</v>
      </c>
      <c r="G8589" s="196">
        <v>-188000</v>
      </c>
    </row>
    <row r="8590" spans="1:7" x14ac:dyDescent="0.3">
      <c r="A8590" s="198">
        <v>1017270884</v>
      </c>
      <c r="B8590" s="192" t="s">
        <v>1580</v>
      </c>
      <c r="C8590" s="196">
        <v>0</v>
      </c>
      <c r="D8590" s="196">
        <v>0</v>
      </c>
      <c r="E8590" s="196">
        <v>275000</v>
      </c>
      <c r="F8590" s="196">
        <v>-275000</v>
      </c>
      <c r="G8590" s="196">
        <v>-275000</v>
      </c>
    </row>
    <row r="8591" spans="1:7" x14ac:dyDescent="0.3">
      <c r="A8591" s="198">
        <v>1020126824</v>
      </c>
      <c r="B8591" s="192" t="s">
        <v>6279</v>
      </c>
      <c r="C8591" s="196">
        <v>-340000</v>
      </c>
      <c r="D8591" s="196">
        <v>0</v>
      </c>
      <c r="E8591" s="196">
        <v>0</v>
      </c>
      <c r="F8591" s="196">
        <v>0</v>
      </c>
      <c r="G8591" s="196">
        <v>-340000</v>
      </c>
    </row>
    <row r="8592" spans="1:7" x14ac:dyDescent="0.3">
      <c r="A8592" s="198">
        <v>1082837250</v>
      </c>
      <c r="B8592" s="192" t="s">
        <v>6280</v>
      </c>
      <c r="C8592" s="196">
        <v>-297000</v>
      </c>
      <c r="D8592" s="196">
        <v>0</v>
      </c>
      <c r="E8592" s="196">
        <v>0</v>
      </c>
      <c r="F8592" s="196">
        <v>0</v>
      </c>
      <c r="G8592" s="196">
        <v>-297000</v>
      </c>
    </row>
    <row r="8593" spans="1:7" x14ac:dyDescent="0.3">
      <c r="A8593" s="198">
        <v>43729735</v>
      </c>
      <c r="B8593" s="192" t="s">
        <v>6281</v>
      </c>
      <c r="C8593" s="196">
        <v>-47400</v>
      </c>
      <c r="D8593" s="196">
        <v>0</v>
      </c>
      <c r="E8593" s="196">
        <v>0</v>
      </c>
      <c r="F8593" s="196">
        <v>0</v>
      </c>
      <c r="G8593" s="196">
        <v>-47400</v>
      </c>
    </row>
    <row r="8594" spans="1:7" x14ac:dyDescent="0.3">
      <c r="A8594" s="198">
        <v>1000403360</v>
      </c>
      <c r="B8594" s="192" t="s">
        <v>1688</v>
      </c>
      <c r="C8594" s="196">
        <v>-100000</v>
      </c>
      <c r="D8594" s="196">
        <v>0</v>
      </c>
      <c r="E8594" s="196">
        <v>0</v>
      </c>
      <c r="F8594" s="196">
        <v>0</v>
      </c>
      <c r="G8594" s="196">
        <v>-100000</v>
      </c>
    </row>
    <row r="8595" spans="1:7" x14ac:dyDescent="0.3">
      <c r="A8595" s="198">
        <v>1045527423</v>
      </c>
      <c r="B8595" s="192" t="s">
        <v>6282</v>
      </c>
      <c r="C8595" s="196">
        <v>-54500</v>
      </c>
      <c r="D8595" s="196">
        <v>0</v>
      </c>
      <c r="E8595" s="196">
        <v>0</v>
      </c>
      <c r="F8595" s="196">
        <v>0</v>
      </c>
      <c r="G8595" s="196">
        <v>-54500</v>
      </c>
    </row>
    <row r="8596" spans="1:7" x14ac:dyDescent="0.3">
      <c r="A8596" s="198">
        <v>1039286999</v>
      </c>
      <c r="B8596" s="192" t="s">
        <v>6283</v>
      </c>
      <c r="C8596" s="196">
        <v>-50900</v>
      </c>
      <c r="D8596" s="196">
        <v>0</v>
      </c>
      <c r="E8596" s="196">
        <v>0</v>
      </c>
      <c r="F8596" s="196">
        <v>0</v>
      </c>
      <c r="G8596" s="196">
        <v>-50900</v>
      </c>
    </row>
    <row r="8597" spans="1:7" x14ac:dyDescent="0.3">
      <c r="A8597" s="198">
        <v>1056774778</v>
      </c>
      <c r="B8597" s="192" t="s">
        <v>1583</v>
      </c>
      <c r="C8597" s="196">
        <v>-14050</v>
      </c>
      <c r="D8597" s="196">
        <v>0</v>
      </c>
      <c r="E8597" s="196">
        <v>0</v>
      </c>
      <c r="F8597" s="196">
        <v>0</v>
      </c>
      <c r="G8597" s="196">
        <v>-14050</v>
      </c>
    </row>
    <row r="8598" spans="1:7" x14ac:dyDescent="0.3">
      <c r="A8598" s="198">
        <v>1121825664</v>
      </c>
      <c r="B8598" s="192" t="s">
        <v>1584</v>
      </c>
      <c r="C8598" s="196">
        <v>-270000</v>
      </c>
      <c r="D8598" s="196">
        <v>0</v>
      </c>
      <c r="E8598" s="196">
        <v>0</v>
      </c>
      <c r="F8598" s="196">
        <v>0</v>
      </c>
      <c r="G8598" s="196">
        <v>-270000</v>
      </c>
    </row>
    <row r="8599" spans="1:7" x14ac:dyDescent="0.3">
      <c r="A8599" s="198">
        <v>40922153</v>
      </c>
      <c r="B8599" s="192" t="s">
        <v>6284</v>
      </c>
      <c r="C8599" s="196">
        <v>-270000</v>
      </c>
      <c r="D8599" s="196">
        <v>0</v>
      </c>
      <c r="E8599" s="196">
        <v>0</v>
      </c>
      <c r="F8599" s="196">
        <v>0</v>
      </c>
      <c r="G8599" s="196">
        <v>-270000</v>
      </c>
    </row>
    <row r="8600" spans="1:7" x14ac:dyDescent="0.3">
      <c r="A8600" s="198">
        <v>1018513785</v>
      </c>
      <c r="B8600" s="192" t="s">
        <v>6285</v>
      </c>
      <c r="C8600" s="196">
        <v>-50900</v>
      </c>
      <c r="D8600" s="196">
        <v>0</v>
      </c>
      <c r="E8600" s="196">
        <v>0</v>
      </c>
      <c r="F8600" s="196">
        <v>0</v>
      </c>
      <c r="G8600" s="196">
        <v>-50900</v>
      </c>
    </row>
    <row r="8601" spans="1:7" x14ac:dyDescent="0.3">
      <c r="A8601" s="198">
        <v>39176855</v>
      </c>
      <c r="B8601" s="192" t="s">
        <v>6286</v>
      </c>
      <c r="C8601" s="196">
        <v>-50900</v>
      </c>
      <c r="D8601" s="196">
        <v>0</v>
      </c>
      <c r="E8601" s="196">
        <v>0</v>
      </c>
      <c r="F8601" s="196">
        <v>0</v>
      </c>
      <c r="G8601" s="196">
        <v>-50900</v>
      </c>
    </row>
    <row r="8602" spans="1:7" x14ac:dyDescent="0.3">
      <c r="A8602" s="198">
        <v>43532175</v>
      </c>
      <c r="B8602" s="192" t="s">
        <v>1586</v>
      </c>
      <c r="C8602" s="196">
        <v>-43900</v>
      </c>
      <c r="D8602" s="196">
        <v>0</v>
      </c>
      <c r="E8602" s="196">
        <v>87800</v>
      </c>
      <c r="F8602" s="196">
        <v>-87800</v>
      </c>
      <c r="G8602" s="196">
        <v>-131700</v>
      </c>
    </row>
    <row r="8603" spans="1:7" x14ac:dyDescent="0.3">
      <c r="A8603" s="198">
        <v>43915515</v>
      </c>
      <c r="B8603" s="192" t="s">
        <v>6287</v>
      </c>
      <c r="C8603" s="196">
        <v>-270000</v>
      </c>
      <c r="D8603" s="196">
        <v>0</v>
      </c>
      <c r="E8603" s="196">
        <v>0</v>
      </c>
      <c r="F8603" s="196">
        <v>0</v>
      </c>
      <c r="G8603" s="196">
        <v>-270000</v>
      </c>
    </row>
    <row r="8604" spans="1:7" x14ac:dyDescent="0.3">
      <c r="A8604" s="198">
        <v>43400152</v>
      </c>
      <c r="B8604" s="192" t="s">
        <v>6288</v>
      </c>
      <c r="C8604" s="196">
        <v>-124200</v>
      </c>
      <c r="D8604" s="196">
        <v>0</v>
      </c>
      <c r="E8604" s="196">
        <v>0</v>
      </c>
      <c r="F8604" s="196">
        <v>0</v>
      </c>
      <c r="G8604" s="196">
        <v>-124200</v>
      </c>
    </row>
    <row r="8605" spans="1:7" x14ac:dyDescent="0.3">
      <c r="A8605" s="198">
        <v>1152435668</v>
      </c>
      <c r="B8605" s="192" t="s">
        <v>6289</v>
      </c>
      <c r="C8605" s="196">
        <v>-47000</v>
      </c>
      <c r="D8605" s="196">
        <v>0</v>
      </c>
      <c r="E8605" s="196">
        <v>0</v>
      </c>
      <c r="F8605" s="196">
        <v>0</v>
      </c>
      <c r="G8605" s="196">
        <v>-47000</v>
      </c>
    </row>
    <row r="8606" spans="1:7" x14ac:dyDescent="0.3">
      <c r="A8606" s="198">
        <v>1152207991</v>
      </c>
      <c r="B8606" s="192" t="s">
        <v>6290</v>
      </c>
      <c r="C8606" s="196">
        <v>-110000</v>
      </c>
      <c r="D8606" s="196">
        <v>0</v>
      </c>
      <c r="E8606" s="196">
        <v>0</v>
      </c>
      <c r="F8606" s="196">
        <v>0</v>
      </c>
      <c r="G8606" s="196">
        <v>-110000</v>
      </c>
    </row>
    <row r="8607" spans="1:7" x14ac:dyDescent="0.3">
      <c r="A8607" s="198">
        <v>1216716213</v>
      </c>
      <c r="B8607" s="192" t="s">
        <v>6291</v>
      </c>
      <c r="C8607" s="196">
        <v>-101800</v>
      </c>
      <c r="D8607" s="196">
        <v>0</v>
      </c>
      <c r="E8607" s="196">
        <v>0</v>
      </c>
      <c r="F8607" s="196">
        <v>0</v>
      </c>
      <c r="G8607" s="196">
        <v>-101800</v>
      </c>
    </row>
    <row r="8608" spans="1:7" x14ac:dyDescent="0.3">
      <c r="A8608" s="198">
        <v>1001416507</v>
      </c>
      <c r="B8608" s="192" t="s">
        <v>6292</v>
      </c>
      <c r="C8608" s="196">
        <v>-209700</v>
      </c>
      <c r="D8608" s="196">
        <v>0</v>
      </c>
      <c r="E8608" s="196">
        <v>0</v>
      </c>
      <c r="F8608" s="196">
        <v>0</v>
      </c>
      <c r="G8608" s="196">
        <v>-209700</v>
      </c>
    </row>
    <row r="8609" spans="1:7" x14ac:dyDescent="0.3">
      <c r="A8609" s="198">
        <v>1128480701</v>
      </c>
      <c r="B8609" s="192" t="s">
        <v>6293</v>
      </c>
      <c r="C8609" s="196">
        <v>-34600</v>
      </c>
      <c r="D8609" s="196">
        <v>0</v>
      </c>
      <c r="E8609" s="196">
        <v>0</v>
      </c>
      <c r="F8609" s="196">
        <v>0</v>
      </c>
      <c r="G8609" s="196">
        <v>-34600</v>
      </c>
    </row>
    <row r="8610" spans="1:7" x14ac:dyDescent="0.3">
      <c r="A8610" s="198">
        <v>1125643294</v>
      </c>
      <c r="B8610" s="192" t="s">
        <v>6294</v>
      </c>
      <c r="C8610" s="196">
        <v>-270000</v>
      </c>
      <c r="D8610" s="196">
        <v>0</v>
      </c>
      <c r="E8610" s="196">
        <v>0</v>
      </c>
      <c r="F8610" s="196">
        <v>0</v>
      </c>
      <c r="G8610" s="196">
        <v>-270000</v>
      </c>
    </row>
    <row r="8611" spans="1:7" x14ac:dyDescent="0.3">
      <c r="A8611" s="198">
        <v>1020404630</v>
      </c>
      <c r="B8611" s="192" t="s">
        <v>6295</v>
      </c>
      <c r="C8611" s="196">
        <v>-100000</v>
      </c>
      <c r="D8611" s="196">
        <v>0</v>
      </c>
      <c r="E8611" s="196">
        <v>0</v>
      </c>
      <c r="F8611" s="196">
        <v>0</v>
      </c>
      <c r="G8611" s="196">
        <v>-100000</v>
      </c>
    </row>
    <row r="8612" spans="1:7" x14ac:dyDescent="0.3">
      <c r="A8612" s="198">
        <v>1192748408</v>
      </c>
      <c r="B8612" s="192" t="s">
        <v>6296</v>
      </c>
      <c r="C8612" s="196">
        <v>-297000</v>
      </c>
      <c r="D8612" s="196">
        <v>0</v>
      </c>
      <c r="E8612" s="196">
        <v>0</v>
      </c>
      <c r="F8612" s="196">
        <v>0</v>
      </c>
      <c r="G8612" s="196">
        <v>-297000</v>
      </c>
    </row>
    <row r="8613" spans="1:7" x14ac:dyDescent="0.3">
      <c r="A8613" s="198">
        <v>1017153165</v>
      </c>
      <c r="B8613" s="192" t="s">
        <v>6297</v>
      </c>
      <c r="C8613" s="196">
        <v>-100000</v>
      </c>
      <c r="D8613" s="196">
        <v>0</v>
      </c>
      <c r="E8613" s="196">
        <v>0</v>
      </c>
      <c r="F8613" s="196">
        <v>0</v>
      </c>
      <c r="G8613" s="196">
        <v>-100000</v>
      </c>
    </row>
    <row r="8614" spans="1:7" x14ac:dyDescent="0.3">
      <c r="A8614" s="198">
        <v>1037617480</v>
      </c>
      <c r="B8614" s="192" t="s">
        <v>6298</v>
      </c>
      <c r="C8614" s="196">
        <v>-47400</v>
      </c>
      <c r="D8614" s="196">
        <v>0</v>
      </c>
      <c r="E8614" s="196">
        <v>0</v>
      </c>
      <c r="F8614" s="196">
        <v>0</v>
      </c>
      <c r="G8614" s="196">
        <v>-47400</v>
      </c>
    </row>
    <row r="8615" spans="1:7" x14ac:dyDescent="0.3">
      <c r="A8615" s="198">
        <v>1004012504</v>
      </c>
      <c r="B8615" s="192" t="s">
        <v>1590</v>
      </c>
      <c r="C8615" s="196">
        <v>0</v>
      </c>
      <c r="D8615" s="196">
        <v>0</v>
      </c>
      <c r="E8615" s="196">
        <v>297000</v>
      </c>
      <c r="F8615" s="196">
        <v>-297000</v>
      </c>
      <c r="G8615" s="196">
        <v>-297000</v>
      </c>
    </row>
    <row r="8616" spans="1:7" x14ac:dyDescent="0.3">
      <c r="A8616" s="198">
        <v>71481595</v>
      </c>
      <c r="B8616" s="192" t="s">
        <v>6299</v>
      </c>
      <c r="C8616" s="196">
        <v>-50900</v>
      </c>
      <c r="D8616" s="196">
        <v>0</v>
      </c>
      <c r="E8616" s="196">
        <v>0</v>
      </c>
      <c r="F8616" s="196">
        <v>0</v>
      </c>
      <c r="G8616" s="196">
        <v>-50900</v>
      </c>
    </row>
    <row r="8617" spans="1:7" x14ac:dyDescent="0.3">
      <c r="A8617" s="198">
        <v>1005571548</v>
      </c>
      <c r="B8617" s="192" t="s">
        <v>6300</v>
      </c>
      <c r="C8617" s="196">
        <v>-310000</v>
      </c>
      <c r="D8617" s="196">
        <v>0</v>
      </c>
      <c r="E8617" s="196">
        <v>0</v>
      </c>
      <c r="F8617" s="196">
        <v>0</v>
      </c>
      <c r="G8617" s="196">
        <v>-310000</v>
      </c>
    </row>
    <row r="8618" spans="1:7" x14ac:dyDescent="0.3">
      <c r="A8618" s="198">
        <v>1047228987</v>
      </c>
      <c r="B8618" s="192" t="s">
        <v>1592</v>
      </c>
      <c r="C8618" s="196">
        <v>0</v>
      </c>
      <c r="D8618" s="196">
        <v>0</v>
      </c>
      <c r="E8618" s="196">
        <v>47000</v>
      </c>
      <c r="F8618" s="196">
        <v>-47000</v>
      </c>
      <c r="G8618" s="196">
        <v>-47000</v>
      </c>
    </row>
    <row r="8619" spans="1:7" x14ac:dyDescent="0.3">
      <c r="A8619" s="198">
        <v>1037666529</v>
      </c>
      <c r="B8619" s="192" t="s">
        <v>6301</v>
      </c>
      <c r="C8619" s="196">
        <v>-110000</v>
      </c>
      <c r="D8619" s="196">
        <v>0</v>
      </c>
      <c r="E8619" s="196">
        <v>0</v>
      </c>
      <c r="F8619" s="196">
        <v>0</v>
      </c>
      <c r="G8619" s="196">
        <v>-110000</v>
      </c>
    </row>
    <row r="8620" spans="1:7" x14ac:dyDescent="0.3">
      <c r="A8620" s="198">
        <v>1128465804</v>
      </c>
      <c r="B8620" s="192" t="s">
        <v>1593</v>
      </c>
      <c r="C8620" s="196">
        <v>0</v>
      </c>
      <c r="D8620" s="196">
        <v>0</v>
      </c>
      <c r="E8620" s="196">
        <v>297000</v>
      </c>
      <c r="F8620" s="196">
        <v>-297000</v>
      </c>
      <c r="G8620" s="196">
        <v>-297000</v>
      </c>
    </row>
    <row r="8621" spans="1:7" x14ac:dyDescent="0.3">
      <c r="A8621" s="198">
        <v>8672674</v>
      </c>
      <c r="B8621" s="192" t="s">
        <v>1594</v>
      </c>
      <c r="C8621" s="196">
        <v>-57200</v>
      </c>
      <c r="D8621" s="196">
        <v>0</v>
      </c>
      <c r="E8621" s="196">
        <v>57200</v>
      </c>
      <c r="F8621" s="196">
        <v>-57200</v>
      </c>
      <c r="G8621" s="196">
        <v>-114400</v>
      </c>
    </row>
    <row r="8622" spans="1:7" x14ac:dyDescent="0.3">
      <c r="A8622" s="198">
        <v>1128456287</v>
      </c>
      <c r="B8622" s="192" t="s">
        <v>6302</v>
      </c>
      <c r="C8622" s="196">
        <v>-297000</v>
      </c>
      <c r="D8622" s="196">
        <v>0</v>
      </c>
      <c r="E8622" s="196">
        <v>0</v>
      </c>
      <c r="F8622" s="196">
        <v>0</v>
      </c>
      <c r="G8622" s="196">
        <v>-297000</v>
      </c>
    </row>
    <row r="8623" spans="1:7" x14ac:dyDescent="0.3">
      <c r="A8623" s="198">
        <v>31472220</v>
      </c>
      <c r="B8623" s="192" t="s">
        <v>1595</v>
      </c>
      <c r="C8623" s="196">
        <v>0</v>
      </c>
      <c r="D8623" s="196">
        <v>0</v>
      </c>
      <c r="E8623" s="196">
        <v>50900</v>
      </c>
      <c r="F8623" s="196">
        <v>-50900</v>
      </c>
      <c r="G8623" s="196">
        <v>-50900</v>
      </c>
    </row>
    <row r="8624" spans="1:7" x14ac:dyDescent="0.3">
      <c r="A8624" s="198">
        <v>43015271</v>
      </c>
      <c r="B8624" s="192" t="s">
        <v>6303</v>
      </c>
      <c r="C8624" s="196">
        <v>-50900</v>
      </c>
      <c r="D8624" s="196">
        <v>0</v>
      </c>
      <c r="E8624" s="196">
        <v>0</v>
      </c>
      <c r="F8624" s="196">
        <v>0</v>
      </c>
      <c r="G8624" s="196">
        <v>-50900</v>
      </c>
    </row>
    <row r="8625" spans="1:7" x14ac:dyDescent="0.3">
      <c r="A8625" s="198">
        <v>52019754</v>
      </c>
      <c r="B8625" s="192" t="s">
        <v>6304</v>
      </c>
      <c r="C8625" s="196">
        <v>-270000</v>
      </c>
      <c r="D8625" s="196">
        <v>0</v>
      </c>
      <c r="E8625" s="196">
        <v>0</v>
      </c>
      <c r="F8625" s="196">
        <v>0</v>
      </c>
      <c r="G8625" s="196">
        <v>-270000</v>
      </c>
    </row>
    <row r="8626" spans="1:7" x14ac:dyDescent="0.3">
      <c r="A8626" s="198">
        <v>52833821</v>
      </c>
      <c r="B8626" s="192" t="s">
        <v>6305</v>
      </c>
      <c r="C8626" s="196">
        <v>-50900</v>
      </c>
      <c r="D8626" s="196">
        <v>0</v>
      </c>
      <c r="E8626" s="196">
        <v>0</v>
      </c>
      <c r="F8626" s="196">
        <v>0</v>
      </c>
      <c r="G8626" s="196">
        <v>-50900</v>
      </c>
    </row>
    <row r="8627" spans="1:7" x14ac:dyDescent="0.3">
      <c r="A8627" s="198">
        <v>1033205146</v>
      </c>
      <c r="B8627" s="192" t="s">
        <v>6306</v>
      </c>
      <c r="C8627" s="196">
        <v>-340000</v>
      </c>
      <c r="D8627" s="196">
        <v>0</v>
      </c>
      <c r="E8627" s="196">
        <v>0</v>
      </c>
      <c r="F8627" s="196">
        <v>0</v>
      </c>
      <c r="G8627" s="196">
        <v>-340000</v>
      </c>
    </row>
    <row r="8628" spans="1:7" x14ac:dyDescent="0.3">
      <c r="A8628" s="198">
        <v>79899233</v>
      </c>
      <c r="B8628" s="192" t="s">
        <v>6307</v>
      </c>
      <c r="C8628" s="196">
        <v>-297000</v>
      </c>
      <c r="D8628" s="196">
        <v>0</v>
      </c>
      <c r="E8628" s="196">
        <v>0</v>
      </c>
      <c r="F8628" s="196">
        <v>0</v>
      </c>
      <c r="G8628" s="196">
        <v>-297000</v>
      </c>
    </row>
    <row r="8629" spans="1:7" x14ac:dyDescent="0.3">
      <c r="A8629" s="198">
        <v>1128472870</v>
      </c>
      <c r="B8629" s="192" t="s">
        <v>1597</v>
      </c>
      <c r="C8629" s="196">
        <v>0</v>
      </c>
      <c r="D8629" s="196">
        <v>0</v>
      </c>
      <c r="E8629" s="196">
        <v>275000</v>
      </c>
      <c r="F8629" s="196">
        <v>-275000</v>
      </c>
      <c r="G8629" s="196">
        <v>-275000</v>
      </c>
    </row>
    <row r="8630" spans="1:7" x14ac:dyDescent="0.3">
      <c r="A8630" s="198">
        <v>21428548</v>
      </c>
      <c r="B8630" s="192" t="s">
        <v>6308</v>
      </c>
      <c r="C8630" s="196">
        <v>-50900</v>
      </c>
      <c r="D8630" s="196">
        <v>0</v>
      </c>
      <c r="E8630" s="196">
        <v>0</v>
      </c>
      <c r="F8630" s="196">
        <v>0</v>
      </c>
      <c r="G8630" s="196">
        <v>-50900</v>
      </c>
    </row>
    <row r="8631" spans="1:7" x14ac:dyDescent="0.3">
      <c r="A8631" s="198">
        <v>27125358</v>
      </c>
      <c r="B8631" s="192" t="s">
        <v>6309</v>
      </c>
      <c r="C8631" s="196">
        <v>-54200</v>
      </c>
      <c r="D8631" s="196">
        <v>0</v>
      </c>
      <c r="E8631" s="196">
        <v>0</v>
      </c>
      <c r="F8631" s="196">
        <v>0</v>
      </c>
      <c r="G8631" s="196">
        <v>-54200</v>
      </c>
    </row>
    <row r="8632" spans="1:7" x14ac:dyDescent="0.3">
      <c r="A8632" s="198">
        <v>43640140</v>
      </c>
      <c r="B8632" s="192" t="s">
        <v>6310</v>
      </c>
      <c r="C8632" s="196">
        <v>-50900</v>
      </c>
      <c r="D8632" s="196">
        <v>0</v>
      </c>
      <c r="E8632" s="196">
        <v>0</v>
      </c>
      <c r="F8632" s="196">
        <v>0</v>
      </c>
      <c r="G8632" s="196">
        <v>-50900</v>
      </c>
    </row>
    <row r="8633" spans="1:7" x14ac:dyDescent="0.3">
      <c r="A8633" s="192" t="s">
        <v>6311</v>
      </c>
      <c r="B8633" s="192" t="s">
        <v>6312</v>
      </c>
      <c r="C8633" s="196">
        <v>-207000</v>
      </c>
      <c r="D8633" s="196">
        <v>0</v>
      </c>
      <c r="E8633" s="196">
        <v>0</v>
      </c>
      <c r="F8633" s="196">
        <v>0</v>
      </c>
      <c r="G8633" s="196">
        <v>-207000</v>
      </c>
    </row>
    <row r="8634" spans="1:7" x14ac:dyDescent="0.3">
      <c r="A8634" s="198">
        <v>43189785</v>
      </c>
      <c r="B8634" s="192" t="s">
        <v>1599</v>
      </c>
      <c r="C8634" s="196">
        <v>0</v>
      </c>
      <c r="D8634" s="196">
        <v>0</v>
      </c>
      <c r="E8634" s="196">
        <v>136667</v>
      </c>
      <c r="F8634" s="196">
        <v>-136667</v>
      </c>
      <c r="G8634" s="196">
        <v>-136667</v>
      </c>
    </row>
    <row r="8635" spans="1:7" x14ac:dyDescent="0.3">
      <c r="A8635" s="198">
        <v>1036619148</v>
      </c>
      <c r="B8635" s="192" t="s">
        <v>6313</v>
      </c>
      <c r="C8635" s="196">
        <v>-148500</v>
      </c>
      <c r="D8635" s="196">
        <v>0</v>
      </c>
      <c r="E8635" s="196">
        <v>0</v>
      </c>
      <c r="F8635" s="196">
        <v>0</v>
      </c>
      <c r="G8635" s="196">
        <v>-148500</v>
      </c>
    </row>
    <row r="8636" spans="1:7" x14ac:dyDescent="0.3">
      <c r="A8636" s="198">
        <v>1037593561</v>
      </c>
      <c r="B8636" s="192" t="s">
        <v>6314</v>
      </c>
      <c r="C8636" s="196">
        <v>-41400</v>
      </c>
      <c r="D8636" s="196">
        <v>0</v>
      </c>
      <c r="E8636" s="196">
        <v>0</v>
      </c>
      <c r="F8636" s="196">
        <v>0</v>
      </c>
      <c r="G8636" s="196">
        <v>-41400</v>
      </c>
    </row>
    <row r="8637" spans="1:7" x14ac:dyDescent="0.3">
      <c r="A8637" s="198">
        <v>1335280157</v>
      </c>
      <c r="B8637" s="192" t="s">
        <v>1602</v>
      </c>
      <c r="C8637" s="196">
        <v>0</v>
      </c>
      <c r="D8637" s="196">
        <v>0</v>
      </c>
      <c r="E8637" s="196">
        <v>152700</v>
      </c>
      <c r="F8637" s="196">
        <v>-152700</v>
      </c>
      <c r="G8637" s="196">
        <v>-152700</v>
      </c>
    </row>
    <row r="8638" spans="1:7" x14ac:dyDescent="0.3">
      <c r="A8638" s="198">
        <v>1036629708</v>
      </c>
      <c r="B8638" s="192" t="s">
        <v>1603</v>
      </c>
      <c r="C8638" s="196">
        <v>-54200</v>
      </c>
      <c r="D8638" s="196">
        <v>0</v>
      </c>
      <c r="E8638" s="196">
        <v>54200</v>
      </c>
      <c r="F8638" s="196">
        <v>-54200</v>
      </c>
      <c r="G8638" s="196">
        <v>-108400</v>
      </c>
    </row>
    <row r="8639" spans="1:7" x14ac:dyDescent="0.3">
      <c r="A8639" s="198">
        <v>1039597730</v>
      </c>
      <c r="B8639" s="192" t="s">
        <v>1604</v>
      </c>
      <c r="C8639" s="196">
        <v>0</v>
      </c>
      <c r="D8639" s="196">
        <v>0</v>
      </c>
      <c r="E8639" s="196">
        <v>50900</v>
      </c>
      <c r="F8639" s="196">
        <v>-50900</v>
      </c>
      <c r="G8639" s="196">
        <v>-50900</v>
      </c>
    </row>
    <row r="8640" spans="1:7" x14ac:dyDescent="0.3">
      <c r="A8640" s="198">
        <v>1001525905</v>
      </c>
      <c r="B8640" s="192" t="s">
        <v>6315</v>
      </c>
      <c r="C8640" s="196">
        <v>-46000</v>
      </c>
      <c r="D8640" s="196">
        <v>0</v>
      </c>
      <c r="E8640" s="196">
        <v>0</v>
      </c>
      <c r="F8640" s="196">
        <v>0</v>
      </c>
      <c r="G8640" s="196">
        <v>-46000</v>
      </c>
    </row>
    <row r="8641" spans="1:7" x14ac:dyDescent="0.3">
      <c r="A8641" s="198">
        <v>1143833183</v>
      </c>
      <c r="B8641" s="192" t="s">
        <v>1608</v>
      </c>
      <c r="C8641" s="196">
        <v>0</v>
      </c>
      <c r="D8641" s="196">
        <v>0</v>
      </c>
      <c r="E8641" s="196">
        <v>25000</v>
      </c>
      <c r="F8641" s="196">
        <v>-25000</v>
      </c>
      <c r="G8641" s="196">
        <v>-25000</v>
      </c>
    </row>
    <row r="8642" spans="1:7" x14ac:dyDescent="0.3">
      <c r="A8642" s="198">
        <v>1129045741</v>
      </c>
      <c r="B8642" s="192" t="s">
        <v>6316</v>
      </c>
      <c r="C8642" s="196">
        <v>-207900</v>
      </c>
      <c r="D8642" s="196">
        <v>0</v>
      </c>
      <c r="E8642" s="196">
        <v>0</v>
      </c>
      <c r="F8642" s="196">
        <v>0</v>
      </c>
      <c r="G8642" s="196">
        <v>-207900</v>
      </c>
    </row>
    <row r="8643" spans="1:7" x14ac:dyDescent="0.3">
      <c r="A8643" s="198">
        <v>1075232869</v>
      </c>
      <c r="B8643" s="192" t="s">
        <v>1609</v>
      </c>
      <c r="C8643" s="196">
        <v>-50900</v>
      </c>
      <c r="D8643" s="196">
        <v>0</v>
      </c>
      <c r="E8643" s="196">
        <v>50900</v>
      </c>
      <c r="F8643" s="196">
        <v>-50900</v>
      </c>
      <c r="G8643" s="196">
        <v>-101800</v>
      </c>
    </row>
    <row r="8644" spans="1:7" x14ac:dyDescent="0.3">
      <c r="A8644" s="198">
        <v>39177168</v>
      </c>
      <c r="B8644" s="192" t="s">
        <v>6317</v>
      </c>
      <c r="C8644" s="196">
        <v>-28400</v>
      </c>
      <c r="D8644" s="196">
        <v>0</v>
      </c>
      <c r="E8644" s="196">
        <v>0</v>
      </c>
      <c r="F8644" s="196">
        <v>0</v>
      </c>
      <c r="G8644" s="196">
        <v>-28400</v>
      </c>
    </row>
    <row r="8645" spans="1:7" x14ac:dyDescent="0.3">
      <c r="A8645" s="198">
        <v>1017245598</v>
      </c>
      <c r="B8645" s="192" t="s">
        <v>6318</v>
      </c>
      <c r="C8645" s="196">
        <v>-50900</v>
      </c>
      <c r="D8645" s="196">
        <v>0</v>
      </c>
      <c r="E8645" s="196">
        <v>0</v>
      </c>
      <c r="F8645" s="196">
        <v>0</v>
      </c>
      <c r="G8645" s="196">
        <v>-50900</v>
      </c>
    </row>
    <row r="8646" spans="1:7" x14ac:dyDescent="0.3">
      <c r="A8646" s="198">
        <v>1046912278</v>
      </c>
      <c r="B8646" s="192" t="s">
        <v>6319</v>
      </c>
      <c r="C8646" s="196">
        <v>-130000</v>
      </c>
      <c r="D8646" s="196">
        <v>0</v>
      </c>
      <c r="E8646" s="196">
        <v>0</v>
      </c>
      <c r="F8646" s="196">
        <v>0</v>
      </c>
      <c r="G8646" s="196">
        <v>-130000</v>
      </c>
    </row>
    <row r="8647" spans="1:7" x14ac:dyDescent="0.3">
      <c r="A8647" s="198">
        <v>52488888</v>
      </c>
      <c r="B8647" s="192" t="s">
        <v>6320</v>
      </c>
      <c r="C8647" s="196">
        <v>-29000</v>
      </c>
      <c r="D8647" s="196">
        <v>0</v>
      </c>
      <c r="E8647" s="196">
        <v>0</v>
      </c>
      <c r="F8647" s="196">
        <v>0</v>
      </c>
      <c r="G8647" s="196">
        <v>-29000</v>
      </c>
    </row>
    <row r="8648" spans="1:7" x14ac:dyDescent="0.3">
      <c r="A8648" s="198">
        <v>1035000603</v>
      </c>
      <c r="B8648" s="192" t="s">
        <v>6321</v>
      </c>
      <c r="C8648" s="196">
        <v>-38000</v>
      </c>
      <c r="D8648" s="196">
        <v>0</v>
      </c>
      <c r="E8648" s="196">
        <v>0</v>
      </c>
      <c r="F8648" s="196">
        <v>0</v>
      </c>
      <c r="G8648" s="196">
        <v>-38000</v>
      </c>
    </row>
    <row r="8649" spans="1:7" x14ac:dyDescent="0.3">
      <c r="A8649" s="198">
        <v>1035988988</v>
      </c>
      <c r="B8649" s="192" t="s">
        <v>6322</v>
      </c>
      <c r="C8649" s="196">
        <v>-270000</v>
      </c>
      <c r="D8649" s="196">
        <v>0</v>
      </c>
      <c r="E8649" s="196">
        <v>0</v>
      </c>
      <c r="F8649" s="196">
        <v>0</v>
      </c>
      <c r="G8649" s="196">
        <v>-270000</v>
      </c>
    </row>
    <row r="8650" spans="1:7" x14ac:dyDescent="0.3">
      <c r="A8650" s="198">
        <v>1014898113</v>
      </c>
      <c r="B8650" s="192" t="s">
        <v>6323</v>
      </c>
      <c r="C8650" s="196">
        <v>-43900</v>
      </c>
      <c r="D8650" s="196">
        <v>0</v>
      </c>
      <c r="E8650" s="196">
        <v>0</v>
      </c>
      <c r="F8650" s="196">
        <v>0</v>
      </c>
      <c r="G8650" s="196">
        <v>-43900</v>
      </c>
    </row>
    <row r="8651" spans="1:7" x14ac:dyDescent="0.3">
      <c r="A8651" s="198">
        <v>43201832</v>
      </c>
      <c r="B8651" s="192" t="s">
        <v>1610</v>
      </c>
      <c r="C8651" s="196">
        <v>0</v>
      </c>
      <c r="D8651" s="196">
        <v>0</v>
      </c>
      <c r="E8651" s="196">
        <v>50900</v>
      </c>
      <c r="F8651" s="196">
        <v>-50900</v>
      </c>
      <c r="G8651" s="196">
        <v>-50900</v>
      </c>
    </row>
    <row r="8652" spans="1:7" x14ac:dyDescent="0.3">
      <c r="A8652" s="198">
        <v>44003020</v>
      </c>
      <c r="B8652" s="192" t="s">
        <v>1611</v>
      </c>
      <c r="C8652" s="196">
        <v>-319000</v>
      </c>
      <c r="D8652" s="196">
        <v>0</v>
      </c>
      <c r="E8652" s="196">
        <v>0</v>
      </c>
      <c r="F8652" s="196">
        <v>0</v>
      </c>
      <c r="G8652" s="196">
        <v>-319000</v>
      </c>
    </row>
    <row r="8653" spans="1:7" x14ac:dyDescent="0.3">
      <c r="A8653" s="198">
        <v>584029661</v>
      </c>
      <c r="B8653" s="192" t="s">
        <v>6324</v>
      </c>
      <c r="C8653" s="196">
        <v>-110000</v>
      </c>
      <c r="D8653" s="196">
        <v>0</v>
      </c>
      <c r="E8653" s="196">
        <v>0</v>
      </c>
      <c r="F8653" s="196">
        <v>0</v>
      </c>
      <c r="G8653" s="196">
        <v>-110000</v>
      </c>
    </row>
    <row r="8654" spans="1:7" x14ac:dyDescent="0.3">
      <c r="A8654" s="198">
        <v>1152449253</v>
      </c>
      <c r="B8654" s="192" t="s">
        <v>1612</v>
      </c>
      <c r="C8654" s="196">
        <v>-50901</v>
      </c>
      <c r="D8654" s="196">
        <v>0</v>
      </c>
      <c r="E8654" s="196">
        <v>0</v>
      </c>
      <c r="F8654" s="196">
        <v>0</v>
      </c>
      <c r="G8654" s="196">
        <v>-50901</v>
      </c>
    </row>
    <row r="8655" spans="1:7" x14ac:dyDescent="0.3">
      <c r="A8655" s="198">
        <v>41651002</v>
      </c>
      <c r="B8655" s="192" t="s">
        <v>6325</v>
      </c>
      <c r="C8655" s="196">
        <v>-6173307162</v>
      </c>
      <c r="D8655" s="196">
        <v>46504192</v>
      </c>
      <c r="E8655" s="196">
        <v>1203798378</v>
      </c>
      <c r="F8655" s="196">
        <v>-1157294186</v>
      </c>
      <c r="G8655" s="196">
        <v>-7330601348</v>
      </c>
    </row>
    <row r="8656" spans="1:7" x14ac:dyDescent="0.3">
      <c r="A8656" s="198">
        <v>70546915</v>
      </c>
      <c r="B8656" s="192" t="s">
        <v>160</v>
      </c>
      <c r="C8656" s="196">
        <v>-12829800</v>
      </c>
      <c r="D8656" s="196">
        <v>0</v>
      </c>
      <c r="E8656" s="196">
        <v>0</v>
      </c>
      <c r="F8656" s="196">
        <v>0</v>
      </c>
      <c r="G8656" s="196">
        <v>-12829800</v>
      </c>
    </row>
    <row r="8657" spans="1:7" x14ac:dyDescent="0.3">
      <c r="A8657" s="198">
        <v>42776697</v>
      </c>
      <c r="B8657" s="192" t="s">
        <v>6326</v>
      </c>
      <c r="C8657" s="196">
        <v>-3910000</v>
      </c>
      <c r="D8657" s="196">
        <v>0</v>
      </c>
      <c r="E8657" s="196">
        <v>0</v>
      </c>
      <c r="F8657" s="196">
        <v>0</v>
      </c>
      <c r="G8657" s="196">
        <v>-3910000</v>
      </c>
    </row>
    <row r="8658" spans="1:7" x14ac:dyDescent="0.3">
      <c r="A8658" s="192" t="s">
        <v>2486</v>
      </c>
      <c r="B8658" s="192" t="s">
        <v>2487</v>
      </c>
      <c r="C8658" s="196">
        <v>-2210000</v>
      </c>
      <c r="D8658" s="196">
        <v>0</v>
      </c>
      <c r="E8658" s="196">
        <v>0</v>
      </c>
      <c r="F8658" s="196">
        <v>0</v>
      </c>
      <c r="G8658" s="196">
        <v>-2210000</v>
      </c>
    </row>
    <row r="8659" spans="1:7" x14ac:dyDescent="0.3">
      <c r="A8659" s="198">
        <v>1027884617</v>
      </c>
      <c r="B8659" s="192" t="s">
        <v>6327</v>
      </c>
      <c r="C8659" s="196">
        <v>-3261650</v>
      </c>
      <c r="D8659" s="196">
        <v>0</v>
      </c>
      <c r="E8659" s="196">
        <v>0</v>
      </c>
      <c r="F8659" s="196">
        <v>0</v>
      </c>
      <c r="G8659" s="196">
        <v>-3261650</v>
      </c>
    </row>
    <row r="8660" spans="1:7" x14ac:dyDescent="0.3">
      <c r="A8660" s="198">
        <v>42890550</v>
      </c>
      <c r="B8660" s="192" t="s">
        <v>6328</v>
      </c>
      <c r="C8660" s="196">
        <v>-1870000</v>
      </c>
      <c r="D8660" s="196">
        <v>0</v>
      </c>
      <c r="E8660" s="196">
        <v>0</v>
      </c>
      <c r="F8660" s="196">
        <v>0</v>
      </c>
      <c r="G8660" s="196">
        <v>-1870000</v>
      </c>
    </row>
    <row r="8661" spans="1:7" x14ac:dyDescent="0.3">
      <c r="A8661" s="198">
        <v>51756410</v>
      </c>
      <c r="B8661" s="192" t="s">
        <v>6329</v>
      </c>
      <c r="C8661" s="196">
        <v>-963000</v>
      </c>
      <c r="D8661" s="196">
        <v>0</v>
      </c>
      <c r="E8661" s="196">
        <v>0</v>
      </c>
      <c r="F8661" s="196">
        <v>0</v>
      </c>
      <c r="G8661" s="196">
        <v>-963000</v>
      </c>
    </row>
    <row r="8662" spans="1:7" x14ac:dyDescent="0.3">
      <c r="A8662" s="198">
        <v>43103525</v>
      </c>
      <c r="B8662" s="192" t="s">
        <v>169</v>
      </c>
      <c r="C8662" s="196">
        <v>0</v>
      </c>
      <c r="D8662" s="196">
        <v>0</v>
      </c>
      <c r="E8662" s="196">
        <v>963000</v>
      </c>
      <c r="F8662" s="196">
        <v>-963000</v>
      </c>
      <c r="G8662" s="196">
        <v>-963000</v>
      </c>
    </row>
    <row r="8663" spans="1:7" x14ac:dyDescent="0.3">
      <c r="A8663" s="198">
        <v>43507408</v>
      </c>
      <c r="B8663" s="192" t="s">
        <v>2496</v>
      </c>
      <c r="C8663" s="196">
        <v>-53400</v>
      </c>
      <c r="D8663" s="196">
        <v>0</v>
      </c>
      <c r="E8663" s="196">
        <v>0</v>
      </c>
      <c r="F8663" s="196">
        <v>0</v>
      </c>
      <c r="G8663" s="196">
        <v>-53400</v>
      </c>
    </row>
    <row r="8664" spans="1:7" x14ac:dyDescent="0.3">
      <c r="A8664" s="198">
        <v>43362698</v>
      </c>
      <c r="B8664" s="192" t="s">
        <v>172</v>
      </c>
      <c r="C8664" s="196">
        <v>-3338000</v>
      </c>
      <c r="D8664" s="196">
        <v>0</v>
      </c>
      <c r="E8664" s="196">
        <v>3338000</v>
      </c>
      <c r="F8664" s="196">
        <v>-3338000</v>
      </c>
      <c r="G8664" s="196">
        <v>-6676000</v>
      </c>
    </row>
    <row r="8665" spans="1:7" x14ac:dyDescent="0.3">
      <c r="A8665" s="198">
        <v>43844642</v>
      </c>
      <c r="B8665" s="192" t="s">
        <v>6330</v>
      </c>
      <c r="C8665" s="196">
        <v>-3722400</v>
      </c>
      <c r="D8665" s="196">
        <v>0</v>
      </c>
      <c r="E8665" s="196">
        <v>0</v>
      </c>
      <c r="F8665" s="196">
        <v>0</v>
      </c>
      <c r="G8665" s="196">
        <v>-3722400</v>
      </c>
    </row>
    <row r="8666" spans="1:7" x14ac:dyDescent="0.3">
      <c r="A8666" s="198">
        <v>42874292</v>
      </c>
      <c r="B8666" s="192" t="s">
        <v>6331</v>
      </c>
      <c r="C8666" s="196">
        <v>-2184000</v>
      </c>
      <c r="D8666" s="196">
        <v>0</v>
      </c>
      <c r="E8666" s="196">
        <v>0</v>
      </c>
      <c r="F8666" s="196">
        <v>0</v>
      </c>
      <c r="G8666" s="196">
        <v>-2184000</v>
      </c>
    </row>
    <row r="8667" spans="1:7" x14ac:dyDescent="0.3">
      <c r="A8667" s="198">
        <v>43532661</v>
      </c>
      <c r="B8667" s="192" t="s">
        <v>175</v>
      </c>
      <c r="C8667" s="196">
        <v>-9186000</v>
      </c>
      <c r="D8667" s="196">
        <v>0</v>
      </c>
      <c r="E8667" s="196">
        <v>0</v>
      </c>
      <c r="F8667" s="196">
        <v>0</v>
      </c>
      <c r="G8667" s="196">
        <v>-9186000</v>
      </c>
    </row>
    <row r="8668" spans="1:7" x14ac:dyDescent="0.3">
      <c r="A8668" s="198">
        <v>43204402</v>
      </c>
      <c r="B8668" s="192" t="s">
        <v>6332</v>
      </c>
      <c r="C8668" s="196">
        <v>-963000</v>
      </c>
      <c r="D8668" s="196">
        <v>0</v>
      </c>
      <c r="E8668" s="196">
        <v>0</v>
      </c>
      <c r="F8668" s="196">
        <v>0</v>
      </c>
      <c r="G8668" s="196">
        <v>-963000</v>
      </c>
    </row>
    <row r="8669" spans="1:7" x14ac:dyDescent="0.3">
      <c r="A8669" s="198">
        <v>43118498</v>
      </c>
      <c r="B8669" s="192" t="s">
        <v>179</v>
      </c>
      <c r="C8669" s="196">
        <v>0</v>
      </c>
      <c r="D8669" s="196">
        <v>0</v>
      </c>
      <c r="E8669" s="196">
        <v>2895000</v>
      </c>
      <c r="F8669" s="196">
        <v>-2895000</v>
      </c>
      <c r="G8669" s="196">
        <v>-2895000</v>
      </c>
    </row>
    <row r="8670" spans="1:7" x14ac:dyDescent="0.3">
      <c r="A8670" s="198">
        <v>43455485</v>
      </c>
      <c r="B8670" s="192" t="s">
        <v>6333</v>
      </c>
      <c r="C8670" s="196">
        <v>-3261650</v>
      </c>
      <c r="D8670" s="196">
        <v>0</v>
      </c>
      <c r="E8670" s="196">
        <v>0</v>
      </c>
      <c r="F8670" s="196">
        <v>0</v>
      </c>
      <c r="G8670" s="196">
        <v>-3261650</v>
      </c>
    </row>
    <row r="8671" spans="1:7" x14ac:dyDescent="0.3">
      <c r="A8671" s="198">
        <v>900983931</v>
      </c>
      <c r="B8671" s="192" t="s">
        <v>1684</v>
      </c>
      <c r="C8671" s="196">
        <v>-3210000</v>
      </c>
      <c r="D8671" s="196">
        <v>0</v>
      </c>
      <c r="E8671" s="196">
        <v>0</v>
      </c>
      <c r="F8671" s="196">
        <v>0</v>
      </c>
      <c r="G8671" s="196">
        <v>-3210000</v>
      </c>
    </row>
    <row r="8672" spans="1:7" x14ac:dyDescent="0.3">
      <c r="A8672" s="198">
        <v>25991867</v>
      </c>
      <c r="B8672" s="192" t="s">
        <v>189</v>
      </c>
      <c r="C8672" s="196">
        <v>0</v>
      </c>
      <c r="D8672" s="196">
        <v>0</v>
      </c>
      <c r="E8672" s="196">
        <v>4133000</v>
      </c>
      <c r="F8672" s="196">
        <v>-4133000</v>
      </c>
      <c r="G8672" s="196">
        <v>-4133000</v>
      </c>
    </row>
    <row r="8673" spans="1:7" x14ac:dyDescent="0.3">
      <c r="A8673" s="198">
        <v>39801307</v>
      </c>
      <c r="B8673" s="192" t="s">
        <v>2527</v>
      </c>
      <c r="C8673" s="196">
        <v>-710000</v>
      </c>
      <c r="D8673" s="196">
        <v>0</v>
      </c>
      <c r="E8673" s="196">
        <v>0</v>
      </c>
      <c r="F8673" s="196">
        <v>0</v>
      </c>
      <c r="G8673" s="196">
        <v>-710000</v>
      </c>
    </row>
    <row r="8674" spans="1:7" x14ac:dyDescent="0.3">
      <c r="A8674" s="198">
        <v>21401905</v>
      </c>
      <c r="B8674" s="192" t="s">
        <v>191</v>
      </c>
      <c r="C8674" s="196">
        <v>0</v>
      </c>
      <c r="D8674" s="196">
        <v>0</v>
      </c>
      <c r="E8674" s="196">
        <v>2222000</v>
      </c>
      <c r="F8674" s="196">
        <v>-2222000</v>
      </c>
      <c r="G8674" s="196">
        <v>-2222000</v>
      </c>
    </row>
    <row r="8675" spans="1:7" x14ac:dyDescent="0.3">
      <c r="A8675" s="198">
        <v>43729250</v>
      </c>
      <c r="B8675" s="192" t="s">
        <v>6334</v>
      </c>
      <c r="C8675" s="196">
        <v>-4133000</v>
      </c>
      <c r="D8675" s="196">
        <v>0</v>
      </c>
      <c r="E8675" s="196">
        <v>0</v>
      </c>
      <c r="F8675" s="196">
        <v>0</v>
      </c>
      <c r="G8675" s="196">
        <v>-4133000</v>
      </c>
    </row>
    <row r="8676" spans="1:7" x14ac:dyDescent="0.3">
      <c r="A8676" s="198">
        <v>43062175</v>
      </c>
      <c r="B8676" s="192" t="s">
        <v>6335</v>
      </c>
      <c r="C8676" s="196">
        <v>-1870000</v>
      </c>
      <c r="D8676" s="196">
        <v>0</v>
      </c>
      <c r="E8676" s="196">
        <v>0</v>
      </c>
      <c r="F8676" s="196">
        <v>0</v>
      </c>
      <c r="G8676" s="196">
        <v>-1870000</v>
      </c>
    </row>
    <row r="8677" spans="1:7" x14ac:dyDescent="0.3">
      <c r="A8677" s="198">
        <v>313747</v>
      </c>
      <c r="B8677" s="192" t="s">
        <v>2545</v>
      </c>
      <c r="C8677" s="196">
        <v>-3500000</v>
      </c>
      <c r="D8677" s="196">
        <v>0</v>
      </c>
      <c r="E8677" s="196">
        <v>0</v>
      </c>
      <c r="F8677" s="196">
        <v>0</v>
      </c>
      <c r="G8677" s="196">
        <v>-3500000</v>
      </c>
    </row>
    <row r="8678" spans="1:7" x14ac:dyDescent="0.3">
      <c r="A8678" s="198">
        <v>71592226</v>
      </c>
      <c r="B8678" s="192" t="s">
        <v>6336</v>
      </c>
      <c r="C8678" s="196">
        <v>-710000</v>
      </c>
      <c r="D8678" s="196">
        <v>0</v>
      </c>
      <c r="E8678" s="196">
        <v>0</v>
      </c>
      <c r="F8678" s="196">
        <v>0</v>
      </c>
      <c r="G8678" s="196">
        <v>-710000</v>
      </c>
    </row>
    <row r="8679" spans="1:7" x14ac:dyDescent="0.3">
      <c r="A8679" s="198">
        <v>82360700</v>
      </c>
      <c r="B8679" s="192" t="s">
        <v>197</v>
      </c>
      <c r="C8679" s="196">
        <v>-5838000</v>
      </c>
      <c r="D8679" s="196">
        <v>0</v>
      </c>
      <c r="E8679" s="196">
        <v>0</v>
      </c>
      <c r="F8679" s="196">
        <v>0</v>
      </c>
      <c r="G8679" s="196">
        <v>-5838000</v>
      </c>
    </row>
    <row r="8680" spans="1:7" x14ac:dyDescent="0.3">
      <c r="A8680" s="198">
        <v>43111273</v>
      </c>
      <c r="B8680" s="192" t="s">
        <v>6337</v>
      </c>
      <c r="C8680" s="196">
        <v>-4133000</v>
      </c>
      <c r="D8680" s="196">
        <v>0</v>
      </c>
      <c r="E8680" s="196">
        <v>0</v>
      </c>
      <c r="F8680" s="196">
        <v>0</v>
      </c>
      <c r="G8680" s="196">
        <v>-4133000</v>
      </c>
    </row>
    <row r="8681" spans="1:7" x14ac:dyDescent="0.3">
      <c r="A8681" s="198">
        <v>142038600</v>
      </c>
      <c r="B8681" s="192" t="s">
        <v>6338</v>
      </c>
      <c r="C8681" s="196">
        <v>-8624300</v>
      </c>
      <c r="D8681" s="196">
        <v>0</v>
      </c>
      <c r="E8681" s="196">
        <v>0</v>
      </c>
      <c r="F8681" s="196">
        <v>0</v>
      </c>
      <c r="G8681" s="196">
        <v>-8624300</v>
      </c>
    </row>
    <row r="8682" spans="1:7" x14ac:dyDescent="0.3">
      <c r="A8682" s="198">
        <v>1152460762</v>
      </c>
      <c r="B8682" s="192" t="s">
        <v>6339</v>
      </c>
      <c r="C8682" s="196">
        <v>-963000</v>
      </c>
      <c r="D8682" s="196">
        <v>0</v>
      </c>
      <c r="E8682" s="196">
        <v>0</v>
      </c>
      <c r="F8682" s="196">
        <v>0</v>
      </c>
      <c r="G8682" s="196">
        <v>-963000</v>
      </c>
    </row>
    <row r="8683" spans="1:7" x14ac:dyDescent="0.3">
      <c r="A8683" s="198">
        <v>43759008</v>
      </c>
      <c r="B8683" s="192" t="s">
        <v>2561</v>
      </c>
      <c r="C8683" s="196">
        <v>-12229800</v>
      </c>
      <c r="D8683" s="196">
        <v>0</v>
      </c>
      <c r="E8683" s="196">
        <v>0</v>
      </c>
      <c r="F8683" s="196">
        <v>0</v>
      </c>
      <c r="G8683" s="196">
        <v>-12229800</v>
      </c>
    </row>
    <row r="8684" spans="1:7" x14ac:dyDescent="0.3">
      <c r="A8684" s="198">
        <v>1001764275</v>
      </c>
      <c r="B8684" s="192" t="s">
        <v>2575</v>
      </c>
      <c r="C8684" s="196">
        <v>-2245000</v>
      </c>
      <c r="D8684" s="196">
        <v>0</v>
      </c>
      <c r="E8684" s="196">
        <v>0</v>
      </c>
      <c r="F8684" s="196">
        <v>0</v>
      </c>
      <c r="G8684" s="196">
        <v>-2245000</v>
      </c>
    </row>
    <row r="8685" spans="1:7" x14ac:dyDescent="0.3">
      <c r="A8685" s="198">
        <v>1036783361</v>
      </c>
      <c r="B8685" s="192" t="s">
        <v>6340</v>
      </c>
      <c r="C8685" s="196">
        <v>-1350000</v>
      </c>
      <c r="D8685" s="196">
        <v>0</v>
      </c>
      <c r="E8685" s="196">
        <v>0</v>
      </c>
      <c r="F8685" s="196">
        <v>0</v>
      </c>
      <c r="G8685" s="196">
        <v>-1350000</v>
      </c>
    </row>
    <row r="8686" spans="1:7" x14ac:dyDescent="0.3">
      <c r="A8686" s="198">
        <v>1017246669</v>
      </c>
      <c r="B8686" s="192" t="s">
        <v>6341</v>
      </c>
      <c r="C8686" s="196">
        <v>-3425000</v>
      </c>
      <c r="D8686" s="196">
        <v>0</v>
      </c>
      <c r="E8686" s="196">
        <v>0</v>
      </c>
      <c r="F8686" s="196">
        <v>0</v>
      </c>
      <c r="G8686" s="196">
        <v>-3425000</v>
      </c>
    </row>
    <row r="8687" spans="1:7" x14ac:dyDescent="0.3">
      <c r="A8687" s="198">
        <v>585241528</v>
      </c>
      <c r="B8687" s="192" t="s">
        <v>2580</v>
      </c>
      <c r="C8687" s="196">
        <v>-4210000</v>
      </c>
      <c r="D8687" s="196">
        <v>0</v>
      </c>
      <c r="E8687" s="196">
        <v>0</v>
      </c>
      <c r="F8687" s="196">
        <v>0</v>
      </c>
      <c r="G8687" s="196">
        <v>-4210000</v>
      </c>
    </row>
    <row r="8688" spans="1:7" x14ac:dyDescent="0.3">
      <c r="A8688" s="198">
        <v>1214723163</v>
      </c>
      <c r="B8688" s="192" t="s">
        <v>2581</v>
      </c>
      <c r="C8688" s="196">
        <v>-185000</v>
      </c>
      <c r="D8688" s="196">
        <v>0</v>
      </c>
      <c r="E8688" s="196">
        <v>0</v>
      </c>
      <c r="F8688" s="196">
        <v>0</v>
      </c>
      <c r="G8688" s="196">
        <v>-185000</v>
      </c>
    </row>
    <row r="8689" spans="1:7" x14ac:dyDescent="0.3">
      <c r="A8689" s="198">
        <v>1037325755</v>
      </c>
      <c r="B8689" s="192" t="s">
        <v>6342</v>
      </c>
      <c r="C8689" s="196">
        <v>-860000</v>
      </c>
      <c r="D8689" s="196">
        <v>0</v>
      </c>
      <c r="E8689" s="196">
        <v>0</v>
      </c>
      <c r="F8689" s="196">
        <v>0</v>
      </c>
      <c r="G8689" s="196">
        <v>-860000</v>
      </c>
    </row>
    <row r="8690" spans="1:7" x14ac:dyDescent="0.3">
      <c r="A8690" s="198">
        <v>1143399563</v>
      </c>
      <c r="B8690" s="192" t="s">
        <v>208</v>
      </c>
      <c r="C8690" s="196">
        <v>-1</v>
      </c>
      <c r="D8690" s="196">
        <v>0</v>
      </c>
      <c r="E8690" s="196">
        <v>0</v>
      </c>
      <c r="F8690" s="196">
        <v>0</v>
      </c>
      <c r="G8690" s="196">
        <v>-1</v>
      </c>
    </row>
    <row r="8691" spans="1:7" x14ac:dyDescent="0.3">
      <c r="A8691" s="198">
        <v>1214713422</v>
      </c>
      <c r="B8691" s="192" t="s">
        <v>1855</v>
      </c>
      <c r="C8691" s="196">
        <v>-7753000</v>
      </c>
      <c r="D8691" s="196">
        <v>0</v>
      </c>
      <c r="E8691" s="196">
        <v>0</v>
      </c>
      <c r="F8691" s="196">
        <v>0</v>
      </c>
      <c r="G8691" s="196">
        <v>-7753000</v>
      </c>
    </row>
    <row r="8692" spans="1:7" x14ac:dyDescent="0.3">
      <c r="A8692" s="198">
        <v>1013536190</v>
      </c>
      <c r="B8692" s="192" t="s">
        <v>211</v>
      </c>
      <c r="C8692" s="196">
        <v>0</v>
      </c>
      <c r="D8692" s="196">
        <v>0</v>
      </c>
      <c r="E8692" s="196">
        <v>3261650</v>
      </c>
      <c r="F8692" s="196">
        <v>-3261650</v>
      </c>
      <c r="G8692" s="196">
        <v>-3261650</v>
      </c>
    </row>
    <row r="8693" spans="1:7" x14ac:dyDescent="0.3">
      <c r="A8693" s="198">
        <v>71316310</v>
      </c>
      <c r="B8693" s="192" t="s">
        <v>6343</v>
      </c>
      <c r="C8693" s="196">
        <v>-2000</v>
      </c>
      <c r="D8693" s="196">
        <v>0</v>
      </c>
      <c r="E8693" s="196">
        <v>0</v>
      </c>
      <c r="F8693" s="196">
        <v>0</v>
      </c>
      <c r="G8693" s="196">
        <v>-2000</v>
      </c>
    </row>
    <row r="8694" spans="1:7" x14ac:dyDescent="0.3">
      <c r="A8694" s="198">
        <v>98504804</v>
      </c>
      <c r="B8694" s="192" t="s">
        <v>6344</v>
      </c>
      <c r="C8694" s="196">
        <v>-4133000</v>
      </c>
      <c r="D8694" s="196">
        <v>0</v>
      </c>
      <c r="E8694" s="196">
        <v>0</v>
      </c>
      <c r="F8694" s="196">
        <v>0</v>
      </c>
      <c r="G8694" s="196">
        <v>-4133000</v>
      </c>
    </row>
    <row r="8695" spans="1:7" x14ac:dyDescent="0.3">
      <c r="A8695" s="198">
        <v>18517738</v>
      </c>
      <c r="B8695" s="192" t="s">
        <v>212</v>
      </c>
      <c r="C8695" s="196">
        <v>0</v>
      </c>
      <c r="D8695" s="196">
        <v>0</v>
      </c>
      <c r="E8695" s="196">
        <v>10012000</v>
      </c>
      <c r="F8695" s="196">
        <v>-10012000</v>
      </c>
      <c r="G8695" s="196">
        <v>-10012000</v>
      </c>
    </row>
    <row r="8696" spans="1:7" x14ac:dyDescent="0.3">
      <c r="A8696" s="198">
        <v>42938863</v>
      </c>
      <c r="B8696" s="192" t="s">
        <v>2599</v>
      </c>
      <c r="C8696" s="196">
        <v>-10645800</v>
      </c>
      <c r="D8696" s="196">
        <v>0</v>
      </c>
      <c r="E8696" s="196">
        <v>0</v>
      </c>
      <c r="F8696" s="196">
        <v>0</v>
      </c>
      <c r="G8696" s="196">
        <v>-10645800</v>
      </c>
    </row>
    <row r="8697" spans="1:7" x14ac:dyDescent="0.3">
      <c r="A8697" s="198">
        <v>43686730</v>
      </c>
      <c r="B8697" s="192" t="s">
        <v>2600</v>
      </c>
      <c r="C8697" s="196">
        <v>-300000</v>
      </c>
      <c r="D8697" s="196">
        <v>0</v>
      </c>
      <c r="E8697" s="196">
        <v>0</v>
      </c>
      <c r="F8697" s="196">
        <v>0</v>
      </c>
      <c r="G8697" s="196">
        <v>-300000</v>
      </c>
    </row>
    <row r="8698" spans="1:7" x14ac:dyDescent="0.3">
      <c r="A8698" s="192" t="s">
        <v>6345</v>
      </c>
      <c r="B8698" s="192" t="s">
        <v>6346</v>
      </c>
      <c r="C8698" s="196">
        <v>-2605500</v>
      </c>
      <c r="D8698" s="196">
        <v>0</v>
      </c>
      <c r="E8698" s="196">
        <v>0</v>
      </c>
      <c r="F8698" s="196">
        <v>0</v>
      </c>
      <c r="G8698" s="196">
        <v>-2605500</v>
      </c>
    </row>
    <row r="8699" spans="1:7" x14ac:dyDescent="0.3">
      <c r="A8699" s="198">
        <v>43728136</v>
      </c>
      <c r="B8699" s="192" t="s">
        <v>215</v>
      </c>
      <c r="C8699" s="196">
        <v>0</v>
      </c>
      <c r="D8699" s="196">
        <v>0</v>
      </c>
      <c r="E8699" s="196">
        <v>3722400</v>
      </c>
      <c r="F8699" s="196">
        <v>-3722400</v>
      </c>
      <c r="G8699" s="196">
        <v>-3722400</v>
      </c>
    </row>
    <row r="8700" spans="1:7" x14ac:dyDescent="0.3">
      <c r="A8700" s="198">
        <v>3524565</v>
      </c>
      <c r="B8700" s="192" t="s">
        <v>6347</v>
      </c>
      <c r="C8700" s="196">
        <v>-5082000</v>
      </c>
      <c r="D8700" s="196">
        <v>0</v>
      </c>
      <c r="E8700" s="196">
        <v>0</v>
      </c>
      <c r="F8700" s="196">
        <v>0</v>
      </c>
      <c r="G8700" s="196">
        <v>-5082000</v>
      </c>
    </row>
    <row r="8701" spans="1:7" x14ac:dyDescent="0.3">
      <c r="A8701" s="198">
        <v>70037186</v>
      </c>
      <c r="B8701" s="192" t="s">
        <v>6348</v>
      </c>
      <c r="C8701" s="196">
        <v>-5600000</v>
      </c>
      <c r="D8701" s="196">
        <v>0</v>
      </c>
      <c r="E8701" s="196">
        <v>0</v>
      </c>
      <c r="F8701" s="196">
        <v>0</v>
      </c>
      <c r="G8701" s="196">
        <v>-5600000</v>
      </c>
    </row>
    <row r="8702" spans="1:7" x14ac:dyDescent="0.3">
      <c r="A8702" s="198">
        <v>1022345473</v>
      </c>
      <c r="B8702" s="192" t="s">
        <v>218</v>
      </c>
      <c r="C8702" s="196">
        <v>0</v>
      </c>
      <c r="D8702" s="196">
        <v>0</v>
      </c>
      <c r="E8702" s="196">
        <v>963000</v>
      </c>
      <c r="F8702" s="196">
        <v>-963000</v>
      </c>
      <c r="G8702" s="196">
        <v>-963000</v>
      </c>
    </row>
    <row r="8703" spans="1:7" x14ac:dyDescent="0.3">
      <c r="A8703" s="192" t="s">
        <v>2603</v>
      </c>
      <c r="B8703" s="192" t="s">
        <v>2604</v>
      </c>
      <c r="C8703" s="196">
        <v>-3000000</v>
      </c>
      <c r="D8703" s="196">
        <v>0</v>
      </c>
      <c r="E8703" s="196">
        <v>0</v>
      </c>
      <c r="F8703" s="196">
        <v>0</v>
      </c>
      <c r="G8703" s="196">
        <v>-3000000</v>
      </c>
    </row>
    <row r="8704" spans="1:7" x14ac:dyDescent="0.3">
      <c r="A8704" s="198">
        <v>43032520</v>
      </c>
      <c r="B8704" s="192" t="s">
        <v>225</v>
      </c>
      <c r="C8704" s="196">
        <v>0</v>
      </c>
      <c r="D8704" s="196">
        <v>0</v>
      </c>
      <c r="E8704" s="196">
        <v>8033550</v>
      </c>
      <c r="F8704" s="196">
        <v>-8033550</v>
      </c>
      <c r="G8704" s="196">
        <v>-8033550</v>
      </c>
    </row>
    <row r="8705" spans="1:7" x14ac:dyDescent="0.3">
      <c r="A8705" s="198">
        <v>1022142105</v>
      </c>
      <c r="B8705" s="192" t="s">
        <v>226</v>
      </c>
      <c r="C8705" s="196">
        <v>0</v>
      </c>
      <c r="D8705" s="196">
        <v>0</v>
      </c>
      <c r="E8705" s="196">
        <v>963000</v>
      </c>
      <c r="F8705" s="196">
        <v>-963000</v>
      </c>
      <c r="G8705" s="196">
        <v>-963000</v>
      </c>
    </row>
    <row r="8706" spans="1:7" x14ac:dyDescent="0.3">
      <c r="A8706" s="198">
        <v>1033769823</v>
      </c>
      <c r="B8706" s="192" t="s">
        <v>227</v>
      </c>
      <c r="C8706" s="196">
        <v>0</v>
      </c>
      <c r="D8706" s="196">
        <v>0</v>
      </c>
      <c r="E8706" s="196">
        <v>963000</v>
      </c>
      <c r="F8706" s="196">
        <v>-963000</v>
      </c>
      <c r="G8706" s="196">
        <v>-963000</v>
      </c>
    </row>
    <row r="8707" spans="1:7" x14ac:dyDescent="0.3">
      <c r="A8707" s="198">
        <v>860027404</v>
      </c>
      <c r="B8707" s="192" t="s">
        <v>228</v>
      </c>
      <c r="C8707" s="196">
        <v>-97766620</v>
      </c>
      <c r="D8707" s="196">
        <v>0</v>
      </c>
      <c r="E8707" s="196">
        <v>20845231</v>
      </c>
      <c r="F8707" s="196">
        <v>-20845231</v>
      </c>
      <c r="G8707" s="196">
        <v>-118611851</v>
      </c>
    </row>
    <row r="8708" spans="1:7" x14ac:dyDescent="0.3">
      <c r="A8708" s="192" t="s">
        <v>229</v>
      </c>
      <c r="B8708" s="192" t="s">
        <v>230</v>
      </c>
      <c r="C8708" s="196">
        <v>0</v>
      </c>
      <c r="D8708" s="196">
        <v>0</v>
      </c>
      <c r="E8708" s="196">
        <v>16872800</v>
      </c>
      <c r="F8708" s="196">
        <v>-16872800</v>
      </c>
      <c r="G8708" s="196">
        <v>-16872800</v>
      </c>
    </row>
    <row r="8709" spans="1:7" x14ac:dyDescent="0.3">
      <c r="A8709" s="198">
        <v>71626370</v>
      </c>
      <c r="B8709" s="192" t="s">
        <v>232</v>
      </c>
      <c r="C8709" s="196">
        <v>-5270001</v>
      </c>
      <c r="D8709" s="196">
        <v>0</v>
      </c>
      <c r="E8709" s="196">
        <v>0</v>
      </c>
      <c r="F8709" s="196">
        <v>0</v>
      </c>
      <c r="G8709" s="196">
        <v>-5270001</v>
      </c>
    </row>
    <row r="8710" spans="1:7" x14ac:dyDescent="0.3">
      <c r="A8710" s="198">
        <v>1128395842</v>
      </c>
      <c r="B8710" s="192" t="s">
        <v>233</v>
      </c>
      <c r="C8710" s="196">
        <v>0</v>
      </c>
      <c r="D8710" s="196">
        <v>0</v>
      </c>
      <c r="E8710" s="196">
        <v>963000</v>
      </c>
      <c r="F8710" s="196">
        <v>-963000</v>
      </c>
      <c r="G8710" s="196">
        <v>-963000</v>
      </c>
    </row>
    <row r="8711" spans="1:7" x14ac:dyDescent="0.3">
      <c r="A8711" s="198">
        <v>98541227</v>
      </c>
      <c r="B8711" s="192" t="s">
        <v>6349</v>
      </c>
      <c r="C8711" s="196">
        <v>-3080000</v>
      </c>
      <c r="D8711" s="196">
        <v>0</v>
      </c>
      <c r="E8711" s="196">
        <v>0</v>
      </c>
      <c r="F8711" s="196">
        <v>0</v>
      </c>
      <c r="G8711" s="196">
        <v>-3080000</v>
      </c>
    </row>
    <row r="8712" spans="1:7" x14ac:dyDescent="0.3">
      <c r="A8712" s="198">
        <v>43858526</v>
      </c>
      <c r="B8712" s="192" t="s">
        <v>6350</v>
      </c>
      <c r="C8712" s="196">
        <v>-963000</v>
      </c>
      <c r="D8712" s="196">
        <v>0</v>
      </c>
      <c r="E8712" s="196">
        <v>0</v>
      </c>
      <c r="F8712" s="196">
        <v>0</v>
      </c>
      <c r="G8712" s="196">
        <v>-963000</v>
      </c>
    </row>
    <row r="8713" spans="1:7" x14ac:dyDescent="0.3">
      <c r="A8713" s="198">
        <v>22087136</v>
      </c>
      <c r="B8713" s="192" t="s">
        <v>2656</v>
      </c>
      <c r="C8713" s="196">
        <v>-850000</v>
      </c>
      <c r="D8713" s="196">
        <v>0</v>
      </c>
      <c r="E8713" s="196">
        <v>0</v>
      </c>
      <c r="F8713" s="196">
        <v>0</v>
      </c>
      <c r="G8713" s="196">
        <v>-850000</v>
      </c>
    </row>
    <row r="8714" spans="1:7" x14ac:dyDescent="0.3">
      <c r="A8714" s="198">
        <v>32495547</v>
      </c>
      <c r="B8714" s="192" t="s">
        <v>6351</v>
      </c>
      <c r="C8714" s="196">
        <v>-4133000</v>
      </c>
      <c r="D8714" s="196">
        <v>0</v>
      </c>
      <c r="E8714" s="196">
        <v>0</v>
      </c>
      <c r="F8714" s="196">
        <v>0</v>
      </c>
      <c r="G8714" s="196">
        <v>-4133000</v>
      </c>
    </row>
    <row r="8715" spans="1:7" x14ac:dyDescent="0.3">
      <c r="A8715" s="198">
        <v>32100049</v>
      </c>
      <c r="B8715" s="192" t="s">
        <v>6352</v>
      </c>
      <c r="C8715" s="196">
        <v>-3338000</v>
      </c>
      <c r="D8715" s="196">
        <v>0</v>
      </c>
      <c r="E8715" s="196">
        <v>0</v>
      </c>
      <c r="F8715" s="196">
        <v>0</v>
      </c>
      <c r="G8715" s="196">
        <v>-3338000</v>
      </c>
    </row>
    <row r="8716" spans="1:7" x14ac:dyDescent="0.3">
      <c r="A8716" s="198">
        <v>34042566</v>
      </c>
      <c r="B8716" s="192" t="s">
        <v>250</v>
      </c>
      <c r="C8716" s="196">
        <v>0</v>
      </c>
      <c r="D8716" s="196">
        <v>0</v>
      </c>
      <c r="E8716" s="196">
        <v>57200</v>
      </c>
      <c r="F8716" s="196">
        <v>-57200</v>
      </c>
      <c r="G8716" s="196">
        <v>-57200</v>
      </c>
    </row>
    <row r="8717" spans="1:7" x14ac:dyDescent="0.3">
      <c r="A8717" s="198">
        <v>21230962</v>
      </c>
      <c r="B8717" s="192" t="s">
        <v>6353</v>
      </c>
      <c r="C8717" s="196">
        <v>-6676000</v>
      </c>
      <c r="D8717" s="196">
        <v>0</v>
      </c>
      <c r="E8717" s="196">
        <v>0</v>
      </c>
      <c r="F8717" s="196">
        <v>0</v>
      </c>
      <c r="G8717" s="196">
        <v>-6676000</v>
      </c>
    </row>
    <row r="8718" spans="1:7" x14ac:dyDescent="0.3">
      <c r="A8718" s="198">
        <v>21374478</v>
      </c>
      <c r="B8718" s="192" t="s">
        <v>253</v>
      </c>
      <c r="C8718" s="196">
        <v>-3786201</v>
      </c>
      <c r="D8718" s="196">
        <v>0</v>
      </c>
      <c r="E8718" s="196">
        <v>0</v>
      </c>
      <c r="F8718" s="196">
        <v>0</v>
      </c>
      <c r="G8718" s="196">
        <v>-3786201</v>
      </c>
    </row>
    <row r="8719" spans="1:7" x14ac:dyDescent="0.3">
      <c r="A8719" s="198">
        <v>1143362062</v>
      </c>
      <c r="B8719" s="192" t="s">
        <v>2672</v>
      </c>
      <c r="C8719" s="196">
        <v>-3563000</v>
      </c>
      <c r="D8719" s="196">
        <v>0</v>
      </c>
      <c r="E8719" s="196">
        <v>0</v>
      </c>
      <c r="F8719" s="196">
        <v>0</v>
      </c>
      <c r="G8719" s="196">
        <v>-3563000</v>
      </c>
    </row>
    <row r="8720" spans="1:7" x14ac:dyDescent="0.3">
      <c r="A8720" s="198">
        <v>1017272617</v>
      </c>
      <c r="B8720" s="192" t="s">
        <v>6354</v>
      </c>
      <c r="C8720" s="196">
        <v>-963000</v>
      </c>
      <c r="D8720" s="196">
        <v>0</v>
      </c>
      <c r="E8720" s="196">
        <v>0</v>
      </c>
      <c r="F8720" s="196">
        <v>0</v>
      </c>
      <c r="G8720" s="196">
        <v>-963000</v>
      </c>
    </row>
    <row r="8721" spans="1:7" x14ac:dyDescent="0.3">
      <c r="A8721" s="198">
        <v>32435215</v>
      </c>
      <c r="B8721" s="192" t="s">
        <v>2678</v>
      </c>
      <c r="C8721" s="196">
        <v>-6910000</v>
      </c>
      <c r="D8721" s="196">
        <v>0</v>
      </c>
      <c r="E8721" s="196">
        <v>0</v>
      </c>
      <c r="F8721" s="196">
        <v>0</v>
      </c>
      <c r="G8721" s="196">
        <v>-6910000</v>
      </c>
    </row>
    <row r="8722" spans="1:7" x14ac:dyDescent="0.3">
      <c r="A8722" s="198">
        <v>33174309</v>
      </c>
      <c r="B8722" s="192" t="s">
        <v>2683</v>
      </c>
      <c r="C8722" s="196">
        <v>-6416150</v>
      </c>
      <c r="D8722" s="196">
        <v>0</v>
      </c>
      <c r="E8722" s="196">
        <v>0</v>
      </c>
      <c r="F8722" s="196">
        <v>0</v>
      </c>
      <c r="G8722" s="196">
        <v>-6416150</v>
      </c>
    </row>
    <row r="8723" spans="1:7" x14ac:dyDescent="0.3">
      <c r="A8723" s="198">
        <v>1214744974</v>
      </c>
      <c r="B8723" s="192" t="s">
        <v>256</v>
      </c>
      <c r="C8723" s="196">
        <v>0</v>
      </c>
      <c r="D8723" s="196">
        <v>0</v>
      </c>
      <c r="E8723" s="196">
        <v>963000</v>
      </c>
      <c r="F8723" s="196">
        <v>-963000</v>
      </c>
      <c r="G8723" s="196">
        <v>-963000</v>
      </c>
    </row>
    <row r="8724" spans="1:7" x14ac:dyDescent="0.3">
      <c r="A8724" s="198">
        <v>1040738555</v>
      </c>
      <c r="B8724" s="192" t="s">
        <v>6355</v>
      </c>
      <c r="C8724" s="196">
        <v>-963000</v>
      </c>
      <c r="D8724" s="196">
        <v>0</v>
      </c>
      <c r="E8724" s="196">
        <v>0</v>
      </c>
      <c r="F8724" s="196">
        <v>0</v>
      </c>
      <c r="G8724" s="196">
        <v>-963000</v>
      </c>
    </row>
    <row r="8725" spans="1:7" x14ac:dyDescent="0.3">
      <c r="A8725" s="198">
        <v>1035231796</v>
      </c>
      <c r="B8725" s="192" t="s">
        <v>6356</v>
      </c>
      <c r="C8725" s="196">
        <v>-963000</v>
      </c>
      <c r="D8725" s="196">
        <v>0</v>
      </c>
      <c r="E8725" s="196">
        <v>0</v>
      </c>
      <c r="F8725" s="196">
        <v>0</v>
      </c>
      <c r="G8725" s="196">
        <v>-963000</v>
      </c>
    </row>
    <row r="8726" spans="1:7" x14ac:dyDescent="0.3">
      <c r="A8726" s="198">
        <v>32105878</v>
      </c>
      <c r="B8726" s="192" t="s">
        <v>6357</v>
      </c>
      <c r="C8726" s="196">
        <v>-4452360</v>
      </c>
      <c r="D8726" s="196">
        <v>0</v>
      </c>
      <c r="E8726" s="196">
        <v>0</v>
      </c>
      <c r="F8726" s="196">
        <v>0</v>
      </c>
      <c r="G8726" s="196">
        <v>-4452360</v>
      </c>
    </row>
    <row r="8727" spans="1:7" x14ac:dyDescent="0.3">
      <c r="A8727" s="198">
        <v>1040047386</v>
      </c>
      <c r="B8727" s="192" t="s">
        <v>6358</v>
      </c>
      <c r="C8727" s="196">
        <v>-963000</v>
      </c>
      <c r="D8727" s="196">
        <v>0</v>
      </c>
      <c r="E8727" s="196">
        <v>0</v>
      </c>
      <c r="F8727" s="196">
        <v>0</v>
      </c>
      <c r="G8727" s="196">
        <v>-963000</v>
      </c>
    </row>
    <row r="8728" spans="1:7" x14ac:dyDescent="0.3">
      <c r="A8728" s="198">
        <v>1044100073</v>
      </c>
      <c r="B8728" s="192" t="s">
        <v>6359</v>
      </c>
      <c r="C8728" s="196">
        <v>-3010000</v>
      </c>
      <c r="D8728" s="196">
        <v>0</v>
      </c>
      <c r="E8728" s="196">
        <v>0</v>
      </c>
      <c r="F8728" s="196">
        <v>0</v>
      </c>
      <c r="G8728" s="196">
        <v>-3010000</v>
      </c>
    </row>
    <row r="8729" spans="1:7" x14ac:dyDescent="0.3">
      <c r="A8729" s="198">
        <v>1148956212</v>
      </c>
      <c r="B8729" s="192" t="s">
        <v>6360</v>
      </c>
      <c r="C8729" s="196">
        <v>-860000</v>
      </c>
      <c r="D8729" s="196">
        <v>0</v>
      </c>
      <c r="E8729" s="196">
        <v>0</v>
      </c>
      <c r="F8729" s="196">
        <v>0</v>
      </c>
      <c r="G8729" s="196">
        <v>-860000</v>
      </c>
    </row>
    <row r="8730" spans="1:7" x14ac:dyDescent="0.3">
      <c r="A8730" s="198">
        <v>43205122</v>
      </c>
      <c r="B8730" s="192" t="s">
        <v>262</v>
      </c>
      <c r="C8730" s="196">
        <v>0</v>
      </c>
      <c r="D8730" s="196">
        <v>0</v>
      </c>
      <c r="E8730" s="196">
        <v>860000</v>
      </c>
      <c r="F8730" s="196">
        <v>-860000</v>
      </c>
      <c r="G8730" s="196">
        <v>-860000</v>
      </c>
    </row>
    <row r="8731" spans="1:7" x14ac:dyDescent="0.3">
      <c r="A8731" s="198">
        <v>1040033426</v>
      </c>
      <c r="B8731" s="192" t="s">
        <v>266</v>
      </c>
      <c r="C8731" s="196">
        <v>0</v>
      </c>
      <c r="D8731" s="196">
        <v>0</v>
      </c>
      <c r="E8731" s="196">
        <v>1870000</v>
      </c>
      <c r="F8731" s="196">
        <v>-1870000</v>
      </c>
      <c r="G8731" s="196">
        <v>-1870000</v>
      </c>
    </row>
    <row r="8732" spans="1:7" x14ac:dyDescent="0.3">
      <c r="A8732" s="198">
        <v>1128418290</v>
      </c>
      <c r="B8732" s="192" t="s">
        <v>6361</v>
      </c>
      <c r="C8732" s="196">
        <v>-963000</v>
      </c>
      <c r="D8732" s="196">
        <v>0</v>
      </c>
      <c r="E8732" s="196">
        <v>0</v>
      </c>
      <c r="F8732" s="196">
        <v>0</v>
      </c>
      <c r="G8732" s="196">
        <v>-963000</v>
      </c>
    </row>
    <row r="8733" spans="1:7" x14ac:dyDescent="0.3">
      <c r="A8733" s="198">
        <v>1128467422</v>
      </c>
      <c r="B8733" s="192" t="s">
        <v>267</v>
      </c>
      <c r="C8733" s="196">
        <v>0</v>
      </c>
      <c r="D8733" s="196">
        <v>0</v>
      </c>
      <c r="E8733" s="196">
        <v>963000</v>
      </c>
      <c r="F8733" s="196">
        <v>-963000</v>
      </c>
      <c r="G8733" s="196">
        <v>-963000</v>
      </c>
    </row>
    <row r="8734" spans="1:7" x14ac:dyDescent="0.3">
      <c r="A8734" s="198">
        <v>31976070</v>
      </c>
      <c r="B8734" s="192" t="s">
        <v>2704</v>
      </c>
      <c r="C8734" s="196">
        <v>-880000</v>
      </c>
      <c r="D8734" s="196">
        <v>0</v>
      </c>
      <c r="E8734" s="196">
        <v>0</v>
      </c>
      <c r="F8734" s="196">
        <v>0</v>
      </c>
      <c r="G8734" s="196">
        <v>-880000</v>
      </c>
    </row>
    <row r="8735" spans="1:7" x14ac:dyDescent="0.3">
      <c r="A8735" s="198">
        <v>1053778216</v>
      </c>
      <c r="B8735" s="192" t="s">
        <v>6362</v>
      </c>
      <c r="C8735" s="196">
        <v>-683000</v>
      </c>
      <c r="D8735" s="196">
        <v>0</v>
      </c>
      <c r="E8735" s="196">
        <v>0</v>
      </c>
      <c r="F8735" s="196">
        <v>0</v>
      </c>
      <c r="G8735" s="196">
        <v>-683000</v>
      </c>
    </row>
    <row r="8736" spans="1:7" x14ac:dyDescent="0.3">
      <c r="A8736" s="198">
        <v>43879409</v>
      </c>
      <c r="B8736" s="192" t="s">
        <v>272</v>
      </c>
      <c r="C8736" s="196">
        <v>0</v>
      </c>
      <c r="D8736" s="196">
        <v>0</v>
      </c>
      <c r="E8736" s="196">
        <v>2895000</v>
      </c>
      <c r="F8736" s="196">
        <v>-2895000</v>
      </c>
      <c r="G8736" s="196">
        <v>-2895000</v>
      </c>
    </row>
    <row r="8737" spans="1:7" x14ac:dyDescent="0.3">
      <c r="A8737" s="198">
        <v>1038647572</v>
      </c>
      <c r="B8737" s="192" t="s">
        <v>275</v>
      </c>
      <c r="C8737" s="196">
        <v>0</v>
      </c>
      <c r="D8737" s="196">
        <v>0</v>
      </c>
      <c r="E8737" s="196">
        <v>3110000</v>
      </c>
      <c r="F8737" s="196">
        <v>-3110000</v>
      </c>
      <c r="G8737" s="196">
        <v>-3110000</v>
      </c>
    </row>
    <row r="8738" spans="1:7" x14ac:dyDescent="0.3">
      <c r="A8738" s="198">
        <v>1004999021</v>
      </c>
      <c r="B8738" s="192" t="s">
        <v>6363</v>
      </c>
      <c r="C8738" s="196">
        <v>-963000</v>
      </c>
      <c r="D8738" s="196">
        <v>0</v>
      </c>
      <c r="E8738" s="196">
        <v>0</v>
      </c>
      <c r="F8738" s="196">
        <v>0</v>
      </c>
      <c r="G8738" s="196">
        <v>-963000</v>
      </c>
    </row>
    <row r="8739" spans="1:7" x14ac:dyDescent="0.3">
      <c r="A8739" s="198">
        <v>1036951245</v>
      </c>
      <c r="B8739" s="192" t="s">
        <v>6364</v>
      </c>
      <c r="C8739" s="196">
        <v>-53400</v>
      </c>
      <c r="D8739" s="196">
        <v>0</v>
      </c>
      <c r="E8739" s="196">
        <v>0</v>
      </c>
      <c r="F8739" s="196">
        <v>0</v>
      </c>
      <c r="G8739" s="196">
        <v>-53400</v>
      </c>
    </row>
    <row r="8740" spans="1:7" x14ac:dyDescent="0.3">
      <c r="A8740" s="198">
        <v>1036640188</v>
      </c>
      <c r="B8740" s="192" t="s">
        <v>6365</v>
      </c>
      <c r="C8740" s="196">
        <v>-963000</v>
      </c>
      <c r="D8740" s="196">
        <v>0</v>
      </c>
      <c r="E8740" s="196">
        <v>0</v>
      </c>
      <c r="F8740" s="196">
        <v>0</v>
      </c>
      <c r="G8740" s="196">
        <v>-963000</v>
      </c>
    </row>
    <row r="8741" spans="1:7" x14ac:dyDescent="0.3">
      <c r="A8741" s="198">
        <v>1102843942</v>
      </c>
      <c r="B8741" s="192" t="s">
        <v>2730</v>
      </c>
      <c r="C8741" s="196">
        <v>-3210000</v>
      </c>
      <c r="D8741" s="196">
        <v>0</v>
      </c>
      <c r="E8741" s="196">
        <v>0</v>
      </c>
      <c r="F8741" s="196">
        <v>0</v>
      </c>
      <c r="G8741" s="196">
        <v>-3210000</v>
      </c>
    </row>
    <row r="8742" spans="1:7" x14ac:dyDescent="0.3">
      <c r="A8742" s="198">
        <v>1033339141</v>
      </c>
      <c r="B8742" s="192" t="s">
        <v>284</v>
      </c>
      <c r="C8742" s="196">
        <v>0</v>
      </c>
      <c r="D8742" s="196">
        <v>0</v>
      </c>
      <c r="E8742" s="196">
        <v>963000</v>
      </c>
      <c r="F8742" s="196">
        <v>-963000</v>
      </c>
      <c r="G8742" s="196">
        <v>-963000</v>
      </c>
    </row>
    <row r="8743" spans="1:7" x14ac:dyDescent="0.3">
      <c r="A8743" s="198">
        <v>1152436230</v>
      </c>
      <c r="B8743" s="192" t="s">
        <v>2731</v>
      </c>
      <c r="C8743" s="196">
        <v>-9762000</v>
      </c>
      <c r="D8743" s="196">
        <v>0</v>
      </c>
      <c r="E8743" s="196">
        <v>0</v>
      </c>
      <c r="F8743" s="196">
        <v>0</v>
      </c>
      <c r="G8743" s="196">
        <v>-9762000</v>
      </c>
    </row>
    <row r="8744" spans="1:7" x14ac:dyDescent="0.3">
      <c r="A8744" s="198">
        <v>1000396725</v>
      </c>
      <c r="B8744" s="192" t="s">
        <v>6366</v>
      </c>
      <c r="C8744" s="196">
        <v>-963000</v>
      </c>
      <c r="D8744" s="196">
        <v>0</v>
      </c>
      <c r="E8744" s="196">
        <v>0</v>
      </c>
      <c r="F8744" s="196">
        <v>0</v>
      </c>
      <c r="G8744" s="196">
        <v>-963000</v>
      </c>
    </row>
    <row r="8745" spans="1:7" x14ac:dyDescent="0.3">
      <c r="A8745" s="198">
        <v>1221982193</v>
      </c>
      <c r="B8745" s="192" t="s">
        <v>6367</v>
      </c>
      <c r="C8745" s="196">
        <v>-963000</v>
      </c>
      <c r="D8745" s="196">
        <v>0</v>
      </c>
      <c r="E8745" s="196">
        <v>0</v>
      </c>
      <c r="F8745" s="196">
        <v>0</v>
      </c>
      <c r="G8745" s="196">
        <v>-963000</v>
      </c>
    </row>
    <row r="8746" spans="1:7" x14ac:dyDescent="0.3">
      <c r="A8746" s="198">
        <v>1036667081</v>
      </c>
      <c r="B8746" s="192" t="s">
        <v>2744</v>
      </c>
      <c r="C8746" s="196">
        <v>-3510000</v>
      </c>
      <c r="D8746" s="196">
        <v>0</v>
      </c>
      <c r="E8746" s="196">
        <v>0</v>
      </c>
      <c r="F8746" s="196">
        <v>0</v>
      </c>
      <c r="G8746" s="196">
        <v>-3510000</v>
      </c>
    </row>
    <row r="8747" spans="1:7" x14ac:dyDescent="0.3">
      <c r="A8747" s="198">
        <v>71316077</v>
      </c>
      <c r="B8747" s="192" t="s">
        <v>293</v>
      </c>
      <c r="C8747" s="196">
        <v>-504000</v>
      </c>
      <c r="D8747" s="196">
        <v>0</v>
      </c>
      <c r="E8747" s="196">
        <v>504000</v>
      </c>
      <c r="F8747" s="196">
        <v>-504000</v>
      </c>
      <c r="G8747" s="196">
        <v>-1008000</v>
      </c>
    </row>
    <row r="8748" spans="1:7" x14ac:dyDescent="0.3">
      <c r="A8748" s="198">
        <v>3391410</v>
      </c>
      <c r="B8748" s="192" t="s">
        <v>294</v>
      </c>
      <c r="C8748" s="196">
        <v>0</v>
      </c>
      <c r="D8748" s="196">
        <v>0</v>
      </c>
      <c r="E8748" s="196">
        <v>963000</v>
      </c>
      <c r="F8748" s="196">
        <v>-963000</v>
      </c>
      <c r="G8748" s="196">
        <v>-963000</v>
      </c>
    </row>
    <row r="8749" spans="1:7" x14ac:dyDescent="0.3">
      <c r="A8749" s="198">
        <v>1036668463</v>
      </c>
      <c r="B8749" s="192" t="s">
        <v>2749</v>
      </c>
      <c r="C8749" s="196">
        <v>-2563000</v>
      </c>
      <c r="D8749" s="196">
        <v>0</v>
      </c>
      <c r="E8749" s="196">
        <v>0</v>
      </c>
      <c r="F8749" s="196">
        <v>0</v>
      </c>
      <c r="G8749" s="196">
        <v>-2563000</v>
      </c>
    </row>
    <row r="8750" spans="1:7" x14ac:dyDescent="0.3">
      <c r="A8750" s="198">
        <v>1130671654</v>
      </c>
      <c r="B8750" s="192" t="s">
        <v>2754</v>
      </c>
      <c r="C8750" s="196">
        <v>-3000000</v>
      </c>
      <c r="D8750" s="196">
        <v>0</v>
      </c>
      <c r="E8750" s="196">
        <v>0</v>
      </c>
      <c r="F8750" s="196">
        <v>0</v>
      </c>
      <c r="G8750" s="196">
        <v>-3000000</v>
      </c>
    </row>
    <row r="8751" spans="1:7" x14ac:dyDescent="0.3">
      <c r="A8751" s="198">
        <v>1033650578</v>
      </c>
      <c r="B8751" s="192" t="s">
        <v>2758</v>
      </c>
      <c r="C8751" s="196">
        <v>-10696250</v>
      </c>
      <c r="D8751" s="196">
        <v>0</v>
      </c>
      <c r="E8751" s="196">
        <v>0</v>
      </c>
      <c r="F8751" s="196">
        <v>0</v>
      </c>
      <c r="G8751" s="196">
        <v>-10696250</v>
      </c>
    </row>
    <row r="8752" spans="1:7" x14ac:dyDescent="0.3">
      <c r="A8752" s="198">
        <v>71318611</v>
      </c>
      <c r="B8752" s="192" t="s">
        <v>6368</v>
      </c>
      <c r="C8752" s="196">
        <v>-2895000</v>
      </c>
      <c r="D8752" s="196">
        <v>0</v>
      </c>
      <c r="E8752" s="196">
        <v>0</v>
      </c>
      <c r="F8752" s="196">
        <v>0</v>
      </c>
      <c r="G8752" s="196">
        <v>-2895000</v>
      </c>
    </row>
    <row r="8753" spans="1:7" x14ac:dyDescent="0.3">
      <c r="A8753" s="198">
        <v>1000455105</v>
      </c>
      <c r="B8753" s="192" t="s">
        <v>303</v>
      </c>
      <c r="C8753" s="196">
        <v>0</v>
      </c>
      <c r="D8753" s="196">
        <v>0</v>
      </c>
      <c r="E8753" s="196">
        <v>963000</v>
      </c>
      <c r="F8753" s="196">
        <v>-963000</v>
      </c>
      <c r="G8753" s="196">
        <v>-963000</v>
      </c>
    </row>
    <row r="8754" spans="1:7" x14ac:dyDescent="0.3">
      <c r="A8754" s="198">
        <v>1065629811</v>
      </c>
      <c r="B8754" s="192" t="s">
        <v>6369</v>
      </c>
      <c r="C8754" s="196">
        <v>-2820400</v>
      </c>
      <c r="D8754" s="196">
        <v>0</v>
      </c>
      <c r="E8754" s="196">
        <v>0</v>
      </c>
      <c r="F8754" s="196">
        <v>0</v>
      </c>
      <c r="G8754" s="196">
        <v>-2820400</v>
      </c>
    </row>
    <row r="8755" spans="1:7" x14ac:dyDescent="0.3">
      <c r="A8755" s="198">
        <v>583810353</v>
      </c>
      <c r="B8755" s="192" t="s">
        <v>6370</v>
      </c>
      <c r="C8755" s="196">
        <v>-9330000</v>
      </c>
      <c r="D8755" s="196">
        <v>0</v>
      </c>
      <c r="E8755" s="196">
        <v>0</v>
      </c>
      <c r="F8755" s="196">
        <v>0</v>
      </c>
      <c r="G8755" s="196">
        <v>-9330000</v>
      </c>
    </row>
    <row r="8756" spans="1:7" x14ac:dyDescent="0.3">
      <c r="A8756" s="198">
        <v>6926044</v>
      </c>
      <c r="B8756" s="192" t="s">
        <v>2773</v>
      </c>
      <c r="C8756" s="196">
        <v>-6633200</v>
      </c>
      <c r="D8756" s="196">
        <v>0</v>
      </c>
      <c r="E8756" s="196">
        <v>0</v>
      </c>
      <c r="F8756" s="196">
        <v>0</v>
      </c>
      <c r="G8756" s="196">
        <v>-6633200</v>
      </c>
    </row>
    <row r="8757" spans="1:7" x14ac:dyDescent="0.3">
      <c r="A8757" s="198">
        <v>39433638</v>
      </c>
      <c r="B8757" s="192" t="s">
        <v>6371</v>
      </c>
      <c r="C8757" s="196">
        <v>-2895000</v>
      </c>
      <c r="D8757" s="196">
        <v>0</v>
      </c>
      <c r="E8757" s="196">
        <v>0</v>
      </c>
      <c r="F8757" s="196">
        <v>0</v>
      </c>
      <c r="G8757" s="196">
        <v>-2895000</v>
      </c>
    </row>
    <row r="8758" spans="1:7" x14ac:dyDescent="0.3">
      <c r="A8758" s="198">
        <v>42968482</v>
      </c>
      <c r="B8758" s="192" t="s">
        <v>2786</v>
      </c>
      <c r="C8758" s="196">
        <v>-1000</v>
      </c>
      <c r="D8758" s="196">
        <v>0</v>
      </c>
      <c r="E8758" s="196">
        <v>0</v>
      </c>
      <c r="F8758" s="196">
        <v>0</v>
      </c>
      <c r="G8758" s="196">
        <v>-1000</v>
      </c>
    </row>
    <row r="8759" spans="1:7" x14ac:dyDescent="0.3">
      <c r="A8759" s="198">
        <v>32336434</v>
      </c>
      <c r="B8759" s="192" t="s">
        <v>6372</v>
      </c>
      <c r="C8759" s="196">
        <v>-3338000</v>
      </c>
      <c r="D8759" s="196">
        <v>0</v>
      </c>
      <c r="E8759" s="196">
        <v>0</v>
      </c>
      <c r="F8759" s="196">
        <v>0</v>
      </c>
      <c r="G8759" s="196">
        <v>-3338000</v>
      </c>
    </row>
    <row r="8760" spans="1:7" x14ac:dyDescent="0.3">
      <c r="A8760" s="198">
        <v>42893135</v>
      </c>
      <c r="B8760" s="192" t="s">
        <v>6373</v>
      </c>
      <c r="C8760" s="196">
        <v>-2895000</v>
      </c>
      <c r="D8760" s="196">
        <v>0</v>
      </c>
      <c r="E8760" s="196">
        <v>0</v>
      </c>
      <c r="F8760" s="196">
        <v>0</v>
      </c>
      <c r="G8760" s="196">
        <v>-2895000</v>
      </c>
    </row>
    <row r="8761" spans="1:7" x14ac:dyDescent="0.3">
      <c r="A8761" s="198">
        <v>42893144</v>
      </c>
      <c r="B8761" s="192" t="s">
        <v>6374</v>
      </c>
      <c r="C8761" s="196">
        <v>-7073800</v>
      </c>
      <c r="D8761" s="196">
        <v>0</v>
      </c>
      <c r="E8761" s="196">
        <v>0</v>
      </c>
      <c r="F8761" s="196">
        <v>0</v>
      </c>
      <c r="G8761" s="196">
        <v>-7073800</v>
      </c>
    </row>
    <row r="8762" spans="1:7" x14ac:dyDescent="0.3">
      <c r="A8762" s="198">
        <v>43722824</v>
      </c>
      <c r="B8762" s="192" t="s">
        <v>6375</v>
      </c>
      <c r="C8762" s="196">
        <v>-2184000</v>
      </c>
      <c r="D8762" s="196">
        <v>0</v>
      </c>
      <c r="E8762" s="196">
        <v>0</v>
      </c>
      <c r="F8762" s="196">
        <v>0</v>
      </c>
      <c r="G8762" s="196">
        <v>-2184000</v>
      </c>
    </row>
    <row r="8763" spans="1:7" x14ac:dyDescent="0.3">
      <c r="A8763" s="198">
        <v>32409958</v>
      </c>
      <c r="B8763" s="192" t="s">
        <v>6376</v>
      </c>
      <c r="C8763" s="196">
        <v>-3338000</v>
      </c>
      <c r="D8763" s="196">
        <v>0</v>
      </c>
      <c r="E8763" s="196">
        <v>0</v>
      </c>
      <c r="F8763" s="196">
        <v>0</v>
      </c>
      <c r="G8763" s="196">
        <v>-3338000</v>
      </c>
    </row>
    <row r="8764" spans="1:7" x14ac:dyDescent="0.3">
      <c r="A8764" s="198">
        <v>1143146368</v>
      </c>
      <c r="B8764" s="192" t="s">
        <v>6377</v>
      </c>
      <c r="C8764" s="196">
        <v>-963000</v>
      </c>
      <c r="D8764" s="196">
        <v>0</v>
      </c>
      <c r="E8764" s="196">
        <v>0</v>
      </c>
      <c r="F8764" s="196">
        <v>0</v>
      </c>
      <c r="G8764" s="196">
        <v>-963000</v>
      </c>
    </row>
    <row r="8765" spans="1:7" x14ac:dyDescent="0.3">
      <c r="A8765" s="198">
        <v>1007408678</v>
      </c>
      <c r="B8765" s="192" t="s">
        <v>6378</v>
      </c>
      <c r="C8765" s="196">
        <v>-963000</v>
      </c>
      <c r="D8765" s="196">
        <v>0</v>
      </c>
      <c r="E8765" s="196">
        <v>0</v>
      </c>
      <c r="F8765" s="196">
        <v>0</v>
      </c>
      <c r="G8765" s="196">
        <v>-963000</v>
      </c>
    </row>
    <row r="8766" spans="1:7" x14ac:dyDescent="0.3">
      <c r="A8766" s="198">
        <v>1061047689</v>
      </c>
      <c r="B8766" s="192" t="s">
        <v>306</v>
      </c>
      <c r="C8766" s="196">
        <v>0</v>
      </c>
      <c r="D8766" s="196">
        <v>0</v>
      </c>
      <c r="E8766" s="196">
        <v>963000</v>
      </c>
      <c r="F8766" s="196">
        <v>-963000</v>
      </c>
      <c r="G8766" s="196">
        <v>-963000</v>
      </c>
    </row>
    <row r="8767" spans="1:7" x14ac:dyDescent="0.3">
      <c r="A8767" s="198">
        <v>1017220534</v>
      </c>
      <c r="B8767" s="192" t="s">
        <v>6379</v>
      </c>
      <c r="C8767" s="196">
        <v>-963000</v>
      </c>
      <c r="D8767" s="196">
        <v>0</v>
      </c>
      <c r="E8767" s="196">
        <v>0</v>
      </c>
      <c r="F8767" s="196">
        <v>0</v>
      </c>
      <c r="G8767" s="196">
        <v>-963000</v>
      </c>
    </row>
    <row r="8768" spans="1:7" x14ac:dyDescent="0.3">
      <c r="A8768" s="198">
        <v>1000445422</v>
      </c>
      <c r="B8768" s="192" t="s">
        <v>307</v>
      </c>
      <c r="C8768" s="196">
        <v>-3210000</v>
      </c>
      <c r="D8768" s="196">
        <v>0</v>
      </c>
      <c r="E8768" s="196">
        <v>0</v>
      </c>
      <c r="F8768" s="196">
        <v>0</v>
      </c>
      <c r="G8768" s="196">
        <v>-3210000</v>
      </c>
    </row>
    <row r="8769" spans="1:7" x14ac:dyDescent="0.3">
      <c r="A8769" s="198">
        <v>1152223513</v>
      </c>
      <c r="B8769" s="192" t="s">
        <v>6380</v>
      </c>
      <c r="C8769" s="196">
        <v>-860000</v>
      </c>
      <c r="D8769" s="196">
        <v>0</v>
      </c>
      <c r="E8769" s="196">
        <v>0</v>
      </c>
      <c r="F8769" s="196">
        <v>0</v>
      </c>
      <c r="G8769" s="196">
        <v>-860000</v>
      </c>
    </row>
    <row r="8770" spans="1:7" x14ac:dyDescent="0.3">
      <c r="A8770" s="198">
        <v>1053861574</v>
      </c>
      <c r="B8770" s="192" t="s">
        <v>308</v>
      </c>
      <c r="C8770" s="196">
        <v>0</v>
      </c>
      <c r="D8770" s="196">
        <v>0</v>
      </c>
      <c r="E8770" s="196">
        <v>9500000</v>
      </c>
      <c r="F8770" s="196">
        <v>-9500000</v>
      </c>
      <c r="G8770" s="196">
        <v>-9500000</v>
      </c>
    </row>
    <row r="8771" spans="1:7" x14ac:dyDescent="0.3">
      <c r="A8771" s="198">
        <v>75092614</v>
      </c>
      <c r="B8771" s="192" t="s">
        <v>6381</v>
      </c>
      <c r="C8771" s="196">
        <v>-10050000</v>
      </c>
      <c r="D8771" s="196">
        <v>0</v>
      </c>
      <c r="E8771" s="196">
        <v>0</v>
      </c>
      <c r="F8771" s="196">
        <v>0</v>
      </c>
      <c r="G8771" s="196">
        <v>-10050000</v>
      </c>
    </row>
    <row r="8772" spans="1:7" x14ac:dyDescent="0.3">
      <c r="A8772" s="198">
        <v>1039688347</v>
      </c>
      <c r="B8772" s="192" t="s">
        <v>6382</v>
      </c>
      <c r="C8772" s="196">
        <v>-963000</v>
      </c>
      <c r="D8772" s="196">
        <v>0</v>
      </c>
      <c r="E8772" s="196">
        <v>0</v>
      </c>
      <c r="F8772" s="196">
        <v>0</v>
      </c>
      <c r="G8772" s="196">
        <v>-963000</v>
      </c>
    </row>
    <row r="8773" spans="1:7" x14ac:dyDescent="0.3">
      <c r="A8773" s="198">
        <v>1000913499</v>
      </c>
      <c r="B8773" s="192" t="s">
        <v>6383</v>
      </c>
      <c r="C8773" s="196">
        <v>-963000</v>
      </c>
      <c r="D8773" s="196">
        <v>0</v>
      </c>
      <c r="E8773" s="196">
        <v>0</v>
      </c>
      <c r="F8773" s="196">
        <v>0</v>
      </c>
      <c r="G8773" s="196">
        <v>-963000</v>
      </c>
    </row>
    <row r="8774" spans="1:7" x14ac:dyDescent="0.3">
      <c r="A8774" s="198">
        <v>1002065874</v>
      </c>
      <c r="B8774" s="192" t="s">
        <v>6384</v>
      </c>
      <c r="C8774" s="196">
        <v>-860000</v>
      </c>
      <c r="D8774" s="196">
        <v>0</v>
      </c>
      <c r="E8774" s="196">
        <v>0</v>
      </c>
      <c r="F8774" s="196">
        <v>0</v>
      </c>
      <c r="G8774" s="196">
        <v>-860000</v>
      </c>
    </row>
    <row r="8775" spans="1:7" x14ac:dyDescent="0.3">
      <c r="A8775" s="198">
        <v>70419578</v>
      </c>
      <c r="B8775" s="192" t="s">
        <v>6385</v>
      </c>
      <c r="C8775" s="196">
        <v>-12385800</v>
      </c>
      <c r="D8775" s="196">
        <v>0</v>
      </c>
      <c r="E8775" s="196">
        <v>0</v>
      </c>
      <c r="F8775" s="196">
        <v>0</v>
      </c>
      <c r="G8775" s="196">
        <v>-12385800</v>
      </c>
    </row>
    <row r="8776" spans="1:7" x14ac:dyDescent="0.3">
      <c r="A8776" s="198">
        <v>21449741</v>
      </c>
      <c r="B8776" s="192" t="s">
        <v>320</v>
      </c>
      <c r="C8776" s="196">
        <v>-200000</v>
      </c>
      <c r="D8776" s="196">
        <v>0</v>
      </c>
      <c r="E8776" s="196">
        <v>0</v>
      </c>
      <c r="F8776" s="196">
        <v>0</v>
      </c>
      <c r="G8776" s="196">
        <v>-200000</v>
      </c>
    </row>
    <row r="8777" spans="1:7" x14ac:dyDescent="0.3">
      <c r="A8777" s="198">
        <v>3468828</v>
      </c>
      <c r="B8777" s="192" t="s">
        <v>321</v>
      </c>
      <c r="C8777" s="196">
        <v>-3575002</v>
      </c>
      <c r="D8777" s="196">
        <v>0</v>
      </c>
      <c r="E8777" s="196">
        <v>0</v>
      </c>
      <c r="F8777" s="196">
        <v>0</v>
      </c>
      <c r="G8777" s="196">
        <v>-3575002</v>
      </c>
    </row>
    <row r="8778" spans="1:7" x14ac:dyDescent="0.3">
      <c r="A8778" s="198">
        <v>18108488</v>
      </c>
      <c r="B8778" s="192" t="s">
        <v>6386</v>
      </c>
      <c r="C8778" s="196">
        <v>-11757800</v>
      </c>
      <c r="D8778" s="196">
        <v>0</v>
      </c>
      <c r="E8778" s="196">
        <v>0</v>
      </c>
      <c r="F8778" s="196">
        <v>0</v>
      </c>
      <c r="G8778" s="196">
        <v>-11757800</v>
      </c>
    </row>
    <row r="8779" spans="1:7" x14ac:dyDescent="0.3">
      <c r="A8779" s="198">
        <v>7630104</v>
      </c>
      <c r="B8779" s="192" t="s">
        <v>6387</v>
      </c>
      <c r="C8779" s="196">
        <v>-3261650</v>
      </c>
      <c r="D8779" s="196">
        <v>0</v>
      </c>
      <c r="E8779" s="196">
        <v>0</v>
      </c>
      <c r="F8779" s="196">
        <v>0</v>
      </c>
      <c r="G8779" s="196">
        <v>-3261650</v>
      </c>
    </row>
    <row r="8780" spans="1:7" x14ac:dyDescent="0.3">
      <c r="A8780" s="198">
        <v>43847334</v>
      </c>
      <c r="B8780" s="192" t="s">
        <v>6388</v>
      </c>
      <c r="C8780" s="196">
        <v>-100000</v>
      </c>
      <c r="D8780" s="196">
        <v>0</v>
      </c>
      <c r="E8780" s="196">
        <v>0</v>
      </c>
      <c r="F8780" s="196">
        <v>0</v>
      </c>
      <c r="G8780" s="196">
        <v>-100000</v>
      </c>
    </row>
    <row r="8781" spans="1:7" x14ac:dyDescent="0.3">
      <c r="A8781" s="198">
        <v>1093792946</v>
      </c>
      <c r="B8781" s="192" t="s">
        <v>6389</v>
      </c>
      <c r="C8781" s="196">
        <v>-963000</v>
      </c>
      <c r="D8781" s="196">
        <v>0</v>
      </c>
      <c r="E8781" s="196">
        <v>0</v>
      </c>
      <c r="F8781" s="196">
        <v>0</v>
      </c>
      <c r="G8781" s="196">
        <v>-963000</v>
      </c>
    </row>
    <row r="8782" spans="1:7" x14ac:dyDescent="0.3">
      <c r="A8782" s="198">
        <v>1023832824</v>
      </c>
      <c r="B8782" s="192" t="s">
        <v>6390</v>
      </c>
      <c r="C8782" s="196">
        <v>-860000</v>
      </c>
      <c r="D8782" s="196">
        <v>0</v>
      </c>
      <c r="E8782" s="196">
        <v>0</v>
      </c>
      <c r="F8782" s="196">
        <v>0</v>
      </c>
      <c r="G8782" s="196">
        <v>-860000</v>
      </c>
    </row>
    <row r="8783" spans="1:7" x14ac:dyDescent="0.3">
      <c r="A8783" s="198">
        <v>1037571092</v>
      </c>
      <c r="B8783" s="192" t="s">
        <v>6391</v>
      </c>
      <c r="C8783" s="196">
        <v>-2895000</v>
      </c>
      <c r="D8783" s="196">
        <v>0</v>
      </c>
      <c r="E8783" s="196">
        <v>0</v>
      </c>
      <c r="F8783" s="196">
        <v>0</v>
      </c>
      <c r="G8783" s="196">
        <v>-2895000</v>
      </c>
    </row>
    <row r="8784" spans="1:7" x14ac:dyDescent="0.3">
      <c r="A8784" s="198">
        <v>28532219</v>
      </c>
      <c r="B8784" s="192" t="s">
        <v>332</v>
      </c>
      <c r="C8784" s="196">
        <v>-504000</v>
      </c>
      <c r="D8784" s="196">
        <v>0</v>
      </c>
      <c r="E8784" s="196">
        <v>504000</v>
      </c>
      <c r="F8784" s="196">
        <v>-504000</v>
      </c>
      <c r="G8784" s="196">
        <v>-1008000</v>
      </c>
    </row>
    <row r="8785" spans="1:7" x14ac:dyDescent="0.3">
      <c r="A8785" s="198">
        <v>70691514</v>
      </c>
      <c r="B8785" s="192" t="s">
        <v>2881</v>
      </c>
      <c r="C8785" s="196">
        <v>-6355800</v>
      </c>
      <c r="D8785" s="196">
        <v>0</v>
      </c>
      <c r="E8785" s="196">
        <v>0</v>
      </c>
      <c r="F8785" s="196">
        <v>0</v>
      </c>
      <c r="G8785" s="196">
        <v>-6355800</v>
      </c>
    </row>
    <row r="8786" spans="1:7" x14ac:dyDescent="0.3">
      <c r="A8786" s="198">
        <v>900640334</v>
      </c>
      <c r="B8786" s="192" t="s">
        <v>336</v>
      </c>
      <c r="C8786" s="196">
        <v>-18458050</v>
      </c>
      <c r="D8786" s="196">
        <v>1144498</v>
      </c>
      <c r="E8786" s="196">
        <v>7854578</v>
      </c>
      <c r="F8786" s="196">
        <v>-6710080</v>
      </c>
      <c r="G8786" s="196">
        <v>-25168130</v>
      </c>
    </row>
    <row r="8787" spans="1:7" x14ac:dyDescent="0.3">
      <c r="A8787" s="198">
        <v>860002183</v>
      </c>
      <c r="B8787" s="192" t="s">
        <v>337</v>
      </c>
      <c r="C8787" s="196">
        <v>-1630344</v>
      </c>
      <c r="D8787" s="196">
        <v>0</v>
      </c>
      <c r="E8787" s="196">
        <v>2774844</v>
      </c>
      <c r="F8787" s="196">
        <v>-2774844</v>
      </c>
      <c r="G8787" s="196">
        <v>-4405188</v>
      </c>
    </row>
    <row r="8788" spans="1:7" x14ac:dyDescent="0.3">
      <c r="A8788" s="192" t="s">
        <v>106</v>
      </c>
      <c r="B8788" s="192" t="s">
        <v>105</v>
      </c>
      <c r="C8788" s="196">
        <v>0</v>
      </c>
      <c r="D8788" s="196">
        <v>0</v>
      </c>
      <c r="E8788" s="196">
        <v>4010000</v>
      </c>
      <c r="F8788" s="196">
        <v>-4010000</v>
      </c>
      <c r="G8788" s="196">
        <v>-4010000</v>
      </c>
    </row>
    <row r="8789" spans="1:7" x14ac:dyDescent="0.3">
      <c r="A8789" s="198">
        <v>24626368</v>
      </c>
      <c r="B8789" s="192" t="s">
        <v>2892</v>
      </c>
      <c r="C8789" s="196">
        <v>-5000000</v>
      </c>
      <c r="D8789" s="196">
        <v>0</v>
      </c>
      <c r="E8789" s="196">
        <v>0</v>
      </c>
      <c r="F8789" s="196">
        <v>0</v>
      </c>
      <c r="G8789" s="196">
        <v>-5000000</v>
      </c>
    </row>
    <row r="8790" spans="1:7" x14ac:dyDescent="0.3">
      <c r="A8790" s="198">
        <v>42901795</v>
      </c>
      <c r="B8790" s="192" t="s">
        <v>2893</v>
      </c>
      <c r="C8790" s="196">
        <v>-331200</v>
      </c>
      <c r="D8790" s="196">
        <v>0</v>
      </c>
      <c r="E8790" s="196">
        <v>0</v>
      </c>
      <c r="F8790" s="196">
        <v>0</v>
      </c>
      <c r="G8790" s="196">
        <v>-331200</v>
      </c>
    </row>
    <row r="8791" spans="1:7" x14ac:dyDescent="0.3">
      <c r="A8791" s="198">
        <v>42755787</v>
      </c>
      <c r="B8791" s="192" t="s">
        <v>6392</v>
      </c>
      <c r="C8791" s="196">
        <v>-1534200</v>
      </c>
      <c r="D8791" s="196">
        <v>0</v>
      </c>
      <c r="E8791" s="196">
        <v>0</v>
      </c>
      <c r="F8791" s="196">
        <v>0</v>
      </c>
      <c r="G8791" s="196">
        <v>-1534200</v>
      </c>
    </row>
    <row r="8792" spans="1:7" x14ac:dyDescent="0.3">
      <c r="A8792" s="198">
        <v>43540374</v>
      </c>
      <c r="B8792" s="192" t="s">
        <v>2894</v>
      </c>
      <c r="C8792" s="196">
        <v>-496800</v>
      </c>
      <c r="D8792" s="196">
        <v>0</v>
      </c>
      <c r="E8792" s="196">
        <v>0</v>
      </c>
      <c r="F8792" s="196">
        <v>0</v>
      </c>
      <c r="G8792" s="196">
        <v>-496800</v>
      </c>
    </row>
    <row r="8793" spans="1:7" x14ac:dyDescent="0.3">
      <c r="A8793" s="198">
        <v>43808525</v>
      </c>
      <c r="B8793" s="192" t="s">
        <v>6393</v>
      </c>
      <c r="C8793" s="196">
        <v>-683000</v>
      </c>
      <c r="D8793" s="196">
        <v>0</v>
      </c>
      <c r="E8793" s="196">
        <v>0</v>
      </c>
      <c r="F8793" s="196">
        <v>0</v>
      </c>
      <c r="G8793" s="196">
        <v>-683000</v>
      </c>
    </row>
    <row r="8794" spans="1:7" x14ac:dyDescent="0.3">
      <c r="A8794" s="198">
        <v>286930</v>
      </c>
      <c r="B8794" s="192" t="s">
        <v>6394</v>
      </c>
      <c r="C8794" s="196">
        <v>-710000</v>
      </c>
      <c r="D8794" s="196">
        <v>0</v>
      </c>
      <c r="E8794" s="196">
        <v>0</v>
      </c>
      <c r="F8794" s="196">
        <v>0</v>
      </c>
      <c r="G8794" s="196">
        <v>-710000</v>
      </c>
    </row>
    <row r="8795" spans="1:7" x14ac:dyDescent="0.3">
      <c r="A8795" s="198">
        <v>43062123</v>
      </c>
      <c r="B8795" s="192" t="s">
        <v>342</v>
      </c>
      <c r="C8795" s="196">
        <v>-6038000</v>
      </c>
      <c r="D8795" s="196">
        <v>0</v>
      </c>
      <c r="E8795" s="196">
        <v>0</v>
      </c>
      <c r="F8795" s="196">
        <v>0</v>
      </c>
      <c r="G8795" s="196">
        <v>-6038000</v>
      </c>
    </row>
    <row r="8796" spans="1:7" x14ac:dyDescent="0.3">
      <c r="A8796" s="198">
        <v>42751175</v>
      </c>
      <c r="B8796" s="192" t="s">
        <v>6395</v>
      </c>
      <c r="C8796" s="196">
        <v>-4133000</v>
      </c>
      <c r="D8796" s="196">
        <v>0</v>
      </c>
      <c r="E8796" s="196">
        <v>0</v>
      </c>
      <c r="F8796" s="196">
        <v>0</v>
      </c>
      <c r="G8796" s="196">
        <v>-4133000</v>
      </c>
    </row>
    <row r="8797" spans="1:7" x14ac:dyDescent="0.3">
      <c r="A8797" s="198">
        <v>43616292</v>
      </c>
      <c r="B8797" s="192" t="s">
        <v>6396</v>
      </c>
      <c r="C8797" s="196">
        <v>-3652000</v>
      </c>
      <c r="D8797" s="196">
        <v>0</v>
      </c>
      <c r="E8797" s="196">
        <v>0</v>
      </c>
      <c r="F8797" s="196">
        <v>0</v>
      </c>
      <c r="G8797" s="196">
        <v>-3652000</v>
      </c>
    </row>
    <row r="8798" spans="1:7" x14ac:dyDescent="0.3">
      <c r="A8798" s="198">
        <v>24836512</v>
      </c>
      <c r="B8798" s="192" t="s">
        <v>6397</v>
      </c>
      <c r="C8798" s="196">
        <v>-6676000</v>
      </c>
      <c r="D8798" s="196">
        <v>0</v>
      </c>
      <c r="E8798" s="196">
        <v>0</v>
      </c>
      <c r="F8798" s="196">
        <v>0</v>
      </c>
      <c r="G8798" s="196">
        <v>-6676000</v>
      </c>
    </row>
    <row r="8799" spans="1:7" x14ac:dyDescent="0.3">
      <c r="A8799" s="198">
        <v>42898784</v>
      </c>
      <c r="B8799" s="192" t="s">
        <v>6398</v>
      </c>
      <c r="C8799" s="196">
        <v>-3986950</v>
      </c>
      <c r="D8799" s="196">
        <v>0</v>
      </c>
      <c r="E8799" s="196">
        <v>0</v>
      </c>
      <c r="F8799" s="196">
        <v>0</v>
      </c>
      <c r="G8799" s="196">
        <v>-3986950</v>
      </c>
    </row>
    <row r="8800" spans="1:7" x14ac:dyDescent="0.3">
      <c r="A8800" s="198">
        <v>43682834</v>
      </c>
      <c r="B8800" s="192" t="s">
        <v>2911</v>
      </c>
      <c r="C8800" s="196">
        <v>-8680000</v>
      </c>
      <c r="D8800" s="196">
        <v>0</v>
      </c>
      <c r="E8800" s="196">
        <v>0</v>
      </c>
      <c r="F8800" s="196">
        <v>0</v>
      </c>
      <c r="G8800" s="196">
        <v>-8680000</v>
      </c>
    </row>
    <row r="8801" spans="1:7" x14ac:dyDescent="0.3">
      <c r="A8801" s="198">
        <v>42968835</v>
      </c>
      <c r="B8801" s="192" t="s">
        <v>349</v>
      </c>
      <c r="C8801" s="196">
        <v>-57201</v>
      </c>
      <c r="D8801" s="196">
        <v>0</v>
      </c>
      <c r="E8801" s="196">
        <v>0</v>
      </c>
      <c r="F8801" s="196">
        <v>0</v>
      </c>
      <c r="G8801" s="196">
        <v>-57201</v>
      </c>
    </row>
    <row r="8802" spans="1:7" x14ac:dyDescent="0.3">
      <c r="A8802" s="198">
        <v>22103904</v>
      </c>
      <c r="B8802" s="192" t="s">
        <v>351</v>
      </c>
      <c r="C8802" s="196">
        <v>0</v>
      </c>
      <c r="D8802" s="196">
        <v>0</v>
      </c>
      <c r="E8802" s="196">
        <v>3338000</v>
      </c>
      <c r="F8802" s="196">
        <v>-3338000</v>
      </c>
      <c r="G8802" s="196">
        <v>-3338000</v>
      </c>
    </row>
    <row r="8803" spans="1:7" x14ac:dyDescent="0.3">
      <c r="A8803" s="198">
        <v>88157555</v>
      </c>
      <c r="B8803" s="192" t="s">
        <v>2916</v>
      </c>
      <c r="C8803" s="196">
        <v>-12133000</v>
      </c>
      <c r="D8803" s="196">
        <v>0</v>
      </c>
      <c r="E8803" s="196">
        <v>0</v>
      </c>
      <c r="F8803" s="196">
        <v>0</v>
      </c>
      <c r="G8803" s="196">
        <v>-12133000</v>
      </c>
    </row>
    <row r="8804" spans="1:7" x14ac:dyDescent="0.3">
      <c r="A8804" s="198">
        <v>21796531</v>
      </c>
      <c r="B8804" s="192" t="s">
        <v>353</v>
      </c>
      <c r="C8804" s="196">
        <v>0</v>
      </c>
      <c r="D8804" s="196">
        <v>0</v>
      </c>
      <c r="E8804" s="196">
        <v>57200</v>
      </c>
      <c r="F8804" s="196">
        <v>-57200</v>
      </c>
      <c r="G8804" s="196">
        <v>-57200</v>
      </c>
    </row>
    <row r="8805" spans="1:7" x14ac:dyDescent="0.3">
      <c r="A8805" s="198">
        <v>22211398</v>
      </c>
      <c r="B8805" s="192" t="s">
        <v>2928</v>
      </c>
      <c r="C8805" s="196">
        <v>-5805800</v>
      </c>
      <c r="D8805" s="196">
        <v>0</v>
      </c>
      <c r="E8805" s="196">
        <v>0</v>
      </c>
      <c r="F8805" s="196">
        <v>0</v>
      </c>
      <c r="G8805" s="196">
        <v>-5805800</v>
      </c>
    </row>
    <row r="8806" spans="1:7" x14ac:dyDescent="0.3">
      <c r="A8806" s="198">
        <v>39436090</v>
      </c>
      <c r="B8806" s="192" t="s">
        <v>354</v>
      </c>
      <c r="C8806" s="196">
        <v>-11404000</v>
      </c>
      <c r="D8806" s="196">
        <v>0</v>
      </c>
      <c r="E8806" s="196">
        <v>0</v>
      </c>
      <c r="F8806" s="196">
        <v>0</v>
      </c>
      <c r="G8806" s="196">
        <v>-11404000</v>
      </c>
    </row>
    <row r="8807" spans="1:7" x14ac:dyDescent="0.3">
      <c r="A8807" s="198">
        <v>32111108</v>
      </c>
      <c r="B8807" s="192" t="s">
        <v>6399</v>
      </c>
      <c r="C8807" s="196">
        <v>-963000</v>
      </c>
      <c r="D8807" s="196">
        <v>0</v>
      </c>
      <c r="E8807" s="196">
        <v>0</v>
      </c>
      <c r="F8807" s="196">
        <v>0</v>
      </c>
      <c r="G8807" s="196">
        <v>-963000</v>
      </c>
    </row>
    <row r="8808" spans="1:7" x14ac:dyDescent="0.3">
      <c r="A8808" s="198">
        <v>901630573</v>
      </c>
      <c r="B8808" s="192" t="s">
        <v>107</v>
      </c>
      <c r="C8808" s="196">
        <v>-74677201</v>
      </c>
      <c r="D8808" s="196">
        <v>0</v>
      </c>
      <c r="E8808" s="196">
        <v>0</v>
      </c>
      <c r="F8808" s="196">
        <v>0</v>
      </c>
      <c r="G8808" s="196">
        <v>-74677201</v>
      </c>
    </row>
    <row r="8809" spans="1:7" x14ac:dyDescent="0.3">
      <c r="A8809" s="198">
        <v>7179793</v>
      </c>
      <c r="B8809" s="192" t="s">
        <v>6400</v>
      </c>
      <c r="C8809" s="196">
        <v>-963000</v>
      </c>
      <c r="D8809" s="196">
        <v>0</v>
      </c>
      <c r="E8809" s="196">
        <v>0</v>
      </c>
      <c r="F8809" s="196">
        <v>0</v>
      </c>
      <c r="G8809" s="196">
        <v>-963000</v>
      </c>
    </row>
    <row r="8810" spans="1:7" x14ac:dyDescent="0.3">
      <c r="A8810" s="198">
        <v>43475947</v>
      </c>
      <c r="B8810" s="192" t="s">
        <v>362</v>
      </c>
      <c r="C8810" s="196">
        <v>0</v>
      </c>
      <c r="D8810" s="196">
        <v>0</v>
      </c>
      <c r="E8810" s="196">
        <v>4375000</v>
      </c>
      <c r="F8810" s="196">
        <v>-4375000</v>
      </c>
      <c r="G8810" s="196">
        <v>-4375000</v>
      </c>
    </row>
    <row r="8811" spans="1:7" x14ac:dyDescent="0.3">
      <c r="A8811" s="198">
        <v>21998652</v>
      </c>
      <c r="B8811" s="192" t="s">
        <v>6401</v>
      </c>
      <c r="C8811" s="196">
        <v>-6283200</v>
      </c>
      <c r="D8811" s="196">
        <v>0</v>
      </c>
      <c r="E8811" s="196">
        <v>0</v>
      </c>
      <c r="F8811" s="196">
        <v>0</v>
      </c>
      <c r="G8811" s="196">
        <v>-6283200</v>
      </c>
    </row>
    <row r="8812" spans="1:7" x14ac:dyDescent="0.3">
      <c r="A8812" s="198">
        <v>32502431</v>
      </c>
      <c r="B8812" s="192" t="s">
        <v>6402</v>
      </c>
      <c r="C8812" s="196">
        <v>-57200</v>
      </c>
      <c r="D8812" s="196">
        <v>0</v>
      </c>
      <c r="E8812" s="196">
        <v>0</v>
      </c>
      <c r="F8812" s="196">
        <v>0</v>
      </c>
      <c r="G8812" s="196">
        <v>-57200</v>
      </c>
    </row>
    <row r="8813" spans="1:7" x14ac:dyDescent="0.3">
      <c r="A8813" s="198">
        <v>24366085</v>
      </c>
      <c r="B8813" s="192" t="s">
        <v>6403</v>
      </c>
      <c r="C8813" s="196">
        <v>-4375000</v>
      </c>
      <c r="D8813" s="196">
        <v>0</v>
      </c>
      <c r="E8813" s="196">
        <v>0</v>
      </c>
      <c r="F8813" s="196">
        <v>0</v>
      </c>
      <c r="G8813" s="196">
        <v>-4375000</v>
      </c>
    </row>
    <row r="8814" spans="1:7" x14ac:dyDescent="0.3">
      <c r="A8814" s="198">
        <v>42901482</v>
      </c>
      <c r="B8814" s="192" t="s">
        <v>2939</v>
      </c>
      <c r="C8814" s="196">
        <v>-6184000</v>
      </c>
      <c r="D8814" s="196">
        <v>0</v>
      </c>
      <c r="E8814" s="196">
        <v>0</v>
      </c>
      <c r="F8814" s="196">
        <v>0</v>
      </c>
      <c r="G8814" s="196">
        <v>-6184000</v>
      </c>
    </row>
    <row r="8815" spans="1:7" x14ac:dyDescent="0.3">
      <c r="A8815" s="198">
        <v>43746429</v>
      </c>
      <c r="B8815" s="192" t="s">
        <v>366</v>
      </c>
      <c r="C8815" s="196">
        <v>0</v>
      </c>
      <c r="D8815" s="196">
        <v>0</v>
      </c>
      <c r="E8815" s="196">
        <v>3338000</v>
      </c>
      <c r="F8815" s="196">
        <v>-3338000</v>
      </c>
      <c r="G8815" s="196">
        <v>-3338000</v>
      </c>
    </row>
    <row r="8816" spans="1:7" x14ac:dyDescent="0.3">
      <c r="A8816" s="198">
        <v>43068485</v>
      </c>
      <c r="B8816" s="192" t="s">
        <v>2940</v>
      </c>
      <c r="C8816" s="196">
        <v>-9320000</v>
      </c>
      <c r="D8816" s="196">
        <v>0</v>
      </c>
      <c r="E8816" s="196">
        <v>0</v>
      </c>
      <c r="F8816" s="196">
        <v>0</v>
      </c>
      <c r="G8816" s="196">
        <v>-9320000</v>
      </c>
    </row>
    <row r="8817" spans="1:7" x14ac:dyDescent="0.3">
      <c r="A8817" s="198">
        <v>21418744</v>
      </c>
      <c r="B8817" s="192" t="s">
        <v>6404</v>
      </c>
      <c r="C8817" s="196">
        <v>-3722400</v>
      </c>
      <c r="D8817" s="196">
        <v>0</v>
      </c>
      <c r="E8817" s="196">
        <v>0</v>
      </c>
      <c r="F8817" s="196">
        <v>0</v>
      </c>
      <c r="G8817" s="196">
        <v>-3722400</v>
      </c>
    </row>
    <row r="8818" spans="1:7" x14ac:dyDescent="0.3">
      <c r="A8818" s="198">
        <v>43003030</v>
      </c>
      <c r="B8818" s="192" t="s">
        <v>2943</v>
      </c>
      <c r="C8818" s="196">
        <v>-118800</v>
      </c>
      <c r="D8818" s="196">
        <v>0</v>
      </c>
      <c r="E8818" s="196">
        <v>0</v>
      </c>
      <c r="F8818" s="196">
        <v>0</v>
      </c>
      <c r="G8818" s="196">
        <v>-118800</v>
      </c>
    </row>
    <row r="8819" spans="1:7" x14ac:dyDescent="0.3">
      <c r="A8819" s="198">
        <v>43085137</v>
      </c>
      <c r="B8819" s="192" t="s">
        <v>368</v>
      </c>
      <c r="C8819" s="196">
        <v>0</v>
      </c>
      <c r="D8819" s="196">
        <v>0</v>
      </c>
      <c r="E8819" s="196">
        <v>1683000</v>
      </c>
      <c r="F8819" s="196">
        <v>-1683000</v>
      </c>
      <c r="G8819" s="196">
        <v>-1683000</v>
      </c>
    </row>
    <row r="8820" spans="1:7" x14ac:dyDescent="0.3">
      <c r="A8820" s="198">
        <v>1128443345</v>
      </c>
      <c r="B8820" s="192" t="s">
        <v>6405</v>
      </c>
      <c r="C8820" s="196">
        <v>-963000</v>
      </c>
      <c r="D8820" s="196">
        <v>0</v>
      </c>
      <c r="E8820" s="196">
        <v>0</v>
      </c>
      <c r="F8820" s="196">
        <v>0</v>
      </c>
      <c r="G8820" s="196">
        <v>-963000</v>
      </c>
    </row>
    <row r="8821" spans="1:7" x14ac:dyDescent="0.3">
      <c r="A8821" s="192" t="s">
        <v>370</v>
      </c>
      <c r="B8821" s="192" t="s">
        <v>371</v>
      </c>
      <c r="C8821" s="196">
        <v>0</v>
      </c>
      <c r="D8821" s="196">
        <v>0</v>
      </c>
      <c r="E8821" s="196">
        <v>5400000</v>
      </c>
      <c r="F8821" s="196">
        <v>-5400000</v>
      </c>
      <c r="G8821" s="196">
        <v>-5400000</v>
      </c>
    </row>
    <row r="8822" spans="1:7" x14ac:dyDescent="0.3">
      <c r="A8822" s="198">
        <v>1035429530</v>
      </c>
      <c r="B8822" s="192" t="s">
        <v>6406</v>
      </c>
      <c r="C8822" s="196">
        <v>-963000</v>
      </c>
      <c r="D8822" s="196">
        <v>0</v>
      </c>
      <c r="E8822" s="196">
        <v>0</v>
      </c>
      <c r="F8822" s="196">
        <v>0</v>
      </c>
      <c r="G8822" s="196">
        <v>-963000</v>
      </c>
    </row>
    <row r="8823" spans="1:7" x14ac:dyDescent="0.3">
      <c r="A8823" s="198">
        <v>1214742701</v>
      </c>
      <c r="B8823" s="192" t="s">
        <v>6407</v>
      </c>
      <c r="C8823" s="196">
        <v>-963000</v>
      </c>
      <c r="D8823" s="196">
        <v>0</v>
      </c>
      <c r="E8823" s="196">
        <v>0</v>
      </c>
      <c r="F8823" s="196">
        <v>0</v>
      </c>
      <c r="G8823" s="196">
        <v>-963000</v>
      </c>
    </row>
    <row r="8824" spans="1:7" x14ac:dyDescent="0.3">
      <c r="A8824" s="198">
        <v>1036675393</v>
      </c>
      <c r="B8824" s="192" t="s">
        <v>6408</v>
      </c>
      <c r="C8824" s="196">
        <v>-963000</v>
      </c>
      <c r="D8824" s="196">
        <v>0</v>
      </c>
      <c r="E8824" s="196">
        <v>0</v>
      </c>
      <c r="F8824" s="196">
        <v>0</v>
      </c>
      <c r="G8824" s="196">
        <v>-963000</v>
      </c>
    </row>
    <row r="8825" spans="1:7" x14ac:dyDescent="0.3">
      <c r="A8825" s="192" t="s">
        <v>2951</v>
      </c>
      <c r="B8825" s="192" t="s">
        <v>2952</v>
      </c>
      <c r="C8825" s="196">
        <v>-7795600</v>
      </c>
      <c r="D8825" s="196">
        <v>0</v>
      </c>
      <c r="E8825" s="196">
        <v>0</v>
      </c>
      <c r="F8825" s="196">
        <v>0</v>
      </c>
      <c r="G8825" s="196">
        <v>-7795600</v>
      </c>
    </row>
    <row r="8826" spans="1:7" x14ac:dyDescent="0.3">
      <c r="A8826" s="198">
        <v>43739652</v>
      </c>
      <c r="B8826" s="192" t="s">
        <v>6409</v>
      </c>
      <c r="C8826" s="196">
        <v>-1683600</v>
      </c>
      <c r="D8826" s="196">
        <v>0</v>
      </c>
      <c r="E8826" s="196">
        <v>0</v>
      </c>
      <c r="F8826" s="196">
        <v>0</v>
      </c>
      <c r="G8826" s="196">
        <v>-1683600</v>
      </c>
    </row>
    <row r="8827" spans="1:7" x14ac:dyDescent="0.3">
      <c r="A8827" s="198">
        <v>1001004076</v>
      </c>
      <c r="B8827" s="192" t="s">
        <v>2956</v>
      </c>
      <c r="C8827" s="196">
        <v>-3153700</v>
      </c>
      <c r="D8827" s="196">
        <v>0</v>
      </c>
      <c r="E8827" s="196">
        <v>0</v>
      </c>
      <c r="F8827" s="196">
        <v>0</v>
      </c>
      <c r="G8827" s="196">
        <v>-3153700</v>
      </c>
    </row>
    <row r="8828" spans="1:7" x14ac:dyDescent="0.3">
      <c r="A8828" s="192" t="s">
        <v>6410</v>
      </c>
      <c r="B8828" s="192" t="s">
        <v>6411</v>
      </c>
      <c r="C8828" s="196">
        <v>-5385000</v>
      </c>
      <c r="D8828" s="196">
        <v>0</v>
      </c>
      <c r="E8828" s="196">
        <v>0</v>
      </c>
      <c r="F8828" s="196">
        <v>0</v>
      </c>
      <c r="G8828" s="196">
        <v>-5385000</v>
      </c>
    </row>
    <row r="8829" spans="1:7" x14ac:dyDescent="0.3">
      <c r="A8829" s="198">
        <v>1152223186</v>
      </c>
      <c r="B8829" s="192" t="s">
        <v>2959</v>
      </c>
      <c r="C8829" s="196">
        <v>-3682000</v>
      </c>
      <c r="D8829" s="196">
        <v>0</v>
      </c>
      <c r="E8829" s="196">
        <v>0</v>
      </c>
      <c r="F8829" s="196">
        <v>0</v>
      </c>
      <c r="G8829" s="196">
        <v>-3682000</v>
      </c>
    </row>
    <row r="8830" spans="1:7" x14ac:dyDescent="0.3">
      <c r="A8830" s="198">
        <v>1035443743</v>
      </c>
      <c r="B8830" s="192" t="s">
        <v>380</v>
      </c>
      <c r="C8830" s="196">
        <v>0</v>
      </c>
      <c r="D8830" s="196">
        <v>0</v>
      </c>
      <c r="E8830" s="196">
        <v>963000</v>
      </c>
      <c r="F8830" s="196">
        <v>-963000</v>
      </c>
      <c r="G8830" s="196">
        <v>-963000</v>
      </c>
    </row>
    <row r="8831" spans="1:7" x14ac:dyDescent="0.3">
      <c r="A8831" s="198">
        <v>1039683836</v>
      </c>
      <c r="B8831" s="192" t="s">
        <v>6412</v>
      </c>
      <c r="C8831" s="196">
        <v>-795000</v>
      </c>
      <c r="D8831" s="196">
        <v>0</v>
      </c>
      <c r="E8831" s="196">
        <v>0</v>
      </c>
      <c r="F8831" s="196">
        <v>0</v>
      </c>
      <c r="G8831" s="196">
        <v>-795000</v>
      </c>
    </row>
    <row r="8832" spans="1:7" x14ac:dyDescent="0.3">
      <c r="A8832" s="198">
        <v>1004999300</v>
      </c>
      <c r="B8832" s="192" t="s">
        <v>6413</v>
      </c>
      <c r="C8832" s="196">
        <v>-963000</v>
      </c>
      <c r="D8832" s="196">
        <v>0</v>
      </c>
      <c r="E8832" s="196">
        <v>0</v>
      </c>
      <c r="F8832" s="196">
        <v>0</v>
      </c>
      <c r="G8832" s="196">
        <v>-963000</v>
      </c>
    </row>
    <row r="8833" spans="1:7" x14ac:dyDescent="0.3">
      <c r="A8833" s="198">
        <v>1039455064</v>
      </c>
      <c r="B8833" s="192" t="s">
        <v>2988</v>
      </c>
      <c r="C8833" s="196">
        <v>-3717000</v>
      </c>
      <c r="D8833" s="196">
        <v>0</v>
      </c>
      <c r="E8833" s="196">
        <v>0</v>
      </c>
      <c r="F8833" s="196">
        <v>0</v>
      </c>
      <c r="G8833" s="196">
        <v>-3717000</v>
      </c>
    </row>
    <row r="8834" spans="1:7" x14ac:dyDescent="0.3">
      <c r="A8834" s="198">
        <v>92523543</v>
      </c>
      <c r="B8834" s="192" t="s">
        <v>2991</v>
      </c>
      <c r="C8834" s="196">
        <v>-2650000</v>
      </c>
      <c r="D8834" s="196">
        <v>0</v>
      </c>
      <c r="E8834" s="196">
        <v>0</v>
      </c>
      <c r="F8834" s="196">
        <v>0</v>
      </c>
      <c r="G8834" s="196">
        <v>-2650000</v>
      </c>
    </row>
    <row r="8835" spans="1:7" x14ac:dyDescent="0.3">
      <c r="A8835" s="198">
        <v>1035223185</v>
      </c>
      <c r="B8835" s="192" t="s">
        <v>6414</v>
      </c>
      <c r="C8835" s="196">
        <v>-3261650</v>
      </c>
      <c r="D8835" s="196">
        <v>0</v>
      </c>
      <c r="E8835" s="196">
        <v>0</v>
      </c>
      <c r="F8835" s="196">
        <v>0</v>
      </c>
      <c r="G8835" s="196">
        <v>-3261650</v>
      </c>
    </row>
    <row r="8836" spans="1:7" x14ac:dyDescent="0.3">
      <c r="A8836" s="198">
        <v>1037658564</v>
      </c>
      <c r="B8836" s="192" t="s">
        <v>3000</v>
      </c>
      <c r="C8836" s="196">
        <v>-3413700</v>
      </c>
      <c r="D8836" s="196">
        <v>0</v>
      </c>
      <c r="E8836" s="196">
        <v>0</v>
      </c>
      <c r="F8836" s="196">
        <v>0</v>
      </c>
      <c r="G8836" s="196">
        <v>-3413700</v>
      </c>
    </row>
    <row r="8837" spans="1:7" x14ac:dyDescent="0.3">
      <c r="A8837" s="198">
        <v>8164665</v>
      </c>
      <c r="B8837" s="192" t="s">
        <v>3001</v>
      </c>
      <c r="C8837" s="196">
        <v>-12429800</v>
      </c>
      <c r="D8837" s="196">
        <v>0</v>
      </c>
      <c r="E8837" s="196">
        <v>0</v>
      </c>
      <c r="F8837" s="196">
        <v>0</v>
      </c>
      <c r="G8837" s="196">
        <v>-12429800</v>
      </c>
    </row>
    <row r="8838" spans="1:7" x14ac:dyDescent="0.3">
      <c r="A8838" s="198">
        <v>71782374</v>
      </c>
      <c r="B8838" s="192" t="s">
        <v>6415</v>
      </c>
      <c r="C8838" s="196">
        <v>-963000</v>
      </c>
      <c r="D8838" s="196">
        <v>0</v>
      </c>
      <c r="E8838" s="196">
        <v>0</v>
      </c>
      <c r="F8838" s="196">
        <v>0</v>
      </c>
      <c r="G8838" s="196">
        <v>-963000</v>
      </c>
    </row>
    <row r="8839" spans="1:7" x14ac:dyDescent="0.3">
      <c r="A8839" s="198">
        <v>10178369</v>
      </c>
      <c r="B8839" s="192" t="s">
        <v>6416</v>
      </c>
      <c r="C8839" s="196">
        <v>-963000</v>
      </c>
      <c r="D8839" s="196">
        <v>0</v>
      </c>
      <c r="E8839" s="196">
        <v>0</v>
      </c>
      <c r="F8839" s="196">
        <v>0</v>
      </c>
      <c r="G8839" s="196">
        <v>-963000</v>
      </c>
    </row>
    <row r="8840" spans="1:7" x14ac:dyDescent="0.3">
      <c r="A8840" s="198">
        <v>70076810</v>
      </c>
      <c r="B8840" s="192" t="s">
        <v>6417</v>
      </c>
      <c r="C8840" s="196">
        <v>-7073800</v>
      </c>
      <c r="D8840" s="196">
        <v>0</v>
      </c>
      <c r="E8840" s="196">
        <v>0</v>
      </c>
      <c r="F8840" s="196">
        <v>0</v>
      </c>
      <c r="G8840" s="196">
        <v>-7073800</v>
      </c>
    </row>
    <row r="8841" spans="1:7" x14ac:dyDescent="0.3">
      <c r="A8841" s="192" t="s">
        <v>6418</v>
      </c>
      <c r="B8841" s="192" t="s">
        <v>6419</v>
      </c>
      <c r="C8841" s="196">
        <v>-963000</v>
      </c>
      <c r="D8841" s="196">
        <v>0</v>
      </c>
      <c r="E8841" s="196">
        <v>0</v>
      </c>
      <c r="F8841" s="196">
        <v>0</v>
      </c>
      <c r="G8841" s="196">
        <v>-963000</v>
      </c>
    </row>
    <row r="8842" spans="1:7" x14ac:dyDescent="0.3">
      <c r="A8842" s="198">
        <v>71741945</v>
      </c>
      <c r="B8842" s="192" t="s">
        <v>6420</v>
      </c>
      <c r="C8842" s="196">
        <v>-1000000</v>
      </c>
      <c r="D8842" s="196">
        <v>0</v>
      </c>
      <c r="E8842" s="196">
        <v>0</v>
      </c>
      <c r="F8842" s="196">
        <v>0</v>
      </c>
      <c r="G8842" s="196">
        <v>-1000000</v>
      </c>
    </row>
    <row r="8843" spans="1:7" x14ac:dyDescent="0.3">
      <c r="A8843" s="198">
        <v>15666288</v>
      </c>
      <c r="B8843" s="192" t="s">
        <v>3018</v>
      </c>
      <c r="C8843" s="196">
        <v>-1937000</v>
      </c>
      <c r="D8843" s="196">
        <v>0</v>
      </c>
      <c r="E8843" s="196">
        <v>0</v>
      </c>
      <c r="F8843" s="196">
        <v>0</v>
      </c>
      <c r="G8843" s="196">
        <v>-1937000</v>
      </c>
    </row>
    <row r="8844" spans="1:7" x14ac:dyDescent="0.3">
      <c r="A8844" s="198">
        <v>586655004</v>
      </c>
      <c r="B8844" s="192" t="s">
        <v>398</v>
      </c>
      <c r="C8844" s="196">
        <v>0</v>
      </c>
      <c r="D8844" s="196">
        <v>0</v>
      </c>
      <c r="E8844" s="196">
        <v>4133000</v>
      </c>
      <c r="F8844" s="196">
        <v>-4133000</v>
      </c>
      <c r="G8844" s="196">
        <v>-4133000</v>
      </c>
    </row>
    <row r="8845" spans="1:7" x14ac:dyDescent="0.3">
      <c r="A8845" s="198">
        <v>71679054</v>
      </c>
      <c r="B8845" s="192" t="s">
        <v>6421</v>
      </c>
      <c r="C8845" s="196">
        <v>-57200</v>
      </c>
      <c r="D8845" s="196">
        <v>0</v>
      </c>
      <c r="E8845" s="196">
        <v>0</v>
      </c>
      <c r="F8845" s="196">
        <v>0</v>
      </c>
      <c r="G8845" s="196">
        <v>-57200</v>
      </c>
    </row>
    <row r="8846" spans="1:7" x14ac:dyDescent="0.3">
      <c r="A8846" s="198">
        <v>71691545</v>
      </c>
      <c r="B8846" s="192" t="s">
        <v>6422</v>
      </c>
      <c r="C8846" s="196">
        <v>-2585000</v>
      </c>
      <c r="D8846" s="196">
        <v>0</v>
      </c>
      <c r="E8846" s="196">
        <v>0</v>
      </c>
      <c r="F8846" s="196">
        <v>0</v>
      </c>
      <c r="G8846" s="196">
        <v>-2585000</v>
      </c>
    </row>
    <row r="8847" spans="1:7" x14ac:dyDescent="0.3">
      <c r="A8847" s="198">
        <v>103890992</v>
      </c>
      <c r="B8847" s="192" t="s">
        <v>6423</v>
      </c>
      <c r="C8847" s="196">
        <v>-2895000</v>
      </c>
      <c r="D8847" s="196">
        <v>0</v>
      </c>
      <c r="E8847" s="196">
        <v>0</v>
      </c>
      <c r="F8847" s="196">
        <v>0</v>
      </c>
      <c r="G8847" s="196">
        <v>-2895000</v>
      </c>
    </row>
    <row r="8848" spans="1:7" x14ac:dyDescent="0.3">
      <c r="A8848" s="198">
        <v>1037618464</v>
      </c>
      <c r="B8848" s="192" t="s">
        <v>6424</v>
      </c>
      <c r="C8848" s="196">
        <v>-795000</v>
      </c>
      <c r="D8848" s="196">
        <v>0</v>
      </c>
      <c r="E8848" s="196">
        <v>0</v>
      </c>
      <c r="F8848" s="196">
        <v>0</v>
      </c>
      <c r="G8848" s="196">
        <v>-795000</v>
      </c>
    </row>
    <row r="8849" spans="1:7" x14ac:dyDescent="0.3">
      <c r="A8849" s="198">
        <v>42872072</v>
      </c>
      <c r="B8849" s="192" t="s">
        <v>6425</v>
      </c>
      <c r="C8849" s="196">
        <v>-57200</v>
      </c>
      <c r="D8849" s="196">
        <v>0</v>
      </c>
      <c r="E8849" s="196">
        <v>0</v>
      </c>
      <c r="F8849" s="196">
        <v>0</v>
      </c>
      <c r="G8849" s="196">
        <v>-57200</v>
      </c>
    </row>
    <row r="8850" spans="1:7" x14ac:dyDescent="0.3">
      <c r="A8850" s="198">
        <v>31134111</v>
      </c>
      <c r="B8850" s="192" t="s">
        <v>404</v>
      </c>
      <c r="C8850" s="196">
        <v>0</v>
      </c>
      <c r="D8850" s="196">
        <v>0</v>
      </c>
      <c r="E8850" s="196">
        <v>57200</v>
      </c>
      <c r="F8850" s="196">
        <v>-57200</v>
      </c>
      <c r="G8850" s="196">
        <v>-57200</v>
      </c>
    </row>
    <row r="8851" spans="1:7" x14ac:dyDescent="0.3">
      <c r="A8851" s="198">
        <v>1039475177</v>
      </c>
      <c r="B8851" s="192" t="s">
        <v>6426</v>
      </c>
      <c r="C8851" s="196">
        <v>-963000</v>
      </c>
      <c r="D8851" s="196">
        <v>0</v>
      </c>
      <c r="E8851" s="196">
        <v>0</v>
      </c>
      <c r="F8851" s="196">
        <v>0</v>
      </c>
      <c r="G8851" s="196">
        <v>-963000</v>
      </c>
    </row>
    <row r="8852" spans="1:7" x14ac:dyDescent="0.3">
      <c r="A8852" s="198">
        <v>1017223502</v>
      </c>
      <c r="B8852" s="192" t="s">
        <v>6427</v>
      </c>
      <c r="C8852" s="196">
        <v>-963000</v>
      </c>
      <c r="D8852" s="196">
        <v>0</v>
      </c>
      <c r="E8852" s="196">
        <v>0</v>
      </c>
      <c r="F8852" s="196">
        <v>0</v>
      </c>
      <c r="G8852" s="196">
        <v>-963000</v>
      </c>
    </row>
    <row r="8853" spans="1:7" x14ac:dyDescent="0.3">
      <c r="A8853" s="198">
        <v>1001250047</v>
      </c>
      <c r="B8853" s="192" t="s">
        <v>406</v>
      </c>
      <c r="C8853" s="196">
        <v>0</v>
      </c>
      <c r="D8853" s="196">
        <v>0</v>
      </c>
      <c r="E8853" s="196">
        <v>963000</v>
      </c>
      <c r="F8853" s="196">
        <v>-963000</v>
      </c>
      <c r="G8853" s="196">
        <v>-963000</v>
      </c>
    </row>
    <row r="8854" spans="1:7" x14ac:dyDescent="0.3">
      <c r="A8854" s="198">
        <v>53002628</v>
      </c>
      <c r="B8854" s="192" t="s">
        <v>6428</v>
      </c>
      <c r="C8854" s="196">
        <v>-795000</v>
      </c>
      <c r="D8854" s="196">
        <v>0</v>
      </c>
      <c r="E8854" s="196">
        <v>0</v>
      </c>
      <c r="F8854" s="196">
        <v>0</v>
      </c>
      <c r="G8854" s="196">
        <v>-795000</v>
      </c>
    </row>
    <row r="8855" spans="1:7" x14ac:dyDescent="0.3">
      <c r="A8855" s="198">
        <v>43087378</v>
      </c>
      <c r="B8855" s="192" t="s">
        <v>6429</v>
      </c>
      <c r="C8855" s="196">
        <v>-7028000</v>
      </c>
      <c r="D8855" s="196">
        <v>0</v>
      </c>
      <c r="E8855" s="196">
        <v>0</v>
      </c>
      <c r="F8855" s="196">
        <v>0</v>
      </c>
      <c r="G8855" s="196">
        <v>-7028000</v>
      </c>
    </row>
    <row r="8856" spans="1:7" x14ac:dyDescent="0.3">
      <c r="A8856" s="198">
        <v>1042150125</v>
      </c>
      <c r="B8856" s="192" t="s">
        <v>6430</v>
      </c>
      <c r="C8856" s="196">
        <v>-963000</v>
      </c>
      <c r="D8856" s="196">
        <v>0</v>
      </c>
      <c r="E8856" s="196">
        <v>0</v>
      </c>
      <c r="F8856" s="196">
        <v>0</v>
      </c>
      <c r="G8856" s="196">
        <v>-963000</v>
      </c>
    </row>
    <row r="8857" spans="1:7" x14ac:dyDescent="0.3">
      <c r="A8857" s="198">
        <v>1035436811</v>
      </c>
      <c r="B8857" s="192" t="s">
        <v>3044</v>
      </c>
      <c r="C8857" s="196">
        <v>-6933200</v>
      </c>
      <c r="D8857" s="196">
        <v>0</v>
      </c>
      <c r="E8857" s="196">
        <v>0</v>
      </c>
      <c r="F8857" s="196">
        <v>0</v>
      </c>
      <c r="G8857" s="196">
        <v>-6933200</v>
      </c>
    </row>
    <row r="8858" spans="1:7" x14ac:dyDescent="0.3">
      <c r="A8858" s="198">
        <v>1020441245</v>
      </c>
      <c r="B8858" s="192" t="s">
        <v>6431</v>
      </c>
      <c r="C8858" s="196">
        <v>-860000</v>
      </c>
      <c r="D8858" s="196">
        <v>0</v>
      </c>
      <c r="E8858" s="196">
        <v>0</v>
      </c>
      <c r="F8858" s="196">
        <v>0</v>
      </c>
      <c r="G8858" s="196">
        <v>-860000</v>
      </c>
    </row>
    <row r="8859" spans="1:7" x14ac:dyDescent="0.3">
      <c r="A8859" s="198">
        <v>32207106</v>
      </c>
      <c r="B8859" s="192" t="s">
        <v>409</v>
      </c>
      <c r="C8859" s="196">
        <v>0</v>
      </c>
      <c r="D8859" s="196">
        <v>0</v>
      </c>
      <c r="E8859" s="196">
        <v>1870000</v>
      </c>
      <c r="F8859" s="196">
        <v>-1870000</v>
      </c>
      <c r="G8859" s="196">
        <v>-1870000</v>
      </c>
    </row>
    <row r="8860" spans="1:7" x14ac:dyDescent="0.3">
      <c r="A8860" s="198">
        <v>52387762</v>
      </c>
      <c r="B8860" s="192" t="s">
        <v>410</v>
      </c>
      <c r="C8860" s="196">
        <v>0</v>
      </c>
      <c r="D8860" s="196">
        <v>0</v>
      </c>
      <c r="E8860" s="196">
        <v>2580000</v>
      </c>
      <c r="F8860" s="196">
        <v>-2580000</v>
      </c>
      <c r="G8860" s="196">
        <v>-2580000</v>
      </c>
    </row>
    <row r="8861" spans="1:7" x14ac:dyDescent="0.3">
      <c r="A8861" s="198">
        <v>1037631491</v>
      </c>
      <c r="B8861" s="192" t="s">
        <v>6432</v>
      </c>
      <c r="C8861" s="196">
        <v>-963000</v>
      </c>
      <c r="D8861" s="196">
        <v>0</v>
      </c>
      <c r="E8861" s="196">
        <v>0</v>
      </c>
      <c r="F8861" s="196">
        <v>0</v>
      </c>
      <c r="G8861" s="196">
        <v>-963000</v>
      </c>
    </row>
    <row r="8862" spans="1:7" x14ac:dyDescent="0.3">
      <c r="A8862" s="198">
        <v>1035878979</v>
      </c>
      <c r="B8862" s="192" t="s">
        <v>6433</v>
      </c>
      <c r="C8862" s="196">
        <v>-963000</v>
      </c>
      <c r="D8862" s="196">
        <v>0</v>
      </c>
      <c r="E8862" s="196">
        <v>0</v>
      </c>
      <c r="F8862" s="196">
        <v>0</v>
      </c>
      <c r="G8862" s="196">
        <v>-963000</v>
      </c>
    </row>
    <row r="8863" spans="1:7" x14ac:dyDescent="0.3">
      <c r="A8863" s="198">
        <v>1035874062</v>
      </c>
      <c r="B8863" s="192" t="s">
        <v>6434</v>
      </c>
      <c r="C8863" s="196">
        <v>-963000</v>
      </c>
      <c r="D8863" s="196">
        <v>0</v>
      </c>
      <c r="E8863" s="196">
        <v>0</v>
      </c>
      <c r="F8863" s="196">
        <v>0</v>
      </c>
      <c r="G8863" s="196">
        <v>-963000</v>
      </c>
    </row>
    <row r="8864" spans="1:7" x14ac:dyDescent="0.3">
      <c r="A8864" s="198">
        <v>260988</v>
      </c>
      <c r="B8864" s="192" t="s">
        <v>6435</v>
      </c>
      <c r="C8864" s="196">
        <v>-2895000</v>
      </c>
      <c r="D8864" s="196">
        <v>0</v>
      </c>
      <c r="E8864" s="196">
        <v>0</v>
      </c>
      <c r="F8864" s="196">
        <v>0</v>
      </c>
      <c r="G8864" s="196">
        <v>-2895000</v>
      </c>
    </row>
    <row r="8865" spans="1:7" x14ac:dyDescent="0.3">
      <c r="A8865" s="192" t="s">
        <v>3067</v>
      </c>
      <c r="B8865" s="192" t="s">
        <v>3068</v>
      </c>
      <c r="C8865" s="196">
        <v>-2050000</v>
      </c>
      <c r="D8865" s="196">
        <v>0</v>
      </c>
      <c r="E8865" s="196">
        <v>0</v>
      </c>
      <c r="F8865" s="196">
        <v>0</v>
      </c>
      <c r="G8865" s="196">
        <v>-2050000</v>
      </c>
    </row>
    <row r="8866" spans="1:7" x14ac:dyDescent="0.3">
      <c r="A8866" s="198">
        <v>43085591</v>
      </c>
      <c r="B8866" s="192" t="s">
        <v>418</v>
      </c>
      <c r="C8866" s="196">
        <v>-800001</v>
      </c>
      <c r="D8866" s="196">
        <v>0</v>
      </c>
      <c r="E8866" s="196">
        <v>0</v>
      </c>
      <c r="F8866" s="196">
        <v>0</v>
      </c>
      <c r="G8866" s="196">
        <v>-800001</v>
      </c>
    </row>
    <row r="8867" spans="1:7" x14ac:dyDescent="0.3">
      <c r="A8867" s="198">
        <v>43740573</v>
      </c>
      <c r="B8867" s="192" t="s">
        <v>6436</v>
      </c>
      <c r="C8867" s="196">
        <v>-3722400</v>
      </c>
      <c r="D8867" s="196">
        <v>0</v>
      </c>
      <c r="E8867" s="196">
        <v>0</v>
      </c>
      <c r="F8867" s="196">
        <v>0</v>
      </c>
      <c r="G8867" s="196">
        <v>-3722400</v>
      </c>
    </row>
    <row r="8868" spans="1:7" x14ac:dyDescent="0.3">
      <c r="A8868" s="198">
        <v>32351888</v>
      </c>
      <c r="B8868" s="192" t="s">
        <v>420</v>
      </c>
      <c r="C8868" s="196">
        <v>0</v>
      </c>
      <c r="D8868" s="196">
        <v>0</v>
      </c>
      <c r="E8868" s="196">
        <v>3722400</v>
      </c>
      <c r="F8868" s="196">
        <v>-3722400</v>
      </c>
      <c r="G8868" s="196">
        <v>-3722400</v>
      </c>
    </row>
    <row r="8869" spans="1:7" x14ac:dyDescent="0.3">
      <c r="A8869" s="198">
        <v>1128417045</v>
      </c>
      <c r="B8869" s="192" t="s">
        <v>6437</v>
      </c>
      <c r="C8869" s="196">
        <v>-963000</v>
      </c>
      <c r="D8869" s="196">
        <v>0</v>
      </c>
      <c r="E8869" s="196">
        <v>0</v>
      </c>
      <c r="F8869" s="196">
        <v>0</v>
      </c>
      <c r="G8869" s="196">
        <v>-963000</v>
      </c>
    </row>
    <row r="8870" spans="1:7" x14ac:dyDescent="0.3">
      <c r="A8870" s="198">
        <v>1017201855</v>
      </c>
      <c r="B8870" s="192" t="s">
        <v>3080</v>
      </c>
      <c r="C8870" s="196">
        <v>-7445000</v>
      </c>
      <c r="D8870" s="196">
        <v>0</v>
      </c>
      <c r="E8870" s="196">
        <v>0</v>
      </c>
      <c r="F8870" s="196">
        <v>0</v>
      </c>
      <c r="G8870" s="196">
        <v>-7445000</v>
      </c>
    </row>
    <row r="8871" spans="1:7" x14ac:dyDescent="0.3">
      <c r="A8871" s="198">
        <v>71493047</v>
      </c>
      <c r="B8871" s="192" t="s">
        <v>3098</v>
      </c>
      <c r="C8871" s="196">
        <v>-7214200</v>
      </c>
      <c r="D8871" s="196">
        <v>0</v>
      </c>
      <c r="E8871" s="196">
        <v>0</v>
      </c>
      <c r="F8871" s="196">
        <v>0</v>
      </c>
      <c r="G8871" s="196">
        <v>-7214200</v>
      </c>
    </row>
    <row r="8872" spans="1:7" x14ac:dyDescent="0.3">
      <c r="A8872" s="198">
        <v>79236164</v>
      </c>
      <c r="B8872" s="192" t="s">
        <v>429</v>
      </c>
      <c r="C8872" s="196">
        <v>-57200</v>
      </c>
      <c r="D8872" s="196">
        <v>0</v>
      </c>
      <c r="E8872" s="196">
        <v>0</v>
      </c>
      <c r="F8872" s="196">
        <v>0</v>
      </c>
      <c r="G8872" s="196">
        <v>-57200</v>
      </c>
    </row>
    <row r="8873" spans="1:7" x14ac:dyDescent="0.3">
      <c r="A8873" s="198">
        <v>80231527</v>
      </c>
      <c r="B8873" s="192" t="s">
        <v>3103</v>
      </c>
      <c r="C8873" s="196">
        <v>-2725000</v>
      </c>
      <c r="D8873" s="196">
        <v>0</v>
      </c>
      <c r="E8873" s="196">
        <v>0</v>
      </c>
      <c r="F8873" s="196">
        <v>0</v>
      </c>
      <c r="G8873" s="196">
        <v>-2725000</v>
      </c>
    </row>
    <row r="8874" spans="1:7" x14ac:dyDescent="0.3">
      <c r="A8874" s="198">
        <v>1098760360</v>
      </c>
      <c r="B8874" s="192" t="s">
        <v>6438</v>
      </c>
      <c r="C8874" s="196">
        <v>-3000000</v>
      </c>
      <c r="D8874" s="196">
        <v>0</v>
      </c>
      <c r="E8874" s="196">
        <v>0</v>
      </c>
      <c r="F8874" s="196">
        <v>0</v>
      </c>
      <c r="G8874" s="196">
        <v>-3000000</v>
      </c>
    </row>
    <row r="8875" spans="1:7" x14ac:dyDescent="0.3">
      <c r="A8875" s="198">
        <v>1102851036</v>
      </c>
      <c r="B8875" s="192" t="s">
        <v>6439</v>
      </c>
      <c r="C8875" s="196">
        <v>-963000</v>
      </c>
      <c r="D8875" s="196">
        <v>0</v>
      </c>
      <c r="E8875" s="196">
        <v>0</v>
      </c>
      <c r="F8875" s="196">
        <v>0</v>
      </c>
      <c r="G8875" s="196">
        <v>-963000</v>
      </c>
    </row>
    <row r="8876" spans="1:7" x14ac:dyDescent="0.3">
      <c r="A8876" s="198">
        <v>678408825</v>
      </c>
      <c r="B8876" s="192" t="s">
        <v>2380</v>
      </c>
      <c r="C8876" s="196">
        <v>-114400</v>
      </c>
      <c r="D8876" s="196">
        <v>0</v>
      </c>
      <c r="E8876" s="196">
        <v>0</v>
      </c>
      <c r="F8876" s="196">
        <v>0</v>
      </c>
      <c r="G8876" s="196">
        <v>-114400</v>
      </c>
    </row>
    <row r="8877" spans="1:7" x14ac:dyDescent="0.3">
      <c r="A8877" s="198">
        <v>1020459390</v>
      </c>
      <c r="B8877" s="192" t="s">
        <v>431</v>
      </c>
      <c r="C8877" s="196">
        <v>0</v>
      </c>
      <c r="D8877" s="196">
        <v>0</v>
      </c>
      <c r="E8877" s="196">
        <v>963000</v>
      </c>
      <c r="F8877" s="196">
        <v>-963000</v>
      </c>
      <c r="G8877" s="196">
        <v>-963000</v>
      </c>
    </row>
    <row r="8878" spans="1:7" x14ac:dyDescent="0.3">
      <c r="A8878" s="198">
        <v>8140725</v>
      </c>
      <c r="B8878" s="192" t="s">
        <v>3108</v>
      </c>
      <c r="C8878" s="196">
        <v>-2000000</v>
      </c>
      <c r="D8878" s="196">
        <v>0</v>
      </c>
      <c r="E8878" s="196">
        <v>0</v>
      </c>
      <c r="F8878" s="196">
        <v>0</v>
      </c>
      <c r="G8878" s="196">
        <v>-2000000</v>
      </c>
    </row>
    <row r="8879" spans="1:7" x14ac:dyDescent="0.3">
      <c r="A8879" s="198">
        <v>900411816</v>
      </c>
      <c r="B8879" s="192" t="s">
        <v>6440</v>
      </c>
      <c r="C8879" s="196">
        <v>-3338000</v>
      </c>
      <c r="D8879" s="196">
        <v>0</v>
      </c>
      <c r="E8879" s="196">
        <v>0</v>
      </c>
      <c r="F8879" s="196">
        <v>0</v>
      </c>
      <c r="G8879" s="196">
        <v>-3338000</v>
      </c>
    </row>
    <row r="8880" spans="1:7" x14ac:dyDescent="0.3">
      <c r="A8880" s="198">
        <v>1020427003</v>
      </c>
      <c r="B8880" s="192" t="s">
        <v>6441</v>
      </c>
      <c r="C8880" s="196">
        <v>-963000</v>
      </c>
      <c r="D8880" s="196">
        <v>0</v>
      </c>
      <c r="E8880" s="196">
        <v>0</v>
      </c>
      <c r="F8880" s="196">
        <v>0</v>
      </c>
      <c r="G8880" s="196">
        <v>-963000</v>
      </c>
    </row>
    <row r="8881" spans="1:7" x14ac:dyDescent="0.3">
      <c r="A8881" s="198">
        <v>1001764389</v>
      </c>
      <c r="B8881" s="192" t="s">
        <v>433</v>
      </c>
      <c r="C8881" s="196">
        <v>0</v>
      </c>
      <c r="D8881" s="196">
        <v>0</v>
      </c>
      <c r="E8881" s="196">
        <v>3500000</v>
      </c>
      <c r="F8881" s="196">
        <v>-3500000</v>
      </c>
      <c r="G8881" s="196">
        <v>-3500000</v>
      </c>
    </row>
    <row r="8882" spans="1:7" x14ac:dyDescent="0.3">
      <c r="A8882" s="198">
        <v>32493581</v>
      </c>
      <c r="B8882" s="192" t="s">
        <v>3119</v>
      </c>
      <c r="C8882" s="196">
        <v>-255000</v>
      </c>
      <c r="D8882" s="196">
        <v>0</v>
      </c>
      <c r="E8882" s="196">
        <v>0</v>
      </c>
      <c r="F8882" s="196">
        <v>0</v>
      </c>
      <c r="G8882" s="196">
        <v>-255000</v>
      </c>
    </row>
    <row r="8883" spans="1:7" x14ac:dyDescent="0.3">
      <c r="A8883" s="198">
        <v>43574325</v>
      </c>
      <c r="B8883" s="192" t="s">
        <v>6442</v>
      </c>
      <c r="C8883" s="196">
        <v>-683000</v>
      </c>
      <c r="D8883" s="196">
        <v>0</v>
      </c>
      <c r="E8883" s="196">
        <v>0</v>
      </c>
      <c r="F8883" s="196">
        <v>0</v>
      </c>
      <c r="G8883" s="196">
        <v>-683000</v>
      </c>
    </row>
    <row r="8884" spans="1:7" x14ac:dyDescent="0.3">
      <c r="A8884" s="198">
        <v>42883035</v>
      </c>
      <c r="B8884" s="192" t="s">
        <v>6443</v>
      </c>
      <c r="C8884" s="196">
        <v>-12127800</v>
      </c>
      <c r="D8884" s="196">
        <v>0</v>
      </c>
      <c r="E8884" s="196">
        <v>0</v>
      </c>
      <c r="F8884" s="196">
        <v>0</v>
      </c>
      <c r="G8884" s="196">
        <v>-12127800</v>
      </c>
    </row>
    <row r="8885" spans="1:7" x14ac:dyDescent="0.3">
      <c r="A8885" s="198">
        <v>32351307</v>
      </c>
      <c r="B8885" s="192" t="s">
        <v>442</v>
      </c>
      <c r="C8885" s="196">
        <v>0</v>
      </c>
      <c r="D8885" s="196">
        <v>0</v>
      </c>
      <c r="E8885" s="196">
        <v>173400</v>
      </c>
      <c r="F8885" s="196">
        <v>-173400</v>
      </c>
      <c r="G8885" s="196">
        <v>-173400</v>
      </c>
    </row>
    <row r="8886" spans="1:7" x14ac:dyDescent="0.3">
      <c r="A8886" s="198">
        <v>43735606</v>
      </c>
      <c r="B8886" s="192" t="s">
        <v>443</v>
      </c>
      <c r="C8886" s="196">
        <v>-12533500</v>
      </c>
      <c r="D8886" s="196">
        <v>0</v>
      </c>
      <c r="E8886" s="196">
        <v>0</v>
      </c>
      <c r="F8886" s="196">
        <v>0</v>
      </c>
      <c r="G8886" s="196">
        <v>-12533500</v>
      </c>
    </row>
    <row r="8887" spans="1:7" x14ac:dyDescent="0.3">
      <c r="A8887" s="198">
        <v>1020415217</v>
      </c>
      <c r="B8887" s="192" t="s">
        <v>3139</v>
      </c>
      <c r="C8887" s="196">
        <v>-4210000</v>
      </c>
      <c r="D8887" s="196">
        <v>0</v>
      </c>
      <c r="E8887" s="196">
        <v>0</v>
      </c>
      <c r="F8887" s="196">
        <v>0</v>
      </c>
      <c r="G8887" s="196">
        <v>-4210000</v>
      </c>
    </row>
    <row r="8888" spans="1:7" x14ac:dyDescent="0.3">
      <c r="A8888" s="198">
        <v>43663534</v>
      </c>
      <c r="B8888" s="192" t="s">
        <v>6444</v>
      </c>
      <c r="C8888" s="196">
        <v>-4133000</v>
      </c>
      <c r="D8888" s="196">
        <v>0</v>
      </c>
      <c r="E8888" s="196">
        <v>0</v>
      </c>
      <c r="F8888" s="196">
        <v>0</v>
      </c>
      <c r="G8888" s="196">
        <v>-4133000</v>
      </c>
    </row>
    <row r="8889" spans="1:7" x14ac:dyDescent="0.3">
      <c r="A8889" s="198">
        <v>21466861</v>
      </c>
      <c r="B8889" s="192" t="s">
        <v>6445</v>
      </c>
      <c r="C8889" s="196">
        <v>-14133000</v>
      </c>
      <c r="D8889" s="196">
        <v>0</v>
      </c>
      <c r="E8889" s="196">
        <v>0</v>
      </c>
      <c r="F8889" s="196">
        <v>0</v>
      </c>
      <c r="G8889" s="196">
        <v>-14133000</v>
      </c>
    </row>
    <row r="8890" spans="1:7" x14ac:dyDescent="0.3">
      <c r="A8890" s="198">
        <v>1022123508</v>
      </c>
      <c r="B8890" s="192" t="s">
        <v>6446</v>
      </c>
      <c r="C8890" s="196">
        <v>-795000</v>
      </c>
      <c r="D8890" s="196">
        <v>0</v>
      </c>
      <c r="E8890" s="196">
        <v>0</v>
      </c>
      <c r="F8890" s="196">
        <v>0</v>
      </c>
      <c r="G8890" s="196">
        <v>-795000</v>
      </c>
    </row>
    <row r="8891" spans="1:7" x14ac:dyDescent="0.3">
      <c r="A8891" s="198">
        <v>32291904</v>
      </c>
      <c r="B8891" s="192" t="s">
        <v>447</v>
      </c>
      <c r="C8891" s="196">
        <v>0</v>
      </c>
      <c r="D8891" s="196">
        <v>0</v>
      </c>
      <c r="E8891" s="196">
        <v>963000</v>
      </c>
      <c r="F8891" s="196">
        <v>-963000</v>
      </c>
      <c r="G8891" s="196">
        <v>-963000</v>
      </c>
    </row>
    <row r="8892" spans="1:7" x14ac:dyDescent="0.3">
      <c r="A8892" s="198">
        <v>52274750</v>
      </c>
      <c r="B8892" s="192" t="s">
        <v>3148</v>
      </c>
      <c r="C8892" s="196">
        <v>-8030000</v>
      </c>
      <c r="D8892" s="196">
        <v>0</v>
      </c>
      <c r="E8892" s="196">
        <v>0</v>
      </c>
      <c r="F8892" s="196">
        <v>0</v>
      </c>
      <c r="G8892" s="196">
        <v>-8030000</v>
      </c>
    </row>
    <row r="8893" spans="1:7" x14ac:dyDescent="0.3">
      <c r="A8893" s="198">
        <v>30320179</v>
      </c>
      <c r="B8893" s="192" t="s">
        <v>6447</v>
      </c>
      <c r="C8893" s="196">
        <v>-2980000</v>
      </c>
      <c r="D8893" s="196">
        <v>0</v>
      </c>
      <c r="E8893" s="196">
        <v>0</v>
      </c>
      <c r="F8893" s="196">
        <v>0</v>
      </c>
      <c r="G8893" s="196">
        <v>-2980000</v>
      </c>
    </row>
    <row r="8894" spans="1:7" x14ac:dyDescent="0.3">
      <c r="A8894" s="198">
        <v>42789754</v>
      </c>
      <c r="B8894" s="192" t="s">
        <v>6448</v>
      </c>
      <c r="C8894" s="196">
        <v>-963000</v>
      </c>
      <c r="D8894" s="196">
        <v>0</v>
      </c>
      <c r="E8894" s="196">
        <v>0</v>
      </c>
      <c r="F8894" s="196">
        <v>0</v>
      </c>
      <c r="G8894" s="196">
        <v>-963000</v>
      </c>
    </row>
    <row r="8895" spans="1:7" x14ac:dyDescent="0.3">
      <c r="A8895" s="198">
        <v>39786587</v>
      </c>
      <c r="B8895" s="192" t="s">
        <v>6449</v>
      </c>
      <c r="C8895" s="196">
        <v>-4162000</v>
      </c>
      <c r="D8895" s="196">
        <v>0</v>
      </c>
      <c r="E8895" s="196">
        <v>0</v>
      </c>
      <c r="F8895" s="196">
        <v>0</v>
      </c>
      <c r="G8895" s="196">
        <v>-4162000</v>
      </c>
    </row>
    <row r="8896" spans="1:7" x14ac:dyDescent="0.3">
      <c r="A8896" s="198">
        <v>43524347</v>
      </c>
      <c r="B8896" s="192" t="s">
        <v>6450</v>
      </c>
      <c r="C8896" s="196">
        <v>-53500</v>
      </c>
      <c r="D8896" s="196">
        <v>0</v>
      </c>
      <c r="E8896" s="196">
        <v>0</v>
      </c>
      <c r="F8896" s="196">
        <v>0</v>
      </c>
      <c r="G8896" s="196">
        <v>-53500</v>
      </c>
    </row>
    <row r="8897" spans="1:7" x14ac:dyDescent="0.3">
      <c r="A8897" s="198">
        <v>1192746112</v>
      </c>
      <c r="B8897" s="192" t="s">
        <v>452</v>
      </c>
      <c r="C8897" s="196">
        <v>0</v>
      </c>
      <c r="D8897" s="196">
        <v>0</v>
      </c>
      <c r="E8897" s="196">
        <v>963000</v>
      </c>
      <c r="F8897" s="196">
        <v>-963000</v>
      </c>
      <c r="G8897" s="196">
        <v>-963000</v>
      </c>
    </row>
    <row r="8898" spans="1:7" x14ac:dyDescent="0.3">
      <c r="A8898" s="198">
        <v>800106339</v>
      </c>
      <c r="B8898" s="192" t="s">
        <v>454</v>
      </c>
      <c r="C8898" s="196">
        <v>-39500140</v>
      </c>
      <c r="D8898" s="196">
        <v>0</v>
      </c>
      <c r="E8898" s="196">
        <v>4502110</v>
      </c>
      <c r="F8898" s="196">
        <v>-4502110</v>
      </c>
      <c r="G8898" s="196">
        <v>-44002250</v>
      </c>
    </row>
    <row r="8899" spans="1:7" x14ac:dyDescent="0.3">
      <c r="A8899" s="198">
        <v>860002503</v>
      </c>
      <c r="B8899" s="192" t="s">
        <v>455</v>
      </c>
      <c r="C8899" s="196">
        <v>-31971531</v>
      </c>
      <c r="D8899" s="196">
        <v>0</v>
      </c>
      <c r="E8899" s="196">
        <v>30971404</v>
      </c>
      <c r="F8899" s="196">
        <v>-30971404</v>
      </c>
      <c r="G8899" s="196">
        <v>-62942935</v>
      </c>
    </row>
    <row r="8900" spans="1:7" x14ac:dyDescent="0.3">
      <c r="A8900" s="198">
        <v>42870338</v>
      </c>
      <c r="B8900" s="192" t="s">
        <v>458</v>
      </c>
      <c r="C8900" s="196">
        <v>0</v>
      </c>
      <c r="D8900" s="196">
        <v>0</v>
      </c>
      <c r="E8900" s="196">
        <v>396000</v>
      </c>
      <c r="F8900" s="196">
        <v>-396000</v>
      </c>
      <c r="G8900" s="196">
        <v>-396000</v>
      </c>
    </row>
    <row r="8901" spans="1:7" x14ac:dyDescent="0.3">
      <c r="A8901" s="198">
        <v>900901490</v>
      </c>
      <c r="B8901" s="192" t="s">
        <v>459</v>
      </c>
      <c r="C8901" s="196">
        <v>-13133000</v>
      </c>
      <c r="D8901" s="196">
        <v>0</v>
      </c>
      <c r="E8901" s="196">
        <v>0</v>
      </c>
      <c r="F8901" s="196">
        <v>0</v>
      </c>
      <c r="G8901" s="196">
        <v>-13133000</v>
      </c>
    </row>
    <row r="8902" spans="1:7" x14ac:dyDescent="0.3">
      <c r="A8902" s="198">
        <v>21875872</v>
      </c>
      <c r="B8902" s="192" t="s">
        <v>6451</v>
      </c>
      <c r="C8902" s="196">
        <v>-396000</v>
      </c>
      <c r="D8902" s="196">
        <v>0</v>
      </c>
      <c r="E8902" s="196">
        <v>0</v>
      </c>
      <c r="F8902" s="196">
        <v>0</v>
      </c>
      <c r="G8902" s="196">
        <v>-396000</v>
      </c>
    </row>
    <row r="8903" spans="1:7" x14ac:dyDescent="0.3">
      <c r="A8903" s="198">
        <v>805009741</v>
      </c>
      <c r="B8903" s="192" t="s">
        <v>461</v>
      </c>
      <c r="C8903" s="196">
        <v>-219285373</v>
      </c>
      <c r="D8903" s="196">
        <v>57200</v>
      </c>
      <c r="E8903" s="196">
        <v>35563045</v>
      </c>
      <c r="F8903" s="196">
        <v>-35505845</v>
      </c>
      <c r="G8903" s="196">
        <v>-254791218</v>
      </c>
    </row>
    <row r="8904" spans="1:7" x14ac:dyDescent="0.3">
      <c r="A8904" s="192" t="s">
        <v>3166</v>
      </c>
      <c r="B8904" s="192" t="s">
        <v>3167</v>
      </c>
      <c r="C8904" s="196">
        <v>-3978000</v>
      </c>
      <c r="D8904" s="196">
        <v>0</v>
      </c>
      <c r="E8904" s="196">
        <v>0</v>
      </c>
      <c r="F8904" s="196">
        <v>0</v>
      </c>
      <c r="G8904" s="196">
        <v>-3978000</v>
      </c>
    </row>
    <row r="8905" spans="1:7" x14ac:dyDescent="0.3">
      <c r="A8905" s="198">
        <v>1090470937</v>
      </c>
      <c r="B8905" s="192" t="s">
        <v>3168</v>
      </c>
      <c r="C8905" s="196">
        <v>-1350000</v>
      </c>
      <c r="D8905" s="196">
        <v>0</v>
      </c>
      <c r="E8905" s="196">
        <v>0</v>
      </c>
      <c r="F8905" s="196">
        <v>0</v>
      </c>
      <c r="G8905" s="196">
        <v>-1350000</v>
      </c>
    </row>
    <row r="8906" spans="1:7" x14ac:dyDescent="0.3">
      <c r="A8906" s="198">
        <v>1046910676</v>
      </c>
      <c r="B8906" s="192" t="s">
        <v>3169</v>
      </c>
      <c r="C8906" s="196">
        <v>-4433200</v>
      </c>
      <c r="D8906" s="196">
        <v>0</v>
      </c>
      <c r="E8906" s="196">
        <v>0</v>
      </c>
      <c r="F8906" s="196">
        <v>0</v>
      </c>
      <c r="G8906" s="196">
        <v>-4433200</v>
      </c>
    </row>
    <row r="8907" spans="1:7" x14ac:dyDescent="0.3">
      <c r="A8907" s="198">
        <v>1053825950</v>
      </c>
      <c r="B8907" s="192" t="s">
        <v>462</v>
      </c>
      <c r="C8907" s="196">
        <v>0</v>
      </c>
      <c r="D8907" s="196">
        <v>0</v>
      </c>
      <c r="E8907" s="196">
        <v>2710000</v>
      </c>
      <c r="F8907" s="196">
        <v>-2710000</v>
      </c>
      <c r="G8907" s="196">
        <v>-2710000</v>
      </c>
    </row>
    <row r="8908" spans="1:7" x14ac:dyDescent="0.3">
      <c r="A8908" s="198">
        <v>1035417737</v>
      </c>
      <c r="B8908" s="192" t="s">
        <v>6452</v>
      </c>
      <c r="C8908" s="196">
        <v>-860000</v>
      </c>
      <c r="D8908" s="196">
        <v>0</v>
      </c>
      <c r="E8908" s="196">
        <v>0</v>
      </c>
      <c r="F8908" s="196">
        <v>0</v>
      </c>
      <c r="G8908" s="196">
        <v>-860000</v>
      </c>
    </row>
    <row r="8909" spans="1:7" x14ac:dyDescent="0.3">
      <c r="A8909" s="198">
        <v>8028422</v>
      </c>
      <c r="B8909" s="192" t="s">
        <v>463</v>
      </c>
      <c r="C8909" s="196">
        <v>0</v>
      </c>
      <c r="D8909" s="196">
        <v>0</v>
      </c>
      <c r="E8909" s="196">
        <v>100000</v>
      </c>
      <c r="F8909" s="196">
        <v>-100000</v>
      </c>
      <c r="G8909" s="196">
        <v>-100000</v>
      </c>
    </row>
    <row r="8910" spans="1:7" x14ac:dyDescent="0.3">
      <c r="A8910" s="198">
        <v>1125642287</v>
      </c>
      <c r="B8910" s="192" t="s">
        <v>464</v>
      </c>
      <c r="C8910" s="196">
        <v>-3900000</v>
      </c>
      <c r="D8910" s="196">
        <v>0</v>
      </c>
      <c r="E8910" s="196">
        <v>0</v>
      </c>
      <c r="F8910" s="196">
        <v>0</v>
      </c>
      <c r="G8910" s="196">
        <v>-3900000</v>
      </c>
    </row>
    <row r="8911" spans="1:7" x14ac:dyDescent="0.3">
      <c r="A8911" s="198">
        <v>1017258958</v>
      </c>
      <c r="B8911" s="192" t="s">
        <v>465</v>
      </c>
      <c r="C8911" s="196">
        <v>0</v>
      </c>
      <c r="D8911" s="196">
        <v>0</v>
      </c>
      <c r="E8911" s="196">
        <v>963000</v>
      </c>
      <c r="F8911" s="196">
        <v>-963000</v>
      </c>
      <c r="G8911" s="196">
        <v>-963000</v>
      </c>
    </row>
    <row r="8912" spans="1:7" x14ac:dyDescent="0.3">
      <c r="A8912" s="198">
        <v>1040321268</v>
      </c>
      <c r="B8912" s="192" t="s">
        <v>3172</v>
      </c>
      <c r="C8912" s="196">
        <v>-3000000</v>
      </c>
      <c r="D8912" s="196">
        <v>0</v>
      </c>
      <c r="E8912" s="196">
        <v>0</v>
      </c>
      <c r="F8912" s="196">
        <v>0</v>
      </c>
      <c r="G8912" s="196">
        <v>-3000000</v>
      </c>
    </row>
    <row r="8913" spans="1:7" x14ac:dyDescent="0.3">
      <c r="A8913" s="198">
        <v>71607242</v>
      </c>
      <c r="B8913" s="192" t="s">
        <v>466</v>
      </c>
      <c r="C8913" s="196">
        <v>-4538002</v>
      </c>
      <c r="D8913" s="196">
        <v>0</v>
      </c>
      <c r="E8913" s="196">
        <v>0</v>
      </c>
      <c r="F8913" s="196">
        <v>0</v>
      </c>
      <c r="G8913" s="196">
        <v>-4538002</v>
      </c>
    </row>
    <row r="8914" spans="1:7" x14ac:dyDescent="0.3">
      <c r="A8914" s="198">
        <v>1036951717</v>
      </c>
      <c r="B8914" s="192" t="s">
        <v>6453</v>
      </c>
      <c r="C8914" s="196">
        <v>-963000</v>
      </c>
      <c r="D8914" s="196">
        <v>0</v>
      </c>
      <c r="E8914" s="196">
        <v>0</v>
      </c>
      <c r="F8914" s="196">
        <v>0</v>
      </c>
      <c r="G8914" s="196">
        <v>-963000</v>
      </c>
    </row>
    <row r="8915" spans="1:7" x14ac:dyDescent="0.3">
      <c r="A8915" s="198">
        <v>1014294875</v>
      </c>
      <c r="B8915" s="192" t="s">
        <v>6454</v>
      </c>
      <c r="C8915" s="196">
        <v>-963000</v>
      </c>
      <c r="D8915" s="196">
        <v>0</v>
      </c>
      <c r="E8915" s="196">
        <v>0</v>
      </c>
      <c r="F8915" s="196">
        <v>0</v>
      </c>
      <c r="G8915" s="196">
        <v>-963000</v>
      </c>
    </row>
    <row r="8916" spans="1:7" x14ac:dyDescent="0.3">
      <c r="A8916" s="198">
        <v>1035831446</v>
      </c>
      <c r="B8916" s="192" t="s">
        <v>6455</v>
      </c>
      <c r="C8916" s="196">
        <v>-963000</v>
      </c>
      <c r="D8916" s="196">
        <v>0</v>
      </c>
      <c r="E8916" s="196">
        <v>0</v>
      </c>
      <c r="F8916" s="196">
        <v>0</v>
      </c>
      <c r="G8916" s="196">
        <v>-963000</v>
      </c>
    </row>
    <row r="8917" spans="1:7" x14ac:dyDescent="0.3">
      <c r="A8917" s="198">
        <v>33992271</v>
      </c>
      <c r="B8917" s="192" t="s">
        <v>6456</v>
      </c>
      <c r="C8917" s="196">
        <v>-1870000</v>
      </c>
      <c r="D8917" s="196">
        <v>0</v>
      </c>
      <c r="E8917" s="196">
        <v>0</v>
      </c>
      <c r="F8917" s="196">
        <v>0</v>
      </c>
      <c r="G8917" s="196">
        <v>-1870000</v>
      </c>
    </row>
    <row r="8918" spans="1:7" x14ac:dyDescent="0.3">
      <c r="A8918" s="198">
        <v>71797734</v>
      </c>
      <c r="B8918" s="192" t="s">
        <v>6457</v>
      </c>
      <c r="C8918" s="196">
        <v>-963000</v>
      </c>
      <c r="D8918" s="196">
        <v>0</v>
      </c>
      <c r="E8918" s="196">
        <v>0</v>
      </c>
      <c r="F8918" s="196">
        <v>0</v>
      </c>
      <c r="G8918" s="196">
        <v>-963000</v>
      </c>
    </row>
    <row r="8919" spans="1:7" x14ac:dyDescent="0.3">
      <c r="A8919" s="198">
        <v>41581574</v>
      </c>
      <c r="B8919" s="192" t="s">
        <v>6458</v>
      </c>
      <c r="C8919" s="196">
        <v>-4133000</v>
      </c>
      <c r="D8919" s="196">
        <v>0</v>
      </c>
      <c r="E8919" s="196">
        <v>0</v>
      </c>
      <c r="F8919" s="196">
        <v>0</v>
      </c>
      <c r="G8919" s="196">
        <v>-4133000</v>
      </c>
    </row>
    <row r="8920" spans="1:7" x14ac:dyDescent="0.3">
      <c r="A8920" s="198">
        <v>43428288</v>
      </c>
      <c r="B8920" s="192" t="s">
        <v>469</v>
      </c>
      <c r="C8920" s="196">
        <v>0</v>
      </c>
      <c r="D8920" s="196">
        <v>0</v>
      </c>
      <c r="E8920" s="196">
        <v>1733400</v>
      </c>
      <c r="F8920" s="196">
        <v>-1733400</v>
      </c>
      <c r="G8920" s="196">
        <v>-1733400</v>
      </c>
    </row>
    <row r="8921" spans="1:7" x14ac:dyDescent="0.3">
      <c r="A8921" s="198">
        <v>3399066</v>
      </c>
      <c r="B8921" s="192" t="s">
        <v>471</v>
      </c>
      <c r="C8921" s="196">
        <v>0</v>
      </c>
      <c r="D8921" s="196">
        <v>0</v>
      </c>
      <c r="E8921" s="196">
        <v>6100000</v>
      </c>
      <c r="F8921" s="196">
        <v>-6100000</v>
      </c>
      <c r="G8921" s="196">
        <v>-6100000</v>
      </c>
    </row>
    <row r="8922" spans="1:7" x14ac:dyDescent="0.3">
      <c r="A8922" s="198">
        <v>535719382</v>
      </c>
      <c r="B8922" s="192" t="s">
        <v>472</v>
      </c>
      <c r="C8922" s="196">
        <v>-4162000</v>
      </c>
      <c r="D8922" s="196">
        <v>0</v>
      </c>
      <c r="E8922" s="196">
        <v>0</v>
      </c>
      <c r="F8922" s="196">
        <v>0</v>
      </c>
      <c r="G8922" s="196">
        <v>-4162000</v>
      </c>
    </row>
    <row r="8923" spans="1:7" x14ac:dyDescent="0.3">
      <c r="A8923" s="198">
        <v>1038766107</v>
      </c>
      <c r="B8923" s="192" t="s">
        <v>6459</v>
      </c>
      <c r="C8923" s="196">
        <v>-860000</v>
      </c>
      <c r="D8923" s="196">
        <v>0</v>
      </c>
      <c r="E8923" s="196">
        <v>0</v>
      </c>
      <c r="F8923" s="196">
        <v>0</v>
      </c>
      <c r="G8923" s="196">
        <v>-860000</v>
      </c>
    </row>
    <row r="8924" spans="1:7" x14ac:dyDescent="0.3">
      <c r="A8924" s="198">
        <v>1036668894</v>
      </c>
      <c r="B8924" s="192" t="s">
        <v>6460</v>
      </c>
      <c r="C8924" s="196">
        <v>-963000</v>
      </c>
      <c r="D8924" s="196">
        <v>0</v>
      </c>
      <c r="E8924" s="196">
        <v>0</v>
      </c>
      <c r="F8924" s="196">
        <v>0</v>
      </c>
      <c r="G8924" s="196">
        <v>-963000</v>
      </c>
    </row>
    <row r="8925" spans="1:7" x14ac:dyDescent="0.3">
      <c r="A8925" s="198">
        <v>1088271062</v>
      </c>
      <c r="B8925" s="192" t="s">
        <v>473</v>
      </c>
      <c r="C8925" s="196">
        <v>0</v>
      </c>
      <c r="D8925" s="196">
        <v>0</v>
      </c>
      <c r="E8925" s="196">
        <v>3432000</v>
      </c>
      <c r="F8925" s="196">
        <v>-3432000</v>
      </c>
      <c r="G8925" s="196">
        <v>-3432000</v>
      </c>
    </row>
    <row r="8926" spans="1:7" x14ac:dyDescent="0.3">
      <c r="A8926" s="198">
        <v>1025880248</v>
      </c>
      <c r="B8926" s="192" t="s">
        <v>6461</v>
      </c>
      <c r="C8926" s="196">
        <v>-3500000</v>
      </c>
      <c r="D8926" s="196">
        <v>0</v>
      </c>
      <c r="E8926" s="196">
        <v>0</v>
      </c>
      <c r="F8926" s="196">
        <v>0</v>
      </c>
      <c r="G8926" s="196">
        <v>-3500000</v>
      </c>
    </row>
    <row r="8927" spans="1:7" x14ac:dyDescent="0.3">
      <c r="A8927" s="198">
        <v>1037974542</v>
      </c>
      <c r="B8927" s="192" t="s">
        <v>6462</v>
      </c>
      <c r="C8927" s="196">
        <v>-860000</v>
      </c>
      <c r="D8927" s="196">
        <v>0</v>
      </c>
      <c r="E8927" s="196">
        <v>0</v>
      </c>
      <c r="F8927" s="196">
        <v>0</v>
      </c>
      <c r="G8927" s="196">
        <v>-860000</v>
      </c>
    </row>
    <row r="8928" spans="1:7" x14ac:dyDescent="0.3">
      <c r="A8928" s="198">
        <v>1102801847</v>
      </c>
      <c r="B8928" s="192" t="s">
        <v>6463</v>
      </c>
      <c r="C8928" s="196">
        <v>-3500000</v>
      </c>
      <c r="D8928" s="196">
        <v>0</v>
      </c>
      <c r="E8928" s="196">
        <v>0</v>
      </c>
      <c r="F8928" s="196">
        <v>0</v>
      </c>
      <c r="G8928" s="196">
        <v>-3500000</v>
      </c>
    </row>
    <row r="8929" spans="1:7" x14ac:dyDescent="0.3">
      <c r="A8929" s="198">
        <v>38940183</v>
      </c>
      <c r="B8929" s="192" t="s">
        <v>3186</v>
      </c>
      <c r="C8929" s="196">
        <v>-9080000</v>
      </c>
      <c r="D8929" s="196">
        <v>0</v>
      </c>
      <c r="E8929" s="196">
        <v>0</v>
      </c>
      <c r="F8929" s="196">
        <v>0</v>
      </c>
      <c r="G8929" s="196">
        <v>-9080000</v>
      </c>
    </row>
    <row r="8930" spans="1:7" x14ac:dyDescent="0.3">
      <c r="A8930" s="198">
        <v>1125794676</v>
      </c>
      <c r="B8930" s="192" t="s">
        <v>6464</v>
      </c>
      <c r="C8930" s="196">
        <v>-860000</v>
      </c>
      <c r="D8930" s="196">
        <v>0</v>
      </c>
      <c r="E8930" s="196">
        <v>0</v>
      </c>
      <c r="F8930" s="196">
        <v>0</v>
      </c>
      <c r="G8930" s="196">
        <v>-860000</v>
      </c>
    </row>
    <row r="8931" spans="1:7" x14ac:dyDescent="0.3">
      <c r="A8931" s="198">
        <v>1020445027</v>
      </c>
      <c r="B8931" s="192" t="s">
        <v>6465</v>
      </c>
      <c r="C8931" s="196">
        <v>-963000</v>
      </c>
      <c r="D8931" s="196">
        <v>0</v>
      </c>
      <c r="E8931" s="196">
        <v>0</v>
      </c>
      <c r="F8931" s="196">
        <v>0</v>
      </c>
      <c r="G8931" s="196">
        <v>-963000</v>
      </c>
    </row>
    <row r="8932" spans="1:7" x14ac:dyDescent="0.3">
      <c r="A8932" s="198">
        <v>1003038671</v>
      </c>
      <c r="B8932" s="192" t="s">
        <v>6466</v>
      </c>
      <c r="C8932" s="196">
        <v>-963000</v>
      </c>
      <c r="D8932" s="196">
        <v>0</v>
      </c>
      <c r="E8932" s="196">
        <v>0</v>
      </c>
      <c r="F8932" s="196">
        <v>0</v>
      </c>
      <c r="G8932" s="196">
        <v>-963000</v>
      </c>
    </row>
    <row r="8933" spans="1:7" x14ac:dyDescent="0.3">
      <c r="A8933" s="198">
        <v>1069748792</v>
      </c>
      <c r="B8933" s="192" t="s">
        <v>6467</v>
      </c>
      <c r="C8933" s="196">
        <v>-6210000</v>
      </c>
      <c r="D8933" s="196">
        <v>0</v>
      </c>
      <c r="E8933" s="196">
        <v>0</v>
      </c>
      <c r="F8933" s="196">
        <v>0</v>
      </c>
      <c r="G8933" s="196">
        <v>-6210000</v>
      </c>
    </row>
    <row r="8934" spans="1:7" x14ac:dyDescent="0.3">
      <c r="A8934" s="198">
        <v>71275832</v>
      </c>
      <c r="B8934" s="192" t="s">
        <v>3193</v>
      </c>
      <c r="C8934" s="196">
        <v>-9080000</v>
      </c>
      <c r="D8934" s="196">
        <v>0</v>
      </c>
      <c r="E8934" s="196">
        <v>0</v>
      </c>
      <c r="F8934" s="196">
        <v>0</v>
      </c>
      <c r="G8934" s="196">
        <v>-9080000</v>
      </c>
    </row>
    <row r="8935" spans="1:7" x14ac:dyDescent="0.3">
      <c r="A8935" s="192" t="s">
        <v>2381</v>
      </c>
      <c r="B8935" s="192" t="s">
        <v>2382</v>
      </c>
      <c r="C8935" s="196">
        <v>-3000000</v>
      </c>
      <c r="D8935" s="196">
        <v>0</v>
      </c>
      <c r="E8935" s="196">
        <v>0</v>
      </c>
      <c r="F8935" s="196">
        <v>0</v>
      </c>
      <c r="G8935" s="196">
        <v>-3000000</v>
      </c>
    </row>
    <row r="8936" spans="1:7" x14ac:dyDescent="0.3">
      <c r="A8936" s="198">
        <v>1001234040</v>
      </c>
      <c r="B8936" s="192" t="s">
        <v>6468</v>
      </c>
      <c r="C8936" s="196">
        <v>-860000</v>
      </c>
      <c r="D8936" s="196">
        <v>0</v>
      </c>
      <c r="E8936" s="196">
        <v>0</v>
      </c>
      <c r="F8936" s="196">
        <v>0</v>
      </c>
      <c r="G8936" s="196">
        <v>-860000</v>
      </c>
    </row>
    <row r="8937" spans="1:7" x14ac:dyDescent="0.3">
      <c r="A8937" s="198">
        <v>1037123008</v>
      </c>
      <c r="B8937" s="192" t="s">
        <v>6469</v>
      </c>
      <c r="C8937" s="196">
        <v>-1400000</v>
      </c>
      <c r="D8937" s="196">
        <v>0</v>
      </c>
      <c r="E8937" s="196">
        <v>0</v>
      </c>
      <c r="F8937" s="196">
        <v>0</v>
      </c>
      <c r="G8937" s="196">
        <v>-1400000</v>
      </c>
    </row>
    <row r="8938" spans="1:7" x14ac:dyDescent="0.3">
      <c r="A8938" s="198">
        <v>98668732</v>
      </c>
      <c r="B8938" s="192" t="s">
        <v>6470</v>
      </c>
      <c r="C8938" s="196">
        <v>-50000</v>
      </c>
      <c r="D8938" s="196">
        <v>0</v>
      </c>
      <c r="E8938" s="196">
        <v>0</v>
      </c>
      <c r="F8938" s="196">
        <v>0</v>
      </c>
      <c r="G8938" s="196">
        <v>-50000</v>
      </c>
    </row>
    <row r="8939" spans="1:7" x14ac:dyDescent="0.3">
      <c r="A8939" s="198">
        <v>1000162609</v>
      </c>
      <c r="B8939" s="192" t="s">
        <v>6471</v>
      </c>
      <c r="C8939" s="196">
        <v>-860000</v>
      </c>
      <c r="D8939" s="196">
        <v>0</v>
      </c>
      <c r="E8939" s="196">
        <v>0</v>
      </c>
      <c r="F8939" s="196">
        <v>0</v>
      </c>
      <c r="G8939" s="196">
        <v>-860000</v>
      </c>
    </row>
    <row r="8940" spans="1:7" x14ac:dyDescent="0.3">
      <c r="A8940" s="198">
        <v>1036686862</v>
      </c>
      <c r="B8940" s="192" t="s">
        <v>3201</v>
      </c>
      <c r="C8940" s="196">
        <v>-3310000</v>
      </c>
      <c r="D8940" s="196">
        <v>0</v>
      </c>
      <c r="E8940" s="196">
        <v>0</v>
      </c>
      <c r="F8940" s="196">
        <v>0</v>
      </c>
      <c r="G8940" s="196">
        <v>-3310000</v>
      </c>
    </row>
    <row r="8941" spans="1:7" x14ac:dyDescent="0.3">
      <c r="A8941" s="192" t="s">
        <v>3207</v>
      </c>
      <c r="B8941" s="192" t="s">
        <v>3208</v>
      </c>
      <c r="C8941" s="196">
        <v>-1000000</v>
      </c>
      <c r="D8941" s="196">
        <v>0</v>
      </c>
      <c r="E8941" s="196">
        <v>0</v>
      </c>
      <c r="F8941" s="196">
        <v>0</v>
      </c>
      <c r="G8941" s="196">
        <v>-1000000</v>
      </c>
    </row>
    <row r="8942" spans="1:7" x14ac:dyDescent="0.3">
      <c r="A8942" s="198">
        <v>1036598022</v>
      </c>
      <c r="B8942" s="192" t="s">
        <v>6472</v>
      </c>
      <c r="C8942" s="196">
        <v>-963000</v>
      </c>
      <c r="D8942" s="196">
        <v>0</v>
      </c>
      <c r="E8942" s="196">
        <v>0</v>
      </c>
      <c r="F8942" s="196">
        <v>0</v>
      </c>
      <c r="G8942" s="196">
        <v>-963000</v>
      </c>
    </row>
    <row r="8943" spans="1:7" x14ac:dyDescent="0.3">
      <c r="A8943" s="198">
        <v>1017251839</v>
      </c>
      <c r="B8943" s="192" t="s">
        <v>3211</v>
      </c>
      <c r="C8943" s="196">
        <v>-3078000</v>
      </c>
      <c r="D8943" s="196">
        <v>0</v>
      </c>
      <c r="E8943" s="196">
        <v>0</v>
      </c>
      <c r="F8943" s="196">
        <v>0</v>
      </c>
      <c r="G8943" s="196">
        <v>-3078000</v>
      </c>
    </row>
    <row r="8944" spans="1:7" x14ac:dyDescent="0.3">
      <c r="A8944" s="198">
        <v>1152442763</v>
      </c>
      <c r="B8944" s="192" t="s">
        <v>6473</v>
      </c>
      <c r="C8944" s="196">
        <v>-963000</v>
      </c>
      <c r="D8944" s="196">
        <v>0</v>
      </c>
      <c r="E8944" s="196">
        <v>0</v>
      </c>
      <c r="F8944" s="196">
        <v>0</v>
      </c>
      <c r="G8944" s="196">
        <v>-963000</v>
      </c>
    </row>
    <row r="8945" spans="1:7" x14ac:dyDescent="0.3">
      <c r="A8945" s="198">
        <v>80183652</v>
      </c>
      <c r="B8945" s="192" t="s">
        <v>3214</v>
      </c>
      <c r="C8945" s="196">
        <v>-2935000</v>
      </c>
      <c r="D8945" s="196">
        <v>0</v>
      </c>
      <c r="E8945" s="196">
        <v>0</v>
      </c>
      <c r="F8945" s="196">
        <v>0</v>
      </c>
      <c r="G8945" s="196">
        <v>-2935000</v>
      </c>
    </row>
    <row r="8946" spans="1:7" x14ac:dyDescent="0.3">
      <c r="A8946" s="198">
        <v>1146434216</v>
      </c>
      <c r="B8946" s="192" t="s">
        <v>6474</v>
      </c>
      <c r="C8946" s="196">
        <v>-963000</v>
      </c>
      <c r="D8946" s="196">
        <v>0</v>
      </c>
      <c r="E8946" s="196">
        <v>0</v>
      </c>
      <c r="F8946" s="196">
        <v>0</v>
      </c>
      <c r="G8946" s="196">
        <v>-963000</v>
      </c>
    </row>
    <row r="8947" spans="1:7" x14ac:dyDescent="0.3">
      <c r="A8947" s="198">
        <v>1036672398</v>
      </c>
      <c r="B8947" s="192" t="s">
        <v>484</v>
      </c>
      <c r="C8947" s="196">
        <v>-1883000</v>
      </c>
      <c r="D8947" s="196">
        <v>0</v>
      </c>
      <c r="E8947" s="196">
        <v>7580000</v>
      </c>
      <c r="F8947" s="196">
        <v>-7580000</v>
      </c>
      <c r="G8947" s="196">
        <v>-9463000</v>
      </c>
    </row>
    <row r="8948" spans="1:7" x14ac:dyDescent="0.3">
      <c r="A8948" s="198">
        <v>1035304917</v>
      </c>
      <c r="B8948" s="192" t="s">
        <v>6475</v>
      </c>
      <c r="C8948" s="196">
        <v>-860000</v>
      </c>
      <c r="D8948" s="196">
        <v>0</v>
      </c>
      <c r="E8948" s="196">
        <v>0</v>
      </c>
      <c r="F8948" s="196">
        <v>0</v>
      </c>
      <c r="G8948" s="196">
        <v>-860000</v>
      </c>
    </row>
    <row r="8949" spans="1:7" x14ac:dyDescent="0.3">
      <c r="A8949" s="198">
        <v>1098773579</v>
      </c>
      <c r="B8949" s="192" t="s">
        <v>6476</v>
      </c>
      <c r="C8949" s="196">
        <v>-963000</v>
      </c>
      <c r="D8949" s="196">
        <v>0</v>
      </c>
      <c r="E8949" s="196">
        <v>0</v>
      </c>
      <c r="F8949" s="196">
        <v>0</v>
      </c>
      <c r="G8949" s="196">
        <v>-963000</v>
      </c>
    </row>
    <row r="8950" spans="1:7" x14ac:dyDescent="0.3">
      <c r="A8950" s="198">
        <v>1082124028</v>
      </c>
      <c r="B8950" s="192" t="s">
        <v>3221</v>
      </c>
      <c r="C8950" s="196">
        <v>-3710000</v>
      </c>
      <c r="D8950" s="196">
        <v>0</v>
      </c>
      <c r="E8950" s="196">
        <v>0</v>
      </c>
      <c r="F8950" s="196">
        <v>0</v>
      </c>
      <c r="G8950" s="196">
        <v>-3710000</v>
      </c>
    </row>
    <row r="8951" spans="1:7" x14ac:dyDescent="0.3">
      <c r="A8951" s="198">
        <v>1037640830</v>
      </c>
      <c r="B8951" s="192" t="s">
        <v>486</v>
      </c>
      <c r="C8951" s="196">
        <v>0</v>
      </c>
      <c r="D8951" s="196">
        <v>0</v>
      </c>
      <c r="E8951" s="196">
        <v>963000</v>
      </c>
      <c r="F8951" s="196">
        <v>-963000</v>
      </c>
      <c r="G8951" s="196">
        <v>-963000</v>
      </c>
    </row>
    <row r="8952" spans="1:7" x14ac:dyDescent="0.3">
      <c r="A8952" s="198">
        <v>1020106917</v>
      </c>
      <c r="B8952" s="192" t="s">
        <v>487</v>
      </c>
      <c r="C8952" s="196">
        <v>0</v>
      </c>
      <c r="D8952" s="196">
        <v>0</v>
      </c>
      <c r="E8952" s="196">
        <v>963000</v>
      </c>
      <c r="F8952" s="196">
        <v>-963000</v>
      </c>
      <c r="G8952" s="196">
        <v>-963000</v>
      </c>
    </row>
    <row r="8953" spans="1:7" x14ac:dyDescent="0.3">
      <c r="A8953" s="198">
        <v>1017218470</v>
      </c>
      <c r="B8953" s="192" t="s">
        <v>6477</v>
      </c>
      <c r="C8953" s="196">
        <v>-963000</v>
      </c>
      <c r="D8953" s="196">
        <v>0</v>
      </c>
      <c r="E8953" s="196">
        <v>0</v>
      </c>
      <c r="F8953" s="196">
        <v>0</v>
      </c>
      <c r="G8953" s="196">
        <v>-963000</v>
      </c>
    </row>
    <row r="8954" spans="1:7" x14ac:dyDescent="0.3">
      <c r="A8954" s="198">
        <v>1152203192</v>
      </c>
      <c r="B8954" s="192" t="s">
        <v>6478</v>
      </c>
      <c r="C8954" s="196">
        <v>-860000</v>
      </c>
      <c r="D8954" s="196">
        <v>0</v>
      </c>
      <c r="E8954" s="196">
        <v>0</v>
      </c>
      <c r="F8954" s="196">
        <v>0</v>
      </c>
      <c r="G8954" s="196">
        <v>-860000</v>
      </c>
    </row>
    <row r="8955" spans="1:7" x14ac:dyDescent="0.3">
      <c r="A8955" s="198">
        <v>1002637259</v>
      </c>
      <c r="B8955" s="192" t="s">
        <v>6479</v>
      </c>
      <c r="C8955" s="196">
        <v>-963000</v>
      </c>
      <c r="D8955" s="196">
        <v>0</v>
      </c>
      <c r="E8955" s="196">
        <v>0</v>
      </c>
      <c r="F8955" s="196">
        <v>0</v>
      </c>
      <c r="G8955" s="196">
        <v>-963000</v>
      </c>
    </row>
    <row r="8956" spans="1:7" x14ac:dyDescent="0.3">
      <c r="A8956" s="198">
        <v>1017254699</v>
      </c>
      <c r="B8956" s="192" t="s">
        <v>3233</v>
      </c>
      <c r="C8956" s="196">
        <v>-3710000</v>
      </c>
      <c r="D8956" s="196">
        <v>0</v>
      </c>
      <c r="E8956" s="196">
        <v>0</v>
      </c>
      <c r="F8956" s="196">
        <v>0</v>
      </c>
      <c r="G8956" s="196">
        <v>-3710000</v>
      </c>
    </row>
    <row r="8957" spans="1:7" x14ac:dyDescent="0.3">
      <c r="A8957" s="198">
        <v>1000439066</v>
      </c>
      <c r="B8957" s="192" t="s">
        <v>6480</v>
      </c>
      <c r="C8957" s="196">
        <v>-963000</v>
      </c>
      <c r="D8957" s="196">
        <v>0</v>
      </c>
      <c r="E8957" s="196">
        <v>0</v>
      </c>
      <c r="F8957" s="196">
        <v>0</v>
      </c>
      <c r="G8957" s="196">
        <v>-963000</v>
      </c>
    </row>
    <row r="8958" spans="1:7" x14ac:dyDescent="0.3">
      <c r="A8958" s="198">
        <v>1037601648</v>
      </c>
      <c r="B8958" s="192" t="s">
        <v>3236</v>
      </c>
      <c r="C8958" s="196">
        <v>-4910000</v>
      </c>
      <c r="D8958" s="196">
        <v>0</v>
      </c>
      <c r="E8958" s="196">
        <v>0</v>
      </c>
      <c r="F8958" s="196">
        <v>0</v>
      </c>
      <c r="G8958" s="196">
        <v>-4910000</v>
      </c>
    </row>
    <row r="8959" spans="1:7" x14ac:dyDescent="0.3">
      <c r="A8959" s="198">
        <v>1214722193</v>
      </c>
      <c r="B8959" s="192" t="s">
        <v>3238</v>
      </c>
      <c r="C8959" s="196">
        <v>-3425000</v>
      </c>
      <c r="D8959" s="196">
        <v>0</v>
      </c>
      <c r="E8959" s="196">
        <v>0</v>
      </c>
      <c r="F8959" s="196">
        <v>0</v>
      </c>
      <c r="G8959" s="196">
        <v>-3425000</v>
      </c>
    </row>
    <row r="8960" spans="1:7" x14ac:dyDescent="0.3">
      <c r="A8960" s="198">
        <v>1038627288</v>
      </c>
      <c r="B8960" s="192" t="s">
        <v>6481</v>
      </c>
      <c r="C8960" s="196">
        <v>-860000</v>
      </c>
      <c r="D8960" s="196">
        <v>0</v>
      </c>
      <c r="E8960" s="196">
        <v>0</v>
      </c>
      <c r="F8960" s="196">
        <v>0</v>
      </c>
      <c r="G8960" s="196">
        <v>-860000</v>
      </c>
    </row>
    <row r="8961" spans="1:7" x14ac:dyDescent="0.3">
      <c r="A8961" s="198">
        <v>1040746527</v>
      </c>
      <c r="B8961" s="192" t="s">
        <v>491</v>
      </c>
      <c r="C8961" s="196">
        <v>0</v>
      </c>
      <c r="D8961" s="196">
        <v>0</v>
      </c>
      <c r="E8961" s="196">
        <v>963000</v>
      </c>
      <c r="F8961" s="196">
        <v>-963000</v>
      </c>
      <c r="G8961" s="196">
        <v>-963000</v>
      </c>
    </row>
    <row r="8962" spans="1:7" x14ac:dyDescent="0.3">
      <c r="A8962" s="198">
        <v>1010117614</v>
      </c>
      <c r="B8962" s="192" t="s">
        <v>6482</v>
      </c>
      <c r="C8962" s="196">
        <v>-963000</v>
      </c>
      <c r="D8962" s="196">
        <v>0</v>
      </c>
      <c r="E8962" s="196">
        <v>0</v>
      </c>
      <c r="F8962" s="196">
        <v>0</v>
      </c>
      <c r="G8962" s="196">
        <v>-963000</v>
      </c>
    </row>
    <row r="8963" spans="1:7" x14ac:dyDescent="0.3">
      <c r="A8963" s="198">
        <v>1016106992</v>
      </c>
      <c r="B8963" s="192" t="s">
        <v>3242</v>
      </c>
      <c r="C8963" s="196">
        <v>-46800</v>
      </c>
      <c r="D8963" s="196">
        <v>0</v>
      </c>
      <c r="E8963" s="196">
        <v>0</v>
      </c>
      <c r="F8963" s="196">
        <v>0</v>
      </c>
      <c r="G8963" s="196">
        <v>-46800</v>
      </c>
    </row>
    <row r="8964" spans="1:7" x14ac:dyDescent="0.3">
      <c r="A8964" s="198">
        <v>1033774065</v>
      </c>
      <c r="B8964" s="192" t="s">
        <v>492</v>
      </c>
      <c r="C8964" s="196">
        <v>0</v>
      </c>
      <c r="D8964" s="196">
        <v>0</v>
      </c>
      <c r="E8964" s="196">
        <v>963000</v>
      </c>
      <c r="F8964" s="196">
        <v>-963000</v>
      </c>
      <c r="G8964" s="196">
        <v>-963000</v>
      </c>
    </row>
    <row r="8965" spans="1:7" x14ac:dyDescent="0.3">
      <c r="A8965" s="198">
        <v>1026149373</v>
      </c>
      <c r="B8965" s="192" t="s">
        <v>6483</v>
      </c>
      <c r="C8965" s="196">
        <v>-963000</v>
      </c>
      <c r="D8965" s="196">
        <v>0</v>
      </c>
      <c r="E8965" s="196">
        <v>0</v>
      </c>
      <c r="F8965" s="196">
        <v>0</v>
      </c>
      <c r="G8965" s="196">
        <v>-963000</v>
      </c>
    </row>
    <row r="8966" spans="1:7" x14ac:dyDescent="0.3">
      <c r="A8966" s="198">
        <v>1004757777</v>
      </c>
      <c r="B8966" s="192" t="s">
        <v>6484</v>
      </c>
      <c r="C8966" s="196">
        <v>-860000</v>
      </c>
      <c r="D8966" s="196">
        <v>0</v>
      </c>
      <c r="E8966" s="196">
        <v>0</v>
      </c>
      <c r="F8966" s="196">
        <v>0</v>
      </c>
      <c r="G8966" s="196">
        <v>-860000</v>
      </c>
    </row>
    <row r="8967" spans="1:7" x14ac:dyDescent="0.3">
      <c r="A8967" s="198">
        <v>3597623</v>
      </c>
      <c r="B8967" s="192" t="s">
        <v>6485</v>
      </c>
      <c r="C8967" s="196">
        <v>-4745200</v>
      </c>
      <c r="D8967" s="196">
        <v>0</v>
      </c>
      <c r="E8967" s="196">
        <v>0</v>
      </c>
      <c r="F8967" s="196">
        <v>0</v>
      </c>
      <c r="G8967" s="196">
        <v>-4745200</v>
      </c>
    </row>
    <row r="8968" spans="1:7" x14ac:dyDescent="0.3">
      <c r="A8968" s="198">
        <v>1037503233</v>
      </c>
      <c r="B8968" s="192" t="s">
        <v>6486</v>
      </c>
      <c r="C8968" s="196">
        <v>-963000</v>
      </c>
      <c r="D8968" s="196">
        <v>0</v>
      </c>
      <c r="E8968" s="196">
        <v>0</v>
      </c>
      <c r="F8968" s="196">
        <v>0</v>
      </c>
      <c r="G8968" s="196">
        <v>-963000</v>
      </c>
    </row>
    <row r="8969" spans="1:7" x14ac:dyDescent="0.3">
      <c r="A8969" s="198">
        <v>1023592088</v>
      </c>
      <c r="B8969" s="192" t="s">
        <v>6487</v>
      </c>
      <c r="C8969" s="196">
        <v>-963000</v>
      </c>
      <c r="D8969" s="196">
        <v>0</v>
      </c>
      <c r="E8969" s="196">
        <v>0</v>
      </c>
      <c r="F8969" s="196">
        <v>0</v>
      </c>
      <c r="G8969" s="196">
        <v>-963000</v>
      </c>
    </row>
    <row r="8970" spans="1:7" x14ac:dyDescent="0.3">
      <c r="A8970" s="198">
        <v>1152211031</v>
      </c>
      <c r="B8970" s="192" t="s">
        <v>6488</v>
      </c>
      <c r="C8970" s="196">
        <v>-963000</v>
      </c>
      <c r="D8970" s="196">
        <v>0</v>
      </c>
      <c r="E8970" s="196">
        <v>0</v>
      </c>
      <c r="F8970" s="196">
        <v>0</v>
      </c>
      <c r="G8970" s="196">
        <v>-963000</v>
      </c>
    </row>
    <row r="8971" spans="1:7" x14ac:dyDescent="0.3">
      <c r="A8971" s="192" t="s">
        <v>6489</v>
      </c>
      <c r="B8971" s="192" t="s">
        <v>6490</v>
      </c>
      <c r="C8971" s="196">
        <v>-3910000</v>
      </c>
      <c r="D8971" s="196">
        <v>0</v>
      </c>
      <c r="E8971" s="196">
        <v>0</v>
      </c>
      <c r="F8971" s="196">
        <v>0</v>
      </c>
      <c r="G8971" s="196">
        <v>-3910000</v>
      </c>
    </row>
    <row r="8972" spans="1:7" x14ac:dyDescent="0.3">
      <c r="A8972" s="198">
        <v>1036675355</v>
      </c>
      <c r="B8972" s="192" t="s">
        <v>6491</v>
      </c>
      <c r="C8972" s="196">
        <v>-963000</v>
      </c>
      <c r="D8972" s="196">
        <v>0</v>
      </c>
      <c r="E8972" s="196">
        <v>0</v>
      </c>
      <c r="F8972" s="196">
        <v>0</v>
      </c>
      <c r="G8972" s="196">
        <v>-963000</v>
      </c>
    </row>
    <row r="8973" spans="1:7" x14ac:dyDescent="0.3">
      <c r="A8973" s="198">
        <v>1152442051</v>
      </c>
      <c r="B8973" s="192" t="s">
        <v>6492</v>
      </c>
      <c r="C8973" s="196">
        <v>-860000</v>
      </c>
      <c r="D8973" s="196">
        <v>0</v>
      </c>
      <c r="E8973" s="196">
        <v>0</v>
      </c>
      <c r="F8973" s="196">
        <v>0</v>
      </c>
      <c r="G8973" s="196">
        <v>-860000</v>
      </c>
    </row>
    <row r="8974" spans="1:7" x14ac:dyDescent="0.3">
      <c r="A8974" s="198">
        <v>1036673324</v>
      </c>
      <c r="B8974" s="192" t="s">
        <v>500</v>
      </c>
      <c r="C8974" s="196">
        <v>0</v>
      </c>
      <c r="D8974" s="196">
        <v>0</v>
      </c>
      <c r="E8974" s="196">
        <v>683000</v>
      </c>
      <c r="F8974" s="196">
        <v>-683000</v>
      </c>
      <c r="G8974" s="196">
        <v>-683000</v>
      </c>
    </row>
    <row r="8975" spans="1:7" x14ac:dyDescent="0.3">
      <c r="A8975" s="198">
        <v>1033656479</v>
      </c>
      <c r="B8975" s="192" t="s">
        <v>6493</v>
      </c>
      <c r="C8975" s="196">
        <v>-963000</v>
      </c>
      <c r="D8975" s="196">
        <v>0</v>
      </c>
      <c r="E8975" s="196">
        <v>0</v>
      </c>
      <c r="F8975" s="196">
        <v>0</v>
      </c>
      <c r="G8975" s="196">
        <v>-963000</v>
      </c>
    </row>
    <row r="8976" spans="1:7" x14ac:dyDescent="0.3">
      <c r="A8976" s="198">
        <v>75093578</v>
      </c>
      <c r="B8976" s="192" t="s">
        <v>3267</v>
      </c>
      <c r="C8976" s="196">
        <v>-13133000</v>
      </c>
      <c r="D8976" s="196">
        <v>0</v>
      </c>
      <c r="E8976" s="196">
        <v>0</v>
      </c>
      <c r="F8976" s="196">
        <v>0</v>
      </c>
      <c r="G8976" s="196">
        <v>-13133000</v>
      </c>
    </row>
    <row r="8977" spans="1:7" x14ac:dyDescent="0.3">
      <c r="A8977" s="198">
        <v>3415203</v>
      </c>
      <c r="B8977" s="192" t="s">
        <v>6494</v>
      </c>
      <c r="C8977" s="196">
        <v>-1550000</v>
      </c>
      <c r="D8977" s="196">
        <v>0</v>
      </c>
      <c r="E8977" s="196">
        <v>0</v>
      </c>
      <c r="F8977" s="196">
        <v>0</v>
      </c>
      <c r="G8977" s="196">
        <v>-1550000</v>
      </c>
    </row>
    <row r="8978" spans="1:7" x14ac:dyDescent="0.3">
      <c r="A8978" s="198">
        <v>678413131</v>
      </c>
      <c r="B8978" s="192" t="s">
        <v>3281</v>
      </c>
      <c r="C8978" s="196">
        <v>-4080000</v>
      </c>
      <c r="D8978" s="196">
        <v>0</v>
      </c>
      <c r="E8978" s="196">
        <v>0</v>
      </c>
      <c r="F8978" s="196">
        <v>0</v>
      </c>
      <c r="G8978" s="196">
        <v>-4080000</v>
      </c>
    </row>
    <row r="8979" spans="1:7" x14ac:dyDescent="0.3">
      <c r="A8979" s="198">
        <v>1148697757</v>
      </c>
      <c r="B8979" s="192" t="s">
        <v>6495</v>
      </c>
      <c r="C8979" s="196">
        <v>-963000</v>
      </c>
      <c r="D8979" s="196">
        <v>0</v>
      </c>
      <c r="E8979" s="196">
        <v>0</v>
      </c>
      <c r="F8979" s="196">
        <v>0</v>
      </c>
      <c r="G8979" s="196">
        <v>-963000</v>
      </c>
    </row>
    <row r="8980" spans="1:7" x14ac:dyDescent="0.3">
      <c r="A8980" s="198">
        <v>802710</v>
      </c>
      <c r="B8980" s="192" t="s">
        <v>3286</v>
      </c>
      <c r="C8980" s="196">
        <v>-59700</v>
      </c>
      <c r="D8980" s="196">
        <v>0</v>
      </c>
      <c r="E8980" s="196">
        <v>0</v>
      </c>
      <c r="F8980" s="196">
        <v>0</v>
      </c>
      <c r="G8980" s="196">
        <v>-59700</v>
      </c>
    </row>
    <row r="8981" spans="1:7" x14ac:dyDescent="0.3">
      <c r="A8981" s="198">
        <v>541147936</v>
      </c>
      <c r="B8981" s="192" t="s">
        <v>507</v>
      </c>
      <c r="C8981" s="196">
        <v>-106801</v>
      </c>
      <c r="D8981" s="196">
        <v>0</v>
      </c>
      <c r="E8981" s="196">
        <v>0</v>
      </c>
      <c r="F8981" s="196">
        <v>0</v>
      </c>
      <c r="G8981" s="196">
        <v>-106801</v>
      </c>
    </row>
    <row r="8982" spans="1:7" x14ac:dyDescent="0.3">
      <c r="A8982" s="198">
        <v>1040571235</v>
      </c>
      <c r="B8982" s="192" t="s">
        <v>6496</v>
      </c>
      <c r="C8982" s="196">
        <v>-963000</v>
      </c>
      <c r="D8982" s="196">
        <v>0</v>
      </c>
      <c r="E8982" s="196">
        <v>0</v>
      </c>
      <c r="F8982" s="196">
        <v>0</v>
      </c>
      <c r="G8982" s="196">
        <v>-963000</v>
      </c>
    </row>
    <row r="8983" spans="1:7" x14ac:dyDescent="0.3">
      <c r="A8983" s="198">
        <v>1128399982</v>
      </c>
      <c r="B8983" s="192" t="s">
        <v>509</v>
      </c>
      <c r="C8983" s="196">
        <v>0</v>
      </c>
      <c r="D8983" s="196">
        <v>0</v>
      </c>
      <c r="E8983" s="196">
        <v>963000</v>
      </c>
      <c r="F8983" s="196">
        <v>-963000</v>
      </c>
      <c r="G8983" s="196">
        <v>-963000</v>
      </c>
    </row>
    <row r="8984" spans="1:7" x14ac:dyDescent="0.3">
      <c r="A8984" s="198">
        <v>1018231362</v>
      </c>
      <c r="B8984" s="192" t="s">
        <v>6497</v>
      </c>
      <c r="C8984" s="196">
        <v>-963000</v>
      </c>
      <c r="D8984" s="196">
        <v>0</v>
      </c>
      <c r="E8984" s="196">
        <v>0</v>
      </c>
      <c r="F8984" s="196">
        <v>0</v>
      </c>
      <c r="G8984" s="196">
        <v>-963000</v>
      </c>
    </row>
    <row r="8985" spans="1:7" x14ac:dyDescent="0.3">
      <c r="A8985" s="198">
        <v>1035430166</v>
      </c>
      <c r="B8985" s="192" t="s">
        <v>510</v>
      </c>
      <c r="C8985" s="196">
        <v>-4825000</v>
      </c>
      <c r="D8985" s="196">
        <v>0</v>
      </c>
      <c r="E8985" s="196">
        <v>0</v>
      </c>
      <c r="F8985" s="196">
        <v>0</v>
      </c>
      <c r="G8985" s="196">
        <v>-4825000</v>
      </c>
    </row>
    <row r="8986" spans="1:7" x14ac:dyDescent="0.3">
      <c r="A8986" s="198">
        <v>8296845</v>
      </c>
      <c r="B8986" s="192" t="s">
        <v>512</v>
      </c>
      <c r="C8986" s="196">
        <v>0</v>
      </c>
      <c r="D8986" s="196">
        <v>0</v>
      </c>
      <c r="E8986" s="196">
        <v>4375000</v>
      </c>
      <c r="F8986" s="196">
        <v>-4375000</v>
      </c>
      <c r="G8986" s="196">
        <v>-4375000</v>
      </c>
    </row>
    <row r="8987" spans="1:7" x14ac:dyDescent="0.3">
      <c r="A8987" s="192" t="s">
        <v>513</v>
      </c>
      <c r="B8987" s="192" t="s">
        <v>514</v>
      </c>
      <c r="C8987" s="196">
        <v>0</v>
      </c>
      <c r="D8987" s="196">
        <v>0</v>
      </c>
      <c r="E8987" s="196">
        <v>3610000</v>
      </c>
      <c r="F8987" s="196">
        <v>-3610000</v>
      </c>
      <c r="G8987" s="196">
        <v>-3610000</v>
      </c>
    </row>
    <row r="8988" spans="1:7" x14ac:dyDescent="0.3">
      <c r="A8988" s="192" t="s">
        <v>515</v>
      </c>
      <c r="B8988" s="192" t="s">
        <v>516</v>
      </c>
      <c r="C8988" s="196">
        <v>-171002</v>
      </c>
      <c r="D8988" s="196">
        <v>0</v>
      </c>
      <c r="E8988" s="196">
        <v>0</v>
      </c>
      <c r="F8988" s="196">
        <v>0</v>
      </c>
      <c r="G8988" s="196">
        <v>-171002</v>
      </c>
    </row>
    <row r="8989" spans="1:7" x14ac:dyDescent="0.3">
      <c r="A8989" s="198">
        <v>1128276946</v>
      </c>
      <c r="B8989" s="192" t="s">
        <v>6498</v>
      </c>
      <c r="C8989" s="196">
        <v>-860000</v>
      </c>
      <c r="D8989" s="196">
        <v>0</v>
      </c>
      <c r="E8989" s="196">
        <v>0</v>
      </c>
      <c r="F8989" s="196">
        <v>0</v>
      </c>
      <c r="G8989" s="196">
        <v>-860000</v>
      </c>
    </row>
    <row r="8990" spans="1:7" x14ac:dyDescent="0.3">
      <c r="A8990" s="198">
        <v>1128269113</v>
      </c>
      <c r="B8990" s="192" t="s">
        <v>6499</v>
      </c>
      <c r="C8990" s="196">
        <v>-963000</v>
      </c>
      <c r="D8990" s="196">
        <v>0</v>
      </c>
      <c r="E8990" s="196">
        <v>0</v>
      </c>
      <c r="F8990" s="196">
        <v>0</v>
      </c>
      <c r="G8990" s="196">
        <v>-963000</v>
      </c>
    </row>
    <row r="8991" spans="1:7" x14ac:dyDescent="0.3">
      <c r="A8991" s="198">
        <v>1128279186</v>
      </c>
      <c r="B8991" s="192" t="s">
        <v>517</v>
      </c>
      <c r="C8991" s="196">
        <v>-5470000</v>
      </c>
      <c r="D8991" s="196">
        <v>0</v>
      </c>
      <c r="E8991" s="196">
        <v>0</v>
      </c>
      <c r="F8991" s="196">
        <v>0</v>
      </c>
      <c r="G8991" s="196">
        <v>-5470000</v>
      </c>
    </row>
    <row r="8992" spans="1:7" x14ac:dyDescent="0.3">
      <c r="A8992" s="198">
        <v>43604020</v>
      </c>
      <c r="B8992" s="192" t="s">
        <v>519</v>
      </c>
      <c r="C8992" s="196">
        <v>-1383000</v>
      </c>
      <c r="D8992" s="196">
        <v>0</v>
      </c>
      <c r="E8992" s="196">
        <v>0</v>
      </c>
      <c r="F8992" s="196">
        <v>0</v>
      </c>
      <c r="G8992" s="196">
        <v>-1383000</v>
      </c>
    </row>
    <row r="8993" spans="1:7" x14ac:dyDescent="0.3">
      <c r="A8993" s="198">
        <v>1128439964</v>
      </c>
      <c r="B8993" s="192" t="s">
        <v>6500</v>
      </c>
      <c r="C8993" s="196">
        <v>-963000</v>
      </c>
      <c r="D8993" s="196">
        <v>0</v>
      </c>
      <c r="E8993" s="196">
        <v>0</v>
      </c>
      <c r="F8993" s="196">
        <v>0</v>
      </c>
      <c r="G8993" s="196">
        <v>-963000</v>
      </c>
    </row>
    <row r="8994" spans="1:7" x14ac:dyDescent="0.3">
      <c r="A8994" s="198">
        <v>1007292242</v>
      </c>
      <c r="B8994" s="192" t="s">
        <v>6501</v>
      </c>
      <c r="C8994" s="196">
        <v>-963000</v>
      </c>
      <c r="D8994" s="196">
        <v>0</v>
      </c>
      <c r="E8994" s="196">
        <v>0</v>
      </c>
      <c r="F8994" s="196">
        <v>0</v>
      </c>
      <c r="G8994" s="196">
        <v>-963000</v>
      </c>
    </row>
    <row r="8995" spans="1:7" x14ac:dyDescent="0.3">
      <c r="A8995" s="198">
        <v>43826776</v>
      </c>
      <c r="B8995" s="192" t="s">
        <v>3318</v>
      </c>
      <c r="C8995" s="196">
        <v>-53400</v>
      </c>
      <c r="D8995" s="196">
        <v>0</v>
      </c>
      <c r="E8995" s="196">
        <v>0</v>
      </c>
      <c r="F8995" s="196">
        <v>0</v>
      </c>
      <c r="G8995" s="196">
        <v>-53400</v>
      </c>
    </row>
    <row r="8996" spans="1:7" x14ac:dyDescent="0.3">
      <c r="A8996" s="198">
        <v>22041916</v>
      </c>
      <c r="B8996" s="192" t="s">
        <v>6502</v>
      </c>
      <c r="C8996" s="196">
        <v>-795000</v>
      </c>
      <c r="D8996" s="196">
        <v>0</v>
      </c>
      <c r="E8996" s="196">
        <v>0</v>
      </c>
      <c r="F8996" s="196">
        <v>0</v>
      </c>
      <c r="G8996" s="196">
        <v>-795000</v>
      </c>
    </row>
    <row r="8997" spans="1:7" x14ac:dyDescent="0.3">
      <c r="A8997" s="198">
        <v>1083894898</v>
      </c>
      <c r="B8997" s="192" t="s">
        <v>6503</v>
      </c>
      <c r="C8997" s="196">
        <v>-963000</v>
      </c>
      <c r="D8997" s="196">
        <v>0</v>
      </c>
      <c r="E8997" s="196">
        <v>0</v>
      </c>
      <c r="F8997" s="196">
        <v>0</v>
      </c>
      <c r="G8997" s="196">
        <v>-963000</v>
      </c>
    </row>
    <row r="8998" spans="1:7" x14ac:dyDescent="0.3">
      <c r="A8998" s="198">
        <v>1037570042</v>
      </c>
      <c r="B8998" s="192" t="s">
        <v>6504</v>
      </c>
      <c r="C8998" s="196">
        <v>-1870000</v>
      </c>
      <c r="D8998" s="196">
        <v>0</v>
      </c>
      <c r="E8998" s="196">
        <v>0</v>
      </c>
      <c r="F8998" s="196">
        <v>0</v>
      </c>
      <c r="G8998" s="196">
        <v>-1870000</v>
      </c>
    </row>
    <row r="8999" spans="1:7" x14ac:dyDescent="0.3">
      <c r="A8999" s="198">
        <v>1036676961</v>
      </c>
      <c r="B8999" s="192" t="s">
        <v>526</v>
      </c>
      <c r="C8999" s="196">
        <v>0</v>
      </c>
      <c r="D8999" s="196">
        <v>0</v>
      </c>
      <c r="E8999" s="196">
        <v>963000</v>
      </c>
      <c r="F8999" s="196">
        <v>-963000</v>
      </c>
      <c r="G8999" s="196">
        <v>-963000</v>
      </c>
    </row>
    <row r="9000" spans="1:7" x14ac:dyDescent="0.3">
      <c r="A9000" s="198">
        <v>1086138437</v>
      </c>
      <c r="B9000" s="192" t="s">
        <v>6505</v>
      </c>
      <c r="C9000" s="196">
        <v>-963000</v>
      </c>
      <c r="D9000" s="196">
        <v>0</v>
      </c>
      <c r="E9000" s="196">
        <v>0</v>
      </c>
      <c r="F9000" s="196">
        <v>0</v>
      </c>
      <c r="G9000" s="196">
        <v>-963000</v>
      </c>
    </row>
    <row r="9001" spans="1:7" x14ac:dyDescent="0.3">
      <c r="A9001" s="198">
        <v>42771242</v>
      </c>
      <c r="B9001" s="192" t="s">
        <v>529</v>
      </c>
      <c r="C9001" s="196">
        <v>0</v>
      </c>
      <c r="D9001" s="196">
        <v>0</v>
      </c>
      <c r="E9001" s="196">
        <v>3722400</v>
      </c>
      <c r="F9001" s="196">
        <v>-3722400</v>
      </c>
      <c r="G9001" s="196">
        <v>-3722400</v>
      </c>
    </row>
    <row r="9002" spans="1:7" x14ac:dyDescent="0.3">
      <c r="A9002" s="198">
        <v>32108355</v>
      </c>
      <c r="B9002" s="192" t="s">
        <v>6506</v>
      </c>
      <c r="C9002" s="196">
        <v>-963000</v>
      </c>
      <c r="D9002" s="196">
        <v>0</v>
      </c>
      <c r="E9002" s="196">
        <v>0</v>
      </c>
      <c r="F9002" s="196">
        <v>0</v>
      </c>
      <c r="G9002" s="196">
        <v>-963000</v>
      </c>
    </row>
    <row r="9003" spans="1:7" x14ac:dyDescent="0.3">
      <c r="A9003" s="198">
        <v>43190602</v>
      </c>
      <c r="B9003" s="192" t="s">
        <v>1708</v>
      </c>
      <c r="C9003" s="196">
        <v>-300000</v>
      </c>
      <c r="D9003" s="196">
        <v>0</v>
      </c>
      <c r="E9003" s="196">
        <v>0</v>
      </c>
      <c r="F9003" s="196">
        <v>0</v>
      </c>
      <c r="G9003" s="196">
        <v>-300000</v>
      </c>
    </row>
    <row r="9004" spans="1:7" x14ac:dyDescent="0.3">
      <c r="A9004" s="198">
        <v>1002943888</v>
      </c>
      <c r="B9004" s="192" t="s">
        <v>6507</v>
      </c>
      <c r="C9004" s="196">
        <v>-963000</v>
      </c>
      <c r="D9004" s="196">
        <v>0</v>
      </c>
      <c r="E9004" s="196">
        <v>0</v>
      </c>
      <c r="F9004" s="196">
        <v>0</v>
      </c>
      <c r="G9004" s="196">
        <v>-963000</v>
      </c>
    </row>
    <row r="9005" spans="1:7" x14ac:dyDescent="0.3">
      <c r="A9005" s="198">
        <v>43533369</v>
      </c>
      <c r="B9005" s="192" t="s">
        <v>6508</v>
      </c>
      <c r="C9005" s="196">
        <v>-7624550</v>
      </c>
      <c r="D9005" s="196">
        <v>0</v>
      </c>
      <c r="E9005" s="196">
        <v>0</v>
      </c>
      <c r="F9005" s="196">
        <v>0</v>
      </c>
      <c r="G9005" s="196">
        <v>-7624550</v>
      </c>
    </row>
    <row r="9006" spans="1:7" x14ac:dyDescent="0.3">
      <c r="A9006" s="198">
        <v>24346663</v>
      </c>
      <c r="B9006" s="192" t="s">
        <v>6509</v>
      </c>
      <c r="C9006" s="196">
        <v>-550000</v>
      </c>
      <c r="D9006" s="196">
        <v>0</v>
      </c>
      <c r="E9006" s="196">
        <v>0</v>
      </c>
      <c r="F9006" s="196">
        <v>0</v>
      </c>
      <c r="G9006" s="196">
        <v>-550000</v>
      </c>
    </row>
    <row r="9007" spans="1:7" x14ac:dyDescent="0.3">
      <c r="A9007" s="198">
        <v>43925386</v>
      </c>
      <c r="B9007" s="192" t="s">
        <v>6510</v>
      </c>
      <c r="C9007" s="196">
        <v>-3722400</v>
      </c>
      <c r="D9007" s="196">
        <v>0</v>
      </c>
      <c r="E9007" s="196">
        <v>0</v>
      </c>
      <c r="F9007" s="196">
        <v>0</v>
      </c>
      <c r="G9007" s="196">
        <v>-3722400</v>
      </c>
    </row>
    <row r="9008" spans="1:7" x14ac:dyDescent="0.3">
      <c r="A9008" s="198">
        <v>1056049</v>
      </c>
      <c r="B9008" s="192" t="s">
        <v>6511</v>
      </c>
      <c r="C9008" s="196">
        <v>-4133000</v>
      </c>
      <c r="D9008" s="196">
        <v>0</v>
      </c>
      <c r="E9008" s="196">
        <v>0</v>
      </c>
      <c r="F9008" s="196">
        <v>0</v>
      </c>
      <c r="G9008" s="196">
        <v>-4133000</v>
      </c>
    </row>
    <row r="9009" spans="1:7" x14ac:dyDescent="0.3">
      <c r="A9009" s="198">
        <v>1040030691</v>
      </c>
      <c r="B9009" s="192" t="s">
        <v>6512</v>
      </c>
      <c r="C9009" s="196">
        <v>-963000</v>
      </c>
      <c r="D9009" s="196">
        <v>0</v>
      </c>
      <c r="E9009" s="196">
        <v>0</v>
      </c>
      <c r="F9009" s="196">
        <v>0</v>
      </c>
      <c r="G9009" s="196">
        <v>-963000</v>
      </c>
    </row>
    <row r="9010" spans="1:7" x14ac:dyDescent="0.3">
      <c r="A9010" s="198">
        <v>1017221050</v>
      </c>
      <c r="B9010" s="192" t="s">
        <v>530</v>
      </c>
      <c r="C9010" s="196">
        <v>0</v>
      </c>
      <c r="D9010" s="196">
        <v>0</v>
      </c>
      <c r="E9010" s="196">
        <v>963000</v>
      </c>
      <c r="F9010" s="196">
        <v>-963000</v>
      </c>
      <c r="G9010" s="196">
        <v>-963000</v>
      </c>
    </row>
    <row r="9011" spans="1:7" x14ac:dyDescent="0.3">
      <c r="A9011" s="198">
        <v>1032248611</v>
      </c>
      <c r="B9011" s="192" t="s">
        <v>531</v>
      </c>
      <c r="C9011" s="196">
        <v>0</v>
      </c>
      <c r="D9011" s="196">
        <v>0</v>
      </c>
      <c r="E9011" s="196">
        <v>963000</v>
      </c>
      <c r="F9011" s="196">
        <v>-963000</v>
      </c>
      <c r="G9011" s="196">
        <v>-963000</v>
      </c>
    </row>
    <row r="9012" spans="1:7" x14ac:dyDescent="0.3">
      <c r="A9012" s="198">
        <v>1089458130</v>
      </c>
      <c r="B9012" s="192" t="s">
        <v>3350</v>
      </c>
      <c r="C9012" s="196">
        <v>-3210000</v>
      </c>
      <c r="D9012" s="196">
        <v>0</v>
      </c>
      <c r="E9012" s="196">
        <v>0</v>
      </c>
      <c r="F9012" s="196">
        <v>0</v>
      </c>
      <c r="G9012" s="196">
        <v>-3210000</v>
      </c>
    </row>
    <row r="9013" spans="1:7" x14ac:dyDescent="0.3">
      <c r="A9013" s="198">
        <v>1026586592</v>
      </c>
      <c r="B9013" s="192" t="s">
        <v>3351</v>
      </c>
      <c r="C9013" s="196">
        <v>-3210000</v>
      </c>
      <c r="D9013" s="196">
        <v>0</v>
      </c>
      <c r="E9013" s="196">
        <v>0</v>
      </c>
      <c r="F9013" s="196">
        <v>0</v>
      </c>
      <c r="G9013" s="196">
        <v>-3210000</v>
      </c>
    </row>
    <row r="9014" spans="1:7" x14ac:dyDescent="0.3">
      <c r="A9014" s="198">
        <v>1098720491</v>
      </c>
      <c r="B9014" s="192" t="s">
        <v>6513</v>
      </c>
      <c r="C9014" s="196">
        <v>-963000</v>
      </c>
      <c r="D9014" s="196">
        <v>0</v>
      </c>
      <c r="E9014" s="196">
        <v>0</v>
      </c>
      <c r="F9014" s="196">
        <v>0</v>
      </c>
      <c r="G9014" s="196">
        <v>-963000</v>
      </c>
    </row>
    <row r="9015" spans="1:7" x14ac:dyDescent="0.3">
      <c r="A9015" s="198">
        <v>1152446846</v>
      </c>
      <c r="B9015" s="192" t="s">
        <v>533</v>
      </c>
      <c r="C9015" s="196">
        <v>0</v>
      </c>
      <c r="D9015" s="196">
        <v>0</v>
      </c>
      <c r="E9015" s="196">
        <v>963000</v>
      </c>
      <c r="F9015" s="196">
        <v>-963000</v>
      </c>
      <c r="G9015" s="196">
        <v>-963000</v>
      </c>
    </row>
    <row r="9016" spans="1:7" x14ac:dyDescent="0.3">
      <c r="A9016" s="198">
        <v>1115086138</v>
      </c>
      <c r="B9016" s="192" t="s">
        <v>6514</v>
      </c>
      <c r="C9016" s="196">
        <v>-963000</v>
      </c>
      <c r="D9016" s="196">
        <v>0</v>
      </c>
      <c r="E9016" s="196">
        <v>0</v>
      </c>
      <c r="F9016" s="196">
        <v>0</v>
      </c>
      <c r="G9016" s="196">
        <v>-963000</v>
      </c>
    </row>
    <row r="9017" spans="1:7" x14ac:dyDescent="0.3">
      <c r="A9017" s="198">
        <v>98761413</v>
      </c>
      <c r="B9017" s="192" t="s">
        <v>3358</v>
      </c>
      <c r="C9017" s="196">
        <v>-6184000</v>
      </c>
      <c r="D9017" s="196">
        <v>0</v>
      </c>
      <c r="E9017" s="196">
        <v>0</v>
      </c>
      <c r="F9017" s="196">
        <v>0</v>
      </c>
      <c r="G9017" s="196">
        <v>-6184000</v>
      </c>
    </row>
    <row r="9018" spans="1:7" x14ac:dyDescent="0.3">
      <c r="A9018" s="198">
        <v>1128398425</v>
      </c>
      <c r="B9018" s="192" t="s">
        <v>535</v>
      </c>
      <c r="C9018" s="196">
        <v>0</v>
      </c>
      <c r="D9018" s="196">
        <v>0</v>
      </c>
      <c r="E9018" s="196">
        <v>963000</v>
      </c>
      <c r="F9018" s="196">
        <v>-963000</v>
      </c>
      <c r="G9018" s="196">
        <v>-963000</v>
      </c>
    </row>
    <row r="9019" spans="1:7" x14ac:dyDescent="0.3">
      <c r="A9019" s="198">
        <v>1042154687</v>
      </c>
      <c r="B9019" s="192" t="s">
        <v>6515</v>
      </c>
      <c r="C9019" s="196">
        <v>-1240000</v>
      </c>
      <c r="D9019" s="196">
        <v>0</v>
      </c>
      <c r="E9019" s="196">
        <v>0</v>
      </c>
      <c r="F9019" s="196">
        <v>0</v>
      </c>
      <c r="G9019" s="196">
        <v>-1240000</v>
      </c>
    </row>
    <row r="9020" spans="1:7" x14ac:dyDescent="0.3">
      <c r="A9020" s="192" t="s">
        <v>6516</v>
      </c>
      <c r="B9020" s="192" t="s">
        <v>3361</v>
      </c>
      <c r="C9020" s="196">
        <v>-7338000</v>
      </c>
      <c r="D9020" s="196">
        <v>0</v>
      </c>
      <c r="E9020" s="196">
        <v>0</v>
      </c>
      <c r="F9020" s="196">
        <v>0</v>
      </c>
      <c r="G9020" s="196">
        <v>-7338000</v>
      </c>
    </row>
    <row r="9021" spans="1:7" x14ac:dyDescent="0.3">
      <c r="A9021" s="198">
        <v>35697312</v>
      </c>
      <c r="B9021" s="192" t="s">
        <v>3362</v>
      </c>
      <c r="C9021" s="196">
        <v>-3500000</v>
      </c>
      <c r="D9021" s="196">
        <v>0</v>
      </c>
      <c r="E9021" s="196">
        <v>0</v>
      </c>
      <c r="F9021" s="196">
        <v>0</v>
      </c>
      <c r="G9021" s="196">
        <v>-3500000</v>
      </c>
    </row>
    <row r="9022" spans="1:7" x14ac:dyDescent="0.3">
      <c r="A9022" s="192" t="s">
        <v>3368</v>
      </c>
      <c r="B9022" s="192" t="s">
        <v>3369</v>
      </c>
      <c r="C9022" s="196">
        <v>-14729800</v>
      </c>
      <c r="D9022" s="196">
        <v>0</v>
      </c>
      <c r="E9022" s="196">
        <v>0</v>
      </c>
      <c r="F9022" s="196">
        <v>0</v>
      </c>
      <c r="G9022" s="196">
        <v>-14729800</v>
      </c>
    </row>
    <row r="9023" spans="1:7" x14ac:dyDescent="0.3">
      <c r="A9023" s="198">
        <v>39211389</v>
      </c>
      <c r="B9023" s="192" t="s">
        <v>6517</v>
      </c>
      <c r="C9023" s="196">
        <v>-4133000</v>
      </c>
      <c r="D9023" s="196">
        <v>0</v>
      </c>
      <c r="E9023" s="196">
        <v>0</v>
      </c>
      <c r="F9023" s="196">
        <v>0</v>
      </c>
      <c r="G9023" s="196">
        <v>-4133000</v>
      </c>
    </row>
    <row r="9024" spans="1:7" x14ac:dyDescent="0.3">
      <c r="A9024" s="198">
        <v>42980905</v>
      </c>
      <c r="B9024" s="192" t="s">
        <v>3378</v>
      </c>
      <c r="C9024" s="196">
        <v>-57200</v>
      </c>
      <c r="D9024" s="196">
        <v>0</v>
      </c>
      <c r="E9024" s="196">
        <v>0</v>
      </c>
      <c r="F9024" s="196">
        <v>0</v>
      </c>
      <c r="G9024" s="196">
        <v>-57200</v>
      </c>
    </row>
    <row r="9025" spans="1:7" x14ac:dyDescent="0.3">
      <c r="A9025" s="198">
        <v>39352509</v>
      </c>
      <c r="B9025" s="192" t="s">
        <v>6518</v>
      </c>
      <c r="C9025" s="196">
        <v>-50000</v>
      </c>
      <c r="D9025" s="196">
        <v>0</v>
      </c>
      <c r="E9025" s="196">
        <v>0</v>
      </c>
      <c r="F9025" s="196">
        <v>0</v>
      </c>
      <c r="G9025" s="196">
        <v>-50000</v>
      </c>
    </row>
    <row r="9026" spans="1:7" x14ac:dyDescent="0.3">
      <c r="A9026" s="198">
        <v>43019477</v>
      </c>
      <c r="B9026" s="192" t="s">
        <v>6519</v>
      </c>
      <c r="C9026" s="196">
        <v>-963000</v>
      </c>
      <c r="D9026" s="196">
        <v>0</v>
      </c>
      <c r="E9026" s="196">
        <v>0</v>
      </c>
      <c r="F9026" s="196">
        <v>0</v>
      </c>
      <c r="G9026" s="196">
        <v>-963000</v>
      </c>
    </row>
    <row r="9027" spans="1:7" x14ac:dyDescent="0.3">
      <c r="A9027" s="198">
        <v>21448272</v>
      </c>
      <c r="B9027" s="192" t="s">
        <v>6520</v>
      </c>
      <c r="C9027" s="196">
        <v>-4375000</v>
      </c>
      <c r="D9027" s="196">
        <v>0</v>
      </c>
      <c r="E9027" s="196">
        <v>0</v>
      </c>
      <c r="F9027" s="196">
        <v>0</v>
      </c>
      <c r="G9027" s="196">
        <v>-4375000</v>
      </c>
    </row>
    <row r="9028" spans="1:7" x14ac:dyDescent="0.3">
      <c r="A9028" s="198">
        <v>1128438107</v>
      </c>
      <c r="B9028" s="192" t="s">
        <v>6521</v>
      </c>
      <c r="C9028" s="196">
        <v>-860000</v>
      </c>
      <c r="D9028" s="196">
        <v>0</v>
      </c>
      <c r="E9028" s="196">
        <v>0</v>
      </c>
      <c r="F9028" s="196">
        <v>0</v>
      </c>
      <c r="G9028" s="196">
        <v>-860000</v>
      </c>
    </row>
    <row r="9029" spans="1:7" x14ac:dyDescent="0.3">
      <c r="A9029" s="198">
        <v>71374815</v>
      </c>
      <c r="B9029" s="192" t="s">
        <v>542</v>
      </c>
      <c r="C9029" s="196">
        <v>0</v>
      </c>
      <c r="D9029" s="196">
        <v>0</v>
      </c>
      <c r="E9029" s="196">
        <v>963000</v>
      </c>
      <c r="F9029" s="196">
        <v>-963000</v>
      </c>
      <c r="G9029" s="196">
        <v>-963000</v>
      </c>
    </row>
    <row r="9030" spans="1:7" x14ac:dyDescent="0.3">
      <c r="A9030" s="198">
        <v>587046886</v>
      </c>
      <c r="B9030" s="192" t="s">
        <v>6522</v>
      </c>
      <c r="C9030" s="196">
        <v>-4375000</v>
      </c>
      <c r="D9030" s="196">
        <v>0</v>
      </c>
      <c r="E9030" s="196">
        <v>0</v>
      </c>
      <c r="F9030" s="196">
        <v>0</v>
      </c>
      <c r="G9030" s="196">
        <v>-4375000</v>
      </c>
    </row>
    <row r="9031" spans="1:7" x14ac:dyDescent="0.3">
      <c r="A9031" s="198">
        <v>6463703</v>
      </c>
      <c r="B9031" s="192" t="s">
        <v>6523</v>
      </c>
      <c r="C9031" s="196">
        <v>-1915000</v>
      </c>
      <c r="D9031" s="196">
        <v>0</v>
      </c>
      <c r="E9031" s="196">
        <v>0</v>
      </c>
      <c r="F9031" s="196">
        <v>0</v>
      </c>
      <c r="G9031" s="196">
        <v>-1915000</v>
      </c>
    </row>
    <row r="9032" spans="1:7" x14ac:dyDescent="0.3">
      <c r="A9032" s="198">
        <v>32454344</v>
      </c>
      <c r="B9032" s="192" t="s">
        <v>6524</v>
      </c>
      <c r="C9032" s="196">
        <v>-396000</v>
      </c>
      <c r="D9032" s="196">
        <v>0</v>
      </c>
      <c r="E9032" s="196">
        <v>0</v>
      </c>
      <c r="F9032" s="196">
        <v>0</v>
      </c>
      <c r="G9032" s="196">
        <v>-396000</v>
      </c>
    </row>
    <row r="9033" spans="1:7" x14ac:dyDescent="0.3">
      <c r="A9033" s="198">
        <v>1036635153</v>
      </c>
      <c r="B9033" s="192" t="s">
        <v>6525</v>
      </c>
      <c r="C9033" s="196">
        <v>-963000</v>
      </c>
      <c r="D9033" s="196">
        <v>0</v>
      </c>
      <c r="E9033" s="196">
        <v>0</v>
      </c>
      <c r="F9033" s="196">
        <v>0</v>
      </c>
      <c r="G9033" s="196">
        <v>-963000</v>
      </c>
    </row>
    <row r="9034" spans="1:7" x14ac:dyDescent="0.3">
      <c r="A9034" s="198">
        <v>1001748332</v>
      </c>
      <c r="B9034" s="192" t="s">
        <v>6526</v>
      </c>
      <c r="C9034" s="196">
        <v>-963000</v>
      </c>
      <c r="D9034" s="196">
        <v>0</v>
      </c>
      <c r="E9034" s="196">
        <v>0</v>
      </c>
      <c r="F9034" s="196">
        <v>0</v>
      </c>
      <c r="G9034" s="196">
        <v>-963000</v>
      </c>
    </row>
    <row r="9035" spans="1:7" x14ac:dyDescent="0.3">
      <c r="A9035" s="198">
        <v>1039695623</v>
      </c>
      <c r="B9035" s="192" t="s">
        <v>546</v>
      </c>
      <c r="C9035" s="196">
        <v>0</v>
      </c>
      <c r="D9035" s="196">
        <v>0</v>
      </c>
      <c r="E9035" s="196">
        <v>963000</v>
      </c>
      <c r="F9035" s="196">
        <v>-963000</v>
      </c>
      <c r="G9035" s="196">
        <v>-963000</v>
      </c>
    </row>
    <row r="9036" spans="1:7" x14ac:dyDescent="0.3">
      <c r="A9036" s="198">
        <v>71674966</v>
      </c>
      <c r="B9036" s="192" t="s">
        <v>6527</v>
      </c>
      <c r="C9036" s="196">
        <v>-710000</v>
      </c>
      <c r="D9036" s="196">
        <v>0</v>
      </c>
      <c r="E9036" s="196">
        <v>0</v>
      </c>
      <c r="F9036" s="196">
        <v>0</v>
      </c>
      <c r="G9036" s="196">
        <v>-710000</v>
      </c>
    </row>
    <row r="9037" spans="1:7" x14ac:dyDescent="0.3">
      <c r="A9037" s="198">
        <v>43109631</v>
      </c>
      <c r="B9037" s="192" t="s">
        <v>547</v>
      </c>
      <c r="C9037" s="196">
        <v>0</v>
      </c>
      <c r="D9037" s="196">
        <v>0</v>
      </c>
      <c r="E9037" s="196">
        <v>963000</v>
      </c>
      <c r="F9037" s="196">
        <v>-963000</v>
      </c>
      <c r="G9037" s="196">
        <v>-963000</v>
      </c>
    </row>
    <row r="9038" spans="1:7" x14ac:dyDescent="0.3">
      <c r="A9038" s="198">
        <v>1035830491</v>
      </c>
      <c r="B9038" s="192" t="s">
        <v>6528</v>
      </c>
      <c r="C9038" s="196">
        <v>-963000</v>
      </c>
      <c r="D9038" s="196">
        <v>0</v>
      </c>
      <c r="E9038" s="196">
        <v>0</v>
      </c>
      <c r="F9038" s="196">
        <v>0</v>
      </c>
      <c r="G9038" s="196">
        <v>-963000</v>
      </c>
    </row>
    <row r="9039" spans="1:7" x14ac:dyDescent="0.3">
      <c r="A9039" s="198">
        <v>1035863894</v>
      </c>
      <c r="B9039" s="192" t="s">
        <v>553</v>
      </c>
      <c r="C9039" s="196">
        <v>0</v>
      </c>
      <c r="D9039" s="196">
        <v>0</v>
      </c>
      <c r="E9039" s="196">
        <v>683000</v>
      </c>
      <c r="F9039" s="196">
        <v>-683000</v>
      </c>
      <c r="G9039" s="196">
        <v>-683000</v>
      </c>
    </row>
    <row r="9040" spans="1:7" x14ac:dyDescent="0.3">
      <c r="A9040" s="198">
        <v>1037501649</v>
      </c>
      <c r="B9040" s="192" t="s">
        <v>6529</v>
      </c>
      <c r="C9040" s="196">
        <v>-860000</v>
      </c>
      <c r="D9040" s="196">
        <v>0</v>
      </c>
      <c r="E9040" s="196">
        <v>0</v>
      </c>
      <c r="F9040" s="196">
        <v>0</v>
      </c>
      <c r="G9040" s="196">
        <v>-860000</v>
      </c>
    </row>
    <row r="9041" spans="1:7" x14ac:dyDescent="0.3">
      <c r="A9041" s="198">
        <v>14139734</v>
      </c>
      <c r="B9041" s="192" t="s">
        <v>6530</v>
      </c>
      <c r="C9041" s="196">
        <v>-963000</v>
      </c>
      <c r="D9041" s="196">
        <v>0</v>
      </c>
      <c r="E9041" s="196">
        <v>0</v>
      </c>
      <c r="F9041" s="196">
        <v>0</v>
      </c>
      <c r="G9041" s="196">
        <v>-963000</v>
      </c>
    </row>
    <row r="9042" spans="1:7" x14ac:dyDescent="0.3">
      <c r="A9042" s="198">
        <v>1037588704</v>
      </c>
      <c r="B9042" s="192" t="s">
        <v>6531</v>
      </c>
      <c r="C9042" s="196">
        <v>-963000</v>
      </c>
      <c r="D9042" s="196">
        <v>0</v>
      </c>
      <c r="E9042" s="196">
        <v>0</v>
      </c>
      <c r="F9042" s="196">
        <v>0</v>
      </c>
      <c r="G9042" s="196">
        <v>-963000</v>
      </c>
    </row>
    <row r="9043" spans="1:7" x14ac:dyDescent="0.3">
      <c r="A9043" s="198">
        <v>1146435778</v>
      </c>
      <c r="B9043" s="192" t="s">
        <v>6532</v>
      </c>
      <c r="C9043" s="196">
        <v>-963000</v>
      </c>
      <c r="D9043" s="196">
        <v>0</v>
      </c>
      <c r="E9043" s="196">
        <v>0</v>
      </c>
      <c r="F9043" s="196">
        <v>0</v>
      </c>
      <c r="G9043" s="196">
        <v>-963000</v>
      </c>
    </row>
    <row r="9044" spans="1:7" x14ac:dyDescent="0.3">
      <c r="A9044" s="198">
        <v>39160600</v>
      </c>
      <c r="B9044" s="192" t="s">
        <v>2385</v>
      </c>
      <c r="C9044" s="196">
        <v>-4133000</v>
      </c>
      <c r="D9044" s="196">
        <v>0</v>
      </c>
      <c r="E9044" s="196">
        <v>0</v>
      </c>
      <c r="F9044" s="196">
        <v>0</v>
      </c>
      <c r="G9044" s="196">
        <v>-4133000</v>
      </c>
    </row>
    <row r="9045" spans="1:7" x14ac:dyDescent="0.3">
      <c r="A9045" s="198">
        <v>32141758</v>
      </c>
      <c r="B9045" s="192" t="s">
        <v>6533</v>
      </c>
      <c r="C9045" s="196">
        <v>-2895000</v>
      </c>
      <c r="D9045" s="196">
        <v>0</v>
      </c>
      <c r="E9045" s="196">
        <v>0</v>
      </c>
      <c r="F9045" s="196">
        <v>0</v>
      </c>
      <c r="G9045" s="196">
        <v>-2895000</v>
      </c>
    </row>
    <row r="9046" spans="1:7" x14ac:dyDescent="0.3">
      <c r="A9046" s="198">
        <v>1020434874</v>
      </c>
      <c r="B9046" s="192" t="s">
        <v>6534</v>
      </c>
      <c r="C9046" s="196">
        <v>-963000</v>
      </c>
      <c r="D9046" s="196">
        <v>0</v>
      </c>
      <c r="E9046" s="196">
        <v>0</v>
      </c>
      <c r="F9046" s="196">
        <v>0</v>
      </c>
      <c r="G9046" s="196">
        <v>-963000</v>
      </c>
    </row>
    <row r="9047" spans="1:7" x14ac:dyDescent="0.3">
      <c r="A9047" s="198">
        <v>43101772</v>
      </c>
      <c r="B9047" s="192" t="s">
        <v>559</v>
      </c>
      <c r="C9047" s="196">
        <v>0</v>
      </c>
      <c r="D9047" s="196">
        <v>0</v>
      </c>
      <c r="E9047" s="196">
        <v>2895000</v>
      </c>
      <c r="F9047" s="196">
        <v>-2895000</v>
      </c>
      <c r="G9047" s="196">
        <v>-2895000</v>
      </c>
    </row>
    <row r="9048" spans="1:7" x14ac:dyDescent="0.3">
      <c r="A9048" s="198">
        <v>43300339</v>
      </c>
      <c r="B9048" s="192" t="s">
        <v>560</v>
      </c>
      <c r="C9048" s="196">
        <v>0</v>
      </c>
      <c r="D9048" s="196">
        <v>3526600</v>
      </c>
      <c r="E9048" s="196">
        <v>5289900</v>
      </c>
      <c r="F9048" s="196">
        <v>-1763300</v>
      </c>
      <c r="G9048" s="196">
        <v>-1763300</v>
      </c>
    </row>
    <row r="9049" spans="1:7" x14ac:dyDescent="0.3">
      <c r="A9049" s="198">
        <v>1234992063</v>
      </c>
      <c r="B9049" s="192" t="s">
        <v>6535</v>
      </c>
      <c r="C9049" s="196">
        <v>-963000</v>
      </c>
      <c r="D9049" s="196">
        <v>0</v>
      </c>
      <c r="E9049" s="196">
        <v>0</v>
      </c>
      <c r="F9049" s="196">
        <v>0</v>
      </c>
      <c r="G9049" s="196">
        <v>-963000</v>
      </c>
    </row>
    <row r="9050" spans="1:7" x14ac:dyDescent="0.3">
      <c r="A9050" s="198">
        <v>1039459754</v>
      </c>
      <c r="B9050" s="192" t="s">
        <v>561</v>
      </c>
      <c r="C9050" s="196">
        <v>0</v>
      </c>
      <c r="D9050" s="196">
        <v>0</v>
      </c>
      <c r="E9050" s="196">
        <v>2710000</v>
      </c>
      <c r="F9050" s="196">
        <v>-2710000</v>
      </c>
      <c r="G9050" s="196">
        <v>-2710000</v>
      </c>
    </row>
    <row r="9051" spans="1:7" x14ac:dyDescent="0.3">
      <c r="A9051" s="198">
        <v>1007743355</v>
      </c>
      <c r="B9051" s="192" t="s">
        <v>6536</v>
      </c>
      <c r="C9051" s="196">
        <v>-963000</v>
      </c>
      <c r="D9051" s="196">
        <v>0</v>
      </c>
      <c r="E9051" s="196">
        <v>0</v>
      </c>
      <c r="F9051" s="196">
        <v>0</v>
      </c>
      <c r="G9051" s="196">
        <v>-963000</v>
      </c>
    </row>
    <row r="9052" spans="1:7" x14ac:dyDescent="0.3">
      <c r="A9052" s="198">
        <v>43605890</v>
      </c>
      <c r="B9052" s="192" t="s">
        <v>565</v>
      </c>
      <c r="C9052" s="196">
        <v>-689300</v>
      </c>
      <c r="D9052" s="196">
        <v>0</v>
      </c>
      <c r="E9052" s="196">
        <v>0</v>
      </c>
      <c r="F9052" s="196">
        <v>0</v>
      </c>
      <c r="G9052" s="196">
        <v>-689300</v>
      </c>
    </row>
    <row r="9053" spans="1:7" x14ac:dyDescent="0.3">
      <c r="A9053" s="198">
        <v>1027887039</v>
      </c>
      <c r="B9053" s="192" t="s">
        <v>6537</v>
      </c>
      <c r="C9053" s="196">
        <v>-2710000</v>
      </c>
      <c r="D9053" s="196">
        <v>0</v>
      </c>
      <c r="E9053" s="196">
        <v>0</v>
      </c>
      <c r="F9053" s="196">
        <v>0</v>
      </c>
      <c r="G9053" s="196">
        <v>-2710000</v>
      </c>
    </row>
    <row r="9054" spans="1:7" x14ac:dyDescent="0.3">
      <c r="A9054" s="198">
        <v>1152463370</v>
      </c>
      <c r="B9054" s="192" t="s">
        <v>6538</v>
      </c>
      <c r="C9054" s="196">
        <v>-963000</v>
      </c>
      <c r="D9054" s="196">
        <v>0</v>
      </c>
      <c r="E9054" s="196">
        <v>0</v>
      </c>
      <c r="F9054" s="196">
        <v>0</v>
      </c>
      <c r="G9054" s="196">
        <v>-963000</v>
      </c>
    </row>
    <row r="9055" spans="1:7" x14ac:dyDescent="0.3">
      <c r="A9055" s="198">
        <v>43921990</v>
      </c>
      <c r="B9055" s="192" t="s">
        <v>6539</v>
      </c>
      <c r="C9055" s="196">
        <v>-860000</v>
      </c>
      <c r="D9055" s="196">
        <v>0</v>
      </c>
      <c r="E9055" s="196">
        <v>0</v>
      </c>
      <c r="F9055" s="196">
        <v>0</v>
      </c>
      <c r="G9055" s="196">
        <v>-860000</v>
      </c>
    </row>
    <row r="9056" spans="1:7" x14ac:dyDescent="0.3">
      <c r="A9056" s="198">
        <v>43896254</v>
      </c>
      <c r="B9056" s="192" t="s">
        <v>3472</v>
      </c>
      <c r="C9056" s="196">
        <v>-2923000</v>
      </c>
      <c r="D9056" s="196">
        <v>0</v>
      </c>
      <c r="E9056" s="196">
        <v>0</v>
      </c>
      <c r="F9056" s="196">
        <v>0</v>
      </c>
      <c r="G9056" s="196">
        <v>-2923000</v>
      </c>
    </row>
    <row r="9057" spans="1:7" x14ac:dyDescent="0.3">
      <c r="A9057" s="198">
        <v>42694448</v>
      </c>
      <c r="B9057" s="192" t="s">
        <v>568</v>
      </c>
      <c r="C9057" s="196">
        <v>0</v>
      </c>
      <c r="D9057" s="196">
        <v>0</v>
      </c>
      <c r="E9057" s="196">
        <v>1683000</v>
      </c>
      <c r="F9057" s="196">
        <v>-1683000</v>
      </c>
      <c r="G9057" s="196">
        <v>-1683000</v>
      </c>
    </row>
    <row r="9058" spans="1:7" x14ac:dyDescent="0.3">
      <c r="A9058" s="198">
        <v>43084499</v>
      </c>
      <c r="B9058" s="192" t="s">
        <v>2386</v>
      </c>
      <c r="C9058" s="196">
        <v>-57200</v>
      </c>
      <c r="D9058" s="196">
        <v>0</v>
      </c>
      <c r="E9058" s="196">
        <v>0</v>
      </c>
      <c r="F9058" s="196">
        <v>0</v>
      </c>
      <c r="G9058" s="196">
        <v>-57200</v>
      </c>
    </row>
    <row r="9059" spans="1:7" x14ac:dyDescent="0.3">
      <c r="A9059" s="198">
        <v>27760730</v>
      </c>
      <c r="B9059" s="192" t="s">
        <v>573</v>
      </c>
      <c r="C9059" s="196">
        <v>0</v>
      </c>
      <c r="D9059" s="196">
        <v>0</v>
      </c>
      <c r="E9059" s="196">
        <v>1782000</v>
      </c>
      <c r="F9059" s="196">
        <v>-1782000</v>
      </c>
      <c r="G9059" s="196">
        <v>-1782000</v>
      </c>
    </row>
    <row r="9060" spans="1:7" x14ac:dyDescent="0.3">
      <c r="A9060" s="198">
        <v>30655605</v>
      </c>
      <c r="B9060" s="192" t="s">
        <v>6540</v>
      </c>
      <c r="C9060" s="196">
        <v>-860000</v>
      </c>
      <c r="D9060" s="196">
        <v>0</v>
      </c>
      <c r="E9060" s="196">
        <v>0</v>
      </c>
      <c r="F9060" s="196">
        <v>0</v>
      </c>
      <c r="G9060" s="196">
        <v>-860000</v>
      </c>
    </row>
    <row r="9061" spans="1:7" x14ac:dyDescent="0.3">
      <c r="A9061" s="198">
        <v>21323541</v>
      </c>
      <c r="B9061" s="192" t="s">
        <v>574</v>
      </c>
      <c r="C9061" s="196">
        <v>-1118000</v>
      </c>
      <c r="D9061" s="196">
        <v>0</v>
      </c>
      <c r="E9061" s="196">
        <v>504000</v>
      </c>
      <c r="F9061" s="196">
        <v>-504000</v>
      </c>
      <c r="G9061" s="196">
        <v>-1622000</v>
      </c>
    </row>
    <row r="9062" spans="1:7" x14ac:dyDescent="0.3">
      <c r="A9062" s="198">
        <v>1036458778</v>
      </c>
      <c r="B9062" s="192" t="s">
        <v>6541</v>
      </c>
      <c r="C9062" s="196">
        <v>-1161000</v>
      </c>
      <c r="D9062" s="196">
        <v>0</v>
      </c>
      <c r="E9062" s="196">
        <v>0</v>
      </c>
      <c r="F9062" s="196">
        <v>0</v>
      </c>
      <c r="G9062" s="196">
        <v>-1161000</v>
      </c>
    </row>
    <row r="9063" spans="1:7" x14ac:dyDescent="0.3">
      <c r="A9063" s="198">
        <v>1015069421</v>
      </c>
      <c r="B9063" s="192" t="s">
        <v>6542</v>
      </c>
      <c r="C9063" s="196">
        <v>-860000</v>
      </c>
      <c r="D9063" s="196">
        <v>0</v>
      </c>
      <c r="E9063" s="196">
        <v>0</v>
      </c>
      <c r="F9063" s="196">
        <v>0</v>
      </c>
      <c r="G9063" s="196">
        <v>-860000</v>
      </c>
    </row>
    <row r="9064" spans="1:7" x14ac:dyDescent="0.3">
      <c r="A9064" s="198">
        <v>32304448</v>
      </c>
      <c r="B9064" s="192" t="s">
        <v>6543</v>
      </c>
      <c r="C9064" s="196">
        <v>-3338000</v>
      </c>
      <c r="D9064" s="196">
        <v>0</v>
      </c>
      <c r="E9064" s="196">
        <v>0</v>
      </c>
      <c r="F9064" s="196">
        <v>0</v>
      </c>
      <c r="G9064" s="196">
        <v>-3338000</v>
      </c>
    </row>
    <row r="9065" spans="1:7" x14ac:dyDescent="0.3">
      <c r="A9065" s="198">
        <v>1023304227</v>
      </c>
      <c r="B9065" s="192" t="s">
        <v>592</v>
      </c>
      <c r="C9065" s="196">
        <v>-4478000</v>
      </c>
      <c r="D9065" s="196">
        <v>0</v>
      </c>
      <c r="E9065" s="196">
        <v>0</v>
      </c>
      <c r="F9065" s="196">
        <v>0</v>
      </c>
      <c r="G9065" s="196">
        <v>-4478000</v>
      </c>
    </row>
    <row r="9066" spans="1:7" x14ac:dyDescent="0.3">
      <c r="A9066" s="198">
        <v>659919602</v>
      </c>
      <c r="B9066" s="192" t="s">
        <v>3561</v>
      </c>
      <c r="C9066" s="196">
        <v>-4310000</v>
      </c>
      <c r="D9066" s="196">
        <v>0</v>
      </c>
      <c r="E9066" s="196">
        <v>0</v>
      </c>
      <c r="F9066" s="196">
        <v>0</v>
      </c>
      <c r="G9066" s="196">
        <v>-4310000</v>
      </c>
    </row>
    <row r="9067" spans="1:7" x14ac:dyDescent="0.3">
      <c r="A9067" s="198">
        <v>43065977</v>
      </c>
      <c r="B9067" s="192" t="s">
        <v>6544</v>
      </c>
      <c r="C9067" s="196">
        <v>-963000</v>
      </c>
      <c r="D9067" s="196">
        <v>0</v>
      </c>
      <c r="E9067" s="196">
        <v>0</v>
      </c>
      <c r="F9067" s="196">
        <v>0</v>
      </c>
      <c r="G9067" s="196">
        <v>-963000</v>
      </c>
    </row>
    <row r="9068" spans="1:7" x14ac:dyDescent="0.3">
      <c r="A9068" s="198">
        <v>43920295</v>
      </c>
      <c r="B9068" s="192" t="s">
        <v>6545</v>
      </c>
      <c r="C9068" s="196">
        <v>-795000</v>
      </c>
      <c r="D9068" s="196">
        <v>0</v>
      </c>
      <c r="E9068" s="196">
        <v>0</v>
      </c>
      <c r="F9068" s="196">
        <v>0</v>
      </c>
      <c r="G9068" s="196">
        <v>-795000</v>
      </c>
    </row>
    <row r="9069" spans="1:7" x14ac:dyDescent="0.3">
      <c r="A9069" s="198">
        <v>1002106959</v>
      </c>
      <c r="B9069" s="192" t="s">
        <v>6546</v>
      </c>
      <c r="C9069" s="196">
        <v>-986000</v>
      </c>
      <c r="D9069" s="196">
        <v>0</v>
      </c>
      <c r="E9069" s="196">
        <v>0</v>
      </c>
      <c r="F9069" s="196">
        <v>0</v>
      </c>
      <c r="G9069" s="196">
        <v>-986000</v>
      </c>
    </row>
    <row r="9070" spans="1:7" x14ac:dyDescent="0.3">
      <c r="A9070" s="198">
        <v>43928526</v>
      </c>
      <c r="B9070" s="192" t="s">
        <v>6547</v>
      </c>
      <c r="C9070" s="196">
        <v>-963000</v>
      </c>
      <c r="D9070" s="196">
        <v>0</v>
      </c>
      <c r="E9070" s="196">
        <v>0</v>
      </c>
      <c r="F9070" s="196">
        <v>0</v>
      </c>
      <c r="G9070" s="196">
        <v>-963000</v>
      </c>
    </row>
    <row r="9071" spans="1:7" x14ac:dyDescent="0.3">
      <c r="A9071" s="198">
        <v>1020481407</v>
      </c>
      <c r="B9071" s="192" t="s">
        <v>6548</v>
      </c>
      <c r="C9071" s="196">
        <v>-963000</v>
      </c>
      <c r="D9071" s="196">
        <v>0</v>
      </c>
      <c r="E9071" s="196">
        <v>0</v>
      </c>
      <c r="F9071" s="196">
        <v>0</v>
      </c>
      <c r="G9071" s="196">
        <v>-963000</v>
      </c>
    </row>
    <row r="9072" spans="1:7" x14ac:dyDescent="0.3">
      <c r="A9072" s="192" t="s">
        <v>3571</v>
      </c>
      <c r="B9072" s="192" t="s">
        <v>3572</v>
      </c>
      <c r="C9072" s="196">
        <v>-12185800</v>
      </c>
      <c r="D9072" s="196">
        <v>0</v>
      </c>
      <c r="E9072" s="196">
        <v>0</v>
      </c>
      <c r="F9072" s="196">
        <v>0</v>
      </c>
      <c r="G9072" s="196">
        <v>-12185800</v>
      </c>
    </row>
    <row r="9073" spans="1:7" x14ac:dyDescent="0.3">
      <c r="A9073" s="198">
        <v>33106365</v>
      </c>
      <c r="B9073" s="192" t="s">
        <v>6549</v>
      </c>
      <c r="C9073" s="196">
        <v>-4147000</v>
      </c>
      <c r="D9073" s="196">
        <v>0</v>
      </c>
      <c r="E9073" s="196">
        <v>0</v>
      </c>
      <c r="F9073" s="196">
        <v>0</v>
      </c>
      <c r="G9073" s="196">
        <v>-4147000</v>
      </c>
    </row>
    <row r="9074" spans="1:7" x14ac:dyDescent="0.3">
      <c r="A9074" s="198">
        <v>1020732091</v>
      </c>
      <c r="B9074" s="192" t="s">
        <v>6550</v>
      </c>
      <c r="C9074" s="196">
        <v>-963000</v>
      </c>
      <c r="D9074" s="196">
        <v>0</v>
      </c>
      <c r="E9074" s="196">
        <v>0</v>
      </c>
      <c r="F9074" s="196">
        <v>0</v>
      </c>
      <c r="G9074" s="196">
        <v>-963000</v>
      </c>
    </row>
    <row r="9075" spans="1:7" x14ac:dyDescent="0.3">
      <c r="A9075" s="198">
        <v>1100397700</v>
      </c>
      <c r="B9075" s="192" t="s">
        <v>6551</v>
      </c>
      <c r="C9075" s="196">
        <v>-963000</v>
      </c>
      <c r="D9075" s="196">
        <v>0</v>
      </c>
      <c r="E9075" s="196">
        <v>0</v>
      </c>
      <c r="F9075" s="196">
        <v>0</v>
      </c>
      <c r="G9075" s="196">
        <v>-963000</v>
      </c>
    </row>
    <row r="9076" spans="1:7" x14ac:dyDescent="0.3">
      <c r="A9076" s="198">
        <v>1007676061</v>
      </c>
      <c r="B9076" s="192" t="s">
        <v>3580</v>
      </c>
      <c r="C9076" s="196">
        <v>-3510000</v>
      </c>
      <c r="D9076" s="196">
        <v>0</v>
      </c>
      <c r="E9076" s="196">
        <v>0</v>
      </c>
      <c r="F9076" s="196">
        <v>0</v>
      </c>
      <c r="G9076" s="196">
        <v>-3510000</v>
      </c>
    </row>
    <row r="9077" spans="1:7" x14ac:dyDescent="0.3">
      <c r="A9077" s="198">
        <v>98555992</v>
      </c>
      <c r="B9077" s="192" t="s">
        <v>6552</v>
      </c>
      <c r="C9077" s="196">
        <v>-1870000</v>
      </c>
      <c r="D9077" s="196">
        <v>0</v>
      </c>
      <c r="E9077" s="196">
        <v>0</v>
      </c>
      <c r="F9077" s="196">
        <v>0</v>
      </c>
      <c r="G9077" s="196">
        <v>-1870000</v>
      </c>
    </row>
    <row r="9078" spans="1:7" x14ac:dyDescent="0.3">
      <c r="A9078" s="198">
        <v>1036966731</v>
      </c>
      <c r="B9078" s="192" t="s">
        <v>3587</v>
      </c>
      <c r="C9078" s="196">
        <v>-2160000</v>
      </c>
      <c r="D9078" s="196">
        <v>0</v>
      </c>
      <c r="E9078" s="196">
        <v>0</v>
      </c>
      <c r="F9078" s="196">
        <v>0</v>
      </c>
      <c r="G9078" s="196">
        <v>-2160000</v>
      </c>
    </row>
    <row r="9079" spans="1:7" x14ac:dyDescent="0.3">
      <c r="A9079" s="198">
        <v>1077464654</v>
      </c>
      <c r="B9079" s="192" t="s">
        <v>600</v>
      </c>
      <c r="C9079" s="196">
        <v>0</v>
      </c>
      <c r="D9079" s="196">
        <v>0</v>
      </c>
      <c r="E9079" s="196">
        <v>963000</v>
      </c>
      <c r="F9079" s="196">
        <v>-963000</v>
      </c>
      <c r="G9079" s="196">
        <v>-963000</v>
      </c>
    </row>
    <row r="9080" spans="1:7" x14ac:dyDescent="0.3">
      <c r="A9080" s="198">
        <v>1090391698</v>
      </c>
      <c r="B9080" s="192" t="s">
        <v>6553</v>
      </c>
      <c r="C9080" s="196">
        <v>-963000</v>
      </c>
      <c r="D9080" s="196">
        <v>0</v>
      </c>
      <c r="E9080" s="196">
        <v>0</v>
      </c>
      <c r="F9080" s="196">
        <v>0</v>
      </c>
      <c r="G9080" s="196">
        <v>-963000</v>
      </c>
    </row>
    <row r="9081" spans="1:7" x14ac:dyDescent="0.3">
      <c r="A9081" s="198">
        <v>1001724916</v>
      </c>
      <c r="B9081" s="192" t="s">
        <v>6554</v>
      </c>
      <c r="C9081" s="196">
        <v>-860000</v>
      </c>
      <c r="D9081" s="196">
        <v>0</v>
      </c>
      <c r="E9081" s="196">
        <v>0</v>
      </c>
      <c r="F9081" s="196">
        <v>0</v>
      </c>
      <c r="G9081" s="196">
        <v>-860000</v>
      </c>
    </row>
    <row r="9082" spans="1:7" x14ac:dyDescent="0.3">
      <c r="A9082" s="198">
        <v>1152190205</v>
      </c>
      <c r="B9082" s="192" t="s">
        <v>603</v>
      </c>
      <c r="C9082" s="196">
        <v>0</v>
      </c>
      <c r="D9082" s="196">
        <v>0</v>
      </c>
      <c r="E9082" s="196">
        <v>522500</v>
      </c>
      <c r="F9082" s="196">
        <v>-522500</v>
      </c>
      <c r="G9082" s="196">
        <v>-522500</v>
      </c>
    </row>
    <row r="9083" spans="1:7" x14ac:dyDescent="0.3">
      <c r="A9083" s="198">
        <v>1152194450</v>
      </c>
      <c r="B9083" s="192" t="s">
        <v>6555</v>
      </c>
      <c r="C9083" s="196">
        <v>-963000</v>
      </c>
      <c r="D9083" s="196">
        <v>0</v>
      </c>
      <c r="E9083" s="196">
        <v>0</v>
      </c>
      <c r="F9083" s="196">
        <v>0</v>
      </c>
      <c r="G9083" s="196">
        <v>-963000</v>
      </c>
    </row>
    <row r="9084" spans="1:7" x14ac:dyDescent="0.3">
      <c r="A9084" s="198">
        <v>1072717106</v>
      </c>
      <c r="B9084" s="192" t="s">
        <v>6556</v>
      </c>
      <c r="C9084" s="196">
        <v>-9143800</v>
      </c>
      <c r="D9084" s="196">
        <v>0</v>
      </c>
      <c r="E9084" s="196">
        <v>0</v>
      </c>
      <c r="F9084" s="196">
        <v>0</v>
      </c>
      <c r="G9084" s="196">
        <v>-9143800</v>
      </c>
    </row>
    <row r="9085" spans="1:7" x14ac:dyDescent="0.3">
      <c r="A9085" s="198">
        <v>1038416479</v>
      </c>
      <c r="B9085" s="192" t="s">
        <v>6557</v>
      </c>
      <c r="C9085" s="196">
        <v>-963000</v>
      </c>
      <c r="D9085" s="196">
        <v>0</v>
      </c>
      <c r="E9085" s="196">
        <v>0</v>
      </c>
      <c r="F9085" s="196">
        <v>0</v>
      </c>
      <c r="G9085" s="196">
        <v>-963000</v>
      </c>
    </row>
    <row r="9086" spans="1:7" x14ac:dyDescent="0.3">
      <c r="A9086" s="198">
        <v>1020459476</v>
      </c>
      <c r="B9086" s="192" t="s">
        <v>604</v>
      </c>
      <c r="C9086" s="196">
        <v>0</v>
      </c>
      <c r="D9086" s="196">
        <v>0</v>
      </c>
      <c r="E9086" s="196">
        <v>963000</v>
      </c>
      <c r="F9086" s="196">
        <v>-963000</v>
      </c>
      <c r="G9086" s="196">
        <v>-963000</v>
      </c>
    </row>
    <row r="9087" spans="1:7" x14ac:dyDescent="0.3">
      <c r="A9087" s="198">
        <v>32501728</v>
      </c>
      <c r="B9087" s="192" t="s">
        <v>6558</v>
      </c>
      <c r="C9087" s="196">
        <v>-4133000</v>
      </c>
      <c r="D9087" s="196">
        <v>0</v>
      </c>
      <c r="E9087" s="196">
        <v>0</v>
      </c>
      <c r="F9087" s="196">
        <v>0</v>
      </c>
      <c r="G9087" s="196">
        <v>-4133000</v>
      </c>
    </row>
    <row r="9088" spans="1:7" x14ac:dyDescent="0.3">
      <c r="A9088" s="198">
        <v>901503425</v>
      </c>
      <c r="B9088" s="192" t="s">
        <v>118</v>
      </c>
      <c r="C9088" s="196">
        <v>-22037000</v>
      </c>
      <c r="D9088" s="196">
        <v>0</v>
      </c>
      <c r="E9088" s="196">
        <v>0</v>
      </c>
      <c r="F9088" s="196">
        <v>0</v>
      </c>
      <c r="G9088" s="196">
        <v>-22037000</v>
      </c>
    </row>
    <row r="9089" spans="1:7" x14ac:dyDescent="0.3">
      <c r="A9089" s="198">
        <v>8280141</v>
      </c>
      <c r="B9089" s="192" t="s">
        <v>608</v>
      </c>
      <c r="C9089" s="196">
        <v>-16676000</v>
      </c>
      <c r="D9089" s="196">
        <v>0</v>
      </c>
      <c r="E9089" s="196">
        <v>0</v>
      </c>
      <c r="F9089" s="196">
        <v>0</v>
      </c>
      <c r="G9089" s="196">
        <v>-16676000</v>
      </c>
    </row>
    <row r="9090" spans="1:7" x14ac:dyDescent="0.3">
      <c r="A9090" s="198">
        <v>1039684664</v>
      </c>
      <c r="B9090" s="192" t="s">
        <v>6559</v>
      </c>
      <c r="C9090" s="196">
        <v>-963000</v>
      </c>
      <c r="D9090" s="196">
        <v>0</v>
      </c>
      <c r="E9090" s="196">
        <v>0</v>
      </c>
      <c r="F9090" s="196">
        <v>0</v>
      </c>
      <c r="G9090" s="196">
        <v>-963000</v>
      </c>
    </row>
    <row r="9091" spans="1:7" x14ac:dyDescent="0.3">
      <c r="A9091" s="198">
        <v>1037613009</v>
      </c>
      <c r="B9091" s="192" t="s">
        <v>6560</v>
      </c>
      <c r="C9091" s="196">
        <v>-3125000</v>
      </c>
      <c r="D9091" s="196">
        <v>0</v>
      </c>
      <c r="E9091" s="196">
        <v>0</v>
      </c>
      <c r="F9091" s="196">
        <v>0</v>
      </c>
      <c r="G9091" s="196">
        <v>-3125000</v>
      </c>
    </row>
    <row r="9092" spans="1:7" x14ac:dyDescent="0.3">
      <c r="A9092" s="198">
        <v>1001250730</v>
      </c>
      <c r="B9092" s="192" t="s">
        <v>6561</v>
      </c>
      <c r="C9092" s="196">
        <v>-963000</v>
      </c>
      <c r="D9092" s="196">
        <v>0</v>
      </c>
      <c r="E9092" s="196">
        <v>0</v>
      </c>
      <c r="F9092" s="196">
        <v>0</v>
      </c>
      <c r="G9092" s="196">
        <v>-963000</v>
      </c>
    </row>
    <row r="9093" spans="1:7" x14ac:dyDescent="0.3">
      <c r="A9093" s="198">
        <v>70162142</v>
      </c>
      <c r="B9093" s="192" t="s">
        <v>6562</v>
      </c>
      <c r="C9093" s="196">
        <v>-5000000</v>
      </c>
      <c r="D9093" s="196">
        <v>0</v>
      </c>
      <c r="E9093" s="196">
        <v>0</v>
      </c>
      <c r="F9093" s="196">
        <v>0</v>
      </c>
      <c r="G9093" s="196">
        <v>-5000000</v>
      </c>
    </row>
    <row r="9094" spans="1:7" x14ac:dyDescent="0.3">
      <c r="A9094" s="198">
        <v>19054009</v>
      </c>
      <c r="B9094" s="192" t="s">
        <v>6563</v>
      </c>
      <c r="C9094" s="196">
        <v>-710000</v>
      </c>
      <c r="D9094" s="196">
        <v>0</v>
      </c>
      <c r="E9094" s="196">
        <v>0</v>
      </c>
      <c r="F9094" s="196">
        <v>0</v>
      </c>
      <c r="G9094" s="196">
        <v>-710000</v>
      </c>
    </row>
    <row r="9095" spans="1:7" x14ac:dyDescent="0.3">
      <c r="A9095" s="192" t="s">
        <v>611</v>
      </c>
      <c r="B9095" s="192" t="s">
        <v>612</v>
      </c>
      <c r="C9095" s="196">
        <v>-6292000</v>
      </c>
      <c r="D9095" s="196">
        <v>0</v>
      </c>
      <c r="E9095" s="196">
        <v>0</v>
      </c>
      <c r="F9095" s="196">
        <v>0</v>
      </c>
      <c r="G9095" s="196">
        <v>-6292000</v>
      </c>
    </row>
    <row r="9096" spans="1:7" x14ac:dyDescent="0.3">
      <c r="A9096" s="198">
        <v>32456438</v>
      </c>
      <c r="B9096" s="192" t="s">
        <v>3623</v>
      </c>
      <c r="C9096" s="196">
        <v>-7680000</v>
      </c>
      <c r="D9096" s="196">
        <v>0</v>
      </c>
      <c r="E9096" s="196">
        <v>0</v>
      </c>
      <c r="F9096" s="196">
        <v>0</v>
      </c>
      <c r="G9096" s="196">
        <v>-7680000</v>
      </c>
    </row>
    <row r="9097" spans="1:7" x14ac:dyDescent="0.3">
      <c r="A9097" s="198">
        <v>1045138583</v>
      </c>
      <c r="B9097" s="192" t="s">
        <v>6564</v>
      </c>
      <c r="C9097" s="196">
        <v>-860000</v>
      </c>
      <c r="D9097" s="196">
        <v>0</v>
      </c>
      <c r="E9097" s="196">
        <v>0</v>
      </c>
      <c r="F9097" s="196">
        <v>0</v>
      </c>
      <c r="G9097" s="196">
        <v>-860000</v>
      </c>
    </row>
    <row r="9098" spans="1:7" x14ac:dyDescent="0.3">
      <c r="A9098" s="198">
        <v>1040180615</v>
      </c>
      <c r="B9098" s="192" t="s">
        <v>6565</v>
      </c>
      <c r="C9098" s="196">
        <v>-860000</v>
      </c>
      <c r="D9098" s="196">
        <v>0</v>
      </c>
      <c r="E9098" s="196">
        <v>0</v>
      </c>
      <c r="F9098" s="196">
        <v>0</v>
      </c>
      <c r="G9098" s="196">
        <v>-860000</v>
      </c>
    </row>
    <row r="9099" spans="1:7" x14ac:dyDescent="0.3">
      <c r="A9099" s="198">
        <v>1083894021</v>
      </c>
      <c r="B9099" s="192" t="s">
        <v>3637</v>
      </c>
      <c r="C9099" s="196">
        <v>-4710000</v>
      </c>
      <c r="D9099" s="196">
        <v>0</v>
      </c>
      <c r="E9099" s="196">
        <v>0</v>
      </c>
      <c r="F9099" s="196">
        <v>0</v>
      </c>
      <c r="G9099" s="196">
        <v>-4710000</v>
      </c>
    </row>
    <row r="9100" spans="1:7" x14ac:dyDescent="0.3">
      <c r="A9100" s="198">
        <v>1362925</v>
      </c>
      <c r="B9100" s="192" t="s">
        <v>620</v>
      </c>
      <c r="C9100" s="196">
        <v>-10702200</v>
      </c>
      <c r="D9100" s="196">
        <v>0</v>
      </c>
      <c r="E9100" s="196">
        <v>0</v>
      </c>
      <c r="F9100" s="196">
        <v>0</v>
      </c>
      <c r="G9100" s="196">
        <v>-10702200</v>
      </c>
    </row>
    <row r="9101" spans="1:7" x14ac:dyDescent="0.3">
      <c r="A9101" s="198">
        <v>8078099</v>
      </c>
      <c r="B9101" s="192" t="s">
        <v>3645</v>
      </c>
      <c r="C9101" s="196">
        <v>-13312800</v>
      </c>
      <c r="D9101" s="196">
        <v>0</v>
      </c>
      <c r="E9101" s="196">
        <v>0</v>
      </c>
      <c r="F9101" s="196">
        <v>0</v>
      </c>
      <c r="G9101" s="196">
        <v>-13312800</v>
      </c>
    </row>
    <row r="9102" spans="1:7" x14ac:dyDescent="0.3">
      <c r="A9102" s="198">
        <v>98665143</v>
      </c>
      <c r="B9102" s="192" t="s">
        <v>3646</v>
      </c>
      <c r="C9102" s="196">
        <v>-1600000</v>
      </c>
      <c r="D9102" s="196">
        <v>0</v>
      </c>
      <c r="E9102" s="196">
        <v>0</v>
      </c>
      <c r="F9102" s="196">
        <v>0</v>
      </c>
      <c r="G9102" s="196">
        <v>-1600000</v>
      </c>
    </row>
    <row r="9103" spans="1:7" x14ac:dyDescent="0.3">
      <c r="A9103" s="198">
        <v>1006117174</v>
      </c>
      <c r="B9103" s="192" t="s">
        <v>6566</v>
      </c>
      <c r="C9103" s="196">
        <v>-3900000</v>
      </c>
      <c r="D9103" s="196">
        <v>0</v>
      </c>
      <c r="E9103" s="196">
        <v>0</v>
      </c>
      <c r="F9103" s="196">
        <v>0</v>
      </c>
      <c r="G9103" s="196">
        <v>-3900000</v>
      </c>
    </row>
    <row r="9104" spans="1:7" x14ac:dyDescent="0.3">
      <c r="A9104" s="198">
        <v>166508208</v>
      </c>
      <c r="B9104" s="192" t="s">
        <v>119</v>
      </c>
      <c r="C9104" s="196">
        <v>-3410000</v>
      </c>
      <c r="D9104" s="196">
        <v>0</v>
      </c>
      <c r="E9104" s="196">
        <v>0</v>
      </c>
      <c r="F9104" s="196">
        <v>0</v>
      </c>
      <c r="G9104" s="196">
        <v>-3410000</v>
      </c>
    </row>
    <row r="9105" spans="1:7" x14ac:dyDescent="0.3">
      <c r="A9105" s="198">
        <v>78077254</v>
      </c>
      <c r="B9105" s="192" t="s">
        <v>6567</v>
      </c>
      <c r="C9105" s="196">
        <v>-963000</v>
      </c>
      <c r="D9105" s="196">
        <v>0</v>
      </c>
      <c r="E9105" s="196">
        <v>0</v>
      </c>
      <c r="F9105" s="196">
        <v>0</v>
      </c>
      <c r="G9105" s="196">
        <v>-963000</v>
      </c>
    </row>
    <row r="9106" spans="1:7" x14ac:dyDescent="0.3">
      <c r="A9106" s="198">
        <v>71531751</v>
      </c>
      <c r="B9106" s="192" t="s">
        <v>6568</v>
      </c>
      <c r="C9106" s="196">
        <v>-1512000</v>
      </c>
      <c r="D9106" s="196">
        <v>0</v>
      </c>
      <c r="E9106" s="196">
        <v>0</v>
      </c>
      <c r="F9106" s="196">
        <v>0</v>
      </c>
      <c r="G9106" s="196">
        <v>-1512000</v>
      </c>
    </row>
    <row r="9107" spans="1:7" x14ac:dyDescent="0.3">
      <c r="A9107" s="198">
        <v>98559562</v>
      </c>
      <c r="B9107" s="192" t="s">
        <v>6569</v>
      </c>
      <c r="C9107" s="196">
        <v>-3910000</v>
      </c>
      <c r="D9107" s="196">
        <v>0</v>
      </c>
      <c r="E9107" s="196">
        <v>0</v>
      </c>
      <c r="F9107" s="196">
        <v>0</v>
      </c>
      <c r="G9107" s="196">
        <v>-3910000</v>
      </c>
    </row>
    <row r="9108" spans="1:7" x14ac:dyDescent="0.3">
      <c r="A9108" s="198">
        <v>8255133</v>
      </c>
      <c r="B9108" s="192" t="s">
        <v>633</v>
      </c>
      <c r="C9108" s="196">
        <v>-614000</v>
      </c>
      <c r="D9108" s="196">
        <v>0</v>
      </c>
      <c r="E9108" s="196">
        <v>614000</v>
      </c>
      <c r="F9108" s="196">
        <v>-614000</v>
      </c>
      <c r="G9108" s="196">
        <v>-1228000</v>
      </c>
    </row>
    <row r="9109" spans="1:7" x14ac:dyDescent="0.3">
      <c r="A9109" s="198">
        <v>71708191</v>
      </c>
      <c r="B9109" s="192" t="s">
        <v>6570</v>
      </c>
      <c r="C9109" s="196">
        <v>-4375000</v>
      </c>
      <c r="D9109" s="196">
        <v>0</v>
      </c>
      <c r="E9109" s="196">
        <v>0</v>
      </c>
      <c r="F9109" s="196">
        <v>0</v>
      </c>
      <c r="G9109" s="196">
        <v>-4375000</v>
      </c>
    </row>
    <row r="9110" spans="1:7" x14ac:dyDescent="0.3">
      <c r="A9110" s="198">
        <v>15329327</v>
      </c>
      <c r="B9110" s="192" t="s">
        <v>6571</v>
      </c>
      <c r="C9110" s="196">
        <v>-4375000</v>
      </c>
      <c r="D9110" s="196">
        <v>0</v>
      </c>
      <c r="E9110" s="196">
        <v>0</v>
      </c>
      <c r="F9110" s="196">
        <v>0</v>
      </c>
      <c r="G9110" s="196">
        <v>-4375000</v>
      </c>
    </row>
    <row r="9111" spans="1:7" x14ac:dyDescent="0.3">
      <c r="A9111" s="198">
        <v>79532253</v>
      </c>
      <c r="B9111" s="192" t="s">
        <v>637</v>
      </c>
      <c r="C9111" s="196">
        <v>0</v>
      </c>
      <c r="D9111" s="196">
        <v>0</v>
      </c>
      <c r="E9111" s="196">
        <v>13937800</v>
      </c>
      <c r="F9111" s="196">
        <v>-13937800</v>
      </c>
      <c r="G9111" s="196">
        <v>-13937800</v>
      </c>
    </row>
    <row r="9112" spans="1:7" x14ac:dyDescent="0.3">
      <c r="A9112" s="198">
        <v>4105038</v>
      </c>
      <c r="B9112" s="192" t="s">
        <v>642</v>
      </c>
      <c r="C9112" s="196">
        <v>0</v>
      </c>
      <c r="D9112" s="196">
        <v>0</v>
      </c>
      <c r="E9112" s="196">
        <v>8309800</v>
      </c>
      <c r="F9112" s="196">
        <v>-8309800</v>
      </c>
      <c r="G9112" s="196">
        <v>-8309800</v>
      </c>
    </row>
    <row r="9113" spans="1:7" x14ac:dyDescent="0.3">
      <c r="A9113" s="198">
        <v>70690007</v>
      </c>
      <c r="B9113" s="192" t="s">
        <v>6572</v>
      </c>
      <c r="C9113" s="196">
        <v>-3338000</v>
      </c>
      <c r="D9113" s="196">
        <v>0</v>
      </c>
      <c r="E9113" s="196">
        <v>0</v>
      </c>
      <c r="F9113" s="196">
        <v>0</v>
      </c>
      <c r="G9113" s="196">
        <v>-3338000</v>
      </c>
    </row>
    <row r="9114" spans="1:7" x14ac:dyDescent="0.3">
      <c r="A9114" s="198">
        <v>592632914</v>
      </c>
      <c r="B9114" s="192" t="s">
        <v>3713</v>
      </c>
      <c r="C9114" s="196">
        <v>-4210000</v>
      </c>
      <c r="D9114" s="196">
        <v>0</v>
      </c>
      <c r="E9114" s="196">
        <v>0</v>
      </c>
      <c r="F9114" s="196">
        <v>0</v>
      </c>
      <c r="G9114" s="196">
        <v>-4210000</v>
      </c>
    </row>
    <row r="9115" spans="1:7" x14ac:dyDescent="0.3">
      <c r="A9115" s="198">
        <v>1142948064</v>
      </c>
      <c r="B9115" s="192" t="s">
        <v>3729</v>
      </c>
      <c r="C9115" s="196">
        <v>-3210000</v>
      </c>
      <c r="D9115" s="196">
        <v>0</v>
      </c>
      <c r="E9115" s="196">
        <v>0</v>
      </c>
      <c r="F9115" s="196">
        <v>0</v>
      </c>
      <c r="G9115" s="196">
        <v>-3210000</v>
      </c>
    </row>
    <row r="9116" spans="1:7" x14ac:dyDescent="0.3">
      <c r="A9116" s="198">
        <v>649454354</v>
      </c>
      <c r="B9116" s="192" t="s">
        <v>3731</v>
      </c>
      <c r="C9116" s="196">
        <v>-3000000</v>
      </c>
      <c r="D9116" s="196">
        <v>0</v>
      </c>
      <c r="E9116" s="196">
        <v>0</v>
      </c>
      <c r="F9116" s="196">
        <v>0</v>
      </c>
      <c r="G9116" s="196">
        <v>-3000000</v>
      </c>
    </row>
    <row r="9117" spans="1:7" x14ac:dyDescent="0.3">
      <c r="A9117" s="192" t="s">
        <v>3733</v>
      </c>
      <c r="B9117" s="192" t="s">
        <v>3734</v>
      </c>
      <c r="C9117" s="196">
        <v>-14133000</v>
      </c>
      <c r="D9117" s="196">
        <v>0</v>
      </c>
      <c r="E9117" s="196">
        <v>0</v>
      </c>
      <c r="F9117" s="196">
        <v>0</v>
      </c>
      <c r="G9117" s="196">
        <v>-14133000</v>
      </c>
    </row>
    <row r="9118" spans="1:7" x14ac:dyDescent="0.3">
      <c r="A9118" s="198">
        <v>1214737707</v>
      </c>
      <c r="B9118" s="192" t="s">
        <v>6573</v>
      </c>
      <c r="C9118" s="196">
        <v>-963000</v>
      </c>
      <c r="D9118" s="196">
        <v>0</v>
      </c>
      <c r="E9118" s="196">
        <v>0</v>
      </c>
      <c r="F9118" s="196">
        <v>0</v>
      </c>
      <c r="G9118" s="196">
        <v>-963000</v>
      </c>
    </row>
    <row r="9119" spans="1:7" x14ac:dyDescent="0.3">
      <c r="A9119" s="198">
        <v>1007853333</v>
      </c>
      <c r="B9119" s="192" t="s">
        <v>647</v>
      </c>
      <c r="C9119" s="196">
        <v>0</v>
      </c>
      <c r="D9119" s="196">
        <v>0</v>
      </c>
      <c r="E9119" s="196">
        <v>963000</v>
      </c>
      <c r="F9119" s="196">
        <v>-963000</v>
      </c>
      <c r="G9119" s="196">
        <v>-963000</v>
      </c>
    </row>
    <row r="9120" spans="1:7" x14ac:dyDescent="0.3">
      <c r="A9120" s="198">
        <v>1000137044</v>
      </c>
      <c r="B9120" s="192" t="s">
        <v>648</v>
      </c>
      <c r="C9120" s="196">
        <v>0</v>
      </c>
      <c r="D9120" s="196">
        <v>0</v>
      </c>
      <c r="E9120" s="196">
        <v>2710000</v>
      </c>
      <c r="F9120" s="196">
        <v>-2710000</v>
      </c>
      <c r="G9120" s="196">
        <v>-2710000</v>
      </c>
    </row>
    <row r="9121" spans="1:7" x14ac:dyDescent="0.3">
      <c r="A9121" s="198">
        <v>1102874540</v>
      </c>
      <c r="B9121" s="192" t="s">
        <v>3736</v>
      </c>
      <c r="C9121" s="196">
        <v>-3463000</v>
      </c>
      <c r="D9121" s="196">
        <v>0</v>
      </c>
      <c r="E9121" s="196">
        <v>0</v>
      </c>
      <c r="F9121" s="196">
        <v>0</v>
      </c>
      <c r="G9121" s="196">
        <v>-3463000</v>
      </c>
    </row>
    <row r="9122" spans="1:7" x14ac:dyDescent="0.3">
      <c r="A9122" s="198">
        <v>8154925</v>
      </c>
      <c r="B9122" s="192" t="s">
        <v>6574</v>
      </c>
      <c r="C9122" s="196">
        <v>-860000</v>
      </c>
      <c r="D9122" s="196">
        <v>0</v>
      </c>
      <c r="E9122" s="196">
        <v>0</v>
      </c>
      <c r="F9122" s="196">
        <v>0</v>
      </c>
      <c r="G9122" s="196">
        <v>-860000</v>
      </c>
    </row>
    <row r="9123" spans="1:7" x14ac:dyDescent="0.3">
      <c r="A9123" s="198">
        <v>8260483</v>
      </c>
      <c r="B9123" s="192" t="s">
        <v>652</v>
      </c>
      <c r="C9123" s="196">
        <v>-2504000</v>
      </c>
      <c r="D9123" s="196">
        <v>0</v>
      </c>
      <c r="E9123" s="196">
        <v>2504000</v>
      </c>
      <c r="F9123" s="196">
        <v>-2504000</v>
      </c>
      <c r="G9123" s="196">
        <v>-5008000</v>
      </c>
    </row>
    <row r="9124" spans="1:7" x14ac:dyDescent="0.3">
      <c r="A9124" s="198">
        <v>8278608</v>
      </c>
      <c r="B9124" s="192" t="s">
        <v>6575</v>
      </c>
      <c r="C9124" s="196">
        <v>-7995000</v>
      </c>
      <c r="D9124" s="196">
        <v>0</v>
      </c>
      <c r="E9124" s="196">
        <v>0</v>
      </c>
      <c r="F9124" s="196">
        <v>0</v>
      </c>
      <c r="G9124" s="196">
        <v>-7995000</v>
      </c>
    </row>
    <row r="9125" spans="1:7" x14ac:dyDescent="0.3">
      <c r="A9125" s="198">
        <v>1000884712</v>
      </c>
      <c r="B9125" s="192" t="s">
        <v>6576</v>
      </c>
      <c r="C9125" s="196">
        <v>-963000</v>
      </c>
      <c r="D9125" s="196">
        <v>0</v>
      </c>
      <c r="E9125" s="196">
        <v>0</v>
      </c>
      <c r="F9125" s="196">
        <v>0</v>
      </c>
      <c r="G9125" s="196">
        <v>-963000</v>
      </c>
    </row>
    <row r="9126" spans="1:7" x14ac:dyDescent="0.3">
      <c r="A9126" s="198">
        <v>70071136</v>
      </c>
      <c r="B9126" s="192" t="s">
        <v>655</v>
      </c>
      <c r="C9126" s="196">
        <v>-6284000</v>
      </c>
      <c r="D9126" s="196">
        <v>0</v>
      </c>
      <c r="E9126" s="196">
        <v>0</v>
      </c>
      <c r="F9126" s="196">
        <v>0</v>
      </c>
      <c r="G9126" s="196">
        <v>-6284000</v>
      </c>
    </row>
    <row r="9127" spans="1:7" x14ac:dyDescent="0.3">
      <c r="A9127" s="198">
        <v>21871979</v>
      </c>
      <c r="B9127" s="192" t="s">
        <v>656</v>
      </c>
      <c r="C9127" s="196">
        <v>0</v>
      </c>
      <c r="D9127" s="196">
        <v>0</v>
      </c>
      <c r="E9127" s="196">
        <v>683000</v>
      </c>
      <c r="F9127" s="196">
        <v>-683000</v>
      </c>
      <c r="G9127" s="196">
        <v>-683000</v>
      </c>
    </row>
    <row r="9128" spans="1:7" x14ac:dyDescent="0.3">
      <c r="A9128" s="198">
        <v>1026151750</v>
      </c>
      <c r="B9128" s="192" t="s">
        <v>6577</v>
      </c>
      <c r="C9128" s="196">
        <v>-963000</v>
      </c>
      <c r="D9128" s="196">
        <v>0</v>
      </c>
      <c r="E9128" s="196">
        <v>0</v>
      </c>
      <c r="F9128" s="196">
        <v>0</v>
      </c>
      <c r="G9128" s="196">
        <v>-963000</v>
      </c>
    </row>
    <row r="9129" spans="1:7" x14ac:dyDescent="0.3">
      <c r="A9129" s="198">
        <v>583847918</v>
      </c>
      <c r="B9129" s="192" t="s">
        <v>6578</v>
      </c>
      <c r="C9129" s="196">
        <v>-12397000</v>
      </c>
      <c r="D9129" s="196">
        <v>0</v>
      </c>
      <c r="E9129" s="196">
        <v>0</v>
      </c>
      <c r="F9129" s="196">
        <v>0</v>
      </c>
      <c r="G9129" s="196">
        <v>-12397000</v>
      </c>
    </row>
    <row r="9130" spans="1:7" x14ac:dyDescent="0.3">
      <c r="A9130" s="198">
        <v>1037570450</v>
      </c>
      <c r="B9130" s="192" t="s">
        <v>2390</v>
      </c>
      <c r="C9130" s="196">
        <v>-3153700</v>
      </c>
      <c r="D9130" s="196">
        <v>0</v>
      </c>
      <c r="E9130" s="196">
        <v>0</v>
      </c>
      <c r="F9130" s="196">
        <v>0</v>
      </c>
      <c r="G9130" s="196">
        <v>-3153700</v>
      </c>
    </row>
    <row r="9131" spans="1:7" x14ac:dyDescent="0.3">
      <c r="A9131" s="198">
        <v>32347611</v>
      </c>
      <c r="B9131" s="192" t="s">
        <v>6579</v>
      </c>
      <c r="C9131" s="196">
        <v>-1270000</v>
      </c>
      <c r="D9131" s="196">
        <v>0</v>
      </c>
      <c r="E9131" s="196">
        <v>0</v>
      </c>
      <c r="F9131" s="196">
        <v>0</v>
      </c>
      <c r="G9131" s="196">
        <v>-1270000</v>
      </c>
    </row>
    <row r="9132" spans="1:7" x14ac:dyDescent="0.3">
      <c r="A9132" s="198">
        <v>32286525</v>
      </c>
      <c r="B9132" s="192" t="s">
        <v>6580</v>
      </c>
      <c r="C9132" s="196">
        <v>-2895000</v>
      </c>
      <c r="D9132" s="196">
        <v>0</v>
      </c>
      <c r="E9132" s="196">
        <v>0</v>
      </c>
      <c r="F9132" s="196">
        <v>0</v>
      </c>
      <c r="G9132" s="196">
        <v>-2895000</v>
      </c>
    </row>
    <row r="9133" spans="1:7" x14ac:dyDescent="0.3">
      <c r="A9133" s="198">
        <v>42842670</v>
      </c>
      <c r="B9133" s="192" t="s">
        <v>6581</v>
      </c>
      <c r="C9133" s="196">
        <v>-3812000</v>
      </c>
      <c r="D9133" s="196">
        <v>0</v>
      </c>
      <c r="E9133" s="196">
        <v>0</v>
      </c>
      <c r="F9133" s="196">
        <v>0</v>
      </c>
      <c r="G9133" s="196">
        <v>-3812000</v>
      </c>
    </row>
    <row r="9134" spans="1:7" x14ac:dyDescent="0.3">
      <c r="A9134" s="198">
        <v>21709423</v>
      </c>
      <c r="B9134" s="192" t="s">
        <v>3763</v>
      </c>
      <c r="C9134" s="196">
        <v>-2010000</v>
      </c>
      <c r="D9134" s="196">
        <v>0</v>
      </c>
      <c r="E9134" s="196">
        <v>0</v>
      </c>
      <c r="F9134" s="196">
        <v>0</v>
      </c>
      <c r="G9134" s="196">
        <v>-2010000</v>
      </c>
    </row>
    <row r="9135" spans="1:7" x14ac:dyDescent="0.3">
      <c r="A9135" s="198">
        <v>43101094</v>
      </c>
      <c r="B9135" s="192" t="s">
        <v>6582</v>
      </c>
      <c r="C9135" s="196">
        <v>-3722400</v>
      </c>
      <c r="D9135" s="196">
        <v>0</v>
      </c>
      <c r="E9135" s="196">
        <v>0</v>
      </c>
      <c r="F9135" s="196">
        <v>0</v>
      </c>
      <c r="G9135" s="196">
        <v>-3722400</v>
      </c>
    </row>
    <row r="9136" spans="1:7" x14ac:dyDescent="0.3">
      <c r="A9136" s="198">
        <v>21928779</v>
      </c>
      <c r="B9136" s="192" t="s">
        <v>6583</v>
      </c>
      <c r="C9136" s="196">
        <v>-57200</v>
      </c>
      <c r="D9136" s="196">
        <v>0</v>
      </c>
      <c r="E9136" s="196">
        <v>0</v>
      </c>
      <c r="F9136" s="196">
        <v>0</v>
      </c>
      <c r="G9136" s="196">
        <v>-57200</v>
      </c>
    </row>
    <row r="9137" spans="1:7" x14ac:dyDescent="0.3">
      <c r="A9137" s="198">
        <v>32498836</v>
      </c>
      <c r="B9137" s="192" t="s">
        <v>6584</v>
      </c>
      <c r="C9137" s="196">
        <v>-57200</v>
      </c>
      <c r="D9137" s="196">
        <v>0</v>
      </c>
      <c r="E9137" s="196">
        <v>0</v>
      </c>
      <c r="F9137" s="196">
        <v>0</v>
      </c>
      <c r="G9137" s="196">
        <v>-57200</v>
      </c>
    </row>
    <row r="9138" spans="1:7" x14ac:dyDescent="0.3">
      <c r="A9138" s="198">
        <v>30347448</v>
      </c>
      <c r="B9138" s="192" t="s">
        <v>6585</v>
      </c>
      <c r="C9138" s="196">
        <v>-963000</v>
      </c>
      <c r="D9138" s="196">
        <v>0</v>
      </c>
      <c r="E9138" s="196">
        <v>0</v>
      </c>
      <c r="F9138" s="196">
        <v>0</v>
      </c>
      <c r="G9138" s="196">
        <v>-963000</v>
      </c>
    </row>
    <row r="9139" spans="1:7" x14ac:dyDescent="0.3">
      <c r="A9139" s="198">
        <v>1128447258</v>
      </c>
      <c r="B9139" s="192" t="s">
        <v>6586</v>
      </c>
      <c r="C9139" s="196">
        <v>-3500000</v>
      </c>
      <c r="D9139" s="196">
        <v>0</v>
      </c>
      <c r="E9139" s="196">
        <v>0</v>
      </c>
      <c r="F9139" s="196">
        <v>0</v>
      </c>
      <c r="G9139" s="196">
        <v>-3500000</v>
      </c>
    </row>
    <row r="9140" spans="1:7" x14ac:dyDescent="0.3">
      <c r="A9140" s="198">
        <v>37825638</v>
      </c>
      <c r="B9140" s="192" t="s">
        <v>666</v>
      </c>
      <c r="C9140" s="196">
        <v>-11333100</v>
      </c>
      <c r="D9140" s="196">
        <v>0</v>
      </c>
      <c r="E9140" s="196">
        <v>0</v>
      </c>
      <c r="F9140" s="196">
        <v>0</v>
      </c>
      <c r="G9140" s="196">
        <v>-11333100</v>
      </c>
    </row>
    <row r="9141" spans="1:7" x14ac:dyDescent="0.3">
      <c r="A9141" s="198">
        <v>21394950</v>
      </c>
      <c r="B9141" s="192" t="s">
        <v>6587</v>
      </c>
      <c r="C9141" s="196">
        <v>-1870000</v>
      </c>
      <c r="D9141" s="196">
        <v>0</v>
      </c>
      <c r="E9141" s="196">
        <v>0</v>
      </c>
      <c r="F9141" s="196">
        <v>0</v>
      </c>
      <c r="G9141" s="196">
        <v>-1870000</v>
      </c>
    </row>
    <row r="9142" spans="1:7" x14ac:dyDescent="0.3">
      <c r="A9142" s="198">
        <v>21438362</v>
      </c>
      <c r="B9142" s="192" t="s">
        <v>6588</v>
      </c>
      <c r="C9142" s="196">
        <v>-2895000</v>
      </c>
      <c r="D9142" s="196">
        <v>0</v>
      </c>
      <c r="E9142" s="196">
        <v>0</v>
      </c>
      <c r="F9142" s="196">
        <v>0</v>
      </c>
      <c r="G9142" s="196">
        <v>-2895000</v>
      </c>
    </row>
    <row r="9143" spans="1:7" x14ac:dyDescent="0.3">
      <c r="A9143" s="198">
        <v>42876811</v>
      </c>
      <c r="B9143" s="192" t="s">
        <v>671</v>
      </c>
      <c r="C9143" s="196">
        <v>-1703000</v>
      </c>
      <c r="D9143" s="196">
        <v>0</v>
      </c>
      <c r="E9143" s="196">
        <v>3406000</v>
      </c>
      <c r="F9143" s="196">
        <v>-3406000</v>
      </c>
      <c r="G9143" s="196">
        <v>-5109000</v>
      </c>
    </row>
    <row r="9144" spans="1:7" x14ac:dyDescent="0.3">
      <c r="A9144" s="198">
        <v>51702430</v>
      </c>
      <c r="B9144" s="192" t="s">
        <v>672</v>
      </c>
      <c r="C9144" s="196">
        <v>0</v>
      </c>
      <c r="D9144" s="196">
        <v>0</v>
      </c>
      <c r="E9144" s="196">
        <v>1999000</v>
      </c>
      <c r="F9144" s="196">
        <v>-1999000</v>
      </c>
      <c r="G9144" s="196">
        <v>-1999000</v>
      </c>
    </row>
    <row r="9145" spans="1:7" x14ac:dyDescent="0.3">
      <c r="A9145" s="198">
        <v>42780766</v>
      </c>
      <c r="B9145" s="192" t="s">
        <v>6589</v>
      </c>
      <c r="C9145" s="196">
        <v>-3722400</v>
      </c>
      <c r="D9145" s="196">
        <v>0</v>
      </c>
      <c r="E9145" s="196">
        <v>0</v>
      </c>
      <c r="F9145" s="196">
        <v>0</v>
      </c>
      <c r="G9145" s="196">
        <v>-3722400</v>
      </c>
    </row>
    <row r="9146" spans="1:7" x14ac:dyDescent="0.3">
      <c r="A9146" s="198">
        <v>32309562</v>
      </c>
      <c r="B9146" s="192" t="s">
        <v>6590</v>
      </c>
      <c r="C9146" s="196">
        <v>-6676000</v>
      </c>
      <c r="D9146" s="196">
        <v>0</v>
      </c>
      <c r="E9146" s="196">
        <v>0</v>
      </c>
      <c r="F9146" s="196">
        <v>0</v>
      </c>
      <c r="G9146" s="196">
        <v>-6676000</v>
      </c>
    </row>
    <row r="9147" spans="1:7" x14ac:dyDescent="0.3">
      <c r="A9147" s="198">
        <v>43587683</v>
      </c>
      <c r="B9147" s="192" t="s">
        <v>6591</v>
      </c>
      <c r="C9147" s="196">
        <v>-50000</v>
      </c>
      <c r="D9147" s="196">
        <v>0</v>
      </c>
      <c r="E9147" s="196">
        <v>0</v>
      </c>
      <c r="F9147" s="196">
        <v>0</v>
      </c>
      <c r="G9147" s="196">
        <v>-50000</v>
      </c>
    </row>
    <row r="9148" spans="1:7" x14ac:dyDescent="0.3">
      <c r="A9148" s="198">
        <v>8456075</v>
      </c>
      <c r="B9148" s="192" t="s">
        <v>6592</v>
      </c>
      <c r="C9148" s="196">
        <v>-5917800</v>
      </c>
      <c r="D9148" s="196">
        <v>0</v>
      </c>
      <c r="E9148" s="196">
        <v>0</v>
      </c>
      <c r="F9148" s="196">
        <v>0</v>
      </c>
      <c r="G9148" s="196">
        <v>-5917800</v>
      </c>
    </row>
    <row r="9149" spans="1:7" x14ac:dyDescent="0.3">
      <c r="A9149" s="198">
        <v>8387506</v>
      </c>
      <c r="B9149" s="192" t="s">
        <v>6593</v>
      </c>
      <c r="C9149" s="196">
        <v>-57200</v>
      </c>
      <c r="D9149" s="196">
        <v>0</v>
      </c>
      <c r="E9149" s="196">
        <v>0</v>
      </c>
      <c r="F9149" s="196">
        <v>0</v>
      </c>
      <c r="G9149" s="196">
        <v>-57200</v>
      </c>
    </row>
    <row r="9150" spans="1:7" x14ac:dyDescent="0.3">
      <c r="A9150" s="198">
        <v>8216569</v>
      </c>
      <c r="B9150" s="192" t="s">
        <v>6594</v>
      </c>
      <c r="C9150" s="196">
        <v>-997600</v>
      </c>
      <c r="D9150" s="196">
        <v>0</v>
      </c>
      <c r="E9150" s="196">
        <v>0</v>
      </c>
      <c r="F9150" s="196">
        <v>0</v>
      </c>
      <c r="G9150" s="196">
        <v>-997600</v>
      </c>
    </row>
    <row r="9151" spans="1:7" x14ac:dyDescent="0.3">
      <c r="A9151" s="198">
        <v>26656435</v>
      </c>
      <c r="B9151" s="192" t="s">
        <v>6595</v>
      </c>
      <c r="C9151" s="196">
        <v>-1650000</v>
      </c>
      <c r="D9151" s="196">
        <v>0</v>
      </c>
      <c r="E9151" s="196">
        <v>0</v>
      </c>
      <c r="F9151" s="196">
        <v>0</v>
      </c>
      <c r="G9151" s="196">
        <v>-1650000</v>
      </c>
    </row>
    <row r="9152" spans="1:7" x14ac:dyDescent="0.3">
      <c r="A9152" s="198">
        <v>120665021</v>
      </c>
      <c r="B9152" s="192" t="s">
        <v>6596</v>
      </c>
      <c r="C9152" s="196">
        <v>-7610200</v>
      </c>
      <c r="D9152" s="196">
        <v>0</v>
      </c>
      <c r="E9152" s="196">
        <v>0</v>
      </c>
      <c r="F9152" s="196">
        <v>0</v>
      </c>
      <c r="G9152" s="196">
        <v>-7610200</v>
      </c>
    </row>
    <row r="9153" spans="1:7" x14ac:dyDescent="0.3">
      <c r="A9153" s="198">
        <v>1007409281</v>
      </c>
      <c r="B9153" s="192" t="s">
        <v>3798</v>
      </c>
      <c r="C9153" s="196">
        <v>-3710000</v>
      </c>
      <c r="D9153" s="196">
        <v>0</v>
      </c>
      <c r="E9153" s="196">
        <v>0</v>
      </c>
      <c r="F9153" s="196">
        <v>0</v>
      </c>
      <c r="G9153" s="196">
        <v>-3710000</v>
      </c>
    </row>
    <row r="9154" spans="1:7" x14ac:dyDescent="0.3">
      <c r="A9154" s="198">
        <v>900244957</v>
      </c>
      <c r="B9154" s="192" t="s">
        <v>683</v>
      </c>
      <c r="C9154" s="196">
        <v>0</v>
      </c>
      <c r="D9154" s="196">
        <v>0</v>
      </c>
      <c r="E9154" s="196">
        <v>963000</v>
      </c>
      <c r="F9154" s="196">
        <v>-963000</v>
      </c>
      <c r="G9154" s="196">
        <v>-963000</v>
      </c>
    </row>
    <row r="9155" spans="1:7" x14ac:dyDescent="0.3">
      <c r="A9155" s="198">
        <v>12972677</v>
      </c>
      <c r="B9155" s="192" t="s">
        <v>6597</v>
      </c>
      <c r="C9155" s="196">
        <v>-504000</v>
      </c>
      <c r="D9155" s="196">
        <v>0</v>
      </c>
      <c r="E9155" s="196">
        <v>0</v>
      </c>
      <c r="F9155" s="196">
        <v>0</v>
      </c>
      <c r="G9155" s="196">
        <v>-504000</v>
      </c>
    </row>
    <row r="9156" spans="1:7" x14ac:dyDescent="0.3">
      <c r="A9156" s="198">
        <v>576695090</v>
      </c>
      <c r="B9156" s="192" t="s">
        <v>6598</v>
      </c>
      <c r="C9156" s="196">
        <v>-4852180</v>
      </c>
      <c r="D9156" s="196">
        <v>0</v>
      </c>
      <c r="E9156" s="196">
        <v>0</v>
      </c>
      <c r="F9156" s="196">
        <v>0</v>
      </c>
      <c r="G9156" s="196">
        <v>-4852180</v>
      </c>
    </row>
    <row r="9157" spans="1:7" x14ac:dyDescent="0.3">
      <c r="A9157" s="198">
        <v>1037640791</v>
      </c>
      <c r="B9157" s="192" t="s">
        <v>687</v>
      </c>
      <c r="C9157" s="196">
        <v>0</v>
      </c>
      <c r="D9157" s="196">
        <v>0</v>
      </c>
      <c r="E9157" s="196">
        <v>963000</v>
      </c>
      <c r="F9157" s="196">
        <v>-963000</v>
      </c>
      <c r="G9157" s="196">
        <v>-963000</v>
      </c>
    </row>
    <row r="9158" spans="1:7" x14ac:dyDescent="0.3">
      <c r="A9158" s="198">
        <v>70559095</v>
      </c>
      <c r="B9158" s="192" t="s">
        <v>6599</v>
      </c>
      <c r="C9158" s="196">
        <v>-2234000</v>
      </c>
      <c r="D9158" s="196">
        <v>0</v>
      </c>
      <c r="E9158" s="196">
        <v>0</v>
      </c>
      <c r="F9158" s="196">
        <v>0</v>
      </c>
      <c r="G9158" s="196">
        <v>-2234000</v>
      </c>
    </row>
    <row r="9159" spans="1:7" x14ac:dyDescent="0.3">
      <c r="A9159" s="198">
        <v>98452426</v>
      </c>
      <c r="B9159" s="192" t="s">
        <v>3814</v>
      </c>
      <c r="C9159" s="196">
        <v>-4000000</v>
      </c>
      <c r="D9159" s="196">
        <v>0</v>
      </c>
      <c r="E9159" s="196">
        <v>0</v>
      </c>
      <c r="F9159" s="196">
        <v>0</v>
      </c>
      <c r="G9159" s="196">
        <v>-4000000</v>
      </c>
    </row>
    <row r="9160" spans="1:7" x14ac:dyDescent="0.3">
      <c r="A9160" s="198">
        <v>70082717</v>
      </c>
      <c r="B9160" s="192" t="s">
        <v>3817</v>
      </c>
      <c r="C9160" s="196">
        <v>-4140000</v>
      </c>
      <c r="D9160" s="196">
        <v>0</v>
      </c>
      <c r="E9160" s="196">
        <v>0</v>
      </c>
      <c r="F9160" s="196">
        <v>0</v>
      </c>
      <c r="G9160" s="196">
        <v>-4140000</v>
      </c>
    </row>
    <row r="9161" spans="1:7" x14ac:dyDescent="0.3">
      <c r="A9161" s="192" t="s">
        <v>692</v>
      </c>
      <c r="B9161" s="192" t="s">
        <v>693</v>
      </c>
      <c r="C9161" s="196">
        <v>0</v>
      </c>
      <c r="D9161" s="196">
        <v>0</v>
      </c>
      <c r="E9161" s="196">
        <v>4133000</v>
      </c>
      <c r="F9161" s="196">
        <v>-4133000</v>
      </c>
      <c r="G9161" s="196">
        <v>-4133000</v>
      </c>
    </row>
    <row r="9162" spans="1:7" x14ac:dyDescent="0.3">
      <c r="A9162" s="192" t="s">
        <v>696</v>
      </c>
      <c r="B9162" s="192" t="s">
        <v>697</v>
      </c>
      <c r="C9162" s="196">
        <v>-6676000</v>
      </c>
      <c r="D9162" s="196">
        <v>0</v>
      </c>
      <c r="E9162" s="196">
        <v>0</v>
      </c>
      <c r="F9162" s="196">
        <v>0</v>
      </c>
      <c r="G9162" s="196">
        <v>-6676000</v>
      </c>
    </row>
    <row r="9163" spans="1:7" x14ac:dyDescent="0.3">
      <c r="A9163" s="198">
        <v>565404868</v>
      </c>
      <c r="B9163" s="192" t="s">
        <v>3822</v>
      </c>
      <c r="C9163" s="196">
        <v>-4162000</v>
      </c>
      <c r="D9163" s="196">
        <v>0</v>
      </c>
      <c r="E9163" s="196">
        <v>0</v>
      </c>
      <c r="F9163" s="196">
        <v>0</v>
      </c>
      <c r="G9163" s="196">
        <v>-4162000</v>
      </c>
    </row>
    <row r="9164" spans="1:7" x14ac:dyDescent="0.3">
      <c r="A9164" s="198">
        <v>1037603999</v>
      </c>
      <c r="B9164" s="192" t="s">
        <v>3833</v>
      </c>
      <c r="C9164" s="196">
        <v>-963000</v>
      </c>
      <c r="D9164" s="196">
        <v>0</v>
      </c>
      <c r="E9164" s="196">
        <v>0</v>
      </c>
      <c r="F9164" s="196">
        <v>0</v>
      </c>
      <c r="G9164" s="196">
        <v>-963000</v>
      </c>
    </row>
    <row r="9165" spans="1:7" x14ac:dyDescent="0.3">
      <c r="A9165" s="192" t="s">
        <v>3834</v>
      </c>
      <c r="B9165" s="192" t="s">
        <v>3835</v>
      </c>
      <c r="C9165" s="196">
        <v>-4710000</v>
      </c>
      <c r="D9165" s="196">
        <v>0</v>
      </c>
      <c r="E9165" s="196">
        <v>0</v>
      </c>
      <c r="F9165" s="196">
        <v>0</v>
      </c>
      <c r="G9165" s="196">
        <v>-4710000</v>
      </c>
    </row>
    <row r="9166" spans="1:7" x14ac:dyDescent="0.3">
      <c r="A9166" s="198">
        <v>71270675</v>
      </c>
      <c r="B9166" s="192" t="s">
        <v>6600</v>
      </c>
      <c r="C9166" s="196">
        <v>-3261650</v>
      </c>
      <c r="D9166" s="196">
        <v>0</v>
      </c>
      <c r="E9166" s="196">
        <v>0</v>
      </c>
      <c r="F9166" s="196">
        <v>0</v>
      </c>
      <c r="G9166" s="196">
        <v>-3261650</v>
      </c>
    </row>
    <row r="9167" spans="1:7" x14ac:dyDescent="0.3">
      <c r="A9167" s="198">
        <v>15455291</v>
      </c>
      <c r="B9167" s="192" t="s">
        <v>3841</v>
      </c>
      <c r="C9167" s="196">
        <v>-1000</v>
      </c>
      <c r="D9167" s="196">
        <v>0</v>
      </c>
      <c r="E9167" s="196">
        <v>0</v>
      </c>
      <c r="F9167" s="196">
        <v>0</v>
      </c>
      <c r="G9167" s="196">
        <v>-1000</v>
      </c>
    </row>
    <row r="9168" spans="1:7" x14ac:dyDescent="0.3">
      <c r="A9168" s="198">
        <v>8293924</v>
      </c>
      <c r="B9168" s="192" t="s">
        <v>3842</v>
      </c>
      <c r="C9168" s="196">
        <v>-12133000</v>
      </c>
      <c r="D9168" s="196">
        <v>0</v>
      </c>
      <c r="E9168" s="196">
        <v>0</v>
      </c>
      <c r="F9168" s="196">
        <v>0</v>
      </c>
      <c r="G9168" s="196">
        <v>-12133000</v>
      </c>
    </row>
    <row r="9169" spans="1:7" x14ac:dyDescent="0.3">
      <c r="A9169" s="198">
        <v>1216727109</v>
      </c>
      <c r="B9169" s="192" t="s">
        <v>6601</v>
      </c>
      <c r="C9169" s="196">
        <v>-860000</v>
      </c>
      <c r="D9169" s="196">
        <v>0</v>
      </c>
      <c r="E9169" s="196">
        <v>0</v>
      </c>
      <c r="F9169" s="196">
        <v>0</v>
      </c>
      <c r="G9169" s="196">
        <v>-860000</v>
      </c>
    </row>
    <row r="9170" spans="1:7" x14ac:dyDescent="0.3">
      <c r="A9170" s="198">
        <v>1128422278</v>
      </c>
      <c r="B9170" s="192" t="s">
        <v>6602</v>
      </c>
      <c r="C9170" s="196">
        <v>-860000</v>
      </c>
      <c r="D9170" s="196">
        <v>0</v>
      </c>
      <c r="E9170" s="196">
        <v>0</v>
      </c>
      <c r="F9170" s="196">
        <v>0</v>
      </c>
      <c r="G9170" s="196">
        <v>-860000</v>
      </c>
    </row>
    <row r="9171" spans="1:7" x14ac:dyDescent="0.3">
      <c r="A9171" s="198">
        <v>1127356522</v>
      </c>
      <c r="B9171" s="192" t="s">
        <v>706</v>
      </c>
      <c r="C9171" s="196">
        <v>0</v>
      </c>
      <c r="D9171" s="196">
        <v>0</v>
      </c>
      <c r="E9171" s="196">
        <v>2710000</v>
      </c>
      <c r="F9171" s="196">
        <v>-2710000</v>
      </c>
      <c r="G9171" s="196">
        <v>-2710000</v>
      </c>
    </row>
    <row r="9172" spans="1:7" x14ac:dyDescent="0.3">
      <c r="A9172" s="198">
        <v>79828914</v>
      </c>
      <c r="B9172" s="192" t="s">
        <v>6603</v>
      </c>
      <c r="C9172" s="196">
        <v>-860000</v>
      </c>
      <c r="D9172" s="196">
        <v>0</v>
      </c>
      <c r="E9172" s="196">
        <v>0</v>
      </c>
      <c r="F9172" s="196">
        <v>0</v>
      </c>
      <c r="G9172" s="196">
        <v>-860000</v>
      </c>
    </row>
    <row r="9173" spans="1:7" x14ac:dyDescent="0.3">
      <c r="A9173" s="192" t="s">
        <v>709</v>
      </c>
      <c r="B9173" s="192" t="s">
        <v>710</v>
      </c>
      <c r="C9173" s="196">
        <v>-14790802</v>
      </c>
      <c r="D9173" s="196">
        <v>0</v>
      </c>
      <c r="E9173" s="196">
        <v>0</v>
      </c>
      <c r="F9173" s="196">
        <v>0</v>
      </c>
      <c r="G9173" s="196">
        <v>-14790802</v>
      </c>
    </row>
    <row r="9174" spans="1:7" x14ac:dyDescent="0.3">
      <c r="A9174" s="198">
        <v>26611263</v>
      </c>
      <c r="B9174" s="192" t="s">
        <v>3856</v>
      </c>
      <c r="C9174" s="196">
        <v>-1604000</v>
      </c>
      <c r="D9174" s="196">
        <v>0</v>
      </c>
      <c r="E9174" s="196">
        <v>0</v>
      </c>
      <c r="F9174" s="196">
        <v>0</v>
      </c>
      <c r="G9174" s="196">
        <v>-1604000</v>
      </c>
    </row>
    <row r="9175" spans="1:7" x14ac:dyDescent="0.3">
      <c r="A9175" s="198">
        <v>1152708558</v>
      </c>
      <c r="B9175" s="192" t="s">
        <v>6604</v>
      </c>
      <c r="C9175" s="196">
        <v>-860000</v>
      </c>
      <c r="D9175" s="196">
        <v>0</v>
      </c>
      <c r="E9175" s="196">
        <v>0</v>
      </c>
      <c r="F9175" s="196">
        <v>0</v>
      </c>
      <c r="G9175" s="196">
        <v>-860000</v>
      </c>
    </row>
    <row r="9176" spans="1:7" x14ac:dyDescent="0.3">
      <c r="A9176" s="198">
        <v>70905100</v>
      </c>
      <c r="B9176" s="192" t="s">
        <v>3863</v>
      </c>
      <c r="C9176" s="196">
        <v>-10292000</v>
      </c>
      <c r="D9176" s="196">
        <v>0</v>
      </c>
      <c r="E9176" s="196">
        <v>0</v>
      </c>
      <c r="F9176" s="196">
        <v>0</v>
      </c>
      <c r="G9176" s="196">
        <v>-10292000</v>
      </c>
    </row>
    <row r="9177" spans="1:7" x14ac:dyDescent="0.3">
      <c r="A9177" s="198">
        <v>1137977262</v>
      </c>
      <c r="B9177" s="192" t="s">
        <v>713</v>
      </c>
      <c r="C9177" s="196">
        <v>-5433200</v>
      </c>
      <c r="D9177" s="196">
        <v>0</v>
      </c>
      <c r="E9177" s="196">
        <v>0</v>
      </c>
      <c r="F9177" s="196">
        <v>0</v>
      </c>
      <c r="G9177" s="196">
        <v>-5433200</v>
      </c>
    </row>
    <row r="9178" spans="1:7" x14ac:dyDescent="0.3">
      <c r="A9178" s="198">
        <v>43085422</v>
      </c>
      <c r="B9178" s="192" t="s">
        <v>714</v>
      </c>
      <c r="C9178" s="196">
        <v>0</v>
      </c>
      <c r="D9178" s="196">
        <v>0</v>
      </c>
      <c r="E9178" s="196">
        <v>504000</v>
      </c>
      <c r="F9178" s="196">
        <v>-504000</v>
      </c>
      <c r="G9178" s="196">
        <v>-504000</v>
      </c>
    </row>
    <row r="9179" spans="1:7" x14ac:dyDescent="0.3">
      <c r="A9179" s="198">
        <v>1193583589</v>
      </c>
      <c r="B9179" s="192" t="s">
        <v>715</v>
      </c>
      <c r="C9179" s="196">
        <v>0</v>
      </c>
      <c r="D9179" s="196">
        <v>0</v>
      </c>
      <c r="E9179" s="196">
        <v>963000</v>
      </c>
      <c r="F9179" s="196">
        <v>-963000</v>
      </c>
      <c r="G9179" s="196">
        <v>-963000</v>
      </c>
    </row>
    <row r="9180" spans="1:7" x14ac:dyDescent="0.3">
      <c r="A9180" s="198">
        <v>42893230</v>
      </c>
      <c r="B9180" s="192" t="s">
        <v>6605</v>
      </c>
      <c r="C9180" s="196">
        <v>-1143000</v>
      </c>
      <c r="D9180" s="196">
        <v>0</v>
      </c>
      <c r="E9180" s="196">
        <v>0</v>
      </c>
      <c r="F9180" s="196">
        <v>0</v>
      </c>
      <c r="G9180" s="196">
        <v>-1143000</v>
      </c>
    </row>
    <row r="9181" spans="1:7" x14ac:dyDescent="0.3">
      <c r="A9181" s="198">
        <v>21765150</v>
      </c>
      <c r="B9181" s="192" t="s">
        <v>6606</v>
      </c>
      <c r="C9181" s="196">
        <v>-46800</v>
      </c>
      <c r="D9181" s="196">
        <v>0</v>
      </c>
      <c r="E9181" s="196">
        <v>0</v>
      </c>
      <c r="F9181" s="196">
        <v>0</v>
      </c>
      <c r="G9181" s="196">
        <v>-46800</v>
      </c>
    </row>
    <row r="9182" spans="1:7" x14ac:dyDescent="0.3">
      <c r="A9182" s="198">
        <v>32304305</v>
      </c>
      <c r="B9182" s="192" t="s">
        <v>717</v>
      </c>
      <c r="C9182" s="196">
        <v>-1910000</v>
      </c>
      <c r="D9182" s="196">
        <v>0</v>
      </c>
      <c r="E9182" s="196">
        <v>0</v>
      </c>
      <c r="F9182" s="196">
        <v>0</v>
      </c>
      <c r="G9182" s="196">
        <v>-1910000</v>
      </c>
    </row>
    <row r="9183" spans="1:7" x14ac:dyDescent="0.3">
      <c r="A9183" s="198">
        <v>21587516</v>
      </c>
      <c r="B9183" s="192" t="s">
        <v>6607</v>
      </c>
      <c r="C9183" s="196">
        <v>-5000000</v>
      </c>
      <c r="D9183" s="196">
        <v>0</v>
      </c>
      <c r="E9183" s="196">
        <v>0</v>
      </c>
      <c r="F9183" s="196">
        <v>0</v>
      </c>
      <c r="G9183" s="196">
        <v>-5000000</v>
      </c>
    </row>
    <row r="9184" spans="1:7" x14ac:dyDescent="0.3">
      <c r="A9184" s="198">
        <v>900163228</v>
      </c>
      <c r="B9184" s="192" t="s">
        <v>722</v>
      </c>
      <c r="C9184" s="196">
        <v>-8003500</v>
      </c>
      <c r="D9184" s="196">
        <v>0</v>
      </c>
      <c r="E9184" s="196">
        <v>0</v>
      </c>
      <c r="F9184" s="196">
        <v>0</v>
      </c>
      <c r="G9184" s="196">
        <v>-8003500</v>
      </c>
    </row>
    <row r="9185" spans="1:7" x14ac:dyDescent="0.3">
      <c r="A9185" s="198">
        <v>32447962</v>
      </c>
      <c r="B9185" s="192" t="s">
        <v>727</v>
      </c>
      <c r="C9185" s="196">
        <v>0</v>
      </c>
      <c r="D9185" s="196">
        <v>57199</v>
      </c>
      <c r="E9185" s="196">
        <v>57200</v>
      </c>
      <c r="F9185" s="196">
        <v>-1</v>
      </c>
      <c r="G9185" s="196">
        <v>-1</v>
      </c>
    </row>
    <row r="9186" spans="1:7" x14ac:dyDescent="0.3">
      <c r="A9186" s="198">
        <v>1152196904</v>
      </c>
      <c r="B9186" s="192" t="s">
        <v>729</v>
      </c>
      <c r="C9186" s="196">
        <v>0</v>
      </c>
      <c r="D9186" s="196">
        <v>0</v>
      </c>
      <c r="E9186" s="196">
        <v>1143000</v>
      </c>
      <c r="F9186" s="196">
        <v>-1143000</v>
      </c>
      <c r="G9186" s="196">
        <v>-1143000</v>
      </c>
    </row>
    <row r="9187" spans="1:7" x14ac:dyDescent="0.3">
      <c r="A9187" s="198">
        <v>43613829</v>
      </c>
      <c r="B9187" s="192" t="s">
        <v>731</v>
      </c>
      <c r="C9187" s="196">
        <v>0</v>
      </c>
      <c r="D9187" s="196">
        <v>0</v>
      </c>
      <c r="E9187" s="196">
        <v>710000</v>
      </c>
      <c r="F9187" s="196">
        <v>-710000</v>
      </c>
      <c r="G9187" s="196">
        <v>-710000</v>
      </c>
    </row>
    <row r="9188" spans="1:7" x14ac:dyDescent="0.3">
      <c r="A9188" s="198">
        <v>1037646825</v>
      </c>
      <c r="B9188" s="192" t="s">
        <v>6608</v>
      </c>
      <c r="C9188" s="196">
        <v>-963000</v>
      </c>
      <c r="D9188" s="196">
        <v>0</v>
      </c>
      <c r="E9188" s="196">
        <v>0</v>
      </c>
      <c r="F9188" s="196">
        <v>0</v>
      </c>
      <c r="G9188" s="196">
        <v>-963000</v>
      </c>
    </row>
    <row r="9189" spans="1:7" x14ac:dyDescent="0.3">
      <c r="A9189" s="198">
        <v>1001367191</v>
      </c>
      <c r="B9189" s="192" t="s">
        <v>3919</v>
      </c>
      <c r="C9189" s="196">
        <v>-2910000</v>
      </c>
      <c r="D9189" s="196">
        <v>0</v>
      </c>
      <c r="E9189" s="196">
        <v>0</v>
      </c>
      <c r="F9189" s="196">
        <v>0</v>
      </c>
      <c r="G9189" s="196">
        <v>-2910000</v>
      </c>
    </row>
    <row r="9190" spans="1:7" x14ac:dyDescent="0.3">
      <c r="A9190" s="198">
        <v>1152192490</v>
      </c>
      <c r="B9190" s="192" t="s">
        <v>6609</v>
      </c>
      <c r="C9190" s="196">
        <v>-963000</v>
      </c>
      <c r="D9190" s="196">
        <v>0</v>
      </c>
      <c r="E9190" s="196">
        <v>0</v>
      </c>
      <c r="F9190" s="196">
        <v>0</v>
      </c>
      <c r="G9190" s="196">
        <v>-963000</v>
      </c>
    </row>
    <row r="9191" spans="1:7" x14ac:dyDescent="0.3">
      <c r="A9191" s="198">
        <v>1006492867</v>
      </c>
      <c r="B9191" s="192" t="s">
        <v>6610</v>
      </c>
      <c r="C9191" s="196">
        <v>-963000</v>
      </c>
      <c r="D9191" s="196">
        <v>0</v>
      </c>
      <c r="E9191" s="196">
        <v>0</v>
      </c>
      <c r="F9191" s="196">
        <v>0</v>
      </c>
      <c r="G9191" s="196">
        <v>-963000</v>
      </c>
    </row>
    <row r="9192" spans="1:7" x14ac:dyDescent="0.3">
      <c r="A9192" s="198">
        <v>1045108256</v>
      </c>
      <c r="B9192" s="192" t="s">
        <v>734</v>
      </c>
      <c r="C9192" s="196">
        <v>0</v>
      </c>
      <c r="D9192" s="196">
        <v>0</v>
      </c>
      <c r="E9192" s="196">
        <v>963000</v>
      </c>
      <c r="F9192" s="196">
        <v>-963000</v>
      </c>
      <c r="G9192" s="196">
        <v>-963000</v>
      </c>
    </row>
    <row r="9193" spans="1:7" x14ac:dyDescent="0.3">
      <c r="A9193" s="198">
        <v>1017922830</v>
      </c>
      <c r="B9193" s="192" t="s">
        <v>6611</v>
      </c>
      <c r="C9193" s="196">
        <v>-3210000</v>
      </c>
      <c r="D9193" s="196">
        <v>0</v>
      </c>
      <c r="E9193" s="196">
        <v>0</v>
      </c>
      <c r="F9193" s="196">
        <v>0</v>
      </c>
      <c r="G9193" s="196">
        <v>-3210000</v>
      </c>
    </row>
    <row r="9194" spans="1:7" x14ac:dyDescent="0.3">
      <c r="A9194" s="198">
        <v>1001016812</v>
      </c>
      <c r="B9194" s="192" t="s">
        <v>740</v>
      </c>
      <c r="C9194" s="196">
        <v>-3510000</v>
      </c>
      <c r="D9194" s="196">
        <v>0</v>
      </c>
      <c r="E9194" s="196">
        <v>0</v>
      </c>
      <c r="F9194" s="196">
        <v>0</v>
      </c>
      <c r="G9194" s="196">
        <v>-3510000</v>
      </c>
    </row>
    <row r="9195" spans="1:7" x14ac:dyDescent="0.3">
      <c r="A9195" s="198">
        <v>581953444</v>
      </c>
      <c r="B9195" s="192" t="s">
        <v>3955</v>
      </c>
      <c r="C9195" s="196">
        <v>-4000000</v>
      </c>
      <c r="D9195" s="196">
        <v>0</v>
      </c>
      <c r="E9195" s="196">
        <v>0</v>
      </c>
      <c r="F9195" s="196">
        <v>0</v>
      </c>
      <c r="G9195" s="196">
        <v>-4000000</v>
      </c>
    </row>
    <row r="9196" spans="1:7" x14ac:dyDescent="0.3">
      <c r="A9196" s="198">
        <v>1017942451</v>
      </c>
      <c r="B9196" s="192" t="s">
        <v>6612</v>
      </c>
      <c r="C9196" s="196">
        <v>-2433200</v>
      </c>
      <c r="D9196" s="196">
        <v>0</v>
      </c>
      <c r="E9196" s="196">
        <v>0</v>
      </c>
      <c r="F9196" s="196">
        <v>0</v>
      </c>
      <c r="G9196" s="196">
        <v>-2433200</v>
      </c>
    </row>
    <row r="9197" spans="1:7" x14ac:dyDescent="0.3">
      <c r="A9197" s="198">
        <v>71617619</v>
      </c>
      <c r="B9197" s="192" t="s">
        <v>746</v>
      </c>
      <c r="C9197" s="196">
        <v>-57200</v>
      </c>
      <c r="D9197" s="196">
        <v>0</v>
      </c>
      <c r="E9197" s="196">
        <v>0</v>
      </c>
      <c r="F9197" s="196">
        <v>0</v>
      </c>
      <c r="G9197" s="196">
        <v>-57200</v>
      </c>
    </row>
    <row r="9198" spans="1:7" x14ac:dyDescent="0.3">
      <c r="A9198" s="198">
        <v>70070147</v>
      </c>
      <c r="B9198" s="192" t="s">
        <v>6613</v>
      </c>
      <c r="C9198" s="196">
        <v>-2895000</v>
      </c>
      <c r="D9198" s="196">
        <v>0</v>
      </c>
      <c r="E9198" s="196">
        <v>0</v>
      </c>
      <c r="F9198" s="196">
        <v>0</v>
      </c>
      <c r="G9198" s="196">
        <v>-2895000</v>
      </c>
    </row>
    <row r="9199" spans="1:7" x14ac:dyDescent="0.3">
      <c r="A9199" s="198">
        <v>98585082</v>
      </c>
      <c r="B9199" s="192" t="s">
        <v>6614</v>
      </c>
      <c r="C9199" s="196">
        <v>-4300000</v>
      </c>
      <c r="D9199" s="196">
        <v>0</v>
      </c>
      <c r="E9199" s="196">
        <v>0</v>
      </c>
      <c r="F9199" s="196">
        <v>0</v>
      </c>
      <c r="G9199" s="196">
        <v>-4300000</v>
      </c>
    </row>
    <row r="9200" spans="1:7" x14ac:dyDescent="0.3">
      <c r="A9200" s="198">
        <v>1014245738</v>
      </c>
      <c r="B9200" s="192" t="s">
        <v>6615</v>
      </c>
      <c r="C9200" s="196">
        <v>-860000</v>
      </c>
      <c r="D9200" s="196">
        <v>0</v>
      </c>
      <c r="E9200" s="196">
        <v>0</v>
      </c>
      <c r="F9200" s="196">
        <v>0</v>
      </c>
      <c r="G9200" s="196">
        <v>-860000</v>
      </c>
    </row>
    <row r="9201" spans="1:7" x14ac:dyDescent="0.3">
      <c r="A9201" s="198">
        <v>1018224345</v>
      </c>
      <c r="B9201" s="192" t="s">
        <v>6616</v>
      </c>
      <c r="C9201" s="196">
        <v>-963000</v>
      </c>
      <c r="D9201" s="196">
        <v>0</v>
      </c>
      <c r="E9201" s="196">
        <v>0</v>
      </c>
      <c r="F9201" s="196">
        <v>0</v>
      </c>
      <c r="G9201" s="196">
        <v>-963000</v>
      </c>
    </row>
    <row r="9202" spans="1:7" x14ac:dyDescent="0.3">
      <c r="A9202" s="192" t="s">
        <v>3969</v>
      </c>
      <c r="B9202" s="192" t="s">
        <v>3970</v>
      </c>
      <c r="C9202" s="196">
        <v>-3610000</v>
      </c>
      <c r="D9202" s="196">
        <v>0</v>
      </c>
      <c r="E9202" s="196">
        <v>0</v>
      </c>
      <c r="F9202" s="196">
        <v>0</v>
      </c>
      <c r="G9202" s="196">
        <v>-3610000</v>
      </c>
    </row>
    <row r="9203" spans="1:7" x14ac:dyDescent="0.3">
      <c r="A9203" s="198">
        <v>1015079920</v>
      </c>
      <c r="B9203" s="192" t="s">
        <v>6617</v>
      </c>
      <c r="C9203" s="196">
        <v>-2433000</v>
      </c>
      <c r="D9203" s="196">
        <v>0</v>
      </c>
      <c r="E9203" s="196">
        <v>0</v>
      </c>
      <c r="F9203" s="196">
        <v>0</v>
      </c>
      <c r="G9203" s="196">
        <v>-2433000</v>
      </c>
    </row>
    <row r="9204" spans="1:7" x14ac:dyDescent="0.3">
      <c r="A9204" s="198">
        <v>51792179</v>
      </c>
      <c r="B9204" s="192" t="s">
        <v>6618</v>
      </c>
      <c r="C9204" s="196">
        <v>-58800</v>
      </c>
      <c r="D9204" s="196">
        <v>0</v>
      </c>
      <c r="E9204" s="196">
        <v>0</v>
      </c>
      <c r="F9204" s="196">
        <v>0</v>
      </c>
      <c r="G9204" s="196">
        <v>-58800</v>
      </c>
    </row>
    <row r="9205" spans="1:7" x14ac:dyDescent="0.3">
      <c r="A9205" s="198">
        <v>7771800</v>
      </c>
      <c r="B9205" s="192" t="s">
        <v>752</v>
      </c>
      <c r="C9205" s="196">
        <v>-3710000</v>
      </c>
      <c r="D9205" s="196">
        <v>0</v>
      </c>
      <c r="E9205" s="196">
        <v>0</v>
      </c>
      <c r="F9205" s="196">
        <v>0</v>
      </c>
      <c r="G9205" s="196">
        <v>-3710000</v>
      </c>
    </row>
    <row r="9206" spans="1:7" x14ac:dyDescent="0.3">
      <c r="A9206" s="198">
        <v>78753145</v>
      </c>
      <c r="B9206" s="192" t="s">
        <v>6619</v>
      </c>
      <c r="C9206" s="196">
        <v>-6164000</v>
      </c>
      <c r="D9206" s="196">
        <v>0</v>
      </c>
      <c r="E9206" s="196">
        <v>0</v>
      </c>
      <c r="F9206" s="196">
        <v>0</v>
      </c>
      <c r="G9206" s="196">
        <v>-6164000</v>
      </c>
    </row>
    <row r="9207" spans="1:7" x14ac:dyDescent="0.3">
      <c r="A9207" s="198">
        <v>98564731</v>
      </c>
      <c r="B9207" s="192" t="s">
        <v>6620</v>
      </c>
      <c r="C9207" s="196">
        <v>-2184000</v>
      </c>
      <c r="D9207" s="196">
        <v>0</v>
      </c>
      <c r="E9207" s="196">
        <v>0</v>
      </c>
      <c r="F9207" s="196">
        <v>0</v>
      </c>
      <c r="G9207" s="196">
        <v>-2184000</v>
      </c>
    </row>
    <row r="9208" spans="1:7" x14ac:dyDescent="0.3">
      <c r="A9208" s="198">
        <v>8177596</v>
      </c>
      <c r="B9208" s="192" t="s">
        <v>3996</v>
      </c>
      <c r="C9208" s="196">
        <v>-2683000</v>
      </c>
      <c r="D9208" s="196">
        <v>0</v>
      </c>
      <c r="E9208" s="196">
        <v>0</v>
      </c>
      <c r="F9208" s="196">
        <v>0</v>
      </c>
      <c r="G9208" s="196">
        <v>-2683000</v>
      </c>
    </row>
    <row r="9209" spans="1:7" x14ac:dyDescent="0.3">
      <c r="A9209" s="198">
        <v>392250</v>
      </c>
      <c r="B9209" s="192" t="s">
        <v>3998</v>
      </c>
      <c r="C9209" s="196">
        <v>-7271900</v>
      </c>
      <c r="D9209" s="196">
        <v>0</v>
      </c>
      <c r="E9209" s="196">
        <v>0</v>
      </c>
      <c r="F9209" s="196">
        <v>0</v>
      </c>
      <c r="G9209" s="196">
        <v>-7271900</v>
      </c>
    </row>
    <row r="9210" spans="1:7" x14ac:dyDescent="0.3">
      <c r="A9210" s="198">
        <v>8341639</v>
      </c>
      <c r="B9210" s="192" t="s">
        <v>6621</v>
      </c>
      <c r="C9210" s="196">
        <v>-1683000</v>
      </c>
      <c r="D9210" s="196">
        <v>0</v>
      </c>
      <c r="E9210" s="196">
        <v>0</v>
      </c>
      <c r="F9210" s="196">
        <v>0</v>
      </c>
      <c r="G9210" s="196">
        <v>-1683000</v>
      </c>
    </row>
    <row r="9211" spans="1:7" x14ac:dyDescent="0.3">
      <c r="A9211" s="198">
        <v>4851560</v>
      </c>
      <c r="B9211" s="192" t="s">
        <v>6622</v>
      </c>
      <c r="C9211" s="196">
        <v>-3338000</v>
      </c>
      <c r="D9211" s="196">
        <v>0</v>
      </c>
      <c r="E9211" s="196">
        <v>0</v>
      </c>
      <c r="F9211" s="196">
        <v>0</v>
      </c>
      <c r="G9211" s="196">
        <v>-3338000</v>
      </c>
    </row>
    <row r="9212" spans="1:7" x14ac:dyDescent="0.3">
      <c r="A9212" s="198">
        <v>1152707614</v>
      </c>
      <c r="B9212" s="192" t="s">
        <v>6623</v>
      </c>
      <c r="C9212" s="196">
        <v>-860000</v>
      </c>
      <c r="D9212" s="196">
        <v>0</v>
      </c>
      <c r="E9212" s="196">
        <v>0</v>
      </c>
      <c r="F9212" s="196">
        <v>0</v>
      </c>
      <c r="G9212" s="196">
        <v>-860000</v>
      </c>
    </row>
    <row r="9213" spans="1:7" x14ac:dyDescent="0.3">
      <c r="A9213" s="198">
        <v>1128400826</v>
      </c>
      <c r="B9213" s="192" t="s">
        <v>6624</v>
      </c>
      <c r="C9213" s="196">
        <v>-300000</v>
      </c>
      <c r="D9213" s="196">
        <v>0</v>
      </c>
      <c r="E9213" s="196">
        <v>0</v>
      </c>
      <c r="F9213" s="196">
        <v>0</v>
      </c>
      <c r="G9213" s="196">
        <v>-300000</v>
      </c>
    </row>
    <row r="9214" spans="1:7" x14ac:dyDescent="0.3">
      <c r="A9214" s="198">
        <v>8214216</v>
      </c>
      <c r="B9214" s="192" t="s">
        <v>6625</v>
      </c>
      <c r="C9214" s="196">
        <v>-1683000</v>
      </c>
      <c r="D9214" s="196">
        <v>0</v>
      </c>
      <c r="E9214" s="196">
        <v>0</v>
      </c>
      <c r="F9214" s="196">
        <v>0</v>
      </c>
      <c r="G9214" s="196">
        <v>-1683000</v>
      </c>
    </row>
    <row r="9215" spans="1:7" x14ac:dyDescent="0.3">
      <c r="A9215" s="198">
        <v>71678963</v>
      </c>
      <c r="B9215" s="192" t="s">
        <v>763</v>
      </c>
      <c r="C9215" s="196">
        <v>0</v>
      </c>
      <c r="D9215" s="196">
        <v>0</v>
      </c>
      <c r="E9215" s="196">
        <v>1870000</v>
      </c>
      <c r="F9215" s="196">
        <v>-1870000</v>
      </c>
      <c r="G9215" s="196">
        <v>-1870000</v>
      </c>
    </row>
    <row r="9216" spans="1:7" x14ac:dyDescent="0.3">
      <c r="A9216" s="192" t="s">
        <v>4018</v>
      </c>
      <c r="B9216" s="192" t="s">
        <v>4019</v>
      </c>
      <c r="C9216" s="196">
        <v>-4210000</v>
      </c>
      <c r="D9216" s="196">
        <v>0</v>
      </c>
      <c r="E9216" s="196">
        <v>0</v>
      </c>
      <c r="F9216" s="196">
        <v>0</v>
      </c>
      <c r="G9216" s="196">
        <v>-4210000</v>
      </c>
    </row>
    <row r="9217" spans="1:7" x14ac:dyDescent="0.3">
      <c r="A9217" s="198">
        <v>1036608782</v>
      </c>
      <c r="B9217" s="192" t="s">
        <v>6626</v>
      </c>
      <c r="C9217" s="196">
        <v>-236261</v>
      </c>
      <c r="D9217" s="196">
        <v>0</v>
      </c>
      <c r="E9217" s="196">
        <v>0</v>
      </c>
      <c r="F9217" s="196">
        <v>0</v>
      </c>
      <c r="G9217" s="196">
        <v>-236261</v>
      </c>
    </row>
    <row r="9218" spans="1:7" x14ac:dyDescent="0.3">
      <c r="A9218" s="198">
        <v>669553276</v>
      </c>
      <c r="B9218" s="192" t="s">
        <v>764</v>
      </c>
      <c r="C9218" s="196">
        <v>0</v>
      </c>
      <c r="D9218" s="196">
        <v>0</v>
      </c>
      <c r="E9218" s="196">
        <v>3710000</v>
      </c>
      <c r="F9218" s="196">
        <v>-3710000</v>
      </c>
      <c r="G9218" s="196">
        <v>-3710000</v>
      </c>
    </row>
    <row r="9219" spans="1:7" x14ac:dyDescent="0.3">
      <c r="A9219" s="198">
        <v>31297001</v>
      </c>
      <c r="B9219" s="192" t="s">
        <v>6627</v>
      </c>
      <c r="C9219" s="196">
        <v>-4133000</v>
      </c>
      <c r="D9219" s="196">
        <v>0</v>
      </c>
      <c r="E9219" s="196">
        <v>0</v>
      </c>
      <c r="F9219" s="196">
        <v>0</v>
      </c>
      <c r="G9219" s="196">
        <v>-4133000</v>
      </c>
    </row>
    <row r="9220" spans="1:7" x14ac:dyDescent="0.3">
      <c r="A9220" s="198">
        <v>572373478</v>
      </c>
      <c r="B9220" s="192" t="s">
        <v>6628</v>
      </c>
      <c r="C9220" s="196">
        <v>-963000</v>
      </c>
      <c r="D9220" s="196">
        <v>0</v>
      </c>
      <c r="E9220" s="196">
        <v>0</v>
      </c>
      <c r="F9220" s="196">
        <v>0</v>
      </c>
      <c r="G9220" s="196">
        <v>-963000</v>
      </c>
    </row>
    <row r="9221" spans="1:7" x14ac:dyDescent="0.3">
      <c r="A9221" s="198">
        <v>8041256</v>
      </c>
      <c r="B9221" s="192" t="s">
        <v>6629</v>
      </c>
      <c r="C9221" s="196">
        <v>-2895000</v>
      </c>
      <c r="D9221" s="196">
        <v>0</v>
      </c>
      <c r="E9221" s="196">
        <v>0</v>
      </c>
      <c r="F9221" s="196">
        <v>0</v>
      </c>
      <c r="G9221" s="196">
        <v>-2895000</v>
      </c>
    </row>
    <row r="9222" spans="1:7" x14ac:dyDescent="0.3">
      <c r="A9222" s="198">
        <v>1036693246</v>
      </c>
      <c r="B9222" s="192" t="s">
        <v>6630</v>
      </c>
      <c r="C9222" s="196">
        <v>-860000</v>
      </c>
      <c r="D9222" s="196">
        <v>0</v>
      </c>
      <c r="E9222" s="196">
        <v>0</v>
      </c>
      <c r="F9222" s="196">
        <v>0</v>
      </c>
      <c r="G9222" s="196">
        <v>-860000</v>
      </c>
    </row>
    <row r="9223" spans="1:7" x14ac:dyDescent="0.3">
      <c r="A9223" s="198">
        <v>572995231</v>
      </c>
      <c r="B9223" s="192" t="s">
        <v>4028</v>
      </c>
      <c r="C9223" s="196">
        <v>-14848000</v>
      </c>
      <c r="D9223" s="196">
        <v>0</v>
      </c>
      <c r="E9223" s="196">
        <v>0</v>
      </c>
      <c r="F9223" s="196">
        <v>0</v>
      </c>
      <c r="G9223" s="196">
        <v>-14848000</v>
      </c>
    </row>
    <row r="9224" spans="1:7" x14ac:dyDescent="0.3">
      <c r="A9224" s="198">
        <v>1094940649</v>
      </c>
      <c r="B9224" s="192" t="s">
        <v>6631</v>
      </c>
      <c r="C9224" s="196">
        <v>-963000</v>
      </c>
      <c r="D9224" s="196">
        <v>0</v>
      </c>
      <c r="E9224" s="196">
        <v>0</v>
      </c>
      <c r="F9224" s="196">
        <v>0</v>
      </c>
      <c r="G9224" s="196">
        <v>-963000</v>
      </c>
    </row>
    <row r="9225" spans="1:7" x14ac:dyDescent="0.3">
      <c r="A9225" s="198">
        <v>1017217363</v>
      </c>
      <c r="B9225" s="192" t="s">
        <v>770</v>
      </c>
      <c r="C9225" s="196">
        <v>0</v>
      </c>
      <c r="D9225" s="196">
        <v>0</v>
      </c>
      <c r="E9225" s="196">
        <v>683000</v>
      </c>
      <c r="F9225" s="196">
        <v>-683000</v>
      </c>
      <c r="G9225" s="196">
        <v>-683000</v>
      </c>
    </row>
    <row r="9226" spans="1:7" x14ac:dyDescent="0.3">
      <c r="A9226" s="198">
        <v>1074187632</v>
      </c>
      <c r="B9226" s="192" t="s">
        <v>771</v>
      </c>
      <c r="C9226" s="196">
        <v>-3569500</v>
      </c>
      <c r="D9226" s="196">
        <v>0</v>
      </c>
      <c r="E9226" s="196">
        <v>0</v>
      </c>
      <c r="F9226" s="196">
        <v>0</v>
      </c>
      <c r="G9226" s="196">
        <v>-3569500</v>
      </c>
    </row>
    <row r="9227" spans="1:7" x14ac:dyDescent="0.3">
      <c r="A9227" s="198">
        <v>1152708003</v>
      </c>
      <c r="B9227" s="192" t="s">
        <v>6632</v>
      </c>
      <c r="C9227" s="196">
        <v>-860000</v>
      </c>
      <c r="D9227" s="196">
        <v>0</v>
      </c>
      <c r="E9227" s="196">
        <v>0</v>
      </c>
      <c r="F9227" s="196">
        <v>0</v>
      </c>
      <c r="G9227" s="196">
        <v>-860000</v>
      </c>
    </row>
    <row r="9228" spans="1:7" x14ac:dyDescent="0.3">
      <c r="A9228" s="198">
        <v>1152708743</v>
      </c>
      <c r="B9228" s="192" t="s">
        <v>6633</v>
      </c>
      <c r="C9228" s="196">
        <v>-963000</v>
      </c>
      <c r="D9228" s="196">
        <v>0</v>
      </c>
      <c r="E9228" s="196">
        <v>0</v>
      </c>
      <c r="F9228" s="196">
        <v>0</v>
      </c>
      <c r="G9228" s="196">
        <v>-963000</v>
      </c>
    </row>
    <row r="9229" spans="1:7" x14ac:dyDescent="0.3">
      <c r="A9229" s="198">
        <v>32256839</v>
      </c>
      <c r="B9229" s="192" t="s">
        <v>772</v>
      </c>
      <c r="C9229" s="196">
        <v>0</v>
      </c>
      <c r="D9229" s="196">
        <v>11526600</v>
      </c>
      <c r="E9229" s="196">
        <v>17289900</v>
      </c>
      <c r="F9229" s="196">
        <v>-5763300</v>
      </c>
      <c r="G9229" s="196">
        <v>-5763300</v>
      </c>
    </row>
    <row r="9230" spans="1:7" x14ac:dyDescent="0.3">
      <c r="A9230" s="198">
        <v>1036937618</v>
      </c>
      <c r="B9230" s="192" t="s">
        <v>6634</v>
      </c>
      <c r="C9230" s="196">
        <v>-860000</v>
      </c>
      <c r="D9230" s="196">
        <v>0</v>
      </c>
      <c r="E9230" s="196">
        <v>0</v>
      </c>
      <c r="F9230" s="196">
        <v>0</v>
      </c>
      <c r="G9230" s="196">
        <v>-860000</v>
      </c>
    </row>
    <row r="9231" spans="1:7" x14ac:dyDescent="0.3">
      <c r="A9231" s="192" t="s">
        <v>4040</v>
      </c>
      <c r="B9231" s="192" t="s">
        <v>4041</v>
      </c>
      <c r="C9231" s="196">
        <v>-1701500</v>
      </c>
      <c r="D9231" s="196">
        <v>0</v>
      </c>
      <c r="E9231" s="196">
        <v>0</v>
      </c>
      <c r="F9231" s="196">
        <v>0</v>
      </c>
      <c r="G9231" s="196">
        <v>-1701500</v>
      </c>
    </row>
    <row r="9232" spans="1:7" x14ac:dyDescent="0.3">
      <c r="A9232" s="198">
        <v>1129904878</v>
      </c>
      <c r="B9232" s="192" t="s">
        <v>6635</v>
      </c>
      <c r="C9232" s="196">
        <v>-3286000</v>
      </c>
      <c r="D9232" s="196">
        <v>0</v>
      </c>
      <c r="E9232" s="196">
        <v>0</v>
      </c>
      <c r="F9232" s="196">
        <v>0</v>
      </c>
      <c r="G9232" s="196">
        <v>-3286000</v>
      </c>
    </row>
    <row r="9233" spans="1:7" x14ac:dyDescent="0.3">
      <c r="A9233" s="192" t="s">
        <v>6636</v>
      </c>
      <c r="B9233" s="192" t="s">
        <v>6637</v>
      </c>
      <c r="C9233" s="196">
        <v>-9894600</v>
      </c>
      <c r="D9233" s="196">
        <v>0</v>
      </c>
      <c r="E9233" s="196">
        <v>0</v>
      </c>
      <c r="F9233" s="196">
        <v>0</v>
      </c>
      <c r="G9233" s="196">
        <v>-9894600</v>
      </c>
    </row>
    <row r="9234" spans="1:7" x14ac:dyDescent="0.3">
      <c r="A9234" s="198">
        <v>1128280804</v>
      </c>
      <c r="B9234" s="192" t="s">
        <v>773</v>
      </c>
      <c r="C9234" s="196">
        <v>0</v>
      </c>
      <c r="D9234" s="196">
        <v>0</v>
      </c>
      <c r="E9234" s="196">
        <v>3500000</v>
      </c>
      <c r="F9234" s="196">
        <v>-3500000</v>
      </c>
      <c r="G9234" s="196">
        <v>-3500000</v>
      </c>
    </row>
    <row r="9235" spans="1:7" x14ac:dyDescent="0.3">
      <c r="A9235" s="198">
        <v>1025881250</v>
      </c>
      <c r="B9235" s="192" t="s">
        <v>6638</v>
      </c>
      <c r="C9235" s="196">
        <v>-963000</v>
      </c>
      <c r="D9235" s="196">
        <v>0</v>
      </c>
      <c r="E9235" s="196">
        <v>0</v>
      </c>
      <c r="F9235" s="196">
        <v>0</v>
      </c>
      <c r="G9235" s="196">
        <v>-963000</v>
      </c>
    </row>
    <row r="9236" spans="1:7" x14ac:dyDescent="0.3">
      <c r="A9236" s="198">
        <v>1128455095</v>
      </c>
      <c r="B9236" s="192" t="s">
        <v>6639</v>
      </c>
      <c r="C9236" s="196">
        <v>-963000</v>
      </c>
      <c r="D9236" s="196">
        <v>0</v>
      </c>
      <c r="E9236" s="196">
        <v>0</v>
      </c>
      <c r="F9236" s="196">
        <v>0</v>
      </c>
      <c r="G9236" s="196">
        <v>-963000</v>
      </c>
    </row>
    <row r="9237" spans="1:7" x14ac:dyDescent="0.3">
      <c r="A9237" s="198">
        <v>7951684</v>
      </c>
      <c r="B9237" s="192" t="s">
        <v>6640</v>
      </c>
      <c r="C9237" s="196">
        <v>-860000</v>
      </c>
      <c r="D9237" s="196">
        <v>0</v>
      </c>
      <c r="E9237" s="196">
        <v>0</v>
      </c>
      <c r="F9237" s="196">
        <v>0</v>
      </c>
      <c r="G9237" s="196">
        <v>-860000</v>
      </c>
    </row>
    <row r="9238" spans="1:7" x14ac:dyDescent="0.3">
      <c r="A9238" s="198">
        <v>1048019016</v>
      </c>
      <c r="B9238" s="192" t="s">
        <v>6641</v>
      </c>
      <c r="C9238" s="196">
        <v>-5117000</v>
      </c>
      <c r="D9238" s="196">
        <v>0</v>
      </c>
      <c r="E9238" s="196">
        <v>0</v>
      </c>
      <c r="F9238" s="196">
        <v>0</v>
      </c>
      <c r="G9238" s="196">
        <v>-5117000</v>
      </c>
    </row>
    <row r="9239" spans="1:7" x14ac:dyDescent="0.3">
      <c r="A9239" s="198">
        <v>1017246777</v>
      </c>
      <c r="B9239" s="192" t="s">
        <v>6642</v>
      </c>
      <c r="C9239" s="196">
        <v>-2495000</v>
      </c>
      <c r="D9239" s="196">
        <v>0</v>
      </c>
      <c r="E9239" s="196">
        <v>0</v>
      </c>
      <c r="F9239" s="196">
        <v>0</v>
      </c>
      <c r="G9239" s="196">
        <v>-2495000</v>
      </c>
    </row>
    <row r="9240" spans="1:7" x14ac:dyDescent="0.3">
      <c r="A9240" s="198">
        <v>1001035522</v>
      </c>
      <c r="B9240" s="192" t="s">
        <v>777</v>
      </c>
      <c r="C9240" s="196">
        <v>-963001</v>
      </c>
      <c r="D9240" s="196">
        <v>0</v>
      </c>
      <c r="E9240" s="196">
        <v>0</v>
      </c>
      <c r="F9240" s="196">
        <v>0</v>
      </c>
      <c r="G9240" s="196">
        <v>-963001</v>
      </c>
    </row>
    <row r="9241" spans="1:7" x14ac:dyDescent="0.3">
      <c r="A9241" s="198">
        <v>1032012363</v>
      </c>
      <c r="B9241" s="192" t="s">
        <v>6643</v>
      </c>
      <c r="C9241" s="196">
        <v>-963000</v>
      </c>
      <c r="D9241" s="196">
        <v>0</v>
      </c>
      <c r="E9241" s="196">
        <v>0</v>
      </c>
      <c r="F9241" s="196">
        <v>0</v>
      </c>
      <c r="G9241" s="196">
        <v>-963000</v>
      </c>
    </row>
    <row r="9242" spans="1:7" x14ac:dyDescent="0.3">
      <c r="A9242" s="198">
        <v>1036450897</v>
      </c>
      <c r="B9242" s="192" t="s">
        <v>6644</v>
      </c>
      <c r="C9242" s="196">
        <v>-963000</v>
      </c>
      <c r="D9242" s="196">
        <v>0</v>
      </c>
      <c r="E9242" s="196">
        <v>0</v>
      </c>
      <c r="F9242" s="196">
        <v>0</v>
      </c>
      <c r="G9242" s="196">
        <v>-963000</v>
      </c>
    </row>
    <row r="9243" spans="1:7" x14ac:dyDescent="0.3">
      <c r="A9243" s="198">
        <v>1007102030</v>
      </c>
      <c r="B9243" s="192" t="s">
        <v>784</v>
      </c>
      <c r="C9243" s="196">
        <v>0</v>
      </c>
      <c r="D9243" s="196">
        <v>0</v>
      </c>
      <c r="E9243" s="196">
        <v>963000</v>
      </c>
      <c r="F9243" s="196">
        <v>-963000</v>
      </c>
      <c r="G9243" s="196">
        <v>-963000</v>
      </c>
    </row>
    <row r="9244" spans="1:7" x14ac:dyDescent="0.3">
      <c r="A9244" s="198">
        <v>900279888</v>
      </c>
      <c r="B9244" s="192" t="s">
        <v>6645</v>
      </c>
      <c r="C9244" s="196">
        <v>-4538000</v>
      </c>
      <c r="D9244" s="196">
        <v>0</v>
      </c>
      <c r="E9244" s="196">
        <v>0</v>
      </c>
      <c r="F9244" s="196">
        <v>0</v>
      </c>
      <c r="G9244" s="196">
        <v>-4538000</v>
      </c>
    </row>
    <row r="9245" spans="1:7" x14ac:dyDescent="0.3">
      <c r="A9245" s="198">
        <v>1092524677</v>
      </c>
      <c r="B9245" s="192" t="s">
        <v>785</v>
      </c>
      <c r="C9245" s="196">
        <v>0</v>
      </c>
      <c r="D9245" s="196">
        <v>0</v>
      </c>
      <c r="E9245" s="196">
        <v>963000</v>
      </c>
      <c r="F9245" s="196">
        <v>-963000</v>
      </c>
      <c r="G9245" s="196">
        <v>-963000</v>
      </c>
    </row>
    <row r="9246" spans="1:7" x14ac:dyDescent="0.3">
      <c r="A9246" s="198">
        <v>1037618773</v>
      </c>
      <c r="B9246" s="192" t="s">
        <v>6646</v>
      </c>
      <c r="C9246" s="196">
        <v>-963000</v>
      </c>
      <c r="D9246" s="196">
        <v>0</v>
      </c>
      <c r="E9246" s="196">
        <v>0</v>
      </c>
      <c r="F9246" s="196">
        <v>0</v>
      </c>
      <c r="G9246" s="196">
        <v>-963000</v>
      </c>
    </row>
    <row r="9247" spans="1:7" x14ac:dyDescent="0.3">
      <c r="A9247" s="198">
        <v>1046911184</v>
      </c>
      <c r="B9247" s="192" t="s">
        <v>6647</v>
      </c>
      <c r="C9247" s="196">
        <v>-963000</v>
      </c>
      <c r="D9247" s="196">
        <v>0</v>
      </c>
      <c r="E9247" s="196">
        <v>0</v>
      </c>
      <c r="F9247" s="196">
        <v>0</v>
      </c>
      <c r="G9247" s="196">
        <v>-963000</v>
      </c>
    </row>
    <row r="9248" spans="1:7" x14ac:dyDescent="0.3">
      <c r="A9248" s="198">
        <v>1020410059</v>
      </c>
      <c r="B9248" s="192" t="s">
        <v>6648</v>
      </c>
      <c r="C9248" s="196">
        <v>-963000</v>
      </c>
      <c r="D9248" s="196">
        <v>0</v>
      </c>
      <c r="E9248" s="196">
        <v>0</v>
      </c>
      <c r="F9248" s="196">
        <v>0</v>
      </c>
      <c r="G9248" s="196">
        <v>-963000</v>
      </c>
    </row>
    <row r="9249" spans="1:7" x14ac:dyDescent="0.3">
      <c r="A9249" s="198">
        <v>1037642122</v>
      </c>
      <c r="B9249" s="192" t="s">
        <v>4061</v>
      </c>
      <c r="C9249" s="196">
        <v>-2692000</v>
      </c>
      <c r="D9249" s="196">
        <v>0</v>
      </c>
      <c r="E9249" s="196">
        <v>0</v>
      </c>
      <c r="F9249" s="196">
        <v>0</v>
      </c>
      <c r="G9249" s="196">
        <v>-2692000</v>
      </c>
    </row>
    <row r="9250" spans="1:7" x14ac:dyDescent="0.3">
      <c r="A9250" s="198">
        <v>1017146885</v>
      </c>
      <c r="B9250" s="192" t="s">
        <v>6649</v>
      </c>
      <c r="C9250" s="196">
        <v>-963000</v>
      </c>
      <c r="D9250" s="196">
        <v>0</v>
      </c>
      <c r="E9250" s="196">
        <v>0</v>
      </c>
      <c r="F9250" s="196">
        <v>0</v>
      </c>
      <c r="G9250" s="196">
        <v>-963000</v>
      </c>
    </row>
    <row r="9251" spans="1:7" x14ac:dyDescent="0.3">
      <c r="A9251" s="198">
        <v>1036668034</v>
      </c>
      <c r="B9251" s="192" t="s">
        <v>4067</v>
      </c>
      <c r="C9251" s="196">
        <v>-3210000</v>
      </c>
      <c r="D9251" s="196">
        <v>0</v>
      </c>
      <c r="E9251" s="196">
        <v>0</v>
      </c>
      <c r="F9251" s="196">
        <v>0</v>
      </c>
      <c r="G9251" s="196">
        <v>-3210000</v>
      </c>
    </row>
    <row r="9252" spans="1:7" x14ac:dyDescent="0.3">
      <c r="A9252" s="198">
        <v>1152188964</v>
      </c>
      <c r="B9252" s="192" t="s">
        <v>791</v>
      </c>
      <c r="C9252" s="196">
        <v>0</v>
      </c>
      <c r="D9252" s="196">
        <v>0</v>
      </c>
      <c r="E9252" s="196">
        <v>963000</v>
      </c>
      <c r="F9252" s="196">
        <v>-963000</v>
      </c>
      <c r="G9252" s="196">
        <v>-963000</v>
      </c>
    </row>
    <row r="9253" spans="1:7" x14ac:dyDescent="0.3">
      <c r="A9253" s="198">
        <v>1060657141</v>
      </c>
      <c r="B9253" s="192" t="s">
        <v>792</v>
      </c>
      <c r="C9253" s="196">
        <v>0</v>
      </c>
      <c r="D9253" s="196">
        <v>0</v>
      </c>
      <c r="E9253" s="196">
        <v>963000</v>
      </c>
      <c r="F9253" s="196">
        <v>-963000</v>
      </c>
      <c r="G9253" s="196">
        <v>-963000</v>
      </c>
    </row>
    <row r="9254" spans="1:7" x14ac:dyDescent="0.3">
      <c r="A9254" s="198">
        <v>98471856</v>
      </c>
      <c r="B9254" s="192" t="s">
        <v>4069</v>
      </c>
      <c r="C9254" s="196">
        <v>-968000</v>
      </c>
      <c r="D9254" s="196">
        <v>0</v>
      </c>
      <c r="E9254" s="196">
        <v>0</v>
      </c>
      <c r="F9254" s="196">
        <v>0</v>
      </c>
      <c r="G9254" s="196">
        <v>-968000</v>
      </c>
    </row>
    <row r="9255" spans="1:7" x14ac:dyDescent="0.3">
      <c r="A9255" s="198">
        <v>98576064</v>
      </c>
      <c r="B9255" s="192" t="s">
        <v>793</v>
      </c>
      <c r="C9255" s="196">
        <v>-36600</v>
      </c>
      <c r="D9255" s="196">
        <v>0</v>
      </c>
      <c r="E9255" s="196">
        <v>36600</v>
      </c>
      <c r="F9255" s="196">
        <v>-36600</v>
      </c>
      <c r="G9255" s="196">
        <v>-73200</v>
      </c>
    </row>
    <row r="9256" spans="1:7" x14ac:dyDescent="0.3">
      <c r="A9256" s="198">
        <v>8047483</v>
      </c>
      <c r="B9256" s="192" t="s">
        <v>6650</v>
      </c>
      <c r="C9256" s="196">
        <v>-710000</v>
      </c>
      <c r="D9256" s="196">
        <v>0</v>
      </c>
      <c r="E9256" s="196">
        <v>0</v>
      </c>
      <c r="F9256" s="196">
        <v>0</v>
      </c>
      <c r="G9256" s="196">
        <v>-710000</v>
      </c>
    </row>
    <row r="9257" spans="1:7" x14ac:dyDescent="0.3">
      <c r="A9257" s="198">
        <v>3524420</v>
      </c>
      <c r="B9257" s="192" t="s">
        <v>795</v>
      </c>
      <c r="C9257" s="196">
        <v>0</v>
      </c>
      <c r="D9257" s="196">
        <v>0</v>
      </c>
      <c r="E9257" s="196">
        <v>6872300</v>
      </c>
      <c r="F9257" s="196">
        <v>-6872300</v>
      </c>
      <c r="G9257" s="196">
        <v>-6872300</v>
      </c>
    </row>
    <row r="9258" spans="1:7" x14ac:dyDescent="0.3">
      <c r="A9258" s="198">
        <v>70901258</v>
      </c>
      <c r="B9258" s="192" t="s">
        <v>4071</v>
      </c>
      <c r="C9258" s="196">
        <v>-6805800</v>
      </c>
      <c r="D9258" s="196">
        <v>0</v>
      </c>
      <c r="E9258" s="196">
        <v>0</v>
      </c>
      <c r="F9258" s="196">
        <v>0</v>
      </c>
      <c r="G9258" s="196">
        <v>-6805800</v>
      </c>
    </row>
    <row r="9259" spans="1:7" x14ac:dyDescent="0.3">
      <c r="A9259" s="198">
        <v>1020470509</v>
      </c>
      <c r="B9259" s="192" t="s">
        <v>4072</v>
      </c>
      <c r="C9259" s="196">
        <v>-2710000</v>
      </c>
      <c r="D9259" s="196">
        <v>0</v>
      </c>
      <c r="E9259" s="196">
        <v>0</v>
      </c>
      <c r="F9259" s="196">
        <v>0</v>
      </c>
      <c r="G9259" s="196">
        <v>-2710000</v>
      </c>
    </row>
    <row r="9260" spans="1:7" x14ac:dyDescent="0.3">
      <c r="A9260" s="198">
        <v>1144155566</v>
      </c>
      <c r="B9260" s="192" t="s">
        <v>6651</v>
      </c>
      <c r="C9260" s="196">
        <v>-963000</v>
      </c>
      <c r="D9260" s="196">
        <v>0</v>
      </c>
      <c r="E9260" s="196">
        <v>0</v>
      </c>
      <c r="F9260" s="196">
        <v>0</v>
      </c>
      <c r="G9260" s="196">
        <v>-963000</v>
      </c>
    </row>
    <row r="9261" spans="1:7" x14ac:dyDescent="0.3">
      <c r="A9261" s="198">
        <v>1040758816</v>
      </c>
      <c r="B9261" s="192" t="s">
        <v>4077</v>
      </c>
      <c r="C9261" s="196">
        <v>-3463000</v>
      </c>
      <c r="D9261" s="196">
        <v>0</v>
      </c>
      <c r="E9261" s="196">
        <v>0</v>
      </c>
      <c r="F9261" s="196">
        <v>0</v>
      </c>
      <c r="G9261" s="196">
        <v>-3463000</v>
      </c>
    </row>
    <row r="9262" spans="1:7" x14ac:dyDescent="0.3">
      <c r="A9262" s="198">
        <v>1000919039</v>
      </c>
      <c r="B9262" s="192" t="s">
        <v>6652</v>
      </c>
      <c r="C9262" s="196">
        <v>-539000</v>
      </c>
      <c r="D9262" s="196">
        <v>0</v>
      </c>
      <c r="E9262" s="196">
        <v>0</v>
      </c>
      <c r="F9262" s="196">
        <v>0</v>
      </c>
      <c r="G9262" s="196">
        <v>-539000</v>
      </c>
    </row>
    <row r="9263" spans="1:7" x14ac:dyDescent="0.3">
      <c r="A9263" s="198">
        <v>71374687</v>
      </c>
      <c r="B9263" s="192" t="s">
        <v>6653</v>
      </c>
      <c r="C9263" s="196">
        <v>-2980000</v>
      </c>
      <c r="D9263" s="196">
        <v>0</v>
      </c>
      <c r="E9263" s="196">
        <v>0</v>
      </c>
      <c r="F9263" s="196">
        <v>0</v>
      </c>
      <c r="G9263" s="196">
        <v>-2980000</v>
      </c>
    </row>
    <row r="9264" spans="1:7" x14ac:dyDescent="0.3">
      <c r="A9264" s="198">
        <v>1128453783</v>
      </c>
      <c r="B9264" s="192" t="s">
        <v>6654</v>
      </c>
      <c r="C9264" s="196">
        <v>-1026100</v>
      </c>
      <c r="D9264" s="196">
        <v>0</v>
      </c>
      <c r="E9264" s="196">
        <v>0</v>
      </c>
      <c r="F9264" s="196">
        <v>0</v>
      </c>
      <c r="G9264" s="196">
        <v>-1026100</v>
      </c>
    </row>
    <row r="9265" spans="1:7" x14ac:dyDescent="0.3">
      <c r="A9265" s="198">
        <v>7562823</v>
      </c>
      <c r="B9265" s="192" t="s">
        <v>6655</v>
      </c>
      <c r="C9265" s="196">
        <v>-14133000</v>
      </c>
      <c r="D9265" s="196">
        <v>0</v>
      </c>
      <c r="E9265" s="196">
        <v>0</v>
      </c>
      <c r="F9265" s="196">
        <v>0</v>
      </c>
      <c r="G9265" s="196">
        <v>-14133000</v>
      </c>
    </row>
    <row r="9266" spans="1:7" x14ac:dyDescent="0.3">
      <c r="A9266" s="198">
        <v>11705730</v>
      </c>
      <c r="B9266" s="192" t="s">
        <v>798</v>
      </c>
      <c r="C9266" s="196">
        <v>0</v>
      </c>
      <c r="D9266" s="196">
        <v>0</v>
      </c>
      <c r="E9266" s="196">
        <v>13276000</v>
      </c>
      <c r="F9266" s="196">
        <v>-13276000</v>
      </c>
      <c r="G9266" s="196">
        <v>-13276000</v>
      </c>
    </row>
    <row r="9267" spans="1:7" x14ac:dyDescent="0.3">
      <c r="A9267" s="198">
        <v>1017145146</v>
      </c>
      <c r="B9267" s="192" t="s">
        <v>6656</v>
      </c>
      <c r="C9267" s="196">
        <v>-963000</v>
      </c>
      <c r="D9267" s="196">
        <v>0</v>
      </c>
      <c r="E9267" s="196">
        <v>0</v>
      </c>
      <c r="F9267" s="196">
        <v>0</v>
      </c>
      <c r="G9267" s="196">
        <v>-963000</v>
      </c>
    </row>
    <row r="9268" spans="1:7" x14ac:dyDescent="0.3">
      <c r="A9268" s="198">
        <v>71625486</v>
      </c>
      <c r="B9268" s="192" t="s">
        <v>799</v>
      </c>
      <c r="C9268" s="196">
        <v>0</v>
      </c>
      <c r="D9268" s="196">
        <v>0</v>
      </c>
      <c r="E9268" s="196">
        <v>1870000</v>
      </c>
      <c r="F9268" s="196">
        <v>-1870000</v>
      </c>
      <c r="G9268" s="196">
        <v>-1870000</v>
      </c>
    </row>
    <row r="9269" spans="1:7" x14ac:dyDescent="0.3">
      <c r="A9269" s="198">
        <v>15515038</v>
      </c>
      <c r="B9269" s="192" t="s">
        <v>6657</v>
      </c>
      <c r="C9269" s="196">
        <v>-4133000</v>
      </c>
      <c r="D9269" s="196">
        <v>0</v>
      </c>
      <c r="E9269" s="196">
        <v>0</v>
      </c>
      <c r="F9269" s="196">
        <v>0</v>
      </c>
      <c r="G9269" s="196">
        <v>-4133000</v>
      </c>
    </row>
    <row r="9270" spans="1:7" x14ac:dyDescent="0.3">
      <c r="A9270" s="198">
        <v>1006948492</v>
      </c>
      <c r="B9270" s="192" t="s">
        <v>6658</v>
      </c>
      <c r="C9270" s="196">
        <v>-963000</v>
      </c>
      <c r="D9270" s="196">
        <v>0</v>
      </c>
      <c r="E9270" s="196">
        <v>0</v>
      </c>
      <c r="F9270" s="196">
        <v>0</v>
      </c>
      <c r="G9270" s="196">
        <v>-963000</v>
      </c>
    </row>
    <row r="9271" spans="1:7" x14ac:dyDescent="0.3">
      <c r="A9271" s="198">
        <v>1007717100</v>
      </c>
      <c r="B9271" s="192" t="s">
        <v>6659</v>
      </c>
      <c r="C9271" s="196">
        <v>-1850000</v>
      </c>
      <c r="D9271" s="196">
        <v>0</v>
      </c>
      <c r="E9271" s="196">
        <v>0</v>
      </c>
      <c r="F9271" s="196">
        <v>0</v>
      </c>
      <c r="G9271" s="196">
        <v>-1850000</v>
      </c>
    </row>
    <row r="9272" spans="1:7" x14ac:dyDescent="0.3">
      <c r="A9272" s="198">
        <v>1026146964</v>
      </c>
      <c r="B9272" s="192" t="s">
        <v>6660</v>
      </c>
      <c r="C9272" s="196">
        <v>-1196000</v>
      </c>
      <c r="D9272" s="196">
        <v>0</v>
      </c>
      <c r="E9272" s="196">
        <v>0</v>
      </c>
      <c r="F9272" s="196">
        <v>0</v>
      </c>
      <c r="G9272" s="196">
        <v>-1196000</v>
      </c>
    </row>
    <row r="9273" spans="1:7" x14ac:dyDescent="0.3">
      <c r="A9273" s="198">
        <v>1026148449</v>
      </c>
      <c r="B9273" s="192" t="s">
        <v>800</v>
      </c>
      <c r="C9273" s="196">
        <v>0</v>
      </c>
      <c r="D9273" s="196">
        <v>0</v>
      </c>
      <c r="E9273" s="196">
        <v>2710000</v>
      </c>
      <c r="F9273" s="196">
        <v>-2710000</v>
      </c>
      <c r="G9273" s="196">
        <v>-2710000</v>
      </c>
    </row>
    <row r="9274" spans="1:7" x14ac:dyDescent="0.3">
      <c r="A9274" s="198">
        <v>71942174</v>
      </c>
      <c r="B9274" s="192" t="s">
        <v>6661</v>
      </c>
      <c r="C9274" s="196">
        <v>-963000</v>
      </c>
      <c r="D9274" s="196">
        <v>0</v>
      </c>
      <c r="E9274" s="196">
        <v>0</v>
      </c>
      <c r="F9274" s="196">
        <v>0</v>
      </c>
      <c r="G9274" s="196">
        <v>-963000</v>
      </c>
    </row>
    <row r="9275" spans="1:7" x14ac:dyDescent="0.3">
      <c r="A9275" s="198">
        <v>1037544111</v>
      </c>
      <c r="B9275" s="192" t="s">
        <v>4094</v>
      </c>
      <c r="C9275" s="196">
        <v>-3000000</v>
      </c>
      <c r="D9275" s="196">
        <v>0</v>
      </c>
      <c r="E9275" s="196">
        <v>0</v>
      </c>
      <c r="F9275" s="196">
        <v>0</v>
      </c>
      <c r="G9275" s="196">
        <v>-3000000</v>
      </c>
    </row>
    <row r="9276" spans="1:7" x14ac:dyDescent="0.3">
      <c r="A9276" s="198">
        <v>1006947455</v>
      </c>
      <c r="B9276" s="192" t="s">
        <v>6662</v>
      </c>
      <c r="C9276" s="196">
        <v>-963000</v>
      </c>
      <c r="D9276" s="196">
        <v>0</v>
      </c>
      <c r="E9276" s="196">
        <v>0</v>
      </c>
      <c r="F9276" s="196">
        <v>0</v>
      </c>
      <c r="G9276" s="196">
        <v>-963000</v>
      </c>
    </row>
    <row r="9277" spans="1:7" x14ac:dyDescent="0.3">
      <c r="A9277" s="198">
        <v>1076331399</v>
      </c>
      <c r="B9277" s="192" t="s">
        <v>6663</v>
      </c>
      <c r="C9277" s="196">
        <v>-963000</v>
      </c>
      <c r="D9277" s="196">
        <v>0</v>
      </c>
      <c r="E9277" s="196">
        <v>0</v>
      </c>
      <c r="F9277" s="196">
        <v>0</v>
      </c>
      <c r="G9277" s="196">
        <v>-963000</v>
      </c>
    </row>
    <row r="9278" spans="1:7" x14ac:dyDescent="0.3">
      <c r="A9278" s="198">
        <v>1116247965</v>
      </c>
      <c r="B9278" s="192" t="s">
        <v>803</v>
      </c>
      <c r="C9278" s="196">
        <v>0</v>
      </c>
      <c r="D9278" s="196">
        <v>0</v>
      </c>
      <c r="E9278" s="196">
        <v>963000</v>
      </c>
      <c r="F9278" s="196">
        <v>-963000</v>
      </c>
      <c r="G9278" s="196">
        <v>-963000</v>
      </c>
    </row>
    <row r="9279" spans="1:7" x14ac:dyDescent="0.3">
      <c r="A9279" s="198">
        <v>587046885</v>
      </c>
      <c r="B9279" s="192" t="s">
        <v>6664</v>
      </c>
      <c r="C9279" s="196">
        <v>-4375000</v>
      </c>
      <c r="D9279" s="196">
        <v>0</v>
      </c>
      <c r="E9279" s="196">
        <v>0</v>
      </c>
      <c r="F9279" s="196">
        <v>0</v>
      </c>
      <c r="G9279" s="196">
        <v>-4375000</v>
      </c>
    </row>
    <row r="9280" spans="1:7" x14ac:dyDescent="0.3">
      <c r="A9280" s="198">
        <v>1035864262</v>
      </c>
      <c r="B9280" s="192" t="s">
        <v>6665</v>
      </c>
      <c r="C9280" s="196">
        <v>-963000</v>
      </c>
      <c r="D9280" s="196">
        <v>0</v>
      </c>
      <c r="E9280" s="196">
        <v>0</v>
      </c>
      <c r="F9280" s="196">
        <v>0</v>
      </c>
      <c r="G9280" s="196">
        <v>-963000</v>
      </c>
    </row>
    <row r="9281" spans="1:7" x14ac:dyDescent="0.3">
      <c r="A9281" s="198">
        <v>1000206037</v>
      </c>
      <c r="B9281" s="192" t="s">
        <v>4112</v>
      </c>
      <c r="C9281" s="196">
        <v>-3017000</v>
      </c>
      <c r="D9281" s="196">
        <v>0</v>
      </c>
      <c r="E9281" s="196">
        <v>0</v>
      </c>
      <c r="F9281" s="196">
        <v>0</v>
      </c>
      <c r="G9281" s="196">
        <v>-3017000</v>
      </c>
    </row>
    <row r="9282" spans="1:7" x14ac:dyDescent="0.3">
      <c r="A9282" s="198">
        <v>1036635480</v>
      </c>
      <c r="B9282" s="192" t="s">
        <v>1686</v>
      </c>
      <c r="C9282" s="196">
        <v>-3510000</v>
      </c>
      <c r="D9282" s="196">
        <v>0</v>
      </c>
      <c r="E9282" s="196">
        <v>0</v>
      </c>
      <c r="F9282" s="196">
        <v>0</v>
      </c>
      <c r="G9282" s="196">
        <v>-3510000</v>
      </c>
    </row>
    <row r="9283" spans="1:7" x14ac:dyDescent="0.3">
      <c r="A9283" s="198">
        <v>1053866021</v>
      </c>
      <c r="B9283" s="192" t="s">
        <v>6666</v>
      </c>
      <c r="C9283" s="196">
        <v>-963000</v>
      </c>
      <c r="D9283" s="196">
        <v>0</v>
      </c>
      <c r="E9283" s="196">
        <v>0</v>
      </c>
      <c r="F9283" s="196">
        <v>0</v>
      </c>
      <c r="G9283" s="196">
        <v>-963000</v>
      </c>
    </row>
    <row r="9284" spans="1:7" x14ac:dyDescent="0.3">
      <c r="A9284" s="198">
        <v>1127802529</v>
      </c>
      <c r="B9284" s="192" t="s">
        <v>6667</v>
      </c>
      <c r="C9284" s="196">
        <v>-963000</v>
      </c>
      <c r="D9284" s="196">
        <v>0</v>
      </c>
      <c r="E9284" s="196">
        <v>0</v>
      </c>
      <c r="F9284" s="196">
        <v>0</v>
      </c>
      <c r="G9284" s="196">
        <v>-963000</v>
      </c>
    </row>
    <row r="9285" spans="1:7" x14ac:dyDescent="0.3">
      <c r="A9285" s="198">
        <v>1017190637</v>
      </c>
      <c r="B9285" s="192" t="s">
        <v>6668</v>
      </c>
      <c r="C9285" s="196">
        <v>-860000</v>
      </c>
      <c r="D9285" s="196">
        <v>0</v>
      </c>
      <c r="E9285" s="196">
        <v>0</v>
      </c>
      <c r="F9285" s="196">
        <v>0</v>
      </c>
      <c r="G9285" s="196">
        <v>-860000</v>
      </c>
    </row>
    <row r="9286" spans="1:7" x14ac:dyDescent="0.3">
      <c r="A9286" s="198">
        <v>1128421206</v>
      </c>
      <c r="B9286" s="192" t="s">
        <v>808</v>
      </c>
      <c r="C9286" s="196">
        <v>0</v>
      </c>
      <c r="D9286" s="196">
        <v>0</v>
      </c>
      <c r="E9286" s="196">
        <v>963000</v>
      </c>
      <c r="F9286" s="196">
        <v>-963000</v>
      </c>
      <c r="G9286" s="196">
        <v>-963000</v>
      </c>
    </row>
    <row r="9287" spans="1:7" x14ac:dyDescent="0.3">
      <c r="A9287" s="198">
        <v>661249721</v>
      </c>
      <c r="B9287" s="192" t="s">
        <v>809</v>
      </c>
      <c r="C9287" s="196">
        <v>-1900000</v>
      </c>
      <c r="D9287" s="196">
        <v>0</v>
      </c>
      <c r="E9287" s="196">
        <v>0</v>
      </c>
      <c r="F9287" s="196">
        <v>0</v>
      </c>
      <c r="G9287" s="196">
        <v>-1900000</v>
      </c>
    </row>
    <row r="9288" spans="1:7" x14ac:dyDescent="0.3">
      <c r="A9288" s="198">
        <v>1037609142</v>
      </c>
      <c r="B9288" s="192" t="s">
        <v>810</v>
      </c>
      <c r="C9288" s="196">
        <v>0</v>
      </c>
      <c r="D9288" s="196">
        <v>0</v>
      </c>
      <c r="E9288" s="196">
        <v>963000</v>
      </c>
      <c r="F9288" s="196">
        <v>-963000</v>
      </c>
      <c r="G9288" s="196">
        <v>-963000</v>
      </c>
    </row>
    <row r="9289" spans="1:7" x14ac:dyDescent="0.3">
      <c r="A9289" s="198">
        <v>1001725727</v>
      </c>
      <c r="B9289" s="192" t="s">
        <v>6669</v>
      </c>
      <c r="C9289" s="196">
        <v>-963000</v>
      </c>
      <c r="D9289" s="196">
        <v>0</v>
      </c>
      <c r="E9289" s="196">
        <v>0</v>
      </c>
      <c r="F9289" s="196">
        <v>0</v>
      </c>
      <c r="G9289" s="196">
        <v>-963000</v>
      </c>
    </row>
    <row r="9290" spans="1:7" x14ac:dyDescent="0.3">
      <c r="A9290" s="192" t="s">
        <v>4118</v>
      </c>
      <c r="B9290" s="192" t="s">
        <v>4119</v>
      </c>
      <c r="C9290" s="196">
        <v>-3410000</v>
      </c>
      <c r="D9290" s="196">
        <v>0</v>
      </c>
      <c r="E9290" s="196">
        <v>0</v>
      </c>
      <c r="F9290" s="196">
        <v>0</v>
      </c>
      <c r="G9290" s="196">
        <v>-3410000</v>
      </c>
    </row>
    <row r="9291" spans="1:7" x14ac:dyDescent="0.3">
      <c r="A9291" s="198">
        <v>1039050184</v>
      </c>
      <c r="B9291" s="192" t="s">
        <v>6670</v>
      </c>
      <c r="C9291" s="196">
        <v>-963000</v>
      </c>
      <c r="D9291" s="196">
        <v>0</v>
      </c>
      <c r="E9291" s="196">
        <v>0</v>
      </c>
      <c r="F9291" s="196">
        <v>0</v>
      </c>
      <c r="G9291" s="196">
        <v>-963000</v>
      </c>
    </row>
    <row r="9292" spans="1:7" x14ac:dyDescent="0.3">
      <c r="A9292" s="198">
        <v>1027880575</v>
      </c>
      <c r="B9292" s="192" t="s">
        <v>6671</v>
      </c>
      <c r="C9292" s="196">
        <v>-963000</v>
      </c>
      <c r="D9292" s="196">
        <v>0</v>
      </c>
      <c r="E9292" s="196">
        <v>0</v>
      </c>
      <c r="F9292" s="196">
        <v>0</v>
      </c>
      <c r="G9292" s="196">
        <v>-963000</v>
      </c>
    </row>
    <row r="9293" spans="1:7" x14ac:dyDescent="0.3">
      <c r="A9293" s="198">
        <v>98606788</v>
      </c>
      <c r="B9293" s="192" t="s">
        <v>6672</v>
      </c>
      <c r="C9293" s="196">
        <v>-11585800</v>
      </c>
      <c r="D9293" s="196">
        <v>0</v>
      </c>
      <c r="E9293" s="196">
        <v>0</v>
      </c>
      <c r="F9293" s="196">
        <v>0</v>
      </c>
      <c r="G9293" s="196">
        <v>-11585800</v>
      </c>
    </row>
    <row r="9294" spans="1:7" x14ac:dyDescent="0.3">
      <c r="A9294" s="198">
        <v>3383527</v>
      </c>
      <c r="B9294" s="192" t="s">
        <v>6673</v>
      </c>
      <c r="C9294" s="196">
        <v>-963000</v>
      </c>
      <c r="D9294" s="196">
        <v>0</v>
      </c>
      <c r="E9294" s="196">
        <v>0</v>
      </c>
      <c r="F9294" s="196">
        <v>0</v>
      </c>
      <c r="G9294" s="196">
        <v>-963000</v>
      </c>
    </row>
    <row r="9295" spans="1:7" x14ac:dyDescent="0.3">
      <c r="A9295" s="198">
        <v>70927822</v>
      </c>
      <c r="B9295" s="192" t="s">
        <v>6674</v>
      </c>
      <c r="C9295" s="196">
        <v>-3690000</v>
      </c>
      <c r="D9295" s="196">
        <v>0</v>
      </c>
      <c r="E9295" s="196">
        <v>0</v>
      </c>
      <c r="F9295" s="196">
        <v>0</v>
      </c>
      <c r="G9295" s="196">
        <v>-3690000</v>
      </c>
    </row>
    <row r="9296" spans="1:7" x14ac:dyDescent="0.3">
      <c r="A9296" s="198">
        <v>1003914873</v>
      </c>
      <c r="B9296" s="192" t="s">
        <v>6675</v>
      </c>
      <c r="C9296" s="196">
        <v>-963000</v>
      </c>
      <c r="D9296" s="196">
        <v>0</v>
      </c>
      <c r="E9296" s="196">
        <v>0</v>
      </c>
      <c r="F9296" s="196">
        <v>0</v>
      </c>
      <c r="G9296" s="196">
        <v>-963000</v>
      </c>
    </row>
    <row r="9297" spans="1:7" x14ac:dyDescent="0.3">
      <c r="A9297" s="198">
        <v>98615751</v>
      </c>
      <c r="B9297" s="192" t="s">
        <v>6676</v>
      </c>
      <c r="C9297" s="196">
        <v>-4133000</v>
      </c>
      <c r="D9297" s="196">
        <v>0</v>
      </c>
      <c r="E9297" s="196">
        <v>0</v>
      </c>
      <c r="F9297" s="196">
        <v>0</v>
      </c>
      <c r="G9297" s="196">
        <v>-4133000</v>
      </c>
    </row>
    <row r="9298" spans="1:7" x14ac:dyDescent="0.3">
      <c r="A9298" s="198">
        <v>45764892</v>
      </c>
      <c r="B9298" s="192" t="s">
        <v>815</v>
      </c>
      <c r="C9298" s="196">
        <v>-2</v>
      </c>
      <c r="D9298" s="196">
        <v>0</v>
      </c>
      <c r="E9298" s="196">
        <v>0</v>
      </c>
      <c r="F9298" s="196">
        <v>0</v>
      </c>
      <c r="G9298" s="196">
        <v>-2</v>
      </c>
    </row>
    <row r="9299" spans="1:7" x14ac:dyDescent="0.3">
      <c r="A9299" s="198">
        <v>71527531</v>
      </c>
      <c r="B9299" s="192" t="s">
        <v>124</v>
      </c>
      <c r="C9299" s="196">
        <v>-570554304</v>
      </c>
      <c r="D9299" s="196">
        <v>12704497</v>
      </c>
      <c r="E9299" s="196">
        <v>153721000</v>
      </c>
      <c r="F9299" s="196">
        <v>-141016503</v>
      </c>
      <c r="G9299" s="196">
        <v>-711570807</v>
      </c>
    </row>
    <row r="9300" spans="1:7" x14ac:dyDescent="0.3">
      <c r="A9300" s="198">
        <v>1010076257</v>
      </c>
      <c r="B9300" s="192" t="s">
        <v>816</v>
      </c>
      <c r="C9300" s="196">
        <v>0</v>
      </c>
      <c r="D9300" s="196">
        <v>0</v>
      </c>
      <c r="E9300" s="196">
        <v>783000</v>
      </c>
      <c r="F9300" s="196">
        <v>-783000</v>
      </c>
      <c r="G9300" s="196">
        <v>-783000</v>
      </c>
    </row>
    <row r="9301" spans="1:7" x14ac:dyDescent="0.3">
      <c r="A9301" s="198">
        <v>1036955403</v>
      </c>
      <c r="B9301" s="192" t="s">
        <v>6677</v>
      </c>
      <c r="C9301" s="196">
        <v>-963000</v>
      </c>
      <c r="D9301" s="196">
        <v>0</v>
      </c>
      <c r="E9301" s="196">
        <v>0</v>
      </c>
      <c r="F9301" s="196">
        <v>0</v>
      </c>
      <c r="G9301" s="196">
        <v>-963000</v>
      </c>
    </row>
    <row r="9302" spans="1:7" x14ac:dyDescent="0.3">
      <c r="A9302" s="198">
        <v>1020435002</v>
      </c>
      <c r="B9302" s="192" t="s">
        <v>6678</v>
      </c>
      <c r="C9302" s="196">
        <v>-963000</v>
      </c>
      <c r="D9302" s="196">
        <v>0</v>
      </c>
      <c r="E9302" s="196">
        <v>0</v>
      </c>
      <c r="F9302" s="196">
        <v>0</v>
      </c>
      <c r="G9302" s="196">
        <v>-963000</v>
      </c>
    </row>
    <row r="9303" spans="1:7" x14ac:dyDescent="0.3">
      <c r="A9303" s="198">
        <v>1152212350</v>
      </c>
      <c r="B9303" s="192" t="s">
        <v>6679</v>
      </c>
      <c r="C9303" s="196">
        <v>-963000</v>
      </c>
      <c r="D9303" s="196">
        <v>0</v>
      </c>
      <c r="E9303" s="196">
        <v>0</v>
      </c>
      <c r="F9303" s="196">
        <v>0</v>
      </c>
      <c r="G9303" s="196">
        <v>-963000</v>
      </c>
    </row>
    <row r="9304" spans="1:7" x14ac:dyDescent="0.3">
      <c r="A9304" s="198">
        <v>70557708</v>
      </c>
      <c r="B9304" s="192" t="s">
        <v>818</v>
      </c>
      <c r="C9304" s="196">
        <v>0</v>
      </c>
      <c r="D9304" s="196">
        <v>0</v>
      </c>
      <c r="E9304" s="196">
        <v>166300</v>
      </c>
      <c r="F9304" s="196">
        <v>-166300</v>
      </c>
      <c r="G9304" s="196">
        <v>-166300</v>
      </c>
    </row>
    <row r="9305" spans="1:7" x14ac:dyDescent="0.3">
      <c r="A9305" s="198">
        <v>98551478</v>
      </c>
      <c r="B9305" s="192" t="s">
        <v>820</v>
      </c>
      <c r="C9305" s="196">
        <v>0</v>
      </c>
      <c r="D9305" s="196">
        <v>0</v>
      </c>
      <c r="E9305" s="196">
        <v>57200</v>
      </c>
      <c r="F9305" s="196">
        <v>-57200</v>
      </c>
      <c r="G9305" s="196">
        <v>-57200</v>
      </c>
    </row>
    <row r="9306" spans="1:7" x14ac:dyDescent="0.3">
      <c r="A9306" s="198">
        <v>1094577615</v>
      </c>
      <c r="B9306" s="192" t="s">
        <v>6680</v>
      </c>
      <c r="C9306" s="196">
        <v>-860000</v>
      </c>
      <c r="D9306" s="196">
        <v>0</v>
      </c>
      <c r="E9306" s="196">
        <v>0</v>
      </c>
      <c r="F9306" s="196">
        <v>0</v>
      </c>
      <c r="G9306" s="196">
        <v>-860000</v>
      </c>
    </row>
    <row r="9307" spans="1:7" x14ac:dyDescent="0.3">
      <c r="A9307" s="198">
        <v>1017157925</v>
      </c>
      <c r="B9307" s="192" t="s">
        <v>821</v>
      </c>
      <c r="C9307" s="196">
        <v>-860000</v>
      </c>
      <c r="D9307" s="196">
        <v>0</v>
      </c>
      <c r="E9307" s="196">
        <v>0</v>
      </c>
      <c r="F9307" s="196">
        <v>0</v>
      </c>
      <c r="G9307" s="196">
        <v>-860000</v>
      </c>
    </row>
    <row r="9308" spans="1:7" x14ac:dyDescent="0.3">
      <c r="A9308" s="198">
        <v>1003810912</v>
      </c>
      <c r="B9308" s="192" t="s">
        <v>6681</v>
      </c>
      <c r="C9308" s="196">
        <v>-10000000</v>
      </c>
      <c r="D9308" s="196">
        <v>0</v>
      </c>
      <c r="E9308" s="196">
        <v>0</v>
      </c>
      <c r="F9308" s="196">
        <v>0</v>
      </c>
      <c r="G9308" s="196">
        <v>-10000000</v>
      </c>
    </row>
    <row r="9309" spans="1:7" x14ac:dyDescent="0.3">
      <c r="A9309" s="198">
        <v>70561277</v>
      </c>
      <c r="B9309" s="192" t="s">
        <v>823</v>
      </c>
      <c r="C9309" s="196">
        <v>0</v>
      </c>
      <c r="D9309" s="196">
        <v>0</v>
      </c>
      <c r="E9309" s="196">
        <v>589000</v>
      </c>
      <c r="F9309" s="196">
        <v>-589000</v>
      </c>
      <c r="G9309" s="196">
        <v>-589000</v>
      </c>
    </row>
    <row r="9310" spans="1:7" x14ac:dyDescent="0.3">
      <c r="A9310" s="198">
        <v>70549583</v>
      </c>
      <c r="B9310" s="192" t="s">
        <v>827</v>
      </c>
      <c r="C9310" s="196">
        <v>0</v>
      </c>
      <c r="D9310" s="196">
        <v>0</v>
      </c>
      <c r="E9310" s="196">
        <v>57200</v>
      </c>
      <c r="F9310" s="196">
        <v>-57200</v>
      </c>
      <c r="G9310" s="196">
        <v>-57200</v>
      </c>
    </row>
    <row r="9311" spans="1:7" x14ac:dyDescent="0.3">
      <c r="A9311" s="198">
        <v>70003018</v>
      </c>
      <c r="B9311" s="192" t="s">
        <v>4161</v>
      </c>
      <c r="C9311" s="196">
        <v>-12133000</v>
      </c>
      <c r="D9311" s="196">
        <v>0</v>
      </c>
      <c r="E9311" s="196">
        <v>0</v>
      </c>
      <c r="F9311" s="196">
        <v>0</v>
      </c>
      <c r="G9311" s="196">
        <v>-12133000</v>
      </c>
    </row>
    <row r="9312" spans="1:7" x14ac:dyDescent="0.3">
      <c r="A9312" s="198">
        <v>70091482</v>
      </c>
      <c r="B9312" s="192" t="s">
        <v>6682</v>
      </c>
      <c r="C9312" s="196">
        <v>-57200</v>
      </c>
      <c r="D9312" s="196">
        <v>0</v>
      </c>
      <c r="E9312" s="196">
        <v>0</v>
      </c>
      <c r="F9312" s="196">
        <v>0</v>
      </c>
      <c r="G9312" s="196">
        <v>-57200</v>
      </c>
    </row>
    <row r="9313" spans="1:7" x14ac:dyDescent="0.3">
      <c r="A9313" s="198">
        <v>1062398663</v>
      </c>
      <c r="B9313" s="192" t="s">
        <v>6683</v>
      </c>
      <c r="C9313" s="196">
        <v>-1350000</v>
      </c>
      <c r="D9313" s="196">
        <v>0</v>
      </c>
      <c r="E9313" s="196">
        <v>0</v>
      </c>
      <c r="F9313" s="196">
        <v>0</v>
      </c>
      <c r="G9313" s="196">
        <v>-1350000</v>
      </c>
    </row>
    <row r="9314" spans="1:7" x14ac:dyDescent="0.3">
      <c r="A9314" s="198">
        <v>1065596892</v>
      </c>
      <c r="B9314" s="192" t="s">
        <v>6684</v>
      </c>
      <c r="C9314" s="196">
        <v>-963000</v>
      </c>
      <c r="D9314" s="196">
        <v>0</v>
      </c>
      <c r="E9314" s="196">
        <v>0</v>
      </c>
      <c r="F9314" s="196">
        <v>0</v>
      </c>
      <c r="G9314" s="196">
        <v>-963000</v>
      </c>
    </row>
    <row r="9315" spans="1:7" x14ac:dyDescent="0.3">
      <c r="A9315" s="198">
        <v>179575600</v>
      </c>
      <c r="B9315" s="192" t="s">
        <v>831</v>
      </c>
      <c r="C9315" s="196">
        <v>0</v>
      </c>
      <c r="D9315" s="196">
        <v>0</v>
      </c>
      <c r="E9315" s="196">
        <v>963000</v>
      </c>
      <c r="F9315" s="196">
        <v>-963000</v>
      </c>
      <c r="G9315" s="196">
        <v>-963000</v>
      </c>
    </row>
    <row r="9316" spans="1:7" x14ac:dyDescent="0.3">
      <c r="A9316" s="198">
        <v>1037647433</v>
      </c>
      <c r="B9316" s="192" t="s">
        <v>6685</v>
      </c>
      <c r="C9316" s="196">
        <v>-963000</v>
      </c>
      <c r="D9316" s="196">
        <v>0</v>
      </c>
      <c r="E9316" s="196">
        <v>0</v>
      </c>
      <c r="F9316" s="196">
        <v>0</v>
      </c>
      <c r="G9316" s="196">
        <v>-963000</v>
      </c>
    </row>
    <row r="9317" spans="1:7" x14ac:dyDescent="0.3">
      <c r="A9317" s="198">
        <v>8154932</v>
      </c>
      <c r="B9317" s="192" t="s">
        <v>6686</v>
      </c>
      <c r="C9317" s="196">
        <v>-860000</v>
      </c>
      <c r="D9317" s="196">
        <v>0</v>
      </c>
      <c r="E9317" s="196">
        <v>0</v>
      </c>
      <c r="F9317" s="196">
        <v>0</v>
      </c>
      <c r="G9317" s="196">
        <v>-860000</v>
      </c>
    </row>
    <row r="9318" spans="1:7" x14ac:dyDescent="0.3">
      <c r="A9318" s="198">
        <v>573863617</v>
      </c>
      <c r="B9318" s="192" t="s">
        <v>4180</v>
      </c>
      <c r="C9318" s="196">
        <v>-12933740</v>
      </c>
      <c r="D9318" s="196">
        <v>0</v>
      </c>
      <c r="E9318" s="196">
        <v>0</v>
      </c>
      <c r="F9318" s="196">
        <v>0</v>
      </c>
      <c r="G9318" s="196">
        <v>-12933740</v>
      </c>
    </row>
    <row r="9319" spans="1:7" x14ac:dyDescent="0.3">
      <c r="A9319" s="198">
        <v>1001446350</v>
      </c>
      <c r="B9319" s="192" t="s">
        <v>4184</v>
      </c>
      <c r="C9319" s="196">
        <v>-3310000</v>
      </c>
      <c r="D9319" s="196">
        <v>0</v>
      </c>
      <c r="E9319" s="196">
        <v>0</v>
      </c>
      <c r="F9319" s="196">
        <v>0</v>
      </c>
      <c r="G9319" s="196">
        <v>-3310000</v>
      </c>
    </row>
    <row r="9320" spans="1:7" x14ac:dyDescent="0.3">
      <c r="A9320" s="198">
        <v>1073324007</v>
      </c>
      <c r="B9320" s="192" t="s">
        <v>6687</v>
      </c>
      <c r="C9320" s="196">
        <v>-963000</v>
      </c>
      <c r="D9320" s="196">
        <v>0</v>
      </c>
      <c r="E9320" s="196">
        <v>0</v>
      </c>
      <c r="F9320" s="196">
        <v>0</v>
      </c>
      <c r="G9320" s="196">
        <v>-963000</v>
      </c>
    </row>
    <row r="9321" spans="1:7" x14ac:dyDescent="0.3">
      <c r="A9321" s="198">
        <v>1001875917</v>
      </c>
      <c r="B9321" s="192" t="s">
        <v>839</v>
      </c>
      <c r="C9321" s="196">
        <v>0</v>
      </c>
      <c r="D9321" s="196">
        <v>0</v>
      </c>
      <c r="E9321" s="196">
        <v>963000</v>
      </c>
      <c r="F9321" s="196">
        <v>-963000</v>
      </c>
      <c r="G9321" s="196">
        <v>-963000</v>
      </c>
    </row>
    <row r="9322" spans="1:7" x14ac:dyDescent="0.3">
      <c r="A9322" s="198">
        <v>127351126</v>
      </c>
      <c r="B9322" s="192" t="s">
        <v>6688</v>
      </c>
      <c r="C9322" s="196">
        <v>-963000</v>
      </c>
      <c r="D9322" s="196">
        <v>0</v>
      </c>
      <c r="E9322" s="196">
        <v>0</v>
      </c>
      <c r="F9322" s="196">
        <v>0</v>
      </c>
      <c r="G9322" s="196">
        <v>-963000</v>
      </c>
    </row>
    <row r="9323" spans="1:7" x14ac:dyDescent="0.3">
      <c r="A9323" s="198">
        <v>1033489253</v>
      </c>
      <c r="B9323" s="192" t="s">
        <v>6689</v>
      </c>
      <c r="C9323" s="196">
        <v>-963000</v>
      </c>
      <c r="D9323" s="196">
        <v>0</v>
      </c>
      <c r="E9323" s="196">
        <v>0</v>
      </c>
      <c r="F9323" s="196">
        <v>0</v>
      </c>
      <c r="G9323" s="196">
        <v>-963000</v>
      </c>
    </row>
    <row r="9324" spans="1:7" x14ac:dyDescent="0.3">
      <c r="A9324" s="198">
        <v>3620098</v>
      </c>
      <c r="B9324" s="192" t="s">
        <v>6690</v>
      </c>
      <c r="C9324" s="196">
        <v>-4133000</v>
      </c>
      <c r="D9324" s="196">
        <v>0</v>
      </c>
      <c r="E9324" s="196">
        <v>0</v>
      </c>
      <c r="F9324" s="196">
        <v>0</v>
      </c>
      <c r="G9324" s="196">
        <v>-4133000</v>
      </c>
    </row>
    <row r="9325" spans="1:7" x14ac:dyDescent="0.3">
      <c r="A9325" s="198">
        <v>98681644</v>
      </c>
      <c r="B9325" s="192" t="s">
        <v>6691</v>
      </c>
      <c r="C9325" s="196">
        <v>-860000</v>
      </c>
      <c r="D9325" s="196">
        <v>0</v>
      </c>
      <c r="E9325" s="196">
        <v>0</v>
      </c>
      <c r="F9325" s="196">
        <v>0</v>
      </c>
      <c r="G9325" s="196">
        <v>-860000</v>
      </c>
    </row>
    <row r="9326" spans="1:7" x14ac:dyDescent="0.3">
      <c r="A9326" s="198">
        <v>98555313</v>
      </c>
      <c r="B9326" s="192" t="s">
        <v>6692</v>
      </c>
      <c r="C9326" s="196">
        <v>-2895000</v>
      </c>
      <c r="D9326" s="196">
        <v>0</v>
      </c>
      <c r="E9326" s="196">
        <v>0</v>
      </c>
      <c r="F9326" s="196">
        <v>0</v>
      </c>
      <c r="G9326" s="196">
        <v>-2895000</v>
      </c>
    </row>
    <row r="9327" spans="1:7" x14ac:dyDescent="0.3">
      <c r="A9327" s="198">
        <v>14972000</v>
      </c>
      <c r="B9327" s="192" t="s">
        <v>6693</v>
      </c>
      <c r="C9327" s="196">
        <v>-6024250</v>
      </c>
      <c r="D9327" s="196">
        <v>0</v>
      </c>
      <c r="E9327" s="196">
        <v>0</v>
      </c>
      <c r="F9327" s="196">
        <v>0</v>
      </c>
      <c r="G9327" s="196">
        <v>-6024250</v>
      </c>
    </row>
    <row r="9328" spans="1:7" x14ac:dyDescent="0.3">
      <c r="A9328" s="198">
        <v>15525482</v>
      </c>
      <c r="B9328" s="192" t="s">
        <v>6694</v>
      </c>
      <c r="C9328" s="196">
        <v>-3393800</v>
      </c>
      <c r="D9328" s="196">
        <v>0</v>
      </c>
      <c r="E9328" s="196">
        <v>0</v>
      </c>
      <c r="F9328" s="196">
        <v>0</v>
      </c>
      <c r="G9328" s="196">
        <v>-3393800</v>
      </c>
    </row>
    <row r="9329" spans="1:7" x14ac:dyDescent="0.3">
      <c r="A9329" s="198">
        <v>98476086</v>
      </c>
      <c r="B9329" s="192" t="s">
        <v>845</v>
      </c>
      <c r="C9329" s="196">
        <v>-11292000</v>
      </c>
      <c r="D9329" s="196">
        <v>0</v>
      </c>
      <c r="E9329" s="196">
        <v>0</v>
      </c>
      <c r="F9329" s="196">
        <v>0</v>
      </c>
      <c r="G9329" s="196">
        <v>-11292000</v>
      </c>
    </row>
    <row r="9330" spans="1:7" x14ac:dyDescent="0.3">
      <c r="A9330" s="198">
        <v>3672654</v>
      </c>
      <c r="B9330" s="192" t="s">
        <v>4209</v>
      </c>
      <c r="C9330" s="196">
        <v>-7733800</v>
      </c>
      <c r="D9330" s="196">
        <v>0</v>
      </c>
      <c r="E9330" s="196">
        <v>0</v>
      </c>
      <c r="F9330" s="196">
        <v>0</v>
      </c>
      <c r="G9330" s="196">
        <v>-7733800</v>
      </c>
    </row>
    <row r="9331" spans="1:7" x14ac:dyDescent="0.3">
      <c r="A9331" s="198">
        <v>1001419275</v>
      </c>
      <c r="B9331" s="192" t="s">
        <v>6695</v>
      </c>
      <c r="C9331" s="196">
        <v>-963000</v>
      </c>
      <c r="D9331" s="196">
        <v>0</v>
      </c>
      <c r="E9331" s="196">
        <v>0</v>
      </c>
      <c r="F9331" s="196">
        <v>0</v>
      </c>
      <c r="G9331" s="196">
        <v>-963000</v>
      </c>
    </row>
    <row r="9332" spans="1:7" x14ac:dyDescent="0.3">
      <c r="A9332" s="198">
        <v>98519140</v>
      </c>
      <c r="B9332" s="192" t="s">
        <v>6696</v>
      </c>
      <c r="C9332" s="196">
        <v>-3338000</v>
      </c>
      <c r="D9332" s="196">
        <v>0</v>
      </c>
      <c r="E9332" s="196">
        <v>0</v>
      </c>
      <c r="F9332" s="196">
        <v>0</v>
      </c>
      <c r="G9332" s="196">
        <v>-3338000</v>
      </c>
    </row>
    <row r="9333" spans="1:7" x14ac:dyDescent="0.3">
      <c r="A9333" s="198">
        <v>71619877</v>
      </c>
      <c r="B9333" s="192" t="s">
        <v>4220</v>
      </c>
      <c r="C9333" s="196">
        <v>-1196000</v>
      </c>
      <c r="D9333" s="196">
        <v>0</v>
      </c>
      <c r="E9333" s="196">
        <v>0</v>
      </c>
      <c r="F9333" s="196">
        <v>0</v>
      </c>
      <c r="G9333" s="196">
        <v>-1196000</v>
      </c>
    </row>
    <row r="9334" spans="1:7" x14ac:dyDescent="0.3">
      <c r="A9334" s="198">
        <v>1036450668</v>
      </c>
      <c r="B9334" s="192" t="s">
        <v>4224</v>
      </c>
      <c r="C9334" s="196">
        <v>-3510000</v>
      </c>
      <c r="D9334" s="196">
        <v>0</v>
      </c>
      <c r="E9334" s="196">
        <v>0</v>
      </c>
      <c r="F9334" s="196">
        <v>0</v>
      </c>
      <c r="G9334" s="196">
        <v>-3510000</v>
      </c>
    </row>
    <row r="9335" spans="1:7" x14ac:dyDescent="0.3">
      <c r="A9335" s="198">
        <v>1000416832</v>
      </c>
      <c r="B9335" s="192" t="s">
        <v>4225</v>
      </c>
      <c r="C9335" s="196">
        <v>-3892000</v>
      </c>
      <c r="D9335" s="196">
        <v>0</v>
      </c>
      <c r="E9335" s="196">
        <v>0</v>
      </c>
      <c r="F9335" s="196">
        <v>0</v>
      </c>
      <c r="G9335" s="196">
        <v>-3892000</v>
      </c>
    </row>
    <row r="9336" spans="1:7" x14ac:dyDescent="0.3">
      <c r="A9336" s="198">
        <v>23247290</v>
      </c>
      <c r="B9336" s="192" t="s">
        <v>4229</v>
      </c>
      <c r="C9336" s="196">
        <v>-8141800</v>
      </c>
      <c r="D9336" s="196">
        <v>0</v>
      </c>
      <c r="E9336" s="196">
        <v>0</v>
      </c>
      <c r="F9336" s="196">
        <v>0</v>
      </c>
      <c r="G9336" s="196">
        <v>-8141800</v>
      </c>
    </row>
    <row r="9337" spans="1:7" x14ac:dyDescent="0.3">
      <c r="A9337" s="198">
        <v>1000537444</v>
      </c>
      <c r="B9337" s="192" t="s">
        <v>6697</v>
      </c>
      <c r="C9337" s="196">
        <v>-963000</v>
      </c>
      <c r="D9337" s="196">
        <v>0</v>
      </c>
      <c r="E9337" s="196">
        <v>0</v>
      </c>
      <c r="F9337" s="196">
        <v>0</v>
      </c>
      <c r="G9337" s="196">
        <v>-963000</v>
      </c>
    </row>
    <row r="9338" spans="1:7" x14ac:dyDescent="0.3">
      <c r="A9338" s="198">
        <v>8430478</v>
      </c>
      <c r="B9338" s="192" t="s">
        <v>847</v>
      </c>
      <c r="C9338" s="196">
        <v>-3338000</v>
      </c>
      <c r="D9338" s="196">
        <v>0</v>
      </c>
      <c r="E9338" s="196">
        <v>0</v>
      </c>
      <c r="F9338" s="196">
        <v>0</v>
      </c>
      <c r="G9338" s="196">
        <v>-3338000</v>
      </c>
    </row>
    <row r="9339" spans="1:7" x14ac:dyDescent="0.3">
      <c r="A9339" s="198">
        <v>1088011369</v>
      </c>
      <c r="B9339" s="192" t="s">
        <v>6698</v>
      </c>
      <c r="C9339" s="196">
        <v>-165600</v>
      </c>
      <c r="D9339" s="196">
        <v>0</v>
      </c>
      <c r="E9339" s="196">
        <v>0</v>
      </c>
      <c r="F9339" s="196">
        <v>0</v>
      </c>
      <c r="G9339" s="196">
        <v>-165600</v>
      </c>
    </row>
    <row r="9340" spans="1:7" x14ac:dyDescent="0.3">
      <c r="A9340" s="198">
        <v>1125791567</v>
      </c>
      <c r="B9340" s="192" t="s">
        <v>4241</v>
      </c>
      <c r="C9340" s="196">
        <v>-3717000</v>
      </c>
      <c r="D9340" s="196">
        <v>0</v>
      </c>
      <c r="E9340" s="196">
        <v>0</v>
      </c>
      <c r="F9340" s="196">
        <v>0</v>
      </c>
      <c r="G9340" s="196">
        <v>-3717000</v>
      </c>
    </row>
    <row r="9341" spans="1:7" x14ac:dyDescent="0.3">
      <c r="A9341" s="198">
        <v>7806748</v>
      </c>
      <c r="B9341" s="192" t="s">
        <v>4242</v>
      </c>
      <c r="C9341" s="196">
        <v>-10437800</v>
      </c>
      <c r="D9341" s="196">
        <v>0</v>
      </c>
      <c r="E9341" s="196">
        <v>0</v>
      </c>
      <c r="F9341" s="196">
        <v>0</v>
      </c>
      <c r="G9341" s="196">
        <v>-10437800</v>
      </c>
    </row>
    <row r="9342" spans="1:7" x14ac:dyDescent="0.3">
      <c r="A9342" s="198">
        <v>3399691</v>
      </c>
      <c r="B9342" s="192" t="s">
        <v>6699</v>
      </c>
      <c r="C9342" s="196">
        <v>-963000</v>
      </c>
      <c r="D9342" s="196">
        <v>0</v>
      </c>
      <c r="E9342" s="196">
        <v>0</v>
      </c>
      <c r="F9342" s="196">
        <v>0</v>
      </c>
      <c r="G9342" s="196">
        <v>-963000</v>
      </c>
    </row>
    <row r="9343" spans="1:7" x14ac:dyDescent="0.3">
      <c r="A9343" s="198">
        <v>1020471777</v>
      </c>
      <c r="B9343" s="192" t="s">
        <v>6700</v>
      </c>
      <c r="C9343" s="196">
        <v>-860000</v>
      </c>
      <c r="D9343" s="196">
        <v>0</v>
      </c>
      <c r="E9343" s="196">
        <v>0</v>
      </c>
      <c r="F9343" s="196">
        <v>0</v>
      </c>
      <c r="G9343" s="196">
        <v>-860000</v>
      </c>
    </row>
    <row r="9344" spans="1:7" x14ac:dyDescent="0.3">
      <c r="A9344" s="198">
        <v>1000833023</v>
      </c>
      <c r="B9344" s="192" t="s">
        <v>4246</v>
      </c>
      <c r="C9344" s="196">
        <v>-3360000</v>
      </c>
      <c r="D9344" s="196">
        <v>0</v>
      </c>
      <c r="E9344" s="196">
        <v>0</v>
      </c>
      <c r="F9344" s="196">
        <v>0</v>
      </c>
      <c r="G9344" s="196">
        <v>-3360000</v>
      </c>
    </row>
    <row r="9345" spans="1:7" x14ac:dyDescent="0.3">
      <c r="A9345" s="198">
        <v>1036682579</v>
      </c>
      <c r="B9345" s="192" t="s">
        <v>850</v>
      </c>
      <c r="C9345" s="196">
        <v>0</v>
      </c>
      <c r="D9345" s="196">
        <v>0</v>
      </c>
      <c r="E9345" s="196">
        <v>963000</v>
      </c>
      <c r="F9345" s="196">
        <v>-963000</v>
      </c>
      <c r="G9345" s="196">
        <v>-963000</v>
      </c>
    </row>
    <row r="9346" spans="1:7" x14ac:dyDescent="0.3">
      <c r="A9346" s="198">
        <v>1036666651</v>
      </c>
      <c r="B9346" s="192" t="s">
        <v>6701</v>
      </c>
      <c r="C9346" s="196">
        <v>-963000</v>
      </c>
      <c r="D9346" s="196">
        <v>0</v>
      </c>
      <c r="E9346" s="196">
        <v>0</v>
      </c>
      <c r="F9346" s="196">
        <v>0</v>
      </c>
      <c r="G9346" s="196">
        <v>-963000</v>
      </c>
    </row>
    <row r="9347" spans="1:7" x14ac:dyDescent="0.3">
      <c r="A9347" s="198">
        <v>79391633</v>
      </c>
      <c r="B9347" s="192" t="s">
        <v>6702</v>
      </c>
      <c r="C9347" s="196">
        <v>-6152000</v>
      </c>
      <c r="D9347" s="196">
        <v>0</v>
      </c>
      <c r="E9347" s="196">
        <v>0</v>
      </c>
      <c r="F9347" s="196">
        <v>0</v>
      </c>
      <c r="G9347" s="196">
        <v>-6152000</v>
      </c>
    </row>
    <row r="9348" spans="1:7" x14ac:dyDescent="0.3">
      <c r="A9348" s="198">
        <v>1128264965</v>
      </c>
      <c r="B9348" s="192" t="s">
        <v>125</v>
      </c>
      <c r="C9348" s="196">
        <v>-63357000</v>
      </c>
      <c r="D9348" s="196">
        <v>0</v>
      </c>
      <c r="E9348" s="196">
        <v>17009000</v>
      </c>
      <c r="F9348" s="196">
        <v>-17009000</v>
      </c>
      <c r="G9348" s="196">
        <v>-80366000</v>
      </c>
    </row>
    <row r="9349" spans="1:7" x14ac:dyDescent="0.3">
      <c r="A9349" s="198">
        <v>71581098</v>
      </c>
      <c r="B9349" s="192" t="s">
        <v>855</v>
      </c>
      <c r="C9349" s="196">
        <v>-57200</v>
      </c>
      <c r="D9349" s="196">
        <v>0</v>
      </c>
      <c r="E9349" s="196">
        <v>5580800</v>
      </c>
      <c r="F9349" s="196">
        <v>-5580800</v>
      </c>
      <c r="G9349" s="196">
        <v>-5638000</v>
      </c>
    </row>
    <row r="9350" spans="1:7" x14ac:dyDescent="0.3">
      <c r="A9350" s="198">
        <v>1017189586</v>
      </c>
      <c r="B9350" s="192" t="s">
        <v>4263</v>
      </c>
      <c r="C9350" s="196">
        <v>-3210000</v>
      </c>
      <c r="D9350" s="196">
        <v>0</v>
      </c>
      <c r="E9350" s="196">
        <v>0</v>
      </c>
      <c r="F9350" s="196">
        <v>0</v>
      </c>
      <c r="G9350" s="196">
        <v>-3210000</v>
      </c>
    </row>
    <row r="9351" spans="1:7" x14ac:dyDescent="0.3">
      <c r="A9351" s="198">
        <v>1002944313</v>
      </c>
      <c r="B9351" s="192" t="s">
        <v>6703</v>
      </c>
      <c r="C9351" s="196">
        <v>-963000</v>
      </c>
      <c r="D9351" s="196">
        <v>0</v>
      </c>
      <c r="E9351" s="196">
        <v>0</v>
      </c>
      <c r="F9351" s="196">
        <v>0</v>
      </c>
      <c r="G9351" s="196">
        <v>-963000</v>
      </c>
    </row>
    <row r="9352" spans="1:7" x14ac:dyDescent="0.3">
      <c r="A9352" s="198">
        <v>1023628408</v>
      </c>
      <c r="B9352" s="192" t="s">
        <v>6704</v>
      </c>
      <c r="C9352" s="196">
        <v>-963000</v>
      </c>
      <c r="D9352" s="196">
        <v>0</v>
      </c>
      <c r="E9352" s="196">
        <v>0</v>
      </c>
      <c r="F9352" s="196">
        <v>0</v>
      </c>
      <c r="G9352" s="196">
        <v>-963000</v>
      </c>
    </row>
    <row r="9353" spans="1:7" x14ac:dyDescent="0.3">
      <c r="A9353" s="198">
        <v>1214722968</v>
      </c>
      <c r="B9353" s="192" t="s">
        <v>6705</v>
      </c>
      <c r="C9353" s="196">
        <v>-963000</v>
      </c>
      <c r="D9353" s="196">
        <v>0</v>
      </c>
      <c r="E9353" s="196">
        <v>0</v>
      </c>
      <c r="F9353" s="196">
        <v>0</v>
      </c>
      <c r="G9353" s="196">
        <v>-963000</v>
      </c>
    </row>
    <row r="9354" spans="1:7" x14ac:dyDescent="0.3">
      <c r="A9354" s="198">
        <v>1001216949</v>
      </c>
      <c r="B9354" s="192" t="s">
        <v>6706</v>
      </c>
      <c r="C9354" s="196">
        <v>-2341100</v>
      </c>
      <c r="D9354" s="196">
        <v>0</v>
      </c>
      <c r="E9354" s="196">
        <v>0</v>
      </c>
      <c r="F9354" s="196">
        <v>0</v>
      </c>
      <c r="G9354" s="196">
        <v>-2341100</v>
      </c>
    </row>
    <row r="9355" spans="1:7" x14ac:dyDescent="0.3">
      <c r="A9355" s="198">
        <v>1036656212</v>
      </c>
      <c r="B9355" s="192" t="s">
        <v>867</v>
      </c>
      <c r="C9355" s="196">
        <v>0</v>
      </c>
      <c r="D9355" s="196">
        <v>0</v>
      </c>
      <c r="E9355" s="196">
        <v>963000</v>
      </c>
      <c r="F9355" s="196">
        <v>-963000</v>
      </c>
      <c r="G9355" s="196">
        <v>-963000</v>
      </c>
    </row>
    <row r="9356" spans="1:7" x14ac:dyDescent="0.3">
      <c r="A9356" s="198">
        <v>1035911057</v>
      </c>
      <c r="B9356" s="192" t="s">
        <v>869</v>
      </c>
      <c r="C9356" s="196">
        <v>-3827000</v>
      </c>
      <c r="D9356" s="196">
        <v>0</v>
      </c>
      <c r="E9356" s="196">
        <v>0</v>
      </c>
      <c r="F9356" s="196">
        <v>0</v>
      </c>
      <c r="G9356" s="196">
        <v>-3827000</v>
      </c>
    </row>
    <row r="9357" spans="1:7" x14ac:dyDescent="0.3">
      <c r="A9357" s="198">
        <v>1029720332</v>
      </c>
      <c r="B9357" s="192" t="s">
        <v>6707</v>
      </c>
      <c r="C9357" s="196">
        <v>-6065000</v>
      </c>
      <c r="D9357" s="196">
        <v>0</v>
      </c>
      <c r="E9357" s="196">
        <v>0</v>
      </c>
      <c r="F9357" s="196">
        <v>0</v>
      </c>
      <c r="G9357" s="196">
        <v>-6065000</v>
      </c>
    </row>
    <row r="9358" spans="1:7" x14ac:dyDescent="0.3">
      <c r="A9358" s="198">
        <v>1001539156</v>
      </c>
      <c r="B9358" s="192" t="s">
        <v>6708</v>
      </c>
      <c r="C9358" s="196">
        <v>-963000</v>
      </c>
      <c r="D9358" s="196">
        <v>0</v>
      </c>
      <c r="E9358" s="196">
        <v>0</v>
      </c>
      <c r="F9358" s="196">
        <v>0</v>
      </c>
      <c r="G9358" s="196">
        <v>-963000</v>
      </c>
    </row>
    <row r="9359" spans="1:7" x14ac:dyDescent="0.3">
      <c r="A9359" s="198">
        <v>1005752477</v>
      </c>
      <c r="B9359" s="192" t="s">
        <v>6709</v>
      </c>
      <c r="C9359" s="196">
        <v>-963000</v>
      </c>
      <c r="D9359" s="196">
        <v>0</v>
      </c>
      <c r="E9359" s="196">
        <v>0</v>
      </c>
      <c r="F9359" s="196">
        <v>0</v>
      </c>
      <c r="G9359" s="196">
        <v>-963000</v>
      </c>
    </row>
    <row r="9360" spans="1:7" x14ac:dyDescent="0.3">
      <c r="A9360" s="198">
        <v>1001244744</v>
      </c>
      <c r="B9360" s="192" t="s">
        <v>6710</v>
      </c>
      <c r="C9360" s="196">
        <v>-963000</v>
      </c>
      <c r="D9360" s="196">
        <v>0</v>
      </c>
      <c r="E9360" s="196">
        <v>0</v>
      </c>
      <c r="F9360" s="196">
        <v>0</v>
      </c>
      <c r="G9360" s="196">
        <v>-963000</v>
      </c>
    </row>
    <row r="9361" spans="1:7" x14ac:dyDescent="0.3">
      <c r="A9361" s="198">
        <v>71774003</v>
      </c>
      <c r="B9361" s="192" t="s">
        <v>6711</v>
      </c>
      <c r="C9361" s="196">
        <v>-683000</v>
      </c>
      <c r="D9361" s="196">
        <v>0</v>
      </c>
      <c r="E9361" s="196">
        <v>0</v>
      </c>
      <c r="F9361" s="196">
        <v>0</v>
      </c>
      <c r="G9361" s="196">
        <v>-683000</v>
      </c>
    </row>
    <row r="9362" spans="1:7" x14ac:dyDescent="0.3">
      <c r="A9362" s="198">
        <v>71226491</v>
      </c>
      <c r="B9362" s="192" t="s">
        <v>6712</v>
      </c>
      <c r="C9362" s="196">
        <v>-683000</v>
      </c>
      <c r="D9362" s="196">
        <v>0</v>
      </c>
      <c r="E9362" s="196">
        <v>0</v>
      </c>
      <c r="F9362" s="196">
        <v>0</v>
      </c>
      <c r="G9362" s="196">
        <v>-683000</v>
      </c>
    </row>
    <row r="9363" spans="1:7" x14ac:dyDescent="0.3">
      <c r="A9363" s="198">
        <v>71657364</v>
      </c>
      <c r="B9363" s="192" t="s">
        <v>6713</v>
      </c>
      <c r="C9363" s="196">
        <v>-12073800</v>
      </c>
      <c r="D9363" s="196">
        <v>0</v>
      </c>
      <c r="E9363" s="196">
        <v>0</v>
      </c>
      <c r="F9363" s="196">
        <v>0</v>
      </c>
      <c r="G9363" s="196">
        <v>-12073800</v>
      </c>
    </row>
    <row r="9364" spans="1:7" x14ac:dyDescent="0.3">
      <c r="A9364" s="198">
        <v>3606720</v>
      </c>
      <c r="B9364" s="192" t="s">
        <v>6714</v>
      </c>
      <c r="C9364" s="196">
        <v>-6318000</v>
      </c>
      <c r="D9364" s="196">
        <v>0</v>
      </c>
      <c r="E9364" s="196">
        <v>0</v>
      </c>
      <c r="F9364" s="196">
        <v>0</v>
      </c>
      <c r="G9364" s="196">
        <v>-6318000</v>
      </c>
    </row>
    <row r="9365" spans="1:7" x14ac:dyDescent="0.3">
      <c r="A9365" s="198">
        <v>70055470</v>
      </c>
      <c r="B9365" s="192" t="s">
        <v>4303</v>
      </c>
      <c r="C9365" s="196">
        <v>-57200</v>
      </c>
      <c r="D9365" s="196">
        <v>0</v>
      </c>
      <c r="E9365" s="196">
        <v>0</v>
      </c>
      <c r="F9365" s="196">
        <v>0</v>
      </c>
      <c r="G9365" s="196">
        <v>-57200</v>
      </c>
    </row>
    <row r="9366" spans="1:7" x14ac:dyDescent="0.3">
      <c r="A9366" s="198">
        <v>71645344</v>
      </c>
      <c r="B9366" s="192" t="s">
        <v>4304</v>
      </c>
      <c r="C9366" s="196">
        <v>-11147000</v>
      </c>
      <c r="D9366" s="196">
        <v>0</v>
      </c>
      <c r="E9366" s="196">
        <v>0</v>
      </c>
      <c r="F9366" s="196">
        <v>0</v>
      </c>
      <c r="G9366" s="196">
        <v>-11147000</v>
      </c>
    </row>
    <row r="9367" spans="1:7" x14ac:dyDescent="0.3">
      <c r="A9367" s="198">
        <v>98555608</v>
      </c>
      <c r="B9367" s="192" t="s">
        <v>126</v>
      </c>
      <c r="C9367" s="196">
        <v>-810000</v>
      </c>
      <c r="D9367" s="196">
        <v>0</v>
      </c>
      <c r="E9367" s="196">
        <v>0</v>
      </c>
      <c r="F9367" s="196">
        <v>0</v>
      </c>
      <c r="G9367" s="196">
        <v>-810000</v>
      </c>
    </row>
    <row r="9368" spans="1:7" x14ac:dyDescent="0.3">
      <c r="A9368" s="198">
        <v>1038409805</v>
      </c>
      <c r="B9368" s="192" t="s">
        <v>879</v>
      </c>
      <c r="C9368" s="196">
        <v>0</v>
      </c>
      <c r="D9368" s="196">
        <v>0</v>
      </c>
      <c r="E9368" s="196">
        <v>963000</v>
      </c>
      <c r="F9368" s="196">
        <v>-963000</v>
      </c>
      <c r="G9368" s="196">
        <v>-963000</v>
      </c>
    </row>
    <row r="9369" spans="1:7" x14ac:dyDescent="0.3">
      <c r="A9369" s="198">
        <v>1021804153</v>
      </c>
      <c r="B9369" s="192" t="s">
        <v>6715</v>
      </c>
      <c r="C9369" s="196">
        <v>-963000</v>
      </c>
      <c r="D9369" s="196">
        <v>0</v>
      </c>
      <c r="E9369" s="196">
        <v>0</v>
      </c>
      <c r="F9369" s="196">
        <v>0</v>
      </c>
      <c r="G9369" s="196">
        <v>-963000</v>
      </c>
    </row>
    <row r="9370" spans="1:7" x14ac:dyDescent="0.3">
      <c r="A9370" s="198">
        <v>1001370377</v>
      </c>
      <c r="B9370" s="192" t="s">
        <v>6716</v>
      </c>
      <c r="C9370" s="196">
        <v>-963000</v>
      </c>
      <c r="D9370" s="196">
        <v>0</v>
      </c>
      <c r="E9370" s="196">
        <v>0</v>
      </c>
      <c r="F9370" s="196">
        <v>0</v>
      </c>
      <c r="G9370" s="196">
        <v>-963000</v>
      </c>
    </row>
    <row r="9371" spans="1:7" x14ac:dyDescent="0.3">
      <c r="A9371" s="198">
        <v>1037605392</v>
      </c>
      <c r="B9371" s="192" t="s">
        <v>4324</v>
      </c>
      <c r="C9371" s="196">
        <v>-3425000</v>
      </c>
      <c r="D9371" s="196">
        <v>0</v>
      </c>
      <c r="E9371" s="196">
        <v>0</v>
      </c>
      <c r="F9371" s="196">
        <v>0</v>
      </c>
      <c r="G9371" s="196">
        <v>-3425000</v>
      </c>
    </row>
    <row r="9372" spans="1:7" x14ac:dyDescent="0.3">
      <c r="A9372" s="198">
        <v>1000655265</v>
      </c>
      <c r="B9372" s="192" t="s">
        <v>4325</v>
      </c>
      <c r="C9372" s="196">
        <v>-2960000</v>
      </c>
      <c r="D9372" s="196">
        <v>0</v>
      </c>
      <c r="E9372" s="196">
        <v>0</v>
      </c>
      <c r="F9372" s="196">
        <v>0</v>
      </c>
      <c r="G9372" s="196">
        <v>-2960000</v>
      </c>
    </row>
    <row r="9373" spans="1:7" x14ac:dyDescent="0.3">
      <c r="A9373" s="198">
        <v>1152718128</v>
      </c>
      <c r="B9373" s="192" t="s">
        <v>6717</v>
      </c>
      <c r="C9373" s="196">
        <v>-860000</v>
      </c>
      <c r="D9373" s="196">
        <v>0</v>
      </c>
      <c r="E9373" s="196">
        <v>0</v>
      </c>
      <c r="F9373" s="196">
        <v>0</v>
      </c>
      <c r="G9373" s="196">
        <v>-860000</v>
      </c>
    </row>
    <row r="9374" spans="1:7" x14ac:dyDescent="0.3">
      <c r="A9374" s="198">
        <v>1065651724</v>
      </c>
      <c r="B9374" s="192" t="s">
        <v>6718</v>
      </c>
      <c r="C9374" s="196">
        <v>-963000</v>
      </c>
      <c r="D9374" s="196">
        <v>0</v>
      </c>
      <c r="E9374" s="196">
        <v>0</v>
      </c>
      <c r="F9374" s="196">
        <v>0</v>
      </c>
      <c r="G9374" s="196">
        <v>-963000</v>
      </c>
    </row>
    <row r="9375" spans="1:7" x14ac:dyDescent="0.3">
      <c r="A9375" s="198">
        <v>1013337458</v>
      </c>
      <c r="B9375" s="192" t="s">
        <v>6719</v>
      </c>
      <c r="C9375" s="196">
        <v>-963000</v>
      </c>
      <c r="D9375" s="196">
        <v>0</v>
      </c>
      <c r="E9375" s="196">
        <v>0</v>
      </c>
      <c r="F9375" s="196">
        <v>0</v>
      </c>
      <c r="G9375" s="196">
        <v>-963000</v>
      </c>
    </row>
    <row r="9376" spans="1:7" x14ac:dyDescent="0.3">
      <c r="A9376" s="198">
        <v>1020107225</v>
      </c>
      <c r="B9376" s="192" t="s">
        <v>4330</v>
      </c>
      <c r="C9376" s="196">
        <v>-3510000</v>
      </c>
      <c r="D9376" s="196">
        <v>0</v>
      </c>
      <c r="E9376" s="196">
        <v>0</v>
      </c>
      <c r="F9376" s="196">
        <v>0</v>
      </c>
      <c r="G9376" s="196">
        <v>-3510000</v>
      </c>
    </row>
    <row r="9377" spans="1:7" x14ac:dyDescent="0.3">
      <c r="A9377" s="198">
        <v>1035017134</v>
      </c>
      <c r="B9377" s="192" t="s">
        <v>6720</v>
      </c>
      <c r="C9377" s="196">
        <v>-2000000</v>
      </c>
      <c r="D9377" s="196">
        <v>0</v>
      </c>
      <c r="E9377" s="196">
        <v>0</v>
      </c>
      <c r="F9377" s="196">
        <v>0</v>
      </c>
      <c r="G9377" s="196">
        <v>-2000000</v>
      </c>
    </row>
    <row r="9378" spans="1:7" x14ac:dyDescent="0.3">
      <c r="A9378" s="198">
        <v>1017926973</v>
      </c>
      <c r="B9378" s="192" t="s">
        <v>895</v>
      </c>
      <c r="C9378" s="196">
        <v>0</v>
      </c>
      <c r="D9378" s="196">
        <v>0</v>
      </c>
      <c r="E9378" s="196">
        <v>963000</v>
      </c>
      <c r="F9378" s="196">
        <v>-963000</v>
      </c>
      <c r="G9378" s="196">
        <v>-963000</v>
      </c>
    </row>
    <row r="9379" spans="1:7" x14ac:dyDescent="0.3">
      <c r="A9379" s="198">
        <v>1021923042</v>
      </c>
      <c r="B9379" s="192" t="s">
        <v>896</v>
      </c>
      <c r="C9379" s="196">
        <v>0</v>
      </c>
      <c r="D9379" s="196">
        <v>0</v>
      </c>
      <c r="E9379" s="196">
        <v>963000</v>
      </c>
      <c r="F9379" s="196">
        <v>-963000</v>
      </c>
      <c r="G9379" s="196">
        <v>-963000</v>
      </c>
    </row>
    <row r="9380" spans="1:7" x14ac:dyDescent="0.3">
      <c r="A9380" s="198">
        <v>1035436164</v>
      </c>
      <c r="B9380" s="192" t="s">
        <v>6721</v>
      </c>
      <c r="C9380" s="196">
        <v>-963000</v>
      </c>
      <c r="D9380" s="196">
        <v>0</v>
      </c>
      <c r="E9380" s="196">
        <v>0</v>
      </c>
      <c r="F9380" s="196">
        <v>0</v>
      </c>
      <c r="G9380" s="196">
        <v>-963000</v>
      </c>
    </row>
    <row r="9381" spans="1:7" x14ac:dyDescent="0.3">
      <c r="A9381" s="198">
        <v>1017240359</v>
      </c>
      <c r="B9381" s="192" t="s">
        <v>4350</v>
      </c>
      <c r="C9381" s="196">
        <v>-3510000</v>
      </c>
      <c r="D9381" s="196">
        <v>0</v>
      </c>
      <c r="E9381" s="196">
        <v>0</v>
      </c>
      <c r="F9381" s="196">
        <v>0</v>
      </c>
      <c r="G9381" s="196">
        <v>-3510000</v>
      </c>
    </row>
    <row r="9382" spans="1:7" x14ac:dyDescent="0.3">
      <c r="A9382" s="198">
        <v>1050718887</v>
      </c>
      <c r="B9382" s="192" t="s">
        <v>898</v>
      </c>
      <c r="C9382" s="196">
        <v>0</v>
      </c>
      <c r="D9382" s="196">
        <v>0</v>
      </c>
      <c r="E9382" s="196">
        <v>963000</v>
      </c>
      <c r="F9382" s="196">
        <v>-963000</v>
      </c>
      <c r="G9382" s="196">
        <v>-963000</v>
      </c>
    </row>
    <row r="9383" spans="1:7" x14ac:dyDescent="0.3">
      <c r="A9383" s="198">
        <v>1039886853</v>
      </c>
      <c r="B9383" s="192" t="s">
        <v>6722</v>
      </c>
      <c r="C9383" s="196">
        <v>-963000</v>
      </c>
      <c r="D9383" s="196">
        <v>0</v>
      </c>
      <c r="E9383" s="196">
        <v>0</v>
      </c>
      <c r="F9383" s="196">
        <v>0</v>
      </c>
      <c r="G9383" s="196">
        <v>-963000</v>
      </c>
    </row>
    <row r="9384" spans="1:7" x14ac:dyDescent="0.3">
      <c r="A9384" s="198">
        <v>1018238004</v>
      </c>
      <c r="B9384" s="192" t="s">
        <v>6723</v>
      </c>
      <c r="C9384" s="196">
        <v>-963000</v>
      </c>
      <c r="D9384" s="196">
        <v>0</v>
      </c>
      <c r="E9384" s="196">
        <v>0</v>
      </c>
      <c r="F9384" s="196">
        <v>0</v>
      </c>
      <c r="G9384" s="196">
        <v>-963000</v>
      </c>
    </row>
    <row r="9385" spans="1:7" x14ac:dyDescent="0.3">
      <c r="A9385" s="198">
        <v>1001479923</v>
      </c>
      <c r="B9385" s="192" t="s">
        <v>6724</v>
      </c>
      <c r="C9385" s="196">
        <v>-963000</v>
      </c>
      <c r="D9385" s="196">
        <v>0</v>
      </c>
      <c r="E9385" s="196">
        <v>0</v>
      </c>
      <c r="F9385" s="196">
        <v>0</v>
      </c>
      <c r="G9385" s="196">
        <v>-963000</v>
      </c>
    </row>
    <row r="9386" spans="1:7" x14ac:dyDescent="0.3">
      <c r="A9386" s="192" t="s">
        <v>900</v>
      </c>
      <c r="B9386" s="192" t="s">
        <v>901</v>
      </c>
      <c r="C9386" s="196">
        <v>0</v>
      </c>
      <c r="D9386" s="196">
        <v>0</v>
      </c>
      <c r="E9386" s="196">
        <v>963000</v>
      </c>
      <c r="F9386" s="196">
        <v>-963000</v>
      </c>
      <c r="G9386" s="196">
        <v>-963000</v>
      </c>
    </row>
    <row r="9387" spans="1:7" x14ac:dyDescent="0.3">
      <c r="A9387" s="198">
        <v>1039446535</v>
      </c>
      <c r="B9387" s="192" t="s">
        <v>6725</v>
      </c>
      <c r="C9387" s="196">
        <v>-963000</v>
      </c>
      <c r="D9387" s="196">
        <v>0</v>
      </c>
      <c r="E9387" s="196">
        <v>0</v>
      </c>
      <c r="F9387" s="196">
        <v>0</v>
      </c>
      <c r="G9387" s="196">
        <v>-963000</v>
      </c>
    </row>
    <row r="9388" spans="1:7" x14ac:dyDescent="0.3">
      <c r="A9388" s="198">
        <v>3549087</v>
      </c>
      <c r="B9388" s="192" t="s">
        <v>4355</v>
      </c>
      <c r="C9388" s="196">
        <v>-2210000</v>
      </c>
      <c r="D9388" s="196">
        <v>0</v>
      </c>
      <c r="E9388" s="196">
        <v>0</v>
      </c>
      <c r="F9388" s="196">
        <v>0</v>
      </c>
      <c r="G9388" s="196">
        <v>-2210000</v>
      </c>
    </row>
    <row r="9389" spans="1:7" x14ac:dyDescent="0.3">
      <c r="A9389" s="198">
        <v>1017239548</v>
      </c>
      <c r="B9389" s="192" t="s">
        <v>6726</v>
      </c>
      <c r="C9389" s="196">
        <v>-963000</v>
      </c>
      <c r="D9389" s="196">
        <v>0</v>
      </c>
      <c r="E9389" s="196">
        <v>0</v>
      </c>
      <c r="F9389" s="196">
        <v>0</v>
      </c>
      <c r="G9389" s="196">
        <v>-963000</v>
      </c>
    </row>
    <row r="9390" spans="1:7" x14ac:dyDescent="0.3">
      <c r="A9390" s="198">
        <v>1037268416</v>
      </c>
      <c r="B9390" s="192" t="s">
        <v>6727</v>
      </c>
      <c r="C9390" s="196">
        <v>-963000</v>
      </c>
      <c r="D9390" s="196">
        <v>0</v>
      </c>
      <c r="E9390" s="196">
        <v>0</v>
      </c>
      <c r="F9390" s="196">
        <v>0</v>
      </c>
      <c r="G9390" s="196">
        <v>-963000</v>
      </c>
    </row>
    <row r="9391" spans="1:7" x14ac:dyDescent="0.3">
      <c r="A9391" s="198">
        <v>1034989219</v>
      </c>
      <c r="B9391" s="192" t="s">
        <v>909</v>
      </c>
      <c r="C9391" s="196">
        <v>-2160000</v>
      </c>
      <c r="D9391" s="196">
        <v>0</v>
      </c>
      <c r="E9391" s="196">
        <v>0</v>
      </c>
      <c r="F9391" s="196">
        <v>0</v>
      </c>
      <c r="G9391" s="196">
        <v>-2160000</v>
      </c>
    </row>
    <row r="9392" spans="1:7" x14ac:dyDescent="0.3">
      <c r="A9392" s="198">
        <v>1193280850</v>
      </c>
      <c r="B9392" s="192" t="s">
        <v>4382</v>
      </c>
      <c r="C9392" s="196">
        <v>-2510000</v>
      </c>
      <c r="D9392" s="196">
        <v>0</v>
      </c>
      <c r="E9392" s="196">
        <v>0</v>
      </c>
      <c r="F9392" s="196">
        <v>0</v>
      </c>
      <c r="G9392" s="196">
        <v>-2510000</v>
      </c>
    </row>
    <row r="9393" spans="1:7" x14ac:dyDescent="0.3">
      <c r="A9393" s="198">
        <v>1020305203</v>
      </c>
      <c r="B9393" s="192" t="s">
        <v>916</v>
      </c>
      <c r="C9393" s="196">
        <v>-3261650</v>
      </c>
      <c r="D9393" s="196">
        <v>0</v>
      </c>
      <c r="E9393" s="196">
        <v>0</v>
      </c>
      <c r="F9393" s="196">
        <v>0</v>
      </c>
      <c r="G9393" s="196">
        <v>-3261650</v>
      </c>
    </row>
    <row r="9394" spans="1:7" x14ac:dyDescent="0.3">
      <c r="A9394" s="198">
        <v>1020394491</v>
      </c>
      <c r="B9394" s="192" t="s">
        <v>6728</v>
      </c>
      <c r="C9394" s="196">
        <v>-963000</v>
      </c>
      <c r="D9394" s="196">
        <v>0</v>
      </c>
      <c r="E9394" s="196">
        <v>0</v>
      </c>
      <c r="F9394" s="196">
        <v>0</v>
      </c>
      <c r="G9394" s="196">
        <v>-963000</v>
      </c>
    </row>
    <row r="9395" spans="1:7" x14ac:dyDescent="0.3">
      <c r="A9395" s="198">
        <v>1041631765</v>
      </c>
      <c r="B9395" s="192" t="s">
        <v>919</v>
      </c>
      <c r="C9395" s="196">
        <v>0</v>
      </c>
      <c r="D9395" s="196">
        <v>0</v>
      </c>
      <c r="E9395" s="196">
        <v>3500000</v>
      </c>
      <c r="F9395" s="196">
        <v>-3500000</v>
      </c>
      <c r="G9395" s="196">
        <v>-3500000</v>
      </c>
    </row>
    <row r="9396" spans="1:7" x14ac:dyDescent="0.3">
      <c r="A9396" s="198">
        <v>1026147862</v>
      </c>
      <c r="B9396" s="192" t="s">
        <v>4389</v>
      </c>
      <c r="C9396" s="196">
        <v>-5210000</v>
      </c>
      <c r="D9396" s="196">
        <v>0</v>
      </c>
      <c r="E9396" s="196">
        <v>0</v>
      </c>
      <c r="F9396" s="196">
        <v>0</v>
      </c>
      <c r="G9396" s="196">
        <v>-5210000</v>
      </c>
    </row>
    <row r="9397" spans="1:7" x14ac:dyDescent="0.3">
      <c r="A9397" s="198">
        <v>1152213653</v>
      </c>
      <c r="B9397" s="192" t="s">
        <v>6729</v>
      </c>
      <c r="C9397" s="196">
        <v>-860000</v>
      </c>
      <c r="D9397" s="196">
        <v>0</v>
      </c>
      <c r="E9397" s="196">
        <v>0</v>
      </c>
      <c r="F9397" s="196">
        <v>0</v>
      </c>
      <c r="G9397" s="196">
        <v>-860000</v>
      </c>
    </row>
    <row r="9398" spans="1:7" x14ac:dyDescent="0.3">
      <c r="A9398" s="198">
        <v>98666184</v>
      </c>
      <c r="B9398" s="192" t="s">
        <v>920</v>
      </c>
      <c r="C9398" s="196">
        <v>0</v>
      </c>
      <c r="D9398" s="196">
        <v>0</v>
      </c>
      <c r="E9398" s="196">
        <v>50000</v>
      </c>
      <c r="F9398" s="196">
        <v>-50000</v>
      </c>
      <c r="G9398" s="196">
        <v>-50000</v>
      </c>
    </row>
    <row r="9399" spans="1:7" x14ac:dyDescent="0.3">
      <c r="A9399" s="198">
        <v>10099270</v>
      </c>
      <c r="B9399" s="192" t="s">
        <v>4395</v>
      </c>
      <c r="C9399" s="196">
        <v>-11642200</v>
      </c>
      <c r="D9399" s="196">
        <v>0</v>
      </c>
      <c r="E9399" s="196">
        <v>0</v>
      </c>
      <c r="F9399" s="196">
        <v>0</v>
      </c>
      <c r="G9399" s="196">
        <v>-11642200</v>
      </c>
    </row>
    <row r="9400" spans="1:7" x14ac:dyDescent="0.3">
      <c r="A9400" s="198">
        <v>1007121912</v>
      </c>
      <c r="B9400" s="192" t="s">
        <v>6730</v>
      </c>
      <c r="C9400" s="196">
        <v>-963000</v>
      </c>
      <c r="D9400" s="196">
        <v>0</v>
      </c>
      <c r="E9400" s="196">
        <v>0</v>
      </c>
      <c r="F9400" s="196">
        <v>0</v>
      </c>
      <c r="G9400" s="196">
        <v>-963000</v>
      </c>
    </row>
    <row r="9401" spans="1:7" x14ac:dyDescent="0.3">
      <c r="A9401" s="198">
        <v>1090387904</v>
      </c>
      <c r="B9401" s="192" t="s">
        <v>4396</v>
      </c>
      <c r="C9401" s="196">
        <v>-5870000</v>
      </c>
      <c r="D9401" s="196">
        <v>0</v>
      </c>
      <c r="E9401" s="196">
        <v>0</v>
      </c>
      <c r="F9401" s="196">
        <v>0</v>
      </c>
      <c r="G9401" s="196">
        <v>-5870000</v>
      </c>
    </row>
    <row r="9402" spans="1:7" x14ac:dyDescent="0.3">
      <c r="A9402" s="198">
        <v>1001774161</v>
      </c>
      <c r="B9402" s="192" t="s">
        <v>6731</v>
      </c>
      <c r="C9402" s="196">
        <v>-860000</v>
      </c>
      <c r="D9402" s="196">
        <v>0</v>
      </c>
      <c r="E9402" s="196">
        <v>0</v>
      </c>
      <c r="F9402" s="196">
        <v>0</v>
      </c>
      <c r="G9402" s="196">
        <v>-860000</v>
      </c>
    </row>
    <row r="9403" spans="1:7" x14ac:dyDescent="0.3">
      <c r="A9403" s="198">
        <v>1036614372</v>
      </c>
      <c r="B9403" s="192" t="s">
        <v>6732</v>
      </c>
      <c r="C9403" s="196">
        <v>-963000</v>
      </c>
      <c r="D9403" s="196">
        <v>0</v>
      </c>
      <c r="E9403" s="196">
        <v>0</v>
      </c>
      <c r="F9403" s="196">
        <v>0</v>
      </c>
      <c r="G9403" s="196">
        <v>-963000</v>
      </c>
    </row>
    <row r="9404" spans="1:7" x14ac:dyDescent="0.3">
      <c r="A9404" s="198">
        <v>1020459254</v>
      </c>
      <c r="B9404" s="192" t="s">
        <v>6733</v>
      </c>
      <c r="C9404" s="196">
        <v>-860000</v>
      </c>
      <c r="D9404" s="196">
        <v>0</v>
      </c>
      <c r="E9404" s="196">
        <v>0</v>
      </c>
      <c r="F9404" s="196">
        <v>0</v>
      </c>
      <c r="G9404" s="196">
        <v>-860000</v>
      </c>
    </row>
    <row r="9405" spans="1:7" x14ac:dyDescent="0.3">
      <c r="A9405" s="198">
        <v>1053819537</v>
      </c>
      <c r="B9405" s="192" t="s">
        <v>4400</v>
      </c>
      <c r="C9405" s="196">
        <v>-3900000</v>
      </c>
      <c r="D9405" s="196">
        <v>0</v>
      </c>
      <c r="E9405" s="196">
        <v>0</v>
      </c>
      <c r="F9405" s="196">
        <v>0</v>
      </c>
      <c r="G9405" s="196">
        <v>-3900000</v>
      </c>
    </row>
    <row r="9406" spans="1:7" x14ac:dyDescent="0.3">
      <c r="A9406" s="198">
        <v>1037660718</v>
      </c>
      <c r="B9406" s="192" t="s">
        <v>6734</v>
      </c>
      <c r="C9406" s="196">
        <v>-963000</v>
      </c>
      <c r="D9406" s="196">
        <v>0</v>
      </c>
      <c r="E9406" s="196">
        <v>0</v>
      </c>
      <c r="F9406" s="196">
        <v>0</v>
      </c>
      <c r="G9406" s="196">
        <v>-963000</v>
      </c>
    </row>
    <row r="9407" spans="1:7" x14ac:dyDescent="0.3">
      <c r="A9407" s="198">
        <v>1026159930</v>
      </c>
      <c r="B9407" s="192" t="s">
        <v>6735</v>
      </c>
      <c r="C9407" s="196">
        <v>-963000</v>
      </c>
      <c r="D9407" s="196">
        <v>0</v>
      </c>
      <c r="E9407" s="196">
        <v>0</v>
      </c>
      <c r="F9407" s="196">
        <v>0</v>
      </c>
      <c r="G9407" s="196">
        <v>-963000</v>
      </c>
    </row>
    <row r="9408" spans="1:7" x14ac:dyDescent="0.3">
      <c r="A9408" s="198">
        <v>1094920930</v>
      </c>
      <c r="B9408" s="192" t="s">
        <v>4401</v>
      </c>
      <c r="C9408" s="196">
        <v>-3210000</v>
      </c>
      <c r="D9408" s="196">
        <v>0</v>
      </c>
      <c r="E9408" s="196">
        <v>0</v>
      </c>
      <c r="F9408" s="196">
        <v>0</v>
      </c>
      <c r="G9408" s="196">
        <v>-3210000</v>
      </c>
    </row>
    <row r="9409" spans="1:7" x14ac:dyDescent="0.3">
      <c r="A9409" s="198">
        <v>1040743196</v>
      </c>
      <c r="B9409" s="192" t="s">
        <v>6736</v>
      </c>
      <c r="C9409" s="196">
        <v>-963000</v>
      </c>
      <c r="D9409" s="196">
        <v>0</v>
      </c>
      <c r="E9409" s="196">
        <v>0</v>
      </c>
      <c r="F9409" s="196">
        <v>0</v>
      </c>
      <c r="G9409" s="196">
        <v>-963000</v>
      </c>
    </row>
    <row r="9410" spans="1:7" x14ac:dyDescent="0.3">
      <c r="A9410" s="198">
        <v>1121937238</v>
      </c>
      <c r="B9410" s="192" t="s">
        <v>6737</v>
      </c>
      <c r="C9410" s="196">
        <v>-683000</v>
      </c>
      <c r="D9410" s="196">
        <v>0</v>
      </c>
      <c r="E9410" s="196">
        <v>0</v>
      </c>
      <c r="F9410" s="196">
        <v>0</v>
      </c>
      <c r="G9410" s="196">
        <v>-683000</v>
      </c>
    </row>
    <row r="9411" spans="1:7" x14ac:dyDescent="0.3">
      <c r="A9411" s="198">
        <v>1007240709</v>
      </c>
      <c r="B9411" s="192" t="s">
        <v>6738</v>
      </c>
      <c r="C9411" s="196">
        <v>-963000</v>
      </c>
      <c r="D9411" s="196">
        <v>0</v>
      </c>
      <c r="E9411" s="196">
        <v>0</v>
      </c>
      <c r="F9411" s="196">
        <v>0</v>
      </c>
      <c r="G9411" s="196">
        <v>-963000</v>
      </c>
    </row>
    <row r="9412" spans="1:7" x14ac:dyDescent="0.3">
      <c r="A9412" s="198">
        <v>1035918421</v>
      </c>
      <c r="B9412" s="192" t="s">
        <v>6739</v>
      </c>
      <c r="C9412" s="196">
        <v>-963000</v>
      </c>
      <c r="D9412" s="196">
        <v>0</v>
      </c>
      <c r="E9412" s="196">
        <v>0</v>
      </c>
      <c r="F9412" s="196">
        <v>0</v>
      </c>
      <c r="G9412" s="196">
        <v>-963000</v>
      </c>
    </row>
    <row r="9413" spans="1:7" x14ac:dyDescent="0.3">
      <c r="A9413" s="198">
        <v>43877078</v>
      </c>
      <c r="B9413" s="192" t="s">
        <v>926</v>
      </c>
      <c r="C9413" s="196">
        <v>0</v>
      </c>
      <c r="D9413" s="196">
        <v>0</v>
      </c>
      <c r="E9413" s="196">
        <v>1870000</v>
      </c>
      <c r="F9413" s="196">
        <v>-1870000</v>
      </c>
      <c r="G9413" s="196">
        <v>-1870000</v>
      </c>
    </row>
    <row r="9414" spans="1:7" x14ac:dyDescent="0.3">
      <c r="A9414" s="198">
        <v>1018255824</v>
      </c>
      <c r="B9414" s="192" t="s">
        <v>928</v>
      </c>
      <c r="C9414" s="196">
        <v>-6283202</v>
      </c>
      <c r="D9414" s="196">
        <v>0</v>
      </c>
      <c r="E9414" s="196">
        <v>0</v>
      </c>
      <c r="F9414" s="196">
        <v>0</v>
      </c>
      <c r="G9414" s="196">
        <v>-6283202</v>
      </c>
    </row>
    <row r="9415" spans="1:7" x14ac:dyDescent="0.3">
      <c r="A9415" s="198">
        <v>1035127520</v>
      </c>
      <c r="B9415" s="192" t="s">
        <v>6740</v>
      </c>
      <c r="C9415" s="196">
        <v>-963000</v>
      </c>
      <c r="D9415" s="196">
        <v>0</v>
      </c>
      <c r="E9415" s="196">
        <v>0</v>
      </c>
      <c r="F9415" s="196">
        <v>0</v>
      </c>
      <c r="G9415" s="196">
        <v>-963000</v>
      </c>
    </row>
    <row r="9416" spans="1:7" x14ac:dyDescent="0.3">
      <c r="A9416" s="198">
        <v>1049650488</v>
      </c>
      <c r="B9416" s="192" t="s">
        <v>4430</v>
      </c>
      <c r="C9416" s="196">
        <v>-7463000</v>
      </c>
      <c r="D9416" s="196">
        <v>0</v>
      </c>
      <c r="E9416" s="196">
        <v>0</v>
      </c>
      <c r="F9416" s="196">
        <v>0</v>
      </c>
      <c r="G9416" s="196">
        <v>-7463000</v>
      </c>
    </row>
    <row r="9417" spans="1:7" x14ac:dyDescent="0.3">
      <c r="A9417" s="198">
        <v>1005259265</v>
      </c>
      <c r="B9417" s="192" t="s">
        <v>4436</v>
      </c>
      <c r="C9417" s="196">
        <v>-3310000</v>
      </c>
      <c r="D9417" s="196">
        <v>0</v>
      </c>
      <c r="E9417" s="196">
        <v>0</v>
      </c>
      <c r="F9417" s="196">
        <v>0</v>
      </c>
      <c r="G9417" s="196">
        <v>-3310000</v>
      </c>
    </row>
    <row r="9418" spans="1:7" x14ac:dyDescent="0.3">
      <c r="A9418" s="192" t="s">
        <v>6741</v>
      </c>
      <c r="B9418" s="192" t="s">
        <v>6742</v>
      </c>
      <c r="C9418" s="196">
        <v>-4500000</v>
      </c>
      <c r="D9418" s="196">
        <v>0</v>
      </c>
      <c r="E9418" s="196">
        <v>0</v>
      </c>
      <c r="F9418" s="196">
        <v>0</v>
      </c>
      <c r="G9418" s="196">
        <v>-4500000</v>
      </c>
    </row>
    <row r="9419" spans="1:7" x14ac:dyDescent="0.3">
      <c r="A9419" s="192" t="s">
        <v>4440</v>
      </c>
      <c r="B9419" s="192" t="s">
        <v>4441</v>
      </c>
      <c r="C9419" s="196">
        <v>-13133000</v>
      </c>
      <c r="D9419" s="196">
        <v>0</v>
      </c>
      <c r="E9419" s="196">
        <v>0</v>
      </c>
      <c r="F9419" s="196">
        <v>0</v>
      </c>
      <c r="G9419" s="196">
        <v>-13133000</v>
      </c>
    </row>
    <row r="9420" spans="1:7" x14ac:dyDescent="0.3">
      <c r="A9420" s="198">
        <v>1031165290</v>
      </c>
      <c r="B9420" s="192" t="s">
        <v>6743</v>
      </c>
      <c r="C9420" s="196">
        <v>-963000</v>
      </c>
      <c r="D9420" s="196">
        <v>0</v>
      </c>
      <c r="E9420" s="196">
        <v>0</v>
      </c>
      <c r="F9420" s="196">
        <v>0</v>
      </c>
      <c r="G9420" s="196">
        <v>-963000</v>
      </c>
    </row>
    <row r="9421" spans="1:7" x14ac:dyDescent="0.3">
      <c r="A9421" s="198">
        <v>1007430072</v>
      </c>
      <c r="B9421" s="192" t="s">
        <v>6744</v>
      </c>
      <c r="C9421" s="196">
        <v>-963000</v>
      </c>
      <c r="D9421" s="196">
        <v>0</v>
      </c>
      <c r="E9421" s="196">
        <v>0</v>
      </c>
      <c r="F9421" s="196">
        <v>0</v>
      </c>
      <c r="G9421" s="196">
        <v>-963000</v>
      </c>
    </row>
    <row r="9422" spans="1:7" x14ac:dyDescent="0.3">
      <c r="A9422" s="198">
        <v>1128451846</v>
      </c>
      <c r="B9422" s="192" t="s">
        <v>6745</v>
      </c>
      <c r="C9422" s="196">
        <v>-683000</v>
      </c>
      <c r="D9422" s="196">
        <v>0</v>
      </c>
      <c r="E9422" s="196">
        <v>0</v>
      </c>
      <c r="F9422" s="196">
        <v>0</v>
      </c>
      <c r="G9422" s="196">
        <v>-683000</v>
      </c>
    </row>
    <row r="9423" spans="1:7" x14ac:dyDescent="0.3">
      <c r="A9423" s="198">
        <v>1042446750</v>
      </c>
      <c r="B9423" s="192" t="s">
        <v>6746</v>
      </c>
      <c r="C9423" s="196">
        <v>-963000</v>
      </c>
      <c r="D9423" s="196">
        <v>0</v>
      </c>
      <c r="E9423" s="196">
        <v>0</v>
      </c>
      <c r="F9423" s="196">
        <v>0</v>
      </c>
      <c r="G9423" s="196">
        <v>-963000</v>
      </c>
    </row>
    <row r="9424" spans="1:7" x14ac:dyDescent="0.3">
      <c r="A9424" s="198">
        <v>1214742572</v>
      </c>
      <c r="B9424" s="192" t="s">
        <v>6747</v>
      </c>
      <c r="C9424" s="196">
        <v>-963000</v>
      </c>
      <c r="D9424" s="196">
        <v>0</v>
      </c>
      <c r="E9424" s="196">
        <v>0</v>
      </c>
      <c r="F9424" s="196">
        <v>0</v>
      </c>
      <c r="G9424" s="196">
        <v>-963000</v>
      </c>
    </row>
    <row r="9425" spans="1:7" x14ac:dyDescent="0.3">
      <c r="A9425" s="198">
        <v>1030536052</v>
      </c>
      <c r="B9425" s="192" t="s">
        <v>6748</v>
      </c>
      <c r="C9425" s="196">
        <v>-2895000</v>
      </c>
      <c r="D9425" s="196">
        <v>0</v>
      </c>
      <c r="E9425" s="196">
        <v>0</v>
      </c>
      <c r="F9425" s="196">
        <v>0</v>
      </c>
      <c r="G9425" s="196">
        <v>-2895000</v>
      </c>
    </row>
    <row r="9426" spans="1:7" x14ac:dyDescent="0.3">
      <c r="A9426" s="198">
        <v>1152206183</v>
      </c>
      <c r="B9426" s="192" t="s">
        <v>6749</v>
      </c>
      <c r="C9426" s="196">
        <v>-860000</v>
      </c>
      <c r="D9426" s="196">
        <v>0</v>
      </c>
      <c r="E9426" s="196">
        <v>0</v>
      </c>
      <c r="F9426" s="196">
        <v>0</v>
      </c>
      <c r="G9426" s="196">
        <v>-860000</v>
      </c>
    </row>
    <row r="9427" spans="1:7" x14ac:dyDescent="0.3">
      <c r="A9427" s="198">
        <v>1193152722</v>
      </c>
      <c r="B9427" s="192" t="s">
        <v>6750</v>
      </c>
      <c r="C9427" s="196">
        <v>-963000</v>
      </c>
      <c r="D9427" s="196">
        <v>0</v>
      </c>
      <c r="E9427" s="196">
        <v>0</v>
      </c>
      <c r="F9427" s="196">
        <v>0</v>
      </c>
      <c r="G9427" s="196">
        <v>-963000</v>
      </c>
    </row>
    <row r="9428" spans="1:7" x14ac:dyDescent="0.3">
      <c r="A9428" s="198">
        <v>1036663524</v>
      </c>
      <c r="B9428" s="192" t="s">
        <v>6751</v>
      </c>
      <c r="C9428" s="196">
        <v>-963000</v>
      </c>
      <c r="D9428" s="196">
        <v>0</v>
      </c>
      <c r="E9428" s="196">
        <v>0</v>
      </c>
      <c r="F9428" s="196">
        <v>0</v>
      </c>
      <c r="G9428" s="196">
        <v>-963000</v>
      </c>
    </row>
    <row r="9429" spans="1:7" x14ac:dyDescent="0.3">
      <c r="A9429" s="198">
        <v>1020495792</v>
      </c>
      <c r="B9429" s="192" t="s">
        <v>6752</v>
      </c>
      <c r="C9429" s="196">
        <v>-963000</v>
      </c>
      <c r="D9429" s="196">
        <v>0</v>
      </c>
      <c r="E9429" s="196">
        <v>0</v>
      </c>
      <c r="F9429" s="196">
        <v>0</v>
      </c>
      <c r="G9429" s="196">
        <v>-963000</v>
      </c>
    </row>
    <row r="9430" spans="1:7" x14ac:dyDescent="0.3">
      <c r="A9430" s="198">
        <v>1144102470</v>
      </c>
      <c r="B9430" s="192" t="s">
        <v>4447</v>
      </c>
      <c r="C9430" s="196">
        <v>-6184000</v>
      </c>
      <c r="D9430" s="196">
        <v>0</v>
      </c>
      <c r="E9430" s="196">
        <v>0</v>
      </c>
      <c r="F9430" s="196">
        <v>0</v>
      </c>
      <c r="G9430" s="196">
        <v>-6184000</v>
      </c>
    </row>
    <row r="9431" spans="1:7" x14ac:dyDescent="0.3">
      <c r="A9431" s="198">
        <v>1020453205</v>
      </c>
      <c r="B9431" s="192" t="s">
        <v>6753</v>
      </c>
      <c r="C9431" s="196">
        <v>-963000</v>
      </c>
      <c r="D9431" s="196">
        <v>0</v>
      </c>
      <c r="E9431" s="196">
        <v>0</v>
      </c>
      <c r="F9431" s="196">
        <v>0</v>
      </c>
      <c r="G9431" s="196">
        <v>-963000</v>
      </c>
    </row>
    <row r="9432" spans="1:7" x14ac:dyDescent="0.3">
      <c r="A9432" s="198">
        <v>1046933795</v>
      </c>
      <c r="B9432" s="192" t="s">
        <v>6754</v>
      </c>
      <c r="C9432" s="196">
        <v>-860000</v>
      </c>
      <c r="D9432" s="196">
        <v>0</v>
      </c>
      <c r="E9432" s="196">
        <v>0</v>
      </c>
      <c r="F9432" s="196">
        <v>0</v>
      </c>
      <c r="G9432" s="196">
        <v>-860000</v>
      </c>
    </row>
    <row r="9433" spans="1:7" x14ac:dyDescent="0.3">
      <c r="A9433" s="198">
        <v>1125781185</v>
      </c>
      <c r="B9433" s="192" t="s">
        <v>4448</v>
      </c>
      <c r="C9433" s="196">
        <v>-2936000</v>
      </c>
      <c r="D9433" s="196">
        <v>0</v>
      </c>
      <c r="E9433" s="196">
        <v>0</v>
      </c>
      <c r="F9433" s="196">
        <v>0</v>
      </c>
      <c r="G9433" s="196">
        <v>-2936000</v>
      </c>
    </row>
    <row r="9434" spans="1:7" x14ac:dyDescent="0.3">
      <c r="A9434" s="198">
        <v>1006733587</v>
      </c>
      <c r="B9434" s="192" t="s">
        <v>4452</v>
      </c>
      <c r="C9434" s="196">
        <v>-3210000</v>
      </c>
      <c r="D9434" s="196">
        <v>0</v>
      </c>
      <c r="E9434" s="196">
        <v>0</v>
      </c>
      <c r="F9434" s="196">
        <v>0</v>
      </c>
      <c r="G9434" s="196">
        <v>-3210000</v>
      </c>
    </row>
    <row r="9435" spans="1:7" x14ac:dyDescent="0.3">
      <c r="A9435" s="198">
        <v>1128063262</v>
      </c>
      <c r="B9435" s="192" t="s">
        <v>6755</v>
      </c>
      <c r="C9435" s="196">
        <v>-963000</v>
      </c>
      <c r="D9435" s="196">
        <v>0</v>
      </c>
      <c r="E9435" s="196">
        <v>0</v>
      </c>
      <c r="F9435" s="196">
        <v>0</v>
      </c>
      <c r="G9435" s="196">
        <v>-963000</v>
      </c>
    </row>
    <row r="9436" spans="1:7" x14ac:dyDescent="0.3">
      <c r="A9436" s="198">
        <v>1040751796</v>
      </c>
      <c r="B9436" s="192" t="s">
        <v>6756</v>
      </c>
      <c r="C9436" s="196">
        <v>-860000</v>
      </c>
      <c r="D9436" s="196">
        <v>0</v>
      </c>
      <c r="E9436" s="196">
        <v>0</v>
      </c>
      <c r="F9436" s="196">
        <v>0</v>
      </c>
      <c r="G9436" s="196">
        <v>-860000</v>
      </c>
    </row>
    <row r="9437" spans="1:7" x14ac:dyDescent="0.3">
      <c r="A9437" s="198">
        <v>1000893473</v>
      </c>
      <c r="B9437" s="192" t="s">
        <v>6757</v>
      </c>
      <c r="C9437" s="196">
        <v>-963000</v>
      </c>
      <c r="D9437" s="196">
        <v>0</v>
      </c>
      <c r="E9437" s="196">
        <v>0</v>
      </c>
      <c r="F9437" s="196">
        <v>0</v>
      </c>
      <c r="G9437" s="196">
        <v>-963000</v>
      </c>
    </row>
    <row r="9438" spans="1:7" x14ac:dyDescent="0.3">
      <c r="A9438" s="198">
        <v>1214721330</v>
      </c>
      <c r="B9438" s="192" t="s">
        <v>6758</v>
      </c>
      <c r="C9438" s="196">
        <v>-963000</v>
      </c>
      <c r="D9438" s="196">
        <v>0</v>
      </c>
      <c r="E9438" s="196">
        <v>0</v>
      </c>
      <c r="F9438" s="196">
        <v>0</v>
      </c>
      <c r="G9438" s="196">
        <v>-963000</v>
      </c>
    </row>
    <row r="9439" spans="1:7" x14ac:dyDescent="0.3">
      <c r="A9439" s="198">
        <v>1037633478</v>
      </c>
      <c r="B9439" s="192" t="s">
        <v>6759</v>
      </c>
      <c r="C9439" s="196">
        <v>-963000</v>
      </c>
      <c r="D9439" s="196">
        <v>0</v>
      </c>
      <c r="E9439" s="196">
        <v>0</v>
      </c>
      <c r="F9439" s="196">
        <v>0</v>
      </c>
      <c r="G9439" s="196">
        <v>-963000</v>
      </c>
    </row>
    <row r="9440" spans="1:7" x14ac:dyDescent="0.3">
      <c r="A9440" s="198">
        <v>1214726844</v>
      </c>
      <c r="B9440" s="192" t="s">
        <v>6760</v>
      </c>
      <c r="C9440" s="196">
        <v>-963000</v>
      </c>
      <c r="D9440" s="196">
        <v>0</v>
      </c>
      <c r="E9440" s="196">
        <v>0</v>
      </c>
      <c r="F9440" s="196">
        <v>0</v>
      </c>
      <c r="G9440" s="196">
        <v>-963000</v>
      </c>
    </row>
    <row r="9441" spans="1:7" x14ac:dyDescent="0.3">
      <c r="A9441" s="198">
        <v>1017206819</v>
      </c>
      <c r="B9441" s="192" t="s">
        <v>6761</v>
      </c>
      <c r="C9441" s="196">
        <v>-963000</v>
      </c>
      <c r="D9441" s="196">
        <v>0</v>
      </c>
      <c r="E9441" s="196">
        <v>0</v>
      </c>
      <c r="F9441" s="196">
        <v>0</v>
      </c>
      <c r="G9441" s="196">
        <v>-963000</v>
      </c>
    </row>
    <row r="9442" spans="1:7" x14ac:dyDescent="0.3">
      <c r="A9442" s="198">
        <v>1017245533</v>
      </c>
      <c r="B9442" s="192" t="s">
        <v>6762</v>
      </c>
      <c r="C9442" s="196">
        <v>-963000</v>
      </c>
      <c r="D9442" s="196">
        <v>0</v>
      </c>
      <c r="E9442" s="196">
        <v>0</v>
      </c>
      <c r="F9442" s="196">
        <v>0</v>
      </c>
      <c r="G9442" s="196">
        <v>-963000</v>
      </c>
    </row>
    <row r="9443" spans="1:7" x14ac:dyDescent="0.3">
      <c r="A9443" s="198">
        <v>1007379066</v>
      </c>
      <c r="B9443" s="192" t="s">
        <v>6763</v>
      </c>
      <c r="C9443" s="196">
        <v>-3500000</v>
      </c>
      <c r="D9443" s="196">
        <v>0</v>
      </c>
      <c r="E9443" s="196">
        <v>0</v>
      </c>
      <c r="F9443" s="196">
        <v>0</v>
      </c>
      <c r="G9443" s="196">
        <v>-3500000</v>
      </c>
    </row>
    <row r="9444" spans="1:7" x14ac:dyDescent="0.3">
      <c r="A9444" s="198">
        <v>1017203979</v>
      </c>
      <c r="B9444" s="192" t="s">
        <v>6764</v>
      </c>
      <c r="C9444" s="196">
        <v>-860000</v>
      </c>
      <c r="D9444" s="196">
        <v>0</v>
      </c>
      <c r="E9444" s="196">
        <v>0</v>
      </c>
      <c r="F9444" s="196">
        <v>0</v>
      </c>
      <c r="G9444" s="196">
        <v>-860000</v>
      </c>
    </row>
    <row r="9445" spans="1:7" x14ac:dyDescent="0.3">
      <c r="A9445" s="198">
        <v>1000535831</v>
      </c>
      <c r="B9445" s="192" t="s">
        <v>4471</v>
      </c>
      <c r="C9445" s="196">
        <v>-2963000</v>
      </c>
      <c r="D9445" s="196">
        <v>0</v>
      </c>
      <c r="E9445" s="196">
        <v>0</v>
      </c>
      <c r="F9445" s="196">
        <v>0</v>
      </c>
      <c r="G9445" s="196">
        <v>-2963000</v>
      </c>
    </row>
    <row r="9446" spans="1:7" x14ac:dyDescent="0.3">
      <c r="A9446" s="198">
        <v>1035232838</v>
      </c>
      <c r="B9446" s="192" t="s">
        <v>944</v>
      </c>
      <c r="C9446" s="196">
        <v>0</v>
      </c>
      <c r="D9446" s="196">
        <v>0</v>
      </c>
      <c r="E9446" s="196">
        <v>963000</v>
      </c>
      <c r="F9446" s="196">
        <v>-963000</v>
      </c>
      <c r="G9446" s="196">
        <v>-963000</v>
      </c>
    </row>
    <row r="9447" spans="1:7" x14ac:dyDescent="0.3">
      <c r="A9447" s="198">
        <v>1214748602</v>
      </c>
      <c r="B9447" s="192" t="s">
        <v>6765</v>
      </c>
      <c r="C9447" s="196">
        <v>-860000</v>
      </c>
      <c r="D9447" s="196">
        <v>0</v>
      </c>
      <c r="E9447" s="196">
        <v>0</v>
      </c>
      <c r="F9447" s="196">
        <v>0</v>
      </c>
      <c r="G9447" s="196">
        <v>-860000</v>
      </c>
    </row>
    <row r="9448" spans="1:7" x14ac:dyDescent="0.3">
      <c r="A9448" s="198">
        <v>1025646542</v>
      </c>
      <c r="B9448" s="192" t="s">
        <v>6766</v>
      </c>
      <c r="C9448" s="196">
        <v>-963000</v>
      </c>
      <c r="D9448" s="196">
        <v>0</v>
      </c>
      <c r="E9448" s="196">
        <v>0</v>
      </c>
      <c r="F9448" s="196">
        <v>0</v>
      </c>
      <c r="G9448" s="196">
        <v>-963000</v>
      </c>
    </row>
    <row r="9449" spans="1:7" x14ac:dyDescent="0.3">
      <c r="A9449" s="198">
        <v>559029441</v>
      </c>
      <c r="B9449" s="192" t="s">
        <v>6767</v>
      </c>
      <c r="C9449" s="196">
        <v>-963000</v>
      </c>
      <c r="D9449" s="196">
        <v>0</v>
      </c>
      <c r="E9449" s="196">
        <v>0</v>
      </c>
      <c r="F9449" s="196">
        <v>0</v>
      </c>
      <c r="G9449" s="196">
        <v>-963000</v>
      </c>
    </row>
    <row r="9450" spans="1:7" x14ac:dyDescent="0.3">
      <c r="A9450" s="198">
        <v>32379143</v>
      </c>
      <c r="B9450" s="192" t="s">
        <v>6768</v>
      </c>
      <c r="C9450" s="196">
        <v>-963000</v>
      </c>
      <c r="D9450" s="196">
        <v>0</v>
      </c>
      <c r="E9450" s="196">
        <v>0</v>
      </c>
      <c r="F9450" s="196">
        <v>0</v>
      </c>
      <c r="G9450" s="196">
        <v>-963000</v>
      </c>
    </row>
    <row r="9451" spans="1:7" x14ac:dyDescent="0.3">
      <c r="A9451" s="198">
        <v>1102865890</v>
      </c>
      <c r="B9451" s="192" t="s">
        <v>6769</v>
      </c>
      <c r="C9451" s="196">
        <v>-963000</v>
      </c>
      <c r="D9451" s="196">
        <v>0</v>
      </c>
      <c r="E9451" s="196">
        <v>0</v>
      </c>
      <c r="F9451" s="196">
        <v>0</v>
      </c>
      <c r="G9451" s="196">
        <v>-963000</v>
      </c>
    </row>
    <row r="9452" spans="1:7" x14ac:dyDescent="0.3">
      <c r="A9452" s="192" t="s">
        <v>6770</v>
      </c>
      <c r="B9452" s="192" t="s">
        <v>6771</v>
      </c>
      <c r="C9452" s="196">
        <v>-1143000</v>
      </c>
      <c r="D9452" s="196">
        <v>0</v>
      </c>
      <c r="E9452" s="196">
        <v>0</v>
      </c>
      <c r="F9452" s="196">
        <v>0</v>
      </c>
      <c r="G9452" s="196">
        <v>-1143000</v>
      </c>
    </row>
    <row r="9453" spans="1:7" x14ac:dyDescent="0.3">
      <c r="A9453" s="192" t="s">
        <v>945</v>
      </c>
      <c r="B9453" s="192" t="s">
        <v>946</v>
      </c>
      <c r="C9453" s="196">
        <v>0</v>
      </c>
      <c r="D9453" s="196">
        <v>0</v>
      </c>
      <c r="E9453" s="196">
        <v>3710000</v>
      </c>
      <c r="F9453" s="196">
        <v>-3710000</v>
      </c>
      <c r="G9453" s="196">
        <v>-3710000</v>
      </c>
    </row>
    <row r="9454" spans="1:7" x14ac:dyDescent="0.3">
      <c r="A9454" s="198">
        <v>43187858</v>
      </c>
      <c r="B9454" s="192" t="s">
        <v>947</v>
      </c>
      <c r="C9454" s="196">
        <v>0</v>
      </c>
      <c r="D9454" s="196">
        <v>0</v>
      </c>
      <c r="E9454" s="196">
        <v>2710000</v>
      </c>
      <c r="F9454" s="196">
        <v>-2710000</v>
      </c>
      <c r="G9454" s="196">
        <v>-2710000</v>
      </c>
    </row>
    <row r="9455" spans="1:7" x14ac:dyDescent="0.3">
      <c r="A9455" s="198">
        <v>1017150881</v>
      </c>
      <c r="B9455" s="192" t="s">
        <v>948</v>
      </c>
      <c r="C9455" s="196">
        <v>0</v>
      </c>
      <c r="D9455" s="196">
        <v>0</v>
      </c>
      <c r="E9455" s="196">
        <v>963000</v>
      </c>
      <c r="F9455" s="196">
        <v>-963000</v>
      </c>
      <c r="G9455" s="196">
        <v>-963000</v>
      </c>
    </row>
    <row r="9456" spans="1:7" x14ac:dyDescent="0.3">
      <c r="A9456" s="192" t="s">
        <v>6772</v>
      </c>
      <c r="B9456" s="192" t="s">
        <v>4486</v>
      </c>
      <c r="C9456" s="196">
        <v>-6628000</v>
      </c>
      <c r="D9456" s="196">
        <v>0</v>
      </c>
      <c r="E9456" s="196">
        <v>0</v>
      </c>
      <c r="F9456" s="196">
        <v>0</v>
      </c>
      <c r="G9456" s="196">
        <v>-6628000</v>
      </c>
    </row>
    <row r="9457" spans="1:7" x14ac:dyDescent="0.3">
      <c r="A9457" s="198">
        <v>1000205622</v>
      </c>
      <c r="B9457" s="192" t="s">
        <v>6773</v>
      </c>
      <c r="C9457" s="196">
        <v>-963000</v>
      </c>
      <c r="D9457" s="196">
        <v>0</v>
      </c>
      <c r="E9457" s="196">
        <v>0</v>
      </c>
      <c r="F9457" s="196">
        <v>0</v>
      </c>
      <c r="G9457" s="196">
        <v>-963000</v>
      </c>
    </row>
    <row r="9458" spans="1:7" x14ac:dyDescent="0.3">
      <c r="A9458" s="198">
        <v>1040327585</v>
      </c>
      <c r="B9458" s="192" t="s">
        <v>6774</v>
      </c>
      <c r="C9458" s="196">
        <v>-963000</v>
      </c>
      <c r="D9458" s="196">
        <v>0</v>
      </c>
      <c r="E9458" s="196">
        <v>0</v>
      </c>
      <c r="F9458" s="196">
        <v>0</v>
      </c>
      <c r="G9458" s="196">
        <v>-963000</v>
      </c>
    </row>
    <row r="9459" spans="1:7" x14ac:dyDescent="0.3">
      <c r="A9459" s="198">
        <v>1035970625</v>
      </c>
      <c r="B9459" s="192" t="s">
        <v>4491</v>
      </c>
      <c r="C9459" s="196">
        <v>-963000</v>
      </c>
      <c r="D9459" s="196">
        <v>0</v>
      </c>
      <c r="E9459" s="196">
        <v>0</v>
      </c>
      <c r="F9459" s="196">
        <v>0</v>
      </c>
      <c r="G9459" s="196">
        <v>-963000</v>
      </c>
    </row>
    <row r="9460" spans="1:7" x14ac:dyDescent="0.3">
      <c r="A9460" s="198">
        <v>1036966280</v>
      </c>
      <c r="B9460" s="192" t="s">
        <v>952</v>
      </c>
      <c r="C9460" s="196">
        <v>0</v>
      </c>
      <c r="D9460" s="196">
        <v>0</v>
      </c>
      <c r="E9460" s="196">
        <v>963000</v>
      </c>
      <c r="F9460" s="196">
        <v>-963000</v>
      </c>
      <c r="G9460" s="196">
        <v>-963000</v>
      </c>
    </row>
    <row r="9461" spans="1:7" x14ac:dyDescent="0.3">
      <c r="A9461" s="198">
        <v>1036403312</v>
      </c>
      <c r="B9461" s="192" t="s">
        <v>953</v>
      </c>
      <c r="C9461" s="196">
        <v>0</v>
      </c>
      <c r="D9461" s="196">
        <v>0</v>
      </c>
      <c r="E9461" s="196">
        <v>963000</v>
      </c>
      <c r="F9461" s="196">
        <v>-963000</v>
      </c>
      <c r="G9461" s="196">
        <v>-963000</v>
      </c>
    </row>
    <row r="9462" spans="1:7" x14ac:dyDescent="0.3">
      <c r="A9462" s="198">
        <v>1020764995</v>
      </c>
      <c r="B9462" s="192" t="s">
        <v>4493</v>
      </c>
      <c r="C9462" s="196">
        <v>-6900000</v>
      </c>
      <c r="D9462" s="196">
        <v>0</v>
      </c>
      <c r="E9462" s="196">
        <v>0</v>
      </c>
      <c r="F9462" s="196">
        <v>0</v>
      </c>
      <c r="G9462" s="196">
        <v>-6900000</v>
      </c>
    </row>
    <row r="9463" spans="1:7" x14ac:dyDescent="0.3">
      <c r="A9463" s="198">
        <v>1040180863</v>
      </c>
      <c r="B9463" s="192" t="s">
        <v>6775</v>
      </c>
      <c r="C9463" s="196">
        <v>-1683000</v>
      </c>
      <c r="D9463" s="196">
        <v>0</v>
      </c>
      <c r="E9463" s="196">
        <v>0</v>
      </c>
      <c r="F9463" s="196">
        <v>0</v>
      </c>
      <c r="G9463" s="196">
        <v>-1683000</v>
      </c>
    </row>
    <row r="9464" spans="1:7" x14ac:dyDescent="0.3">
      <c r="A9464" s="198">
        <v>1105616614</v>
      </c>
      <c r="B9464" s="192" t="s">
        <v>6776</v>
      </c>
      <c r="C9464" s="196">
        <v>-963000</v>
      </c>
      <c r="D9464" s="196">
        <v>0</v>
      </c>
      <c r="E9464" s="196">
        <v>0</v>
      </c>
      <c r="F9464" s="196">
        <v>0</v>
      </c>
      <c r="G9464" s="196">
        <v>-963000</v>
      </c>
    </row>
    <row r="9465" spans="1:7" x14ac:dyDescent="0.3">
      <c r="A9465" s="198">
        <v>1214741626</v>
      </c>
      <c r="B9465" s="192" t="s">
        <v>6777</v>
      </c>
      <c r="C9465" s="196">
        <v>-963000</v>
      </c>
      <c r="D9465" s="196">
        <v>0</v>
      </c>
      <c r="E9465" s="196">
        <v>0</v>
      </c>
      <c r="F9465" s="196">
        <v>0</v>
      </c>
      <c r="G9465" s="196">
        <v>-963000</v>
      </c>
    </row>
    <row r="9466" spans="1:7" x14ac:dyDescent="0.3">
      <c r="A9466" s="198">
        <v>1037657018</v>
      </c>
      <c r="B9466" s="192" t="s">
        <v>6778</v>
      </c>
      <c r="C9466" s="196">
        <v>-860000</v>
      </c>
      <c r="D9466" s="196">
        <v>0</v>
      </c>
      <c r="E9466" s="196">
        <v>0</v>
      </c>
      <c r="F9466" s="196">
        <v>0</v>
      </c>
      <c r="G9466" s="196">
        <v>-860000</v>
      </c>
    </row>
    <row r="9467" spans="1:7" x14ac:dyDescent="0.3">
      <c r="A9467" s="198">
        <v>1152224751</v>
      </c>
      <c r="B9467" s="192" t="s">
        <v>6779</v>
      </c>
      <c r="C9467" s="196">
        <v>-963000</v>
      </c>
      <c r="D9467" s="196">
        <v>0</v>
      </c>
      <c r="E9467" s="196">
        <v>0</v>
      </c>
      <c r="F9467" s="196">
        <v>0</v>
      </c>
      <c r="G9467" s="196">
        <v>-963000</v>
      </c>
    </row>
    <row r="9468" spans="1:7" x14ac:dyDescent="0.3">
      <c r="A9468" s="198">
        <v>1039462343</v>
      </c>
      <c r="B9468" s="192" t="s">
        <v>6780</v>
      </c>
      <c r="C9468" s="196">
        <v>-3900000</v>
      </c>
      <c r="D9468" s="196">
        <v>0</v>
      </c>
      <c r="E9468" s="196">
        <v>0</v>
      </c>
      <c r="F9468" s="196">
        <v>0</v>
      </c>
      <c r="G9468" s="196">
        <v>-3900000</v>
      </c>
    </row>
    <row r="9469" spans="1:7" x14ac:dyDescent="0.3">
      <c r="A9469" s="198">
        <v>1073514956</v>
      </c>
      <c r="B9469" s="192" t="s">
        <v>6781</v>
      </c>
      <c r="C9469" s="196">
        <v>-860000</v>
      </c>
      <c r="D9469" s="196">
        <v>0</v>
      </c>
      <c r="E9469" s="196">
        <v>0</v>
      </c>
      <c r="F9469" s="196">
        <v>0</v>
      </c>
      <c r="G9469" s="196">
        <v>-860000</v>
      </c>
    </row>
    <row r="9470" spans="1:7" x14ac:dyDescent="0.3">
      <c r="A9470" s="198">
        <v>1017142884</v>
      </c>
      <c r="B9470" s="192" t="s">
        <v>128</v>
      </c>
      <c r="C9470" s="196">
        <v>-963000</v>
      </c>
      <c r="D9470" s="196">
        <v>0</v>
      </c>
      <c r="E9470" s="196">
        <v>0</v>
      </c>
      <c r="F9470" s="196">
        <v>0</v>
      </c>
      <c r="G9470" s="196">
        <v>-963000</v>
      </c>
    </row>
    <row r="9471" spans="1:7" x14ac:dyDescent="0.3">
      <c r="A9471" s="198">
        <v>1152460915</v>
      </c>
      <c r="B9471" s="192" t="s">
        <v>6782</v>
      </c>
      <c r="C9471" s="196">
        <v>-963000</v>
      </c>
      <c r="D9471" s="196">
        <v>0</v>
      </c>
      <c r="E9471" s="196">
        <v>0</v>
      </c>
      <c r="F9471" s="196">
        <v>0</v>
      </c>
      <c r="G9471" s="196">
        <v>-963000</v>
      </c>
    </row>
    <row r="9472" spans="1:7" x14ac:dyDescent="0.3">
      <c r="A9472" s="198">
        <v>1020224314</v>
      </c>
      <c r="B9472" s="192" t="s">
        <v>6783</v>
      </c>
      <c r="C9472" s="196">
        <v>-963000</v>
      </c>
      <c r="D9472" s="196">
        <v>0</v>
      </c>
      <c r="E9472" s="196">
        <v>0</v>
      </c>
      <c r="F9472" s="196">
        <v>0</v>
      </c>
      <c r="G9472" s="196">
        <v>-963000</v>
      </c>
    </row>
    <row r="9473" spans="1:7" x14ac:dyDescent="0.3">
      <c r="A9473" s="198">
        <v>22087221</v>
      </c>
      <c r="B9473" s="192" t="s">
        <v>958</v>
      </c>
      <c r="C9473" s="196">
        <v>0</v>
      </c>
      <c r="D9473" s="196">
        <v>0</v>
      </c>
      <c r="E9473" s="196">
        <v>10897000</v>
      </c>
      <c r="F9473" s="196">
        <v>-10897000</v>
      </c>
      <c r="G9473" s="196">
        <v>-10897000</v>
      </c>
    </row>
    <row r="9474" spans="1:7" x14ac:dyDescent="0.3">
      <c r="A9474" s="198">
        <v>1000565710</v>
      </c>
      <c r="B9474" s="192" t="s">
        <v>4513</v>
      </c>
      <c r="C9474" s="196">
        <v>-3510000</v>
      </c>
      <c r="D9474" s="196">
        <v>0</v>
      </c>
      <c r="E9474" s="196">
        <v>0</v>
      </c>
      <c r="F9474" s="196">
        <v>0</v>
      </c>
      <c r="G9474" s="196">
        <v>-3510000</v>
      </c>
    </row>
    <row r="9475" spans="1:7" x14ac:dyDescent="0.3">
      <c r="A9475" s="198">
        <v>1033486607</v>
      </c>
      <c r="B9475" s="192" t="s">
        <v>6784</v>
      </c>
      <c r="C9475" s="196">
        <v>-963000</v>
      </c>
      <c r="D9475" s="196">
        <v>0</v>
      </c>
      <c r="E9475" s="196">
        <v>0</v>
      </c>
      <c r="F9475" s="196">
        <v>0</v>
      </c>
      <c r="G9475" s="196">
        <v>-963000</v>
      </c>
    </row>
    <row r="9476" spans="1:7" x14ac:dyDescent="0.3">
      <c r="A9476" s="198">
        <v>1000085038</v>
      </c>
      <c r="B9476" s="192" t="s">
        <v>6785</v>
      </c>
      <c r="C9476" s="196">
        <v>-860000</v>
      </c>
      <c r="D9476" s="196">
        <v>0</v>
      </c>
      <c r="E9476" s="196">
        <v>0</v>
      </c>
      <c r="F9476" s="196">
        <v>0</v>
      </c>
      <c r="G9476" s="196">
        <v>-860000</v>
      </c>
    </row>
    <row r="9477" spans="1:7" x14ac:dyDescent="0.3">
      <c r="A9477" s="198">
        <v>1017247768</v>
      </c>
      <c r="B9477" s="192" t="s">
        <v>4517</v>
      </c>
      <c r="C9477" s="196">
        <v>-3510000</v>
      </c>
      <c r="D9477" s="196">
        <v>0</v>
      </c>
      <c r="E9477" s="196">
        <v>0</v>
      </c>
      <c r="F9477" s="196">
        <v>0</v>
      </c>
      <c r="G9477" s="196">
        <v>-3510000</v>
      </c>
    </row>
    <row r="9478" spans="1:7" x14ac:dyDescent="0.3">
      <c r="A9478" s="198">
        <v>663858172</v>
      </c>
      <c r="B9478" s="192" t="s">
        <v>4526</v>
      </c>
      <c r="C9478" s="196">
        <v>-2502000</v>
      </c>
      <c r="D9478" s="196">
        <v>0</v>
      </c>
      <c r="E9478" s="196">
        <v>0</v>
      </c>
      <c r="F9478" s="196">
        <v>0</v>
      </c>
      <c r="G9478" s="196">
        <v>-2502000</v>
      </c>
    </row>
    <row r="9479" spans="1:7" x14ac:dyDescent="0.3">
      <c r="A9479" s="198">
        <v>32340295</v>
      </c>
      <c r="B9479" s="192" t="s">
        <v>6786</v>
      </c>
      <c r="C9479" s="196">
        <v>-963000</v>
      </c>
      <c r="D9479" s="196">
        <v>0</v>
      </c>
      <c r="E9479" s="196">
        <v>0</v>
      </c>
      <c r="F9479" s="196">
        <v>0</v>
      </c>
      <c r="G9479" s="196">
        <v>-963000</v>
      </c>
    </row>
    <row r="9480" spans="1:7" x14ac:dyDescent="0.3">
      <c r="A9480" s="198">
        <v>1040739462</v>
      </c>
      <c r="B9480" s="192" t="s">
        <v>6787</v>
      </c>
      <c r="C9480" s="196">
        <v>-963000</v>
      </c>
      <c r="D9480" s="196">
        <v>0</v>
      </c>
      <c r="E9480" s="196">
        <v>0</v>
      </c>
      <c r="F9480" s="196">
        <v>0</v>
      </c>
      <c r="G9480" s="196">
        <v>-963000</v>
      </c>
    </row>
    <row r="9481" spans="1:7" x14ac:dyDescent="0.3">
      <c r="A9481" s="198">
        <v>1041233626</v>
      </c>
      <c r="B9481" s="192" t="s">
        <v>6788</v>
      </c>
      <c r="C9481" s="196">
        <v>-963000</v>
      </c>
      <c r="D9481" s="196">
        <v>0</v>
      </c>
      <c r="E9481" s="196">
        <v>0</v>
      </c>
      <c r="F9481" s="196">
        <v>0</v>
      </c>
      <c r="G9481" s="196">
        <v>-963000</v>
      </c>
    </row>
    <row r="9482" spans="1:7" x14ac:dyDescent="0.3">
      <c r="A9482" s="198">
        <v>1037448423</v>
      </c>
      <c r="B9482" s="192" t="s">
        <v>4537</v>
      </c>
      <c r="C9482" s="196">
        <v>-3425000</v>
      </c>
      <c r="D9482" s="196">
        <v>0</v>
      </c>
      <c r="E9482" s="196">
        <v>0</v>
      </c>
      <c r="F9482" s="196">
        <v>0</v>
      </c>
      <c r="G9482" s="196">
        <v>-3425000</v>
      </c>
    </row>
    <row r="9483" spans="1:7" x14ac:dyDescent="0.3">
      <c r="A9483" s="198">
        <v>1077451212</v>
      </c>
      <c r="B9483" s="192" t="s">
        <v>963</v>
      </c>
      <c r="C9483" s="196">
        <v>0</v>
      </c>
      <c r="D9483" s="196">
        <v>0</v>
      </c>
      <c r="E9483" s="196">
        <v>963000</v>
      </c>
      <c r="F9483" s="196">
        <v>-963000</v>
      </c>
      <c r="G9483" s="196">
        <v>-963000</v>
      </c>
    </row>
    <row r="9484" spans="1:7" x14ac:dyDescent="0.3">
      <c r="A9484" s="198">
        <v>43927237</v>
      </c>
      <c r="B9484" s="192" t="s">
        <v>964</v>
      </c>
      <c r="C9484" s="196">
        <v>0</v>
      </c>
      <c r="D9484" s="196">
        <v>0</v>
      </c>
      <c r="E9484" s="196">
        <v>963000</v>
      </c>
      <c r="F9484" s="196">
        <v>-963000</v>
      </c>
      <c r="G9484" s="196">
        <v>-963000</v>
      </c>
    </row>
    <row r="9485" spans="1:7" x14ac:dyDescent="0.3">
      <c r="A9485" s="198">
        <v>1044505380</v>
      </c>
      <c r="B9485" s="192" t="s">
        <v>6789</v>
      </c>
      <c r="C9485" s="196">
        <v>-2370600</v>
      </c>
      <c r="D9485" s="196">
        <v>0</v>
      </c>
      <c r="E9485" s="196">
        <v>0</v>
      </c>
      <c r="F9485" s="196">
        <v>0</v>
      </c>
      <c r="G9485" s="196">
        <v>-2370600</v>
      </c>
    </row>
    <row r="9486" spans="1:7" x14ac:dyDescent="0.3">
      <c r="A9486" s="198">
        <v>43211145</v>
      </c>
      <c r="B9486" s="192" t="s">
        <v>6790</v>
      </c>
      <c r="C9486" s="196">
        <v>-963000</v>
      </c>
      <c r="D9486" s="196">
        <v>0</v>
      </c>
      <c r="E9486" s="196">
        <v>0</v>
      </c>
      <c r="F9486" s="196">
        <v>0</v>
      </c>
      <c r="G9486" s="196">
        <v>-963000</v>
      </c>
    </row>
    <row r="9487" spans="1:7" x14ac:dyDescent="0.3">
      <c r="A9487" s="198">
        <v>1152456259</v>
      </c>
      <c r="B9487" s="192" t="s">
        <v>966</v>
      </c>
      <c r="C9487" s="196">
        <v>0</v>
      </c>
      <c r="D9487" s="196">
        <v>0</v>
      </c>
      <c r="E9487" s="196">
        <v>3770000</v>
      </c>
      <c r="F9487" s="196">
        <v>-3770000</v>
      </c>
      <c r="G9487" s="196">
        <v>-3770000</v>
      </c>
    </row>
    <row r="9488" spans="1:7" x14ac:dyDescent="0.3">
      <c r="A9488" s="198">
        <v>1033343006</v>
      </c>
      <c r="B9488" s="192" t="s">
        <v>967</v>
      </c>
      <c r="C9488" s="196">
        <v>0</v>
      </c>
      <c r="D9488" s="196">
        <v>0</v>
      </c>
      <c r="E9488" s="196">
        <v>963000</v>
      </c>
      <c r="F9488" s="196">
        <v>-963000</v>
      </c>
      <c r="G9488" s="196">
        <v>-963000</v>
      </c>
    </row>
    <row r="9489" spans="1:7" x14ac:dyDescent="0.3">
      <c r="A9489" s="198">
        <v>1045016406</v>
      </c>
      <c r="B9489" s="192" t="s">
        <v>969</v>
      </c>
      <c r="C9489" s="196">
        <v>0</v>
      </c>
      <c r="D9489" s="196">
        <v>0</v>
      </c>
      <c r="E9489" s="196">
        <v>6184000</v>
      </c>
      <c r="F9489" s="196">
        <v>-6184000</v>
      </c>
      <c r="G9489" s="196">
        <v>-6184000</v>
      </c>
    </row>
    <row r="9490" spans="1:7" x14ac:dyDescent="0.3">
      <c r="A9490" s="198">
        <v>1057757636</v>
      </c>
      <c r="B9490" s="192" t="s">
        <v>6791</v>
      </c>
      <c r="C9490" s="196">
        <v>-963000</v>
      </c>
      <c r="D9490" s="196">
        <v>0</v>
      </c>
      <c r="E9490" s="196">
        <v>0</v>
      </c>
      <c r="F9490" s="196">
        <v>0</v>
      </c>
      <c r="G9490" s="196">
        <v>-963000</v>
      </c>
    </row>
    <row r="9491" spans="1:7" x14ac:dyDescent="0.3">
      <c r="A9491" s="198">
        <v>32107895</v>
      </c>
      <c r="B9491" s="192" t="s">
        <v>4547</v>
      </c>
      <c r="C9491" s="196">
        <v>-7664000</v>
      </c>
      <c r="D9491" s="196">
        <v>0</v>
      </c>
      <c r="E9491" s="196">
        <v>0</v>
      </c>
      <c r="F9491" s="196">
        <v>0</v>
      </c>
      <c r="G9491" s="196">
        <v>-7664000</v>
      </c>
    </row>
    <row r="9492" spans="1:7" x14ac:dyDescent="0.3">
      <c r="A9492" s="198">
        <v>1128445015</v>
      </c>
      <c r="B9492" s="192" t="s">
        <v>970</v>
      </c>
      <c r="C9492" s="196">
        <v>-3722400</v>
      </c>
      <c r="D9492" s="196">
        <v>0</v>
      </c>
      <c r="E9492" s="196">
        <v>0</v>
      </c>
      <c r="F9492" s="196">
        <v>0</v>
      </c>
      <c r="G9492" s="196">
        <v>-3722400</v>
      </c>
    </row>
    <row r="9493" spans="1:7" x14ac:dyDescent="0.3">
      <c r="A9493" s="198">
        <v>1037625338</v>
      </c>
      <c r="B9493" s="192" t="s">
        <v>6792</v>
      </c>
      <c r="C9493" s="196">
        <v>-963000</v>
      </c>
      <c r="D9493" s="196">
        <v>0</v>
      </c>
      <c r="E9493" s="196">
        <v>0</v>
      </c>
      <c r="F9493" s="196">
        <v>0</v>
      </c>
      <c r="G9493" s="196">
        <v>-963000</v>
      </c>
    </row>
    <row r="9494" spans="1:7" x14ac:dyDescent="0.3">
      <c r="A9494" s="198">
        <v>1002755173</v>
      </c>
      <c r="B9494" s="192" t="s">
        <v>971</v>
      </c>
      <c r="C9494" s="196">
        <v>-963000</v>
      </c>
      <c r="D9494" s="196">
        <v>0</v>
      </c>
      <c r="E9494" s="196">
        <v>0</v>
      </c>
      <c r="F9494" s="196">
        <v>0</v>
      </c>
      <c r="G9494" s="196">
        <v>-963000</v>
      </c>
    </row>
    <row r="9495" spans="1:7" x14ac:dyDescent="0.3">
      <c r="A9495" s="192" t="s">
        <v>4554</v>
      </c>
      <c r="B9495" s="192" t="s">
        <v>4555</v>
      </c>
      <c r="C9495" s="196">
        <v>-4517000</v>
      </c>
      <c r="D9495" s="196">
        <v>0</v>
      </c>
      <c r="E9495" s="196">
        <v>0</v>
      </c>
      <c r="F9495" s="196">
        <v>0</v>
      </c>
      <c r="G9495" s="196">
        <v>-4517000</v>
      </c>
    </row>
    <row r="9496" spans="1:7" x14ac:dyDescent="0.3">
      <c r="A9496" s="198">
        <v>98539426</v>
      </c>
      <c r="B9496" s="192" t="s">
        <v>6793</v>
      </c>
      <c r="C9496" s="196">
        <v>-57200</v>
      </c>
      <c r="D9496" s="196">
        <v>0</v>
      </c>
      <c r="E9496" s="196">
        <v>0</v>
      </c>
      <c r="F9496" s="196">
        <v>0</v>
      </c>
      <c r="G9496" s="196">
        <v>-57200</v>
      </c>
    </row>
    <row r="9497" spans="1:7" x14ac:dyDescent="0.3">
      <c r="A9497" s="198">
        <v>1020436720</v>
      </c>
      <c r="B9497" s="192" t="s">
        <v>6794</v>
      </c>
      <c r="C9497" s="196">
        <v>-4133000</v>
      </c>
      <c r="D9497" s="196">
        <v>0</v>
      </c>
      <c r="E9497" s="196">
        <v>0</v>
      </c>
      <c r="F9497" s="196">
        <v>0</v>
      </c>
      <c r="G9497" s="196">
        <v>-4133000</v>
      </c>
    </row>
    <row r="9498" spans="1:7" x14ac:dyDescent="0.3">
      <c r="A9498" s="198">
        <v>1214725881</v>
      </c>
      <c r="B9498" s="192" t="s">
        <v>6795</v>
      </c>
      <c r="C9498" s="196">
        <v>-963000</v>
      </c>
      <c r="D9498" s="196">
        <v>0</v>
      </c>
      <c r="E9498" s="196">
        <v>0</v>
      </c>
      <c r="F9498" s="196">
        <v>0</v>
      </c>
      <c r="G9498" s="196">
        <v>-963000</v>
      </c>
    </row>
    <row r="9499" spans="1:7" x14ac:dyDescent="0.3">
      <c r="A9499" s="198">
        <v>1010155067</v>
      </c>
      <c r="B9499" s="192" t="s">
        <v>6796</v>
      </c>
      <c r="C9499" s="196">
        <v>-963000</v>
      </c>
      <c r="D9499" s="196">
        <v>0</v>
      </c>
      <c r="E9499" s="196">
        <v>0</v>
      </c>
      <c r="F9499" s="196">
        <v>0</v>
      </c>
      <c r="G9499" s="196">
        <v>-963000</v>
      </c>
    </row>
    <row r="9500" spans="1:7" x14ac:dyDescent="0.3">
      <c r="A9500" s="198">
        <v>1152219240</v>
      </c>
      <c r="B9500" s="192" t="s">
        <v>6797</v>
      </c>
      <c r="C9500" s="196">
        <v>-963000</v>
      </c>
      <c r="D9500" s="196">
        <v>0</v>
      </c>
      <c r="E9500" s="196">
        <v>0</v>
      </c>
      <c r="F9500" s="196">
        <v>0</v>
      </c>
      <c r="G9500" s="196">
        <v>-963000</v>
      </c>
    </row>
    <row r="9501" spans="1:7" x14ac:dyDescent="0.3">
      <c r="A9501" s="198">
        <v>1020395957</v>
      </c>
      <c r="B9501" s="192" t="s">
        <v>975</v>
      </c>
      <c r="C9501" s="196">
        <v>0</v>
      </c>
      <c r="D9501" s="196">
        <v>0</v>
      </c>
      <c r="E9501" s="196">
        <v>2710000</v>
      </c>
      <c r="F9501" s="196">
        <v>-2710000</v>
      </c>
      <c r="G9501" s="196">
        <v>-2710000</v>
      </c>
    </row>
    <row r="9502" spans="1:7" x14ac:dyDescent="0.3">
      <c r="A9502" s="198">
        <v>1020471468</v>
      </c>
      <c r="B9502" s="192" t="s">
        <v>6798</v>
      </c>
      <c r="C9502" s="196">
        <v>-860000</v>
      </c>
      <c r="D9502" s="196">
        <v>0</v>
      </c>
      <c r="E9502" s="196">
        <v>0</v>
      </c>
      <c r="F9502" s="196">
        <v>0</v>
      </c>
      <c r="G9502" s="196">
        <v>-860000</v>
      </c>
    </row>
    <row r="9503" spans="1:7" x14ac:dyDescent="0.3">
      <c r="A9503" s="198">
        <v>1220477632</v>
      </c>
      <c r="B9503" s="192" t="s">
        <v>977</v>
      </c>
      <c r="C9503" s="196">
        <v>-4510000</v>
      </c>
      <c r="D9503" s="196">
        <v>0</v>
      </c>
      <c r="E9503" s="196">
        <v>0</v>
      </c>
      <c r="F9503" s="196">
        <v>0</v>
      </c>
      <c r="G9503" s="196">
        <v>-4510000</v>
      </c>
    </row>
    <row r="9504" spans="1:7" x14ac:dyDescent="0.3">
      <c r="A9504" s="198">
        <v>32417972</v>
      </c>
      <c r="B9504" s="192" t="s">
        <v>6799</v>
      </c>
      <c r="C9504" s="196">
        <v>-1700000</v>
      </c>
      <c r="D9504" s="196">
        <v>0</v>
      </c>
      <c r="E9504" s="196">
        <v>0</v>
      </c>
      <c r="F9504" s="196">
        <v>0</v>
      </c>
      <c r="G9504" s="196">
        <v>-1700000</v>
      </c>
    </row>
    <row r="9505" spans="1:7" x14ac:dyDescent="0.3">
      <c r="A9505" s="198">
        <v>43712747</v>
      </c>
      <c r="B9505" s="192" t="s">
        <v>4577</v>
      </c>
      <c r="C9505" s="196">
        <v>-9533800</v>
      </c>
      <c r="D9505" s="196">
        <v>0</v>
      </c>
      <c r="E9505" s="196">
        <v>0</v>
      </c>
      <c r="F9505" s="196">
        <v>0</v>
      </c>
      <c r="G9505" s="196">
        <v>-9533800</v>
      </c>
    </row>
    <row r="9506" spans="1:7" x14ac:dyDescent="0.3">
      <c r="A9506" s="198">
        <v>32220167</v>
      </c>
      <c r="B9506" s="192" t="s">
        <v>6800</v>
      </c>
      <c r="C9506" s="196">
        <v>-3338000</v>
      </c>
      <c r="D9506" s="196">
        <v>0</v>
      </c>
      <c r="E9506" s="196">
        <v>0</v>
      </c>
      <c r="F9506" s="196">
        <v>0</v>
      </c>
      <c r="G9506" s="196">
        <v>-3338000</v>
      </c>
    </row>
    <row r="9507" spans="1:7" x14ac:dyDescent="0.3">
      <c r="A9507" s="198">
        <v>1017198605</v>
      </c>
      <c r="B9507" s="192" t="s">
        <v>6801</v>
      </c>
      <c r="C9507" s="196">
        <v>-963000</v>
      </c>
      <c r="D9507" s="196">
        <v>0</v>
      </c>
      <c r="E9507" s="196">
        <v>0</v>
      </c>
      <c r="F9507" s="196">
        <v>0</v>
      </c>
      <c r="G9507" s="196">
        <v>-963000</v>
      </c>
    </row>
    <row r="9508" spans="1:7" x14ac:dyDescent="0.3">
      <c r="A9508" s="198">
        <v>52508043</v>
      </c>
      <c r="B9508" s="192" t="s">
        <v>982</v>
      </c>
      <c r="C9508" s="196">
        <v>0</v>
      </c>
      <c r="D9508" s="196">
        <v>0</v>
      </c>
      <c r="E9508" s="196">
        <v>963000</v>
      </c>
      <c r="F9508" s="196">
        <v>-963000</v>
      </c>
      <c r="G9508" s="196">
        <v>-963000</v>
      </c>
    </row>
    <row r="9509" spans="1:7" x14ac:dyDescent="0.3">
      <c r="A9509" s="198">
        <v>24498634</v>
      </c>
      <c r="B9509" s="192" t="s">
        <v>6802</v>
      </c>
      <c r="C9509" s="196">
        <v>-2895000</v>
      </c>
      <c r="D9509" s="196">
        <v>0</v>
      </c>
      <c r="E9509" s="196">
        <v>0</v>
      </c>
      <c r="F9509" s="196">
        <v>0</v>
      </c>
      <c r="G9509" s="196">
        <v>-2895000</v>
      </c>
    </row>
    <row r="9510" spans="1:7" x14ac:dyDescent="0.3">
      <c r="A9510" s="198">
        <v>43628186</v>
      </c>
      <c r="B9510" s="192" t="s">
        <v>6803</v>
      </c>
      <c r="C9510" s="196">
        <v>-3338000</v>
      </c>
      <c r="D9510" s="196">
        <v>0</v>
      </c>
      <c r="E9510" s="196">
        <v>0</v>
      </c>
      <c r="F9510" s="196">
        <v>0</v>
      </c>
      <c r="G9510" s="196">
        <v>-3338000</v>
      </c>
    </row>
    <row r="9511" spans="1:7" x14ac:dyDescent="0.3">
      <c r="A9511" s="198">
        <v>43805781</v>
      </c>
      <c r="B9511" s="192" t="s">
        <v>6804</v>
      </c>
      <c r="C9511" s="196">
        <v>-3338000</v>
      </c>
      <c r="D9511" s="196">
        <v>0</v>
      </c>
      <c r="E9511" s="196">
        <v>0</v>
      </c>
      <c r="F9511" s="196">
        <v>0</v>
      </c>
      <c r="G9511" s="196">
        <v>-3338000</v>
      </c>
    </row>
    <row r="9512" spans="1:7" x14ac:dyDescent="0.3">
      <c r="A9512" s="198">
        <v>1001760505</v>
      </c>
      <c r="B9512" s="192" t="s">
        <v>6805</v>
      </c>
      <c r="C9512" s="196">
        <v>-3600000</v>
      </c>
      <c r="D9512" s="196">
        <v>0</v>
      </c>
      <c r="E9512" s="196">
        <v>0</v>
      </c>
      <c r="F9512" s="196">
        <v>0</v>
      </c>
      <c r="G9512" s="196">
        <v>-3600000</v>
      </c>
    </row>
    <row r="9513" spans="1:7" x14ac:dyDescent="0.3">
      <c r="A9513" s="198">
        <v>1020402594</v>
      </c>
      <c r="B9513" s="192" t="s">
        <v>4597</v>
      </c>
      <c r="C9513" s="196">
        <v>-2510000</v>
      </c>
      <c r="D9513" s="196">
        <v>0</v>
      </c>
      <c r="E9513" s="196">
        <v>0</v>
      </c>
      <c r="F9513" s="196">
        <v>0</v>
      </c>
      <c r="G9513" s="196">
        <v>-2510000</v>
      </c>
    </row>
    <row r="9514" spans="1:7" x14ac:dyDescent="0.3">
      <c r="A9514" s="198">
        <v>1065014602</v>
      </c>
      <c r="B9514" s="192" t="s">
        <v>6806</v>
      </c>
      <c r="C9514" s="196">
        <v>-963000</v>
      </c>
      <c r="D9514" s="196">
        <v>0</v>
      </c>
      <c r="E9514" s="196">
        <v>0</v>
      </c>
      <c r="F9514" s="196">
        <v>0</v>
      </c>
      <c r="G9514" s="196">
        <v>-963000</v>
      </c>
    </row>
    <row r="9515" spans="1:7" x14ac:dyDescent="0.3">
      <c r="A9515" s="198">
        <v>44004940</v>
      </c>
      <c r="B9515" s="192" t="s">
        <v>989</v>
      </c>
      <c r="C9515" s="196">
        <v>0</v>
      </c>
      <c r="D9515" s="196">
        <v>0</v>
      </c>
      <c r="E9515" s="196">
        <v>683000</v>
      </c>
      <c r="F9515" s="196">
        <v>-683000</v>
      </c>
      <c r="G9515" s="196">
        <v>-683000</v>
      </c>
    </row>
    <row r="9516" spans="1:7" x14ac:dyDescent="0.3">
      <c r="A9516" s="198">
        <v>1045020383</v>
      </c>
      <c r="B9516" s="192" t="s">
        <v>6807</v>
      </c>
      <c r="C9516" s="196">
        <v>-593000</v>
      </c>
      <c r="D9516" s="196">
        <v>0</v>
      </c>
      <c r="E9516" s="196">
        <v>0</v>
      </c>
      <c r="F9516" s="196">
        <v>0</v>
      </c>
      <c r="G9516" s="196">
        <v>-593000</v>
      </c>
    </row>
    <row r="9517" spans="1:7" x14ac:dyDescent="0.3">
      <c r="A9517" s="198">
        <v>1041329585</v>
      </c>
      <c r="B9517" s="192" t="s">
        <v>6808</v>
      </c>
      <c r="C9517" s="196">
        <v>-963000</v>
      </c>
      <c r="D9517" s="196">
        <v>0</v>
      </c>
      <c r="E9517" s="196">
        <v>0</v>
      </c>
      <c r="F9517" s="196">
        <v>0</v>
      </c>
      <c r="G9517" s="196">
        <v>-963000</v>
      </c>
    </row>
    <row r="9518" spans="1:7" x14ac:dyDescent="0.3">
      <c r="A9518" s="198">
        <v>1042768752</v>
      </c>
      <c r="B9518" s="192" t="s">
        <v>6809</v>
      </c>
      <c r="C9518" s="196">
        <v>-963000</v>
      </c>
      <c r="D9518" s="196">
        <v>0</v>
      </c>
      <c r="E9518" s="196">
        <v>0</v>
      </c>
      <c r="F9518" s="196">
        <v>0</v>
      </c>
      <c r="G9518" s="196">
        <v>-963000</v>
      </c>
    </row>
    <row r="9519" spans="1:7" x14ac:dyDescent="0.3">
      <c r="A9519" s="198">
        <v>1093769704</v>
      </c>
      <c r="B9519" s="192" t="s">
        <v>6810</v>
      </c>
      <c r="C9519" s="196">
        <v>-860000</v>
      </c>
      <c r="D9519" s="196">
        <v>0</v>
      </c>
      <c r="E9519" s="196">
        <v>0</v>
      </c>
      <c r="F9519" s="196">
        <v>0</v>
      </c>
      <c r="G9519" s="196">
        <v>-860000</v>
      </c>
    </row>
    <row r="9520" spans="1:7" x14ac:dyDescent="0.3">
      <c r="A9520" s="198">
        <v>43104050</v>
      </c>
      <c r="B9520" s="192" t="s">
        <v>6811</v>
      </c>
      <c r="C9520" s="196">
        <v>-963000</v>
      </c>
      <c r="D9520" s="196">
        <v>0</v>
      </c>
      <c r="E9520" s="196">
        <v>0</v>
      </c>
      <c r="F9520" s="196">
        <v>0</v>
      </c>
      <c r="G9520" s="196">
        <v>-963000</v>
      </c>
    </row>
    <row r="9521" spans="1:7" x14ac:dyDescent="0.3">
      <c r="A9521" s="198">
        <v>39327788</v>
      </c>
      <c r="B9521" s="192" t="s">
        <v>6812</v>
      </c>
      <c r="C9521" s="196">
        <v>-683000</v>
      </c>
      <c r="D9521" s="196">
        <v>0</v>
      </c>
      <c r="E9521" s="196">
        <v>0</v>
      </c>
      <c r="F9521" s="196">
        <v>0</v>
      </c>
      <c r="G9521" s="196">
        <v>-683000</v>
      </c>
    </row>
    <row r="9522" spans="1:7" x14ac:dyDescent="0.3">
      <c r="A9522" s="198">
        <v>43554279</v>
      </c>
      <c r="B9522" s="192" t="s">
        <v>6813</v>
      </c>
      <c r="C9522" s="196">
        <v>-2585000</v>
      </c>
      <c r="D9522" s="196">
        <v>0</v>
      </c>
      <c r="E9522" s="196">
        <v>0</v>
      </c>
      <c r="F9522" s="196">
        <v>0</v>
      </c>
      <c r="G9522" s="196">
        <v>-2585000</v>
      </c>
    </row>
    <row r="9523" spans="1:7" x14ac:dyDescent="0.3">
      <c r="A9523" s="198">
        <v>1035226853</v>
      </c>
      <c r="B9523" s="192" t="s">
        <v>6814</v>
      </c>
      <c r="C9523" s="196">
        <v>-963000</v>
      </c>
      <c r="D9523" s="196">
        <v>0</v>
      </c>
      <c r="E9523" s="196">
        <v>0</v>
      </c>
      <c r="F9523" s="196">
        <v>0</v>
      </c>
      <c r="G9523" s="196">
        <v>-963000</v>
      </c>
    </row>
    <row r="9524" spans="1:7" x14ac:dyDescent="0.3">
      <c r="A9524" s="198">
        <v>1045049480</v>
      </c>
      <c r="B9524" s="192" t="s">
        <v>4613</v>
      </c>
      <c r="C9524" s="196">
        <v>-3410000</v>
      </c>
      <c r="D9524" s="196">
        <v>0</v>
      </c>
      <c r="E9524" s="196">
        <v>0</v>
      </c>
      <c r="F9524" s="196">
        <v>0</v>
      </c>
      <c r="G9524" s="196">
        <v>-3410000</v>
      </c>
    </row>
    <row r="9525" spans="1:7" x14ac:dyDescent="0.3">
      <c r="A9525" s="198">
        <v>32445964</v>
      </c>
      <c r="B9525" s="192" t="s">
        <v>994</v>
      </c>
      <c r="C9525" s="196">
        <v>-57200</v>
      </c>
      <c r="D9525" s="196">
        <v>0</v>
      </c>
      <c r="E9525" s="196">
        <v>0</v>
      </c>
      <c r="F9525" s="196">
        <v>0</v>
      </c>
      <c r="G9525" s="196">
        <v>-57200</v>
      </c>
    </row>
    <row r="9526" spans="1:7" x14ac:dyDescent="0.3">
      <c r="A9526" s="198">
        <v>1037586860</v>
      </c>
      <c r="B9526" s="192" t="s">
        <v>6815</v>
      </c>
      <c r="C9526" s="196">
        <v>-963000</v>
      </c>
      <c r="D9526" s="196">
        <v>0</v>
      </c>
      <c r="E9526" s="196">
        <v>0</v>
      </c>
      <c r="F9526" s="196">
        <v>0</v>
      </c>
      <c r="G9526" s="196">
        <v>-963000</v>
      </c>
    </row>
    <row r="9527" spans="1:7" x14ac:dyDescent="0.3">
      <c r="A9527" s="198">
        <v>123162033</v>
      </c>
      <c r="B9527" s="192" t="s">
        <v>4617</v>
      </c>
      <c r="C9527" s="196">
        <v>-9702200</v>
      </c>
      <c r="D9527" s="196">
        <v>0</v>
      </c>
      <c r="E9527" s="196">
        <v>0</v>
      </c>
      <c r="F9527" s="196">
        <v>0</v>
      </c>
      <c r="G9527" s="196">
        <v>-9702200</v>
      </c>
    </row>
    <row r="9528" spans="1:7" x14ac:dyDescent="0.3">
      <c r="A9528" s="198">
        <v>52522300</v>
      </c>
      <c r="B9528" s="192" t="s">
        <v>4618</v>
      </c>
      <c r="C9528" s="196">
        <v>-396000</v>
      </c>
      <c r="D9528" s="196">
        <v>0</v>
      </c>
      <c r="E9528" s="196">
        <v>0</v>
      </c>
      <c r="F9528" s="196">
        <v>0</v>
      </c>
      <c r="G9528" s="196">
        <v>-396000</v>
      </c>
    </row>
    <row r="9529" spans="1:7" x14ac:dyDescent="0.3">
      <c r="A9529" s="198">
        <v>43896089</v>
      </c>
      <c r="B9529" s="192" t="s">
        <v>997</v>
      </c>
      <c r="C9529" s="196">
        <v>-1800000</v>
      </c>
      <c r="D9529" s="196">
        <v>0</v>
      </c>
      <c r="E9529" s="196">
        <v>0</v>
      </c>
      <c r="F9529" s="196">
        <v>0</v>
      </c>
      <c r="G9529" s="196">
        <v>-1800000</v>
      </c>
    </row>
    <row r="9530" spans="1:7" x14ac:dyDescent="0.3">
      <c r="A9530" s="198">
        <v>1102840885</v>
      </c>
      <c r="B9530" s="192" t="s">
        <v>6816</v>
      </c>
      <c r="C9530" s="196">
        <v>-963000</v>
      </c>
      <c r="D9530" s="196">
        <v>0</v>
      </c>
      <c r="E9530" s="196">
        <v>0</v>
      </c>
      <c r="F9530" s="196">
        <v>0</v>
      </c>
      <c r="G9530" s="196">
        <v>-963000</v>
      </c>
    </row>
    <row r="9531" spans="1:7" x14ac:dyDescent="0.3">
      <c r="A9531" s="198">
        <v>1010142851</v>
      </c>
      <c r="B9531" s="192" t="s">
        <v>6817</v>
      </c>
      <c r="C9531" s="196">
        <v>-963000</v>
      </c>
      <c r="D9531" s="196">
        <v>0</v>
      </c>
      <c r="E9531" s="196">
        <v>0</v>
      </c>
      <c r="F9531" s="196">
        <v>0</v>
      </c>
      <c r="G9531" s="196">
        <v>-963000</v>
      </c>
    </row>
    <row r="9532" spans="1:7" x14ac:dyDescent="0.3">
      <c r="A9532" s="198">
        <v>1035862006</v>
      </c>
      <c r="B9532" s="192" t="s">
        <v>998</v>
      </c>
      <c r="C9532" s="196">
        <v>0</v>
      </c>
      <c r="D9532" s="196">
        <v>0</v>
      </c>
      <c r="E9532" s="196">
        <v>963000</v>
      </c>
      <c r="F9532" s="196">
        <v>-963000</v>
      </c>
      <c r="G9532" s="196">
        <v>-963000</v>
      </c>
    </row>
    <row r="9533" spans="1:7" x14ac:dyDescent="0.3">
      <c r="A9533" s="198">
        <v>1035128173</v>
      </c>
      <c r="B9533" s="192" t="s">
        <v>6818</v>
      </c>
      <c r="C9533" s="196">
        <v>-963000</v>
      </c>
      <c r="D9533" s="196">
        <v>0</v>
      </c>
      <c r="E9533" s="196">
        <v>0</v>
      </c>
      <c r="F9533" s="196">
        <v>0</v>
      </c>
      <c r="G9533" s="196">
        <v>-963000</v>
      </c>
    </row>
    <row r="9534" spans="1:7" x14ac:dyDescent="0.3">
      <c r="A9534" s="198">
        <v>43281632</v>
      </c>
      <c r="B9534" s="192" t="s">
        <v>4622</v>
      </c>
      <c r="C9534" s="196">
        <v>-99600</v>
      </c>
      <c r="D9534" s="196">
        <v>0</v>
      </c>
      <c r="E9534" s="196">
        <v>0</v>
      </c>
      <c r="F9534" s="196">
        <v>0</v>
      </c>
      <c r="G9534" s="196">
        <v>-99600</v>
      </c>
    </row>
    <row r="9535" spans="1:7" x14ac:dyDescent="0.3">
      <c r="A9535" s="192" t="s">
        <v>4624</v>
      </c>
      <c r="B9535" s="192" t="s">
        <v>4625</v>
      </c>
      <c r="C9535" s="196">
        <v>-2100000</v>
      </c>
      <c r="D9535" s="196">
        <v>0</v>
      </c>
      <c r="E9535" s="196">
        <v>0</v>
      </c>
      <c r="F9535" s="196">
        <v>0</v>
      </c>
      <c r="G9535" s="196">
        <v>-2100000</v>
      </c>
    </row>
    <row r="9536" spans="1:7" x14ac:dyDescent="0.3">
      <c r="A9536" s="198">
        <v>1128464807</v>
      </c>
      <c r="B9536" s="192" t="s">
        <v>6819</v>
      </c>
      <c r="C9536" s="196">
        <v>-963000</v>
      </c>
      <c r="D9536" s="196">
        <v>0</v>
      </c>
      <c r="E9536" s="196">
        <v>0</v>
      </c>
      <c r="F9536" s="196">
        <v>0</v>
      </c>
      <c r="G9536" s="196">
        <v>-963000</v>
      </c>
    </row>
    <row r="9537" spans="1:7" x14ac:dyDescent="0.3">
      <c r="A9537" s="198">
        <v>43081517</v>
      </c>
      <c r="B9537" s="192" t="s">
        <v>6820</v>
      </c>
      <c r="C9537" s="196">
        <v>-683000</v>
      </c>
      <c r="D9537" s="196">
        <v>0</v>
      </c>
      <c r="E9537" s="196">
        <v>0</v>
      </c>
      <c r="F9537" s="196">
        <v>0</v>
      </c>
      <c r="G9537" s="196">
        <v>-683000</v>
      </c>
    </row>
    <row r="9538" spans="1:7" x14ac:dyDescent="0.3">
      <c r="A9538" s="198">
        <v>26047226</v>
      </c>
      <c r="B9538" s="192" t="s">
        <v>6821</v>
      </c>
      <c r="C9538" s="196">
        <v>-5960000</v>
      </c>
      <c r="D9538" s="196">
        <v>0</v>
      </c>
      <c r="E9538" s="196">
        <v>0</v>
      </c>
      <c r="F9538" s="196">
        <v>0</v>
      </c>
      <c r="G9538" s="196">
        <v>-5960000</v>
      </c>
    </row>
    <row r="9539" spans="1:7" x14ac:dyDescent="0.3">
      <c r="A9539" s="198">
        <v>34544897</v>
      </c>
      <c r="B9539" s="192" t="s">
        <v>1017</v>
      </c>
      <c r="C9539" s="196">
        <v>0</v>
      </c>
      <c r="D9539" s="196">
        <v>0</v>
      </c>
      <c r="E9539" s="196">
        <v>2000000</v>
      </c>
      <c r="F9539" s="196">
        <v>-2000000</v>
      </c>
      <c r="G9539" s="196">
        <v>-2000000</v>
      </c>
    </row>
    <row r="9540" spans="1:7" x14ac:dyDescent="0.3">
      <c r="A9540" s="198">
        <v>3595906</v>
      </c>
      <c r="B9540" s="192" t="s">
        <v>6822</v>
      </c>
      <c r="C9540" s="196">
        <v>-3338000</v>
      </c>
      <c r="D9540" s="196">
        <v>0</v>
      </c>
      <c r="E9540" s="196">
        <v>0</v>
      </c>
      <c r="F9540" s="196">
        <v>0</v>
      </c>
      <c r="G9540" s="196">
        <v>-3338000</v>
      </c>
    </row>
    <row r="9541" spans="1:7" x14ac:dyDescent="0.3">
      <c r="A9541" s="198">
        <v>13104846</v>
      </c>
      <c r="B9541" s="192" t="s">
        <v>1019</v>
      </c>
      <c r="C9541" s="196">
        <v>0</v>
      </c>
      <c r="D9541" s="196">
        <v>0</v>
      </c>
      <c r="E9541" s="196">
        <v>795000</v>
      </c>
      <c r="F9541" s="196">
        <v>-795000</v>
      </c>
      <c r="G9541" s="196">
        <v>-795000</v>
      </c>
    </row>
    <row r="9542" spans="1:7" x14ac:dyDescent="0.3">
      <c r="A9542" s="198">
        <v>71605520</v>
      </c>
      <c r="B9542" s="192" t="s">
        <v>4703</v>
      </c>
      <c r="C9542" s="196">
        <v>-13722200</v>
      </c>
      <c r="D9542" s="196">
        <v>0</v>
      </c>
      <c r="E9542" s="196">
        <v>0</v>
      </c>
      <c r="F9542" s="196">
        <v>0</v>
      </c>
      <c r="G9542" s="196">
        <v>-13722200</v>
      </c>
    </row>
    <row r="9543" spans="1:7" x14ac:dyDescent="0.3">
      <c r="A9543" s="198">
        <v>71022628</v>
      </c>
      <c r="B9543" s="192" t="s">
        <v>6823</v>
      </c>
      <c r="C9543" s="196">
        <v>-2980000</v>
      </c>
      <c r="D9543" s="196">
        <v>0</v>
      </c>
      <c r="E9543" s="196">
        <v>0</v>
      </c>
      <c r="F9543" s="196">
        <v>0</v>
      </c>
      <c r="G9543" s="196">
        <v>-2980000</v>
      </c>
    </row>
    <row r="9544" spans="1:7" x14ac:dyDescent="0.3">
      <c r="A9544" s="198">
        <v>1036684681</v>
      </c>
      <c r="B9544" s="192" t="s">
        <v>6824</v>
      </c>
      <c r="C9544" s="196">
        <v>-860000</v>
      </c>
      <c r="D9544" s="196">
        <v>0</v>
      </c>
      <c r="E9544" s="196">
        <v>0</v>
      </c>
      <c r="F9544" s="196">
        <v>0</v>
      </c>
      <c r="G9544" s="196">
        <v>-860000</v>
      </c>
    </row>
    <row r="9545" spans="1:7" x14ac:dyDescent="0.3">
      <c r="A9545" s="198">
        <v>1040870902</v>
      </c>
      <c r="B9545" s="192" t="s">
        <v>4712</v>
      </c>
      <c r="C9545" s="196">
        <v>-3510000</v>
      </c>
      <c r="D9545" s="196">
        <v>0</v>
      </c>
      <c r="E9545" s="196">
        <v>0</v>
      </c>
      <c r="F9545" s="196">
        <v>0</v>
      </c>
      <c r="G9545" s="196">
        <v>-3510000</v>
      </c>
    </row>
    <row r="9546" spans="1:7" x14ac:dyDescent="0.3">
      <c r="A9546" s="198">
        <v>98551899</v>
      </c>
      <c r="B9546" s="192" t="s">
        <v>4716</v>
      </c>
      <c r="C9546" s="196">
        <v>-5870000</v>
      </c>
      <c r="D9546" s="196">
        <v>0</v>
      </c>
      <c r="E9546" s="196">
        <v>0</v>
      </c>
      <c r="F9546" s="196">
        <v>0</v>
      </c>
      <c r="G9546" s="196">
        <v>-5870000</v>
      </c>
    </row>
    <row r="9547" spans="1:7" x14ac:dyDescent="0.3">
      <c r="A9547" s="198">
        <v>73008411</v>
      </c>
      <c r="B9547" s="192" t="s">
        <v>4717</v>
      </c>
      <c r="C9547" s="196">
        <v>-3125000</v>
      </c>
      <c r="D9547" s="196">
        <v>0</v>
      </c>
      <c r="E9547" s="196">
        <v>0</v>
      </c>
      <c r="F9547" s="196">
        <v>0</v>
      </c>
      <c r="G9547" s="196">
        <v>-3125000</v>
      </c>
    </row>
    <row r="9548" spans="1:7" x14ac:dyDescent="0.3">
      <c r="A9548" s="198">
        <v>98556045</v>
      </c>
      <c r="B9548" s="192" t="s">
        <v>6825</v>
      </c>
      <c r="C9548" s="196">
        <v>-4133000</v>
      </c>
      <c r="D9548" s="196">
        <v>0</v>
      </c>
      <c r="E9548" s="196">
        <v>0</v>
      </c>
      <c r="F9548" s="196">
        <v>0</v>
      </c>
      <c r="G9548" s="196">
        <v>-4133000</v>
      </c>
    </row>
    <row r="9549" spans="1:7" x14ac:dyDescent="0.3">
      <c r="A9549" s="198">
        <v>1037828242</v>
      </c>
      <c r="B9549" s="192" t="s">
        <v>1025</v>
      </c>
      <c r="C9549" s="196">
        <v>-963000</v>
      </c>
      <c r="D9549" s="196">
        <v>0</v>
      </c>
      <c r="E9549" s="196">
        <v>0</v>
      </c>
      <c r="F9549" s="196">
        <v>0</v>
      </c>
      <c r="G9549" s="196">
        <v>-963000</v>
      </c>
    </row>
    <row r="9550" spans="1:7" x14ac:dyDescent="0.3">
      <c r="A9550" s="198">
        <v>2730022</v>
      </c>
      <c r="B9550" s="192" t="s">
        <v>4720</v>
      </c>
      <c r="C9550" s="196">
        <v>-11647000</v>
      </c>
      <c r="D9550" s="196">
        <v>0</v>
      </c>
      <c r="E9550" s="196">
        <v>0</v>
      </c>
      <c r="F9550" s="196">
        <v>0</v>
      </c>
      <c r="G9550" s="196">
        <v>-11647000</v>
      </c>
    </row>
    <row r="9551" spans="1:7" x14ac:dyDescent="0.3">
      <c r="A9551" s="198">
        <v>71606202</v>
      </c>
      <c r="B9551" s="192" t="s">
        <v>6826</v>
      </c>
      <c r="C9551" s="196">
        <v>-4827500</v>
      </c>
      <c r="D9551" s="196">
        <v>0</v>
      </c>
      <c r="E9551" s="196">
        <v>0</v>
      </c>
      <c r="F9551" s="196">
        <v>0</v>
      </c>
      <c r="G9551" s="196">
        <v>-4827500</v>
      </c>
    </row>
    <row r="9552" spans="1:7" x14ac:dyDescent="0.3">
      <c r="A9552" s="198">
        <v>98546376</v>
      </c>
      <c r="B9552" s="192" t="s">
        <v>4724</v>
      </c>
      <c r="C9552" s="196">
        <v>-12301800</v>
      </c>
      <c r="D9552" s="196">
        <v>0</v>
      </c>
      <c r="E9552" s="196">
        <v>0</v>
      </c>
      <c r="F9552" s="196">
        <v>0</v>
      </c>
      <c r="G9552" s="196">
        <v>-12301800</v>
      </c>
    </row>
    <row r="9553" spans="1:7" x14ac:dyDescent="0.3">
      <c r="A9553" s="198">
        <v>71875229</v>
      </c>
      <c r="B9553" s="192" t="s">
        <v>6827</v>
      </c>
      <c r="C9553" s="196">
        <v>-3296800</v>
      </c>
      <c r="D9553" s="196">
        <v>0</v>
      </c>
      <c r="E9553" s="196">
        <v>0</v>
      </c>
      <c r="F9553" s="196">
        <v>0</v>
      </c>
      <c r="G9553" s="196">
        <v>-3296800</v>
      </c>
    </row>
    <row r="9554" spans="1:7" x14ac:dyDescent="0.3">
      <c r="A9554" s="198">
        <v>71747420</v>
      </c>
      <c r="B9554" s="192" t="s">
        <v>1027</v>
      </c>
      <c r="C9554" s="196">
        <v>-57200</v>
      </c>
      <c r="D9554" s="196">
        <v>0</v>
      </c>
      <c r="E9554" s="196">
        <v>0</v>
      </c>
      <c r="F9554" s="196">
        <v>0</v>
      </c>
      <c r="G9554" s="196">
        <v>-57200</v>
      </c>
    </row>
    <row r="9555" spans="1:7" x14ac:dyDescent="0.3">
      <c r="A9555" s="198">
        <v>79699534</v>
      </c>
      <c r="B9555" s="192" t="s">
        <v>4729</v>
      </c>
      <c r="C9555" s="196">
        <v>-8645000</v>
      </c>
      <c r="D9555" s="196">
        <v>0</v>
      </c>
      <c r="E9555" s="196">
        <v>0</v>
      </c>
      <c r="F9555" s="196">
        <v>0</v>
      </c>
      <c r="G9555" s="196">
        <v>-8645000</v>
      </c>
    </row>
    <row r="9556" spans="1:7" x14ac:dyDescent="0.3">
      <c r="A9556" s="198">
        <v>1115062935</v>
      </c>
      <c r="B9556" s="192" t="s">
        <v>4732</v>
      </c>
      <c r="C9556" s="196">
        <v>-3510000</v>
      </c>
      <c r="D9556" s="196">
        <v>0</v>
      </c>
      <c r="E9556" s="196">
        <v>0</v>
      </c>
      <c r="F9556" s="196">
        <v>0</v>
      </c>
      <c r="G9556" s="196">
        <v>-3510000</v>
      </c>
    </row>
    <row r="9557" spans="1:7" x14ac:dyDescent="0.3">
      <c r="A9557" s="198">
        <v>8278626</v>
      </c>
      <c r="B9557" s="192" t="s">
        <v>6828</v>
      </c>
      <c r="C9557" s="196">
        <v>-680000</v>
      </c>
      <c r="D9557" s="196">
        <v>0</v>
      </c>
      <c r="E9557" s="196">
        <v>0</v>
      </c>
      <c r="F9557" s="196">
        <v>0</v>
      </c>
      <c r="G9557" s="196">
        <v>-680000</v>
      </c>
    </row>
    <row r="9558" spans="1:7" x14ac:dyDescent="0.3">
      <c r="A9558" s="198">
        <v>900784595</v>
      </c>
      <c r="B9558" s="192" t="s">
        <v>1030</v>
      </c>
      <c r="C9558" s="196">
        <v>-4133000</v>
      </c>
      <c r="D9558" s="196">
        <v>0</v>
      </c>
      <c r="E9558" s="196">
        <v>0</v>
      </c>
      <c r="F9558" s="196">
        <v>0</v>
      </c>
      <c r="G9558" s="196">
        <v>-4133000</v>
      </c>
    </row>
    <row r="9559" spans="1:7" x14ac:dyDescent="0.3">
      <c r="A9559" s="198">
        <v>22668601</v>
      </c>
      <c r="B9559" s="192" t="s">
        <v>6829</v>
      </c>
      <c r="C9559" s="196">
        <v>-3722400</v>
      </c>
      <c r="D9559" s="196">
        <v>0</v>
      </c>
      <c r="E9559" s="196">
        <v>0</v>
      </c>
      <c r="F9559" s="196">
        <v>0</v>
      </c>
      <c r="G9559" s="196">
        <v>-3722400</v>
      </c>
    </row>
    <row r="9560" spans="1:7" x14ac:dyDescent="0.3">
      <c r="A9560" s="198">
        <v>1033651061</v>
      </c>
      <c r="B9560" s="192" t="s">
        <v>6830</v>
      </c>
      <c r="C9560" s="196">
        <v>-860000</v>
      </c>
      <c r="D9560" s="196">
        <v>0</v>
      </c>
      <c r="E9560" s="196">
        <v>0</v>
      </c>
      <c r="F9560" s="196">
        <v>0</v>
      </c>
      <c r="G9560" s="196">
        <v>-860000</v>
      </c>
    </row>
    <row r="9561" spans="1:7" x14ac:dyDescent="0.3">
      <c r="A9561" s="198">
        <v>1017224559</v>
      </c>
      <c r="B9561" s="192" t="s">
        <v>4750</v>
      </c>
      <c r="C9561" s="196">
        <v>-3010000</v>
      </c>
      <c r="D9561" s="196">
        <v>0</v>
      </c>
      <c r="E9561" s="196">
        <v>0</v>
      </c>
      <c r="F9561" s="196">
        <v>0</v>
      </c>
      <c r="G9561" s="196">
        <v>-3010000</v>
      </c>
    </row>
    <row r="9562" spans="1:7" x14ac:dyDescent="0.3">
      <c r="A9562" s="198">
        <v>1039701005</v>
      </c>
      <c r="B9562" s="192" t="s">
        <v>6831</v>
      </c>
      <c r="C9562" s="196">
        <v>-860000</v>
      </c>
      <c r="D9562" s="196">
        <v>0</v>
      </c>
      <c r="E9562" s="196">
        <v>0</v>
      </c>
      <c r="F9562" s="196">
        <v>0</v>
      </c>
      <c r="G9562" s="196">
        <v>-860000</v>
      </c>
    </row>
    <row r="9563" spans="1:7" x14ac:dyDescent="0.3">
      <c r="A9563" s="198">
        <v>1041325883</v>
      </c>
      <c r="B9563" s="192" t="s">
        <v>6832</v>
      </c>
      <c r="C9563" s="196">
        <v>-860000</v>
      </c>
      <c r="D9563" s="196">
        <v>0</v>
      </c>
      <c r="E9563" s="196">
        <v>0</v>
      </c>
      <c r="F9563" s="196">
        <v>0</v>
      </c>
      <c r="G9563" s="196">
        <v>-860000</v>
      </c>
    </row>
    <row r="9564" spans="1:7" x14ac:dyDescent="0.3">
      <c r="A9564" s="198">
        <v>1017259596</v>
      </c>
      <c r="B9564" s="192" t="s">
        <v>4753</v>
      </c>
      <c r="C9564" s="196">
        <v>-963000</v>
      </c>
      <c r="D9564" s="196">
        <v>0</v>
      </c>
      <c r="E9564" s="196">
        <v>0</v>
      </c>
      <c r="F9564" s="196">
        <v>0</v>
      </c>
      <c r="G9564" s="196">
        <v>-963000</v>
      </c>
    </row>
    <row r="9565" spans="1:7" x14ac:dyDescent="0.3">
      <c r="A9565" s="198">
        <v>1037524504</v>
      </c>
      <c r="B9565" s="192" t="s">
        <v>6833</v>
      </c>
      <c r="C9565" s="196">
        <v>-963000</v>
      </c>
      <c r="D9565" s="196">
        <v>0</v>
      </c>
      <c r="E9565" s="196">
        <v>0</v>
      </c>
      <c r="F9565" s="196">
        <v>0</v>
      </c>
      <c r="G9565" s="196">
        <v>-963000</v>
      </c>
    </row>
    <row r="9566" spans="1:7" x14ac:dyDescent="0.3">
      <c r="A9566" s="198">
        <v>1036337457</v>
      </c>
      <c r="B9566" s="192" t="s">
        <v>6834</v>
      </c>
      <c r="C9566" s="196">
        <v>-963000</v>
      </c>
      <c r="D9566" s="196">
        <v>0</v>
      </c>
      <c r="E9566" s="196">
        <v>0</v>
      </c>
      <c r="F9566" s="196">
        <v>0</v>
      </c>
      <c r="G9566" s="196">
        <v>-963000</v>
      </c>
    </row>
    <row r="9567" spans="1:7" x14ac:dyDescent="0.3">
      <c r="A9567" s="198">
        <v>1000403673</v>
      </c>
      <c r="B9567" s="192" t="s">
        <v>6835</v>
      </c>
      <c r="C9567" s="196">
        <v>-963000</v>
      </c>
      <c r="D9567" s="196">
        <v>0</v>
      </c>
      <c r="E9567" s="196">
        <v>0</v>
      </c>
      <c r="F9567" s="196">
        <v>0</v>
      </c>
      <c r="G9567" s="196">
        <v>-963000</v>
      </c>
    </row>
    <row r="9568" spans="1:7" x14ac:dyDescent="0.3">
      <c r="A9568" s="198">
        <v>1007560888</v>
      </c>
      <c r="B9568" s="192" t="s">
        <v>1036</v>
      </c>
      <c r="C9568" s="196">
        <v>0</v>
      </c>
      <c r="D9568" s="196">
        <v>0</v>
      </c>
      <c r="E9568" s="196">
        <v>963000</v>
      </c>
      <c r="F9568" s="196">
        <v>-963000</v>
      </c>
      <c r="G9568" s="196">
        <v>-963000</v>
      </c>
    </row>
    <row r="9569" spans="1:7" x14ac:dyDescent="0.3">
      <c r="A9569" s="198">
        <v>1152212413</v>
      </c>
      <c r="B9569" s="192" t="s">
        <v>6836</v>
      </c>
      <c r="C9569" s="196">
        <v>-963000</v>
      </c>
      <c r="D9569" s="196">
        <v>0</v>
      </c>
      <c r="E9569" s="196">
        <v>0</v>
      </c>
      <c r="F9569" s="196">
        <v>0</v>
      </c>
      <c r="G9569" s="196">
        <v>-963000</v>
      </c>
    </row>
    <row r="9570" spans="1:7" x14ac:dyDescent="0.3">
      <c r="A9570" s="198">
        <v>1061698686</v>
      </c>
      <c r="B9570" s="192" t="s">
        <v>1038</v>
      </c>
      <c r="C9570" s="196">
        <v>0</v>
      </c>
      <c r="D9570" s="196">
        <v>16043100</v>
      </c>
      <c r="E9570" s="196">
        <v>31936700</v>
      </c>
      <c r="F9570" s="196">
        <v>-15893600</v>
      </c>
      <c r="G9570" s="196">
        <v>-15893600</v>
      </c>
    </row>
    <row r="9571" spans="1:7" x14ac:dyDescent="0.3">
      <c r="A9571" s="198">
        <v>1020438230</v>
      </c>
      <c r="B9571" s="192" t="s">
        <v>6837</v>
      </c>
      <c r="C9571" s="196">
        <v>-963000</v>
      </c>
      <c r="D9571" s="196">
        <v>0</v>
      </c>
      <c r="E9571" s="196">
        <v>0</v>
      </c>
      <c r="F9571" s="196">
        <v>0</v>
      </c>
      <c r="G9571" s="196">
        <v>-963000</v>
      </c>
    </row>
    <row r="9572" spans="1:7" x14ac:dyDescent="0.3">
      <c r="A9572" s="198">
        <v>1036966067</v>
      </c>
      <c r="B9572" s="192" t="s">
        <v>6838</v>
      </c>
      <c r="C9572" s="196">
        <v>-860000</v>
      </c>
      <c r="D9572" s="196">
        <v>0</v>
      </c>
      <c r="E9572" s="196">
        <v>0</v>
      </c>
      <c r="F9572" s="196">
        <v>0</v>
      </c>
      <c r="G9572" s="196">
        <v>-860000</v>
      </c>
    </row>
    <row r="9573" spans="1:7" x14ac:dyDescent="0.3">
      <c r="A9573" s="198">
        <v>1001415908</v>
      </c>
      <c r="B9573" s="192" t="s">
        <v>6839</v>
      </c>
      <c r="C9573" s="196">
        <v>-963000</v>
      </c>
      <c r="D9573" s="196">
        <v>0</v>
      </c>
      <c r="E9573" s="196">
        <v>0</v>
      </c>
      <c r="F9573" s="196">
        <v>0</v>
      </c>
      <c r="G9573" s="196">
        <v>-963000</v>
      </c>
    </row>
    <row r="9574" spans="1:7" x14ac:dyDescent="0.3">
      <c r="A9574" s="198">
        <v>50985945</v>
      </c>
      <c r="B9574" s="192" t="s">
        <v>6840</v>
      </c>
      <c r="C9574" s="196">
        <v>-963000</v>
      </c>
      <c r="D9574" s="196">
        <v>0</v>
      </c>
      <c r="E9574" s="196">
        <v>0</v>
      </c>
      <c r="F9574" s="196">
        <v>0</v>
      </c>
      <c r="G9574" s="196">
        <v>-963000</v>
      </c>
    </row>
    <row r="9575" spans="1:7" x14ac:dyDescent="0.3">
      <c r="A9575" s="198">
        <v>21715396</v>
      </c>
      <c r="B9575" s="192" t="s">
        <v>6841</v>
      </c>
      <c r="C9575" s="196">
        <v>-963000</v>
      </c>
      <c r="D9575" s="196">
        <v>0</v>
      </c>
      <c r="E9575" s="196">
        <v>0</v>
      </c>
      <c r="F9575" s="196">
        <v>0</v>
      </c>
      <c r="G9575" s="196">
        <v>-963000</v>
      </c>
    </row>
    <row r="9576" spans="1:7" x14ac:dyDescent="0.3">
      <c r="A9576" s="198">
        <v>43055086</v>
      </c>
      <c r="B9576" s="192" t="s">
        <v>6842</v>
      </c>
      <c r="C9576" s="196">
        <v>-783000</v>
      </c>
      <c r="D9576" s="196">
        <v>0</v>
      </c>
      <c r="E9576" s="196">
        <v>0</v>
      </c>
      <c r="F9576" s="196">
        <v>0</v>
      </c>
      <c r="G9576" s="196">
        <v>-783000</v>
      </c>
    </row>
    <row r="9577" spans="1:7" x14ac:dyDescent="0.3">
      <c r="A9577" s="198">
        <v>21853492</v>
      </c>
      <c r="B9577" s="192" t="s">
        <v>6843</v>
      </c>
      <c r="C9577" s="196">
        <v>-107200</v>
      </c>
      <c r="D9577" s="196">
        <v>0</v>
      </c>
      <c r="E9577" s="196">
        <v>0</v>
      </c>
      <c r="F9577" s="196">
        <v>0</v>
      </c>
      <c r="G9577" s="196">
        <v>-107200</v>
      </c>
    </row>
    <row r="9578" spans="1:7" x14ac:dyDescent="0.3">
      <c r="A9578" s="198">
        <v>22056652</v>
      </c>
      <c r="B9578" s="192" t="s">
        <v>4774</v>
      </c>
      <c r="C9578" s="196">
        <v>-4998200</v>
      </c>
      <c r="D9578" s="196">
        <v>0</v>
      </c>
      <c r="E9578" s="196">
        <v>0</v>
      </c>
      <c r="F9578" s="196">
        <v>0</v>
      </c>
      <c r="G9578" s="196">
        <v>-4998200</v>
      </c>
    </row>
    <row r="9579" spans="1:7" x14ac:dyDescent="0.3">
      <c r="A9579" s="198">
        <v>32309262</v>
      </c>
      <c r="B9579" s="192" t="s">
        <v>1042</v>
      </c>
      <c r="C9579" s="196">
        <v>0</v>
      </c>
      <c r="D9579" s="196">
        <v>0</v>
      </c>
      <c r="E9579" s="196">
        <v>4133000</v>
      </c>
      <c r="F9579" s="196">
        <v>-4133000</v>
      </c>
      <c r="G9579" s="196">
        <v>-4133000</v>
      </c>
    </row>
    <row r="9580" spans="1:7" x14ac:dyDescent="0.3">
      <c r="A9580" s="198">
        <v>1040518695</v>
      </c>
      <c r="B9580" s="192" t="s">
        <v>4778</v>
      </c>
      <c r="C9580" s="196">
        <v>-3510000</v>
      </c>
      <c r="D9580" s="196">
        <v>0</v>
      </c>
      <c r="E9580" s="196">
        <v>0</v>
      </c>
      <c r="F9580" s="196">
        <v>0</v>
      </c>
      <c r="G9580" s="196">
        <v>-3510000</v>
      </c>
    </row>
    <row r="9581" spans="1:7" x14ac:dyDescent="0.3">
      <c r="A9581" s="198">
        <v>39316446</v>
      </c>
      <c r="B9581" s="192" t="s">
        <v>6844</v>
      </c>
      <c r="C9581" s="196">
        <v>-986000</v>
      </c>
      <c r="D9581" s="196">
        <v>0</v>
      </c>
      <c r="E9581" s="196">
        <v>0</v>
      </c>
      <c r="F9581" s="196">
        <v>0</v>
      </c>
      <c r="G9581" s="196">
        <v>-986000</v>
      </c>
    </row>
    <row r="9582" spans="1:7" x14ac:dyDescent="0.3">
      <c r="A9582" s="198">
        <v>43515037</v>
      </c>
      <c r="B9582" s="192" t="s">
        <v>4779</v>
      </c>
      <c r="C9582" s="196">
        <v>-11747000</v>
      </c>
      <c r="D9582" s="196">
        <v>0</v>
      </c>
      <c r="E9582" s="196">
        <v>0</v>
      </c>
      <c r="F9582" s="196">
        <v>0</v>
      </c>
      <c r="G9582" s="196">
        <v>-11747000</v>
      </c>
    </row>
    <row r="9583" spans="1:7" x14ac:dyDescent="0.3">
      <c r="A9583" s="198">
        <v>21830934</v>
      </c>
      <c r="B9583" s="192" t="s">
        <v>1045</v>
      </c>
      <c r="C9583" s="196">
        <v>0</v>
      </c>
      <c r="D9583" s="196">
        <v>0</v>
      </c>
      <c r="E9583" s="196">
        <v>1900000</v>
      </c>
      <c r="F9583" s="196">
        <v>-1900000</v>
      </c>
      <c r="G9583" s="196">
        <v>-1900000</v>
      </c>
    </row>
    <row r="9584" spans="1:7" x14ac:dyDescent="0.3">
      <c r="A9584" s="198">
        <v>1001376841</v>
      </c>
      <c r="B9584" s="192" t="s">
        <v>6845</v>
      </c>
      <c r="C9584" s="196">
        <v>-963000</v>
      </c>
      <c r="D9584" s="196">
        <v>0</v>
      </c>
      <c r="E9584" s="196">
        <v>0</v>
      </c>
      <c r="F9584" s="196">
        <v>0</v>
      </c>
      <c r="G9584" s="196">
        <v>-963000</v>
      </c>
    </row>
    <row r="9585" spans="1:7" x14ac:dyDescent="0.3">
      <c r="A9585" s="198">
        <v>1036404478</v>
      </c>
      <c r="B9585" s="192" t="s">
        <v>1047</v>
      </c>
      <c r="C9585" s="196">
        <v>-963000</v>
      </c>
      <c r="D9585" s="196">
        <v>962999</v>
      </c>
      <c r="E9585" s="196">
        <v>0</v>
      </c>
      <c r="F9585" s="196">
        <v>962999</v>
      </c>
      <c r="G9585" s="196">
        <v>-1</v>
      </c>
    </row>
    <row r="9586" spans="1:7" x14ac:dyDescent="0.3">
      <c r="A9586" s="198">
        <v>42879321</v>
      </c>
      <c r="B9586" s="192" t="s">
        <v>1049</v>
      </c>
      <c r="C9586" s="196">
        <v>0</v>
      </c>
      <c r="D9586" s="196">
        <v>0</v>
      </c>
      <c r="E9586" s="196">
        <v>3652000</v>
      </c>
      <c r="F9586" s="196">
        <v>-3652000</v>
      </c>
      <c r="G9586" s="196">
        <v>-3652000</v>
      </c>
    </row>
    <row r="9587" spans="1:7" x14ac:dyDescent="0.3">
      <c r="A9587" s="198">
        <v>32397574</v>
      </c>
      <c r="B9587" s="192" t="s">
        <v>1050</v>
      </c>
      <c r="C9587" s="196">
        <v>-1</v>
      </c>
      <c r="D9587" s="196">
        <v>0</v>
      </c>
      <c r="E9587" s="196">
        <v>0</v>
      </c>
      <c r="F9587" s="196">
        <v>0</v>
      </c>
      <c r="G9587" s="196">
        <v>-1</v>
      </c>
    </row>
    <row r="9588" spans="1:7" x14ac:dyDescent="0.3">
      <c r="A9588" s="198">
        <v>42869883</v>
      </c>
      <c r="B9588" s="192" t="s">
        <v>4791</v>
      </c>
      <c r="C9588" s="196">
        <v>-57200</v>
      </c>
      <c r="D9588" s="196">
        <v>0</v>
      </c>
      <c r="E9588" s="196">
        <v>0</v>
      </c>
      <c r="F9588" s="196">
        <v>0</v>
      </c>
      <c r="G9588" s="196">
        <v>-57200</v>
      </c>
    </row>
    <row r="9589" spans="1:7" x14ac:dyDescent="0.3">
      <c r="A9589" s="198">
        <v>30389399</v>
      </c>
      <c r="B9589" s="192" t="s">
        <v>6846</v>
      </c>
      <c r="C9589" s="196">
        <v>-963000</v>
      </c>
      <c r="D9589" s="196">
        <v>0</v>
      </c>
      <c r="E9589" s="196">
        <v>0</v>
      </c>
      <c r="F9589" s="196">
        <v>0</v>
      </c>
      <c r="G9589" s="196">
        <v>-963000</v>
      </c>
    </row>
    <row r="9590" spans="1:7" x14ac:dyDescent="0.3">
      <c r="A9590" s="198">
        <v>1077421975</v>
      </c>
      <c r="B9590" s="192" t="s">
        <v>6847</v>
      </c>
      <c r="C9590" s="196">
        <v>-3500000</v>
      </c>
      <c r="D9590" s="196">
        <v>0</v>
      </c>
      <c r="E9590" s="196">
        <v>0</v>
      </c>
      <c r="F9590" s="196">
        <v>0</v>
      </c>
      <c r="G9590" s="196">
        <v>-3500000</v>
      </c>
    </row>
    <row r="9591" spans="1:7" x14ac:dyDescent="0.3">
      <c r="A9591" s="198">
        <v>39327117</v>
      </c>
      <c r="B9591" s="192" t="s">
        <v>4798</v>
      </c>
      <c r="C9591" s="196">
        <v>-2710000</v>
      </c>
      <c r="D9591" s="196">
        <v>0</v>
      </c>
      <c r="E9591" s="196">
        <v>0</v>
      </c>
      <c r="F9591" s="196">
        <v>0</v>
      </c>
      <c r="G9591" s="196">
        <v>-2710000</v>
      </c>
    </row>
    <row r="9592" spans="1:7" x14ac:dyDescent="0.3">
      <c r="A9592" s="198">
        <v>32428735</v>
      </c>
      <c r="B9592" s="192" t="s">
        <v>6848</v>
      </c>
      <c r="C9592" s="196">
        <v>-57200</v>
      </c>
      <c r="D9592" s="196">
        <v>0</v>
      </c>
      <c r="E9592" s="196">
        <v>0</v>
      </c>
      <c r="F9592" s="196">
        <v>0</v>
      </c>
      <c r="G9592" s="196">
        <v>-57200</v>
      </c>
    </row>
    <row r="9593" spans="1:7" x14ac:dyDescent="0.3">
      <c r="A9593" s="198">
        <v>42899001</v>
      </c>
      <c r="B9593" s="192" t="s">
        <v>1053</v>
      </c>
      <c r="C9593" s="196">
        <v>0</v>
      </c>
      <c r="D9593" s="196">
        <v>0</v>
      </c>
      <c r="E9593" s="196">
        <v>470000</v>
      </c>
      <c r="F9593" s="196">
        <v>-470000</v>
      </c>
      <c r="G9593" s="196">
        <v>-470000</v>
      </c>
    </row>
    <row r="9594" spans="1:7" x14ac:dyDescent="0.3">
      <c r="A9594" s="198">
        <v>22229760</v>
      </c>
      <c r="B9594" s="192" t="s">
        <v>1054</v>
      </c>
      <c r="C9594" s="196">
        <v>-12762900</v>
      </c>
      <c r="D9594" s="196">
        <v>0</v>
      </c>
      <c r="E9594" s="196">
        <v>0</v>
      </c>
      <c r="F9594" s="196">
        <v>0</v>
      </c>
      <c r="G9594" s="196">
        <v>-12762900</v>
      </c>
    </row>
    <row r="9595" spans="1:7" x14ac:dyDescent="0.3">
      <c r="A9595" s="198">
        <v>32430224</v>
      </c>
      <c r="B9595" s="192" t="s">
        <v>1056</v>
      </c>
      <c r="C9595" s="196">
        <v>0</v>
      </c>
      <c r="D9595" s="196">
        <v>0</v>
      </c>
      <c r="E9595" s="196">
        <v>7138000</v>
      </c>
      <c r="F9595" s="196">
        <v>-7138000</v>
      </c>
      <c r="G9595" s="196">
        <v>-7138000</v>
      </c>
    </row>
    <row r="9596" spans="1:7" x14ac:dyDescent="0.3">
      <c r="A9596" s="198">
        <v>43054434</v>
      </c>
      <c r="B9596" s="192" t="s">
        <v>1057</v>
      </c>
      <c r="C9596" s="196">
        <v>0</v>
      </c>
      <c r="D9596" s="196">
        <v>0</v>
      </c>
      <c r="E9596" s="196">
        <v>3782050</v>
      </c>
      <c r="F9596" s="196">
        <v>-3782050</v>
      </c>
      <c r="G9596" s="196">
        <v>-3782050</v>
      </c>
    </row>
    <row r="9597" spans="1:7" x14ac:dyDescent="0.3">
      <c r="A9597" s="198">
        <v>142195220</v>
      </c>
      <c r="B9597" s="192" t="s">
        <v>6849</v>
      </c>
      <c r="C9597" s="196">
        <v>-963000</v>
      </c>
      <c r="D9597" s="196">
        <v>0</v>
      </c>
      <c r="E9597" s="196">
        <v>0</v>
      </c>
      <c r="F9597" s="196">
        <v>0</v>
      </c>
      <c r="G9597" s="196">
        <v>-963000</v>
      </c>
    </row>
    <row r="9598" spans="1:7" x14ac:dyDescent="0.3">
      <c r="A9598" s="198">
        <v>32331684</v>
      </c>
      <c r="B9598" s="192" t="s">
        <v>6850</v>
      </c>
      <c r="C9598" s="196">
        <v>-50000</v>
      </c>
      <c r="D9598" s="196">
        <v>0</v>
      </c>
      <c r="E9598" s="196">
        <v>0</v>
      </c>
      <c r="F9598" s="196">
        <v>0</v>
      </c>
      <c r="G9598" s="196">
        <v>-50000</v>
      </c>
    </row>
    <row r="9599" spans="1:7" x14ac:dyDescent="0.3">
      <c r="A9599" s="198">
        <v>32016256</v>
      </c>
      <c r="B9599" s="192" t="s">
        <v>6851</v>
      </c>
      <c r="C9599" s="196">
        <v>-2184000</v>
      </c>
      <c r="D9599" s="196">
        <v>0</v>
      </c>
      <c r="E9599" s="196">
        <v>0</v>
      </c>
      <c r="F9599" s="196">
        <v>0</v>
      </c>
      <c r="G9599" s="196">
        <v>-2184000</v>
      </c>
    </row>
    <row r="9600" spans="1:7" x14ac:dyDescent="0.3">
      <c r="A9600" s="198">
        <v>22004755</v>
      </c>
      <c r="B9600" s="192" t="s">
        <v>6852</v>
      </c>
      <c r="C9600" s="196">
        <v>-6676000</v>
      </c>
      <c r="D9600" s="196">
        <v>0</v>
      </c>
      <c r="E9600" s="196">
        <v>0</v>
      </c>
      <c r="F9600" s="196">
        <v>0</v>
      </c>
      <c r="G9600" s="196">
        <v>-6676000</v>
      </c>
    </row>
    <row r="9601" spans="1:7" x14ac:dyDescent="0.3">
      <c r="A9601" s="198">
        <v>24804039</v>
      </c>
      <c r="B9601" s="192" t="s">
        <v>6853</v>
      </c>
      <c r="C9601" s="196">
        <v>-3338000</v>
      </c>
      <c r="D9601" s="196">
        <v>0</v>
      </c>
      <c r="E9601" s="196">
        <v>0</v>
      </c>
      <c r="F9601" s="196">
        <v>0</v>
      </c>
      <c r="G9601" s="196">
        <v>-3338000</v>
      </c>
    </row>
    <row r="9602" spans="1:7" x14ac:dyDescent="0.3">
      <c r="A9602" s="198">
        <v>42897900</v>
      </c>
      <c r="B9602" s="192" t="s">
        <v>6854</v>
      </c>
      <c r="C9602" s="196">
        <v>-1143000</v>
      </c>
      <c r="D9602" s="196">
        <v>0</v>
      </c>
      <c r="E9602" s="196">
        <v>0</v>
      </c>
      <c r="F9602" s="196">
        <v>0</v>
      </c>
      <c r="G9602" s="196">
        <v>-1143000</v>
      </c>
    </row>
    <row r="9603" spans="1:7" x14ac:dyDescent="0.3">
      <c r="A9603" s="198">
        <v>21994318</v>
      </c>
      <c r="B9603" s="192" t="s">
        <v>6855</v>
      </c>
      <c r="C9603" s="196">
        <v>-6292000</v>
      </c>
      <c r="D9603" s="196">
        <v>0</v>
      </c>
      <c r="E9603" s="196">
        <v>0</v>
      </c>
      <c r="F9603" s="196">
        <v>0</v>
      </c>
      <c r="G9603" s="196">
        <v>-6292000</v>
      </c>
    </row>
    <row r="9604" spans="1:7" x14ac:dyDescent="0.3">
      <c r="A9604" s="198">
        <v>24568350</v>
      </c>
      <c r="B9604" s="192" t="s">
        <v>4819</v>
      </c>
      <c r="C9604" s="196">
        <v>-5082000</v>
      </c>
      <c r="D9604" s="196">
        <v>0</v>
      </c>
      <c r="E9604" s="196">
        <v>0</v>
      </c>
      <c r="F9604" s="196">
        <v>0</v>
      </c>
      <c r="G9604" s="196">
        <v>-5082000</v>
      </c>
    </row>
    <row r="9605" spans="1:7" x14ac:dyDescent="0.3">
      <c r="A9605" s="198">
        <v>42822124</v>
      </c>
      <c r="B9605" s="192" t="s">
        <v>4830</v>
      </c>
      <c r="C9605" s="196">
        <v>-2784000</v>
      </c>
      <c r="D9605" s="196">
        <v>0</v>
      </c>
      <c r="E9605" s="196">
        <v>0</v>
      </c>
      <c r="F9605" s="196">
        <v>0</v>
      </c>
      <c r="G9605" s="196">
        <v>-2784000</v>
      </c>
    </row>
    <row r="9606" spans="1:7" x14ac:dyDescent="0.3">
      <c r="A9606" s="198">
        <v>39181992</v>
      </c>
      <c r="B9606" s="192" t="s">
        <v>6856</v>
      </c>
      <c r="C9606" s="196">
        <v>-57200</v>
      </c>
      <c r="D9606" s="196">
        <v>0</v>
      </c>
      <c r="E9606" s="196">
        <v>0</v>
      </c>
      <c r="F9606" s="196">
        <v>0</v>
      </c>
      <c r="G9606" s="196">
        <v>-57200</v>
      </c>
    </row>
    <row r="9607" spans="1:7" x14ac:dyDescent="0.3">
      <c r="A9607" s="198">
        <v>32257083</v>
      </c>
      <c r="B9607" s="192" t="s">
        <v>1063</v>
      </c>
      <c r="C9607" s="196">
        <v>0</v>
      </c>
      <c r="D9607" s="196">
        <v>0</v>
      </c>
      <c r="E9607" s="196">
        <v>3652000</v>
      </c>
      <c r="F9607" s="196">
        <v>-3652000</v>
      </c>
      <c r="G9607" s="196">
        <v>-3652000</v>
      </c>
    </row>
    <row r="9608" spans="1:7" x14ac:dyDescent="0.3">
      <c r="A9608" s="198">
        <v>1000654854</v>
      </c>
      <c r="B9608" s="192" t="s">
        <v>4831</v>
      </c>
      <c r="C9608" s="196">
        <v>-3010000</v>
      </c>
      <c r="D9608" s="196">
        <v>0</v>
      </c>
      <c r="E9608" s="196">
        <v>0</v>
      </c>
      <c r="F9608" s="196">
        <v>0</v>
      </c>
      <c r="G9608" s="196">
        <v>-3010000</v>
      </c>
    </row>
    <row r="9609" spans="1:7" x14ac:dyDescent="0.3">
      <c r="A9609" s="198">
        <v>10793227</v>
      </c>
      <c r="B9609" s="192" t="s">
        <v>6857</v>
      </c>
      <c r="C9609" s="196">
        <v>-2980000</v>
      </c>
      <c r="D9609" s="196">
        <v>0</v>
      </c>
      <c r="E9609" s="196">
        <v>0</v>
      </c>
      <c r="F9609" s="196">
        <v>0</v>
      </c>
      <c r="G9609" s="196">
        <v>-2980000</v>
      </c>
    </row>
    <row r="9610" spans="1:7" x14ac:dyDescent="0.3">
      <c r="A9610" s="198">
        <v>661002215</v>
      </c>
      <c r="B9610" s="192" t="s">
        <v>4832</v>
      </c>
      <c r="C9610" s="196">
        <v>-11209800</v>
      </c>
      <c r="D9610" s="196">
        <v>0</v>
      </c>
      <c r="E9610" s="196">
        <v>0</v>
      </c>
      <c r="F9610" s="196">
        <v>0</v>
      </c>
      <c r="G9610" s="196">
        <v>-11209800</v>
      </c>
    </row>
    <row r="9611" spans="1:7" x14ac:dyDescent="0.3">
      <c r="A9611" s="192" t="s">
        <v>4838</v>
      </c>
      <c r="B9611" s="192" t="s">
        <v>4839</v>
      </c>
      <c r="C9611" s="196">
        <v>-3885000</v>
      </c>
      <c r="D9611" s="196">
        <v>0</v>
      </c>
      <c r="E9611" s="196">
        <v>0</v>
      </c>
      <c r="F9611" s="196">
        <v>0</v>
      </c>
      <c r="G9611" s="196">
        <v>-3885000</v>
      </c>
    </row>
    <row r="9612" spans="1:7" x14ac:dyDescent="0.3">
      <c r="A9612" s="198">
        <v>1003286661</v>
      </c>
      <c r="B9612" s="192" t="s">
        <v>1067</v>
      </c>
      <c r="C9612" s="196">
        <v>0</v>
      </c>
      <c r="D9612" s="196">
        <v>0</v>
      </c>
      <c r="E9612" s="196">
        <v>4622500</v>
      </c>
      <c r="F9612" s="196">
        <v>-4622500</v>
      </c>
      <c r="G9612" s="196">
        <v>-4622500</v>
      </c>
    </row>
    <row r="9613" spans="1:7" x14ac:dyDescent="0.3">
      <c r="A9613" s="198">
        <v>42901095</v>
      </c>
      <c r="B9613" s="192" t="s">
        <v>1069</v>
      </c>
      <c r="C9613" s="196">
        <v>-6184000</v>
      </c>
      <c r="D9613" s="196">
        <v>0</v>
      </c>
      <c r="E9613" s="196">
        <v>0</v>
      </c>
      <c r="F9613" s="196">
        <v>0</v>
      </c>
      <c r="G9613" s="196">
        <v>-6184000</v>
      </c>
    </row>
    <row r="9614" spans="1:7" x14ac:dyDescent="0.3">
      <c r="A9614" s="198">
        <v>1128271517</v>
      </c>
      <c r="B9614" s="192" t="s">
        <v>6858</v>
      </c>
      <c r="C9614" s="196">
        <v>-963000</v>
      </c>
      <c r="D9614" s="196">
        <v>0</v>
      </c>
      <c r="E9614" s="196">
        <v>0</v>
      </c>
      <c r="F9614" s="196">
        <v>0</v>
      </c>
      <c r="G9614" s="196">
        <v>-963000</v>
      </c>
    </row>
    <row r="9615" spans="1:7" x14ac:dyDescent="0.3">
      <c r="A9615" s="198">
        <v>1001653207</v>
      </c>
      <c r="B9615" s="192" t="s">
        <v>6859</v>
      </c>
      <c r="C9615" s="196">
        <v>-860000</v>
      </c>
      <c r="D9615" s="196">
        <v>0</v>
      </c>
      <c r="E9615" s="196">
        <v>0</v>
      </c>
      <c r="F9615" s="196">
        <v>0</v>
      </c>
      <c r="G9615" s="196">
        <v>-860000</v>
      </c>
    </row>
    <row r="9616" spans="1:7" x14ac:dyDescent="0.3">
      <c r="A9616" s="198">
        <v>1030578670</v>
      </c>
      <c r="B9616" s="192" t="s">
        <v>4846</v>
      </c>
      <c r="C9616" s="196">
        <v>-3108800</v>
      </c>
      <c r="D9616" s="196">
        <v>0</v>
      </c>
      <c r="E9616" s="196">
        <v>0</v>
      </c>
      <c r="F9616" s="196">
        <v>0</v>
      </c>
      <c r="G9616" s="196">
        <v>-3108800</v>
      </c>
    </row>
    <row r="9617" spans="1:7" x14ac:dyDescent="0.3">
      <c r="A9617" s="198">
        <v>1020434052</v>
      </c>
      <c r="B9617" s="192" t="s">
        <v>6860</v>
      </c>
      <c r="C9617" s="196">
        <v>-963000</v>
      </c>
      <c r="D9617" s="196">
        <v>0</v>
      </c>
      <c r="E9617" s="196">
        <v>0</v>
      </c>
      <c r="F9617" s="196">
        <v>0</v>
      </c>
      <c r="G9617" s="196">
        <v>-963000</v>
      </c>
    </row>
    <row r="9618" spans="1:7" x14ac:dyDescent="0.3">
      <c r="A9618" s="198">
        <v>71631991</v>
      </c>
      <c r="B9618" s="192" t="s">
        <v>6861</v>
      </c>
      <c r="C9618" s="196">
        <v>-57200</v>
      </c>
      <c r="D9618" s="196">
        <v>0</v>
      </c>
      <c r="E9618" s="196">
        <v>0</v>
      </c>
      <c r="F9618" s="196">
        <v>0</v>
      </c>
      <c r="G9618" s="196">
        <v>-57200</v>
      </c>
    </row>
    <row r="9619" spans="1:7" x14ac:dyDescent="0.3">
      <c r="A9619" s="198">
        <v>1000732313</v>
      </c>
      <c r="B9619" s="192" t="s">
        <v>6862</v>
      </c>
      <c r="C9619" s="196">
        <v>-963000</v>
      </c>
      <c r="D9619" s="196">
        <v>0</v>
      </c>
      <c r="E9619" s="196">
        <v>0</v>
      </c>
      <c r="F9619" s="196">
        <v>0</v>
      </c>
      <c r="G9619" s="196">
        <v>-963000</v>
      </c>
    </row>
    <row r="9620" spans="1:7" x14ac:dyDescent="0.3">
      <c r="A9620" s="198">
        <v>1037660051</v>
      </c>
      <c r="B9620" s="192" t="s">
        <v>6863</v>
      </c>
      <c r="C9620" s="196">
        <v>-963000</v>
      </c>
      <c r="D9620" s="196">
        <v>0</v>
      </c>
      <c r="E9620" s="196">
        <v>0</v>
      </c>
      <c r="F9620" s="196">
        <v>0</v>
      </c>
      <c r="G9620" s="196">
        <v>-963000</v>
      </c>
    </row>
    <row r="9621" spans="1:7" x14ac:dyDescent="0.3">
      <c r="A9621" s="198">
        <v>1000549403</v>
      </c>
      <c r="B9621" s="192" t="s">
        <v>1073</v>
      </c>
      <c r="C9621" s="196">
        <v>0</v>
      </c>
      <c r="D9621" s="196">
        <v>0</v>
      </c>
      <c r="E9621" s="196">
        <v>963000</v>
      </c>
      <c r="F9621" s="196">
        <v>-963000</v>
      </c>
      <c r="G9621" s="196">
        <v>-963000</v>
      </c>
    </row>
    <row r="9622" spans="1:7" x14ac:dyDescent="0.3">
      <c r="A9622" s="198">
        <v>1038540158</v>
      </c>
      <c r="B9622" s="192" t="s">
        <v>1074</v>
      </c>
      <c r="C9622" s="196">
        <v>-3210000</v>
      </c>
      <c r="D9622" s="196">
        <v>0</v>
      </c>
      <c r="E9622" s="196">
        <v>0</v>
      </c>
      <c r="F9622" s="196">
        <v>0</v>
      </c>
      <c r="G9622" s="196">
        <v>-3210000</v>
      </c>
    </row>
    <row r="9623" spans="1:7" x14ac:dyDescent="0.3">
      <c r="A9623" s="198">
        <v>1037669245</v>
      </c>
      <c r="B9623" s="192" t="s">
        <v>1075</v>
      </c>
      <c r="C9623" s="196">
        <v>0</v>
      </c>
      <c r="D9623" s="196">
        <v>0</v>
      </c>
      <c r="E9623" s="196">
        <v>963000</v>
      </c>
      <c r="F9623" s="196">
        <v>-963000</v>
      </c>
      <c r="G9623" s="196">
        <v>-963000</v>
      </c>
    </row>
    <row r="9624" spans="1:7" x14ac:dyDescent="0.3">
      <c r="A9624" s="198">
        <v>1000548449</v>
      </c>
      <c r="B9624" s="192" t="s">
        <v>6864</v>
      </c>
      <c r="C9624" s="196">
        <v>-963000</v>
      </c>
      <c r="D9624" s="196">
        <v>0</v>
      </c>
      <c r="E9624" s="196">
        <v>0</v>
      </c>
      <c r="F9624" s="196">
        <v>0</v>
      </c>
      <c r="G9624" s="196">
        <v>-963000</v>
      </c>
    </row>
    <row r="9625" spans="1:7" x14ac:dyDescent="0.3">
      <c r="A9625" s="198">
        <v>1039464725</v>
      </c>
      <c r="B9625" s="192" t="s">
        <v>4865</v>
      </c>
      <c r="C9625" s="196">
        <v>-2500000</v>
      </c>
      <c r="D9625" s="196">
        <v>0</v>
      </c>
      <c r="E9625" s="196">
        <v>0</v>
      </c>
      <c r="F9625" s="196">
        <v>0</v>
      </c>
      <c r="G9625" s="196">
        <v>-2500000</v>
      </c>
    </row>
    <row r="9626" spans="1:7" x14ac:dyDescent="0.3">
      <c r="A9626" s="198">
        <v>1001003635</v>
      </c>
      <c r="B9626" s="192" t="s">
        <v>6865</v>
      </c>
      <c r="C9626" s="196">
        <v>-3261650</v>
      </c>
      <c r="D9626" s="196">
        <v>0</v>
      </c>
      <c r="E9626" s="196">
        <v>0</v>
      </c>
      <c r="F9626" s="196">
        <v>0</v>
      </c>
      <c r="G9626" s="196">
        <v>-3261650</v>
      </c>
    </row>
    <row r="9627" spans="1:7" x14ac:dyDescent="0.3">
      <c r="A9627" s="198">
        <v>1000085863</v>
      </c>
      <c r="B9627" s="192" t="s">
        <v>6866</v>
      </c>
      <c r="C9627" s="196">
        <v>-860000</v>
      </c>
      <c r="D9627" s="196">
        <v>0</v>
      </c>
      <c r="E9627" s="196">
        <v>0</v>
      </c>
      <c r="F9627" s="196">
        <v>0</v>
      </c>
      <c r="G9627" s="196">
        <v>-860000</v>
      </c>
    </row>
    <row r="9628" spans="1:7" x14ac:dyDescent="0.3">
      <c r="A9628" s="198">
        <v>1152221728</v>
      </c>
      <c r="B9628" s="192" t="s">
        <v>1077</v>
      </c>
      <c r="C9628" s="196">
        <v>0</v>
      </c>
      <c r="D9628" s="196">
        <v>0</v>
      </c>
      <c r="E9628" s="196">
        <v>963000</v>
      </c>
      <c r="F9628" s="196">
        <v>-963000</v>
      </c>
      <c r="G9628" s="196">
        <v>-963000</v>
      </c>
    </row>
    <row r="9629" spans="1:7" x14ac:dyDescent="0.3">
      <c r="A9629" s="198">
        <v>1000752718</v>
      </c>
      <c r="B9629" s="192" t="s">
        <v>6867</v>
      </c>
      <c r="C9629" s="196">
        <v>-860000</v>
      </c>
      <c r="D9629" s="196">
        <v>0</v>
      </c>
      <c r="E9629" s="196">
        <v>0</v>
      </c>
      <c r="F9629" s="196">
        <v>0</v>
      </c>
      <c r="G9629" s="196">
        <v>-860000</v>
      </c>
    </row>
    <row r="9630" spans="1:7" x14ac:dyDescent="0.3">
      <c r="A9630" s="198">
        <v>1000405196</v>
      </c>
      <c r="B9630" s="192" t="s">
        <v>4874</v>
      </c>
      <c r="C9630" s="196">
        <v>-2800000</v>
      </c>
      <c r="D9630" s="196">
        <v>0</v>
      </c>
      <c r="E9630" s="196">
        <v>0</v>
      </c>
      <c r="F9630" s="196">
        <v>0</v>
      </c>
      <c r="G9630" s="196">
        <v>-2800000</v>
      </c>
    </row>
    <row r="9631" spans="1:7" x14ac:dyDescent="0.3">
      <c r="A9631" s="198">
        <v>43188823</v>
      </c>
      <c r="B9631" s="192" t="s">
        <v>1080</v>
      </c>
      <c r="C9631" s="196">
        <v>0</v>
      </c>
      <c r="D9631" s="196">
        <v>0</v>
      </c>
      <c r="E9631" s="196">
        <v>6187000</v>
      </c>
      <c r="F9631" s="196">
        <v>-6187000</v>
      </c>
      <c r="G9631" s="196">
        <v>-6187000</v>
      </c>
    </row>
    <row r="9632" spans="1:7" x14ac:dyDescent="0.3">
      <c r="A9632" s="198">
        <v>43866085</v>
      </c>
      <c r="B9632" s="192" t="s">
        <v>1081</v>
      </c>
      <c r="C9632" s="196">
        <v>-7410000</v>
      </c>
      <c r="D9632" s="196">
        <v>0</v>
      </c>
      <c r="E9632" s="196">
        <v>0</v>
      </c>
      <c r="F9632" s="196">
        <v>0</v>
      </c>
      <c r="G9632" s="196">
        <v>-7410000</v>
      </c>
    </row>
    <row r="9633" spans="1:7" x14ac:dyDescent="0.3">
      <c r="A9633" s="198">
        <v>1152688027</v>
      </c>
      <c r="B9633" s="192" t="s">
        <v>6868</v>
      </c>
      <c r="C9633" s="196">
        <v>-963000</v>
      </c>
      <c r="D9633" s="196">
        <v>0</v>
      </c>
      <c r="E9633" s="196">
        <v>0</v>
      </c>
      <c r="F9633" s="196">
        <v>0</v>
      </c>
      <c r="G9633" s="196">
        <v>-963000</v>
      </c>
    </row>
    <row r="9634" spans="1:7" x14ac:dyDescent="0.3">
      <c r="A9634" s="198">
        <v>1000922587</v>
      </c>
      <c r="B9634" s="192" t="s">
        <v>4895</v>
      </c>
      <c r="C9634" s="196">
        <v>-3310000</v>
      </c>
      <c r="D9634" s="196">
        <v>0</v>
      </c>
      <c r="E9634" s="196">
        <v>0</v>
      </c>
      <c r="F9634" s="196">
        <v>0</v>
      </c>
      <c r="G9634" s="196">
        <v>-3310000</v>
      </c>
    </row>
    <row r="9635" spans="1:7" x14ac:dyDescent="0.3">
      <c r="A9635" s="198">
        <v>32242318</v>
      </c>
      <c r="B9635" s="192" t="s">
        <v>6869</v>
      </c>
      <c r="C9635" s="196">
        <v>-50000</v>
      </c>
      <c r="D9635" s="196">
        <v>0</v>
      </c>
      <c r="E9635" s="196">
        <v>0</v>
      </c>
      <c r="F9635" s="196">
        <v>0</v>
      </c>
      <c r="G9635" s="196">
        <v>-50000</v>
      </c>
    </row>
    <row r="9636" spans="1:7" x14ac:dyDescent="0.3">
      <c r="A9636" s="198">
        <v>1007114444</v>
      </c>
      <c r="B9636" s="192" t="s">
        <v>6870</v>
      </c>
      <c r="C9636" s="196">
        <v>-963000</v>
      </c>
      <c r="D9636" s="196">
        <v>0</v>
      </c>
      <c r="E9636" s="196">
        <v>0</v>
      </c>
      <c r="F9636" s="196">
        <v>0</v>
      </c>
      <c r="G9636" s="196">
        <v>-963000</v>
      </c>
    </row>
    <row r="9637" spans="1:7" x14ac:dyDescent="0.3">
      <c r="A9637" s="198">
        <v>8200882</v>
      </c>
      <c r="B9637" s="192" t="s">
        <v>1087</v>
      </c>
      <c r="C9637" s="196">
        <v>-5397000</v>
      </c>
      <c r="D9637" s="196">
        <v>0</v>
      </c>
      <c r="E9637" s="196">
        <v>0</v>
      </c>
      <c r="F9637" s="196">
        <v>0</v>
      </c>
      <c r="G9637" s="196">
        <v>-5397000</v>
      </c>
    </row>
    <row r="9638" spans="1:7" x14ac:dyDescent="0.3">
      <c r="A9638" s="198">
        <v>1013381255</v>
      </c>
      <c r="B9638" s="192" t="s">
        <v>6871</v>
      </c>
      <c r="C9638" s="196">
        <v>-85000</v>
      </c>
      <c r="D9638" s="196">
        <v>0</v>
      </c>
      <c r="E9638" s="196">
        <v>0</v>
      </c>
      <c r="F9638" s="196">
        <v>0</v>
      </c>
      <c r="G9638" s="196">
        <v>-85000</v>
      </c>
    </row>
    <row r="9639" spans="1:7" x14ac:dyDescent="0.3">
      <c r="A9639" s="198">
        <v>37787002</v>
      </c>
      <c r="B9639" s="192" t="s">
        <v>4905</v>
      </c>
      <c r="C9639" s="196">
        <v>-4137000</v>
      </c>
      <c r="D9639" s="196">
        <v>0</v>
      </c>
      <c r="E9639" s="196">
        <v>0</v>
      </c>
      <c r="F9639" s="196">
        <v>0</v>
      </c>
      <c r="G9639" s="196">
        <v>-4137000</v>
      </c>
    </row>
    <row r="9640" spans="1:7" x14ac:dyDescent="0.3">
      <c r="A9640" s="198">
        <v>32489725</v>
      </c>
      <c r="B9640" s="192" t="s">
        <v>1090</v>
      </c>
      <c r="C9640" s="196">
        <v>0</v>
      </c>
      <c r="D9640" s="196">
        <v>0</v>
      </c>
      <c r="E9640" s="196">
        <v>396000</v>
      </c>
      <c r="F9640" s="196">
        <v>-396000</v>
      </c>
      <c r="G9640" s="196">
        <v>-396000</v>
      </c>
    </row>
    <row r="9641" spans="1:7" x14ac:dyDescent="0.3">
      <c r="A9641" s="198">
        <v>56074997</v>
      </c>
      <c r="B9641" s="192" t="s">
        <v>1093</v>
      </c>
      <c r="C9641" s="196">
        <v>-100000</v>
      </c>
      <c r="D9641" s="196">
        <v>0</v>
      </c>
      <c r="E9641" s="196">
        <v>100000</v>
      </c>
      <c r="F9641" s="196">
        <v>-100000</v>
      </c>
      <c r="G9641" s="196">
        <v>-200000</v>
      </c>
    </row>
    <row r="9642" spans="1:7" x14ac:dyDescent="0.3">
      <c r="A9642" s="198">
        <v>43724219</v>
      </c>
      <c r="B9642" s="192" t="s">
        <v>6872</v>
      </c>
      <c r="C9642" s="196">
        <v>-5684000</v>
      </c>
      <c r="D9642" s="196">
        <v>0</v>
      </c>
      <c r="E9642" s="196">
        <v>0</v>
      </c>
      <c r="F9642" s="196">
        <v>0</v>
      </c>
      <c r="G9642" s="196">
        <v>-5684000</v>
      </c>
    </row>
    <row r="9643" spans="1:7" x14ac:dyDescent="0.3">
      <c r="A9643" s="198">
        <v>42752123</v>
      </c>
      <c r="B9643" s="192" t="s">
        <v>6873</v>
      </c>
      <c r="C9643" s="196">
        <v>-3812000</v>
      </c>
      <c r="D9643" s="196">
        <v>0</v>
      </c>
      <c r="E9643" s="196">
        <v>0</v>
      </c>
      <c r="F9643" s="196">
        <v>0</v>
      </c>
      <c r="G9643" s="196">
        <v>-3812000</v>
      </c>
    </row>
    <row r="9644" spans="1:7" x14ac:dyDescent="0.3">
      <c r="A9644" s="198">
        <v>43722394</v>
      </c>
      <c r="B9644" s="192" t="s">
        <v>6874</v>
      </c>
      <c r="C9644" s="196">
        <v>-2234000</v>
      </c>
      <c r="D9644" s="196">
        <v>0</v>
      </c>
      <c r="E9644" s="196">
        <v>0</v>
      </c>
      <c r="F9644" s="196">
        <v>0</v>
      </c>
      <c r="G9644" s="196">
        <v>-2234000</v>
      </c>
    </row>
    <row r="9645" spans="1:7" x14ac:dyDescent="0.3">
      <c r="A9645" s="198">
        <v>30395946</v>
      </c>
      <c r="B9645" s="192" t="s">
        <v>1097</v>
      </c>
      <c r="C9645" s="196">
        <v>0</v>
      </c>
      <c r="D9645" s="196">
        <v>0</v>
      </c>
      <c r="E9645" s="196">
        <v>1270000</v>
      </c>
      <c r="F9645" s="196">
        <v>-1270000</v>
      </c>
      <c r="G9645" s="196">
        <v>-1270000</v>
      </c>
    </row>
    <row r="9646" spans="1:7" x14ac:dyDescent="0.3">
      <c r="A9646" s="198">
        <v>21514441</v>
      </c>
      <c r="B9646" s="192" t="s">
        <v>1099</v>
      </c>
      <c r="C9646" s="196">
        <v>0</v>
      </c>
      <c r="D9646" s="196">
        <v>0</v>
      </c>
      <c r="E9646" s="196">
        <v>2895000</v>
      </c>
      <c r="F9646" s="196">
        <v>-2895000</v>
      </c>
      <c r="G9646" s="196">
        <v>-2895000</v>
      </c>
    </row>
    <row r="9647" spans="1:7" x14ac:dyDescent="0.3">
      <c r="A9647" s="198">
        <v>1112228780</v>
      </c>
      <c r="B9647" s="192" t="s">
        <v>6875</v>
      </c>
      <c r="C9647" s="196">
        <v>-860000</v>
      </c>
      <c r="D9647" s="196">
        <v>0</v>
      </c>
      <c r="E9647" s="196">
        <v>0</v>
      </c>
      <c r="F9647" s="196">
        <v>0</v>
      </c>
      <c r="G9647" s="196">
        <v>-860000</v>
      </c>
    </row>
    <row r="9648" spans="1:7" x14ac:dyDescent="0.3">
      <c r="A9648" s="198">
        <v>42756480</v>
      </c>
      <c r="B9648" s="192" t="s">
        <v>6876</v>
      </c>
      <c r="C9648" s="196">
        <v>-3320000</v>
      </c>
      <c r="D9648" s="196">
        <v>0</v>
      </c>
      <c r="E9648" s="196">
        <v>0</v>
      </c>
      <c r="F9648" s="196">
        <v>0</v>
      </c>
      <c r="G9648" s="196">
        <v>-3320000</v>
      </c>
    </row>
    <row r="9649" spans="1:7" x14ac:dyDescent="0.3">
      <c r="A9649" s="198">
        <v>1035871392</v>
      </c>
      <c r="B9649" s="192" t="s">
        <v>6877</v>
      </c>
      <c r="C9649" s="196">
        <v>-860000</v>
      </c>
      <c r="D9649" s="196">
        <v>0</v>
      </c>
      <c r="E9649" s="196">
        <v>0</v>
      </c>
      <c r="F9649" s="196">
        <v>0</v>
      </c>
      <c r="G9649" s="196">
        <v>-860000</v>
      </c>
    </row>
    <row r="9650" spans="1:7" x14ac:dyDescent="0.3">
      <c r="A9650" s="198">
        <v>1000398771</v>
      </c>
      <c r="B9650" s="192" t="s">
        <v>6878</v>
      </c>
      <c r="C9650" s="196">
        <v>-860000</v>
      </c>
      <c r="D9650" s="196">
        <v>0</v>
      </c>
      <c r="E9650" s="196">
        <v>0</v>
      </c>
      <c r="F9650" s="196">
        <v>0</v>
      </c>
      <c r="G9650" s="196">
        <v>-860000</v>
      </c>
    </row>
    <row r="9651" spans="1:7" x14ac:dyDescent="0.3">
      <c r="A9651" s="198">
        <v>1001004866</v>
      </c>
      <c r="B9651" s="192" t="s">
        <v>6879</v>
      </c>
      <c r="C9651" s="196">
        <v>-963000</v>
      </c>
      <c r="D9651" s="196">
        <v>0</v>
      </c>
      <c r="E9651" s="196">
        <v>0</v>
      </c>
      <c r="F9651" s="196">
        <v>0</v>
      </c>
      <c r="G9651" s="196">
        <v>-963000</v>
      </c>
    </row>
    <row r="9652" spans="1:7" x14ac:dyDescent="0.3">
      <c r="A9652" s="198">
        <v>1036400087</v>
      </c>
      <c r="B9652" s="192" t="s">
        <v>6880</v>
      </c>
      <c r="C9652" s="196">
        <v>-963000</v>
      </c>
      <c r="D9652" s="196">
        <v>0</v>
      </c>
      <c r="E9652" s="196">
        <v>0</v>
      </c>
      <c r="F9652" s="196">
        <v>0</v>
      </c>
      <c r="G9652" s="196">
        <v>-963000</v>
      </c>
    </row>
    <row r="9653" spans="1:7" x14ac:dyDescent="0.3">
      <c r="A9653" s="198">
        <v>1040047438</v>
      </c>
      <c r="B9653" s="192" t="s">
        <v>4932</v>
      </c>
      <c r="C9653" s="196">
        <v>-3275000</v>
      </c>
      <c r="D9653" s="196">
        <v>0</v>
      </c>
      <c r="E9653" s="196">
        <v>0</v>
      </c>
      <c r="F9653" s="196">
        <v>0</v>
      </c>
      <c r="G9653" s="196">
        <v>-3275000</v>
      </c>
    </row>
    <row r="9654" spans="1:7" x14ac:dyDescent="0.3">
      <c r="A9654" s="198">
        <v>1045528401</v>
      </c>
      <c r="B9654" s="192" t="s">
        <v>1105</v>
      </c>
      <c r="C9654" s="196">
        <v>0</v>
      </c>
      <c r="D9654" s="196">
        <v>0</v>
      </c>
      <c r="E9654" s="196">
        <v>963000</v>
      </c>
      <c r="F9654" s="196">
        <v>-963000</v>
      </c>
      <c r="G9654" s="196">
        <v>-963000</v>
      </c>
    </row>
    <row r="9655" spans="1:7" x14ac:dyDescent="0.3">
      <c r="A9655" s="198">
        <v>1152465472</v>
      </c>
      <c r="B9655" s="192" t="s">
        <v>6881</v>
      </c>
      <c r="C9655" s="196">
        <v>-860000</v>
      </c>
      <c r="D9655" s="196">
        <v>0</v>
      </c>
      <c r="E9655" s="196">
        <v>0</v>
      </c>
      <c r="F9655" s="196">
        <v>0</v>
      </c>
      <c r="G9655" s="196">
        <v>-860000</v>
      </c>
    </row>
    <row r="9656" spans="1:7" x14ac:dyDescent="0.3">
      <c r="A9656" s="198">
        <v>1152686479</v>
      </c>
      <c r="B9656" s="192" t="s">
        <v>6882</v>
      </c>
      <c r="C9656" s="196">
        <v>-3175000</v>
      </c>
      <c r="D9656" s="196">
        <v>0</v>
      </c>
      <c r="E9656" s="196">
        <v>0</v>
      </c>
      <c r="F9656" s="196">
        <v>0</v>
      </c>
      <c r="G9656" s="196">
        <v>-3175000</v>
      </c>
    </row>
    <row r="9657" spans="1:7" x14ac:dyDescent="0.3">
      <c r="A9657" s="198">
        <v>1040747206</v>
      </c>
      <c r="B9657" s="192" t="s">
        <v>1687</v>
      </c>
      <c r="C9657" s="196">
        <v>-4561600</v>
      </c>
      <c r="D9657" s="196">
        <v>0</v>
      </c>
      <c r="E9657" s="196">
        <v>0</v>
      </c>
      <c r="F9657" s="196">
        <v>0</v>
      </c>
      <c r="G9657" s="196">
        <v>-4561600</v>
      </c>
    </row>
    <row r="9658" spans="1:7" x14ac:dyDescent="0.3">
      <c r="A9658" s="198">
        <v>1234988980</v>
      </c>
      <c r="B9658" s="192" t="s">
        <v>1108</v>
      </c>
      <c r="C9658" s="196">
        <v>0</v>
      </c>
      <c r="D9658" s="196">
        <v>0</v>
      </c>
      <c r="E9658" s="196">
        <v>963000</v>
      </c>
      <c r="F9658" s="196">
        <v>-963000</v>
      </c>
      <c r="G9658" s="196">
        <v>-963000</v>
      </c>
    </row>
    <row r="9659" spans="1:7" x14ac:dyDescent="0.3">
      <c r="A9659" s="198">
        <v>1214739519</v>
      </c>
      <c r="B9659" s="192" t="s">
        <v>6883</v>
      </c>
      <c r="C9659" s="196">
        <v>-963000</v>
      </c>
      <c r="D9659" s="196">
        <v>0</v>
      </c>
      <c r="E9659" s="196">
        <v>0</v>
      </c>
      <c r="F9659" s="196">
        <v>0</v>
      </c>
      <c r="G9659" s="196">
        <v>-963000</v>
      </c>
    </row>
    <row r="9660" spans="1:7" x14ac:dyDescent="0.3">
      <c r="A9660" s="198">
        <v>1041234315</v>
      </c>
      <c r="B9660" s="192" t="s">
        <v>6884</v>
      </c>
      <c r="C9660" s="196">
        <v>-860000</v>
      </c>
      <c r="D9660" s="196">
        <v>0</v>
      </c>
      <c r="E9660" s="196">
        <v>0</v>
      </c>
      <c r="F9660" s="196">
        <v>0</v>
      </c>
      <c r="G9660" s="196">
        <v>-860000</v>
      </c>
    </row>
    <row r="9661" spans="1:7" x14ac:dyDescent="0.3">
      <c r="A9661" s="198">
        <v>1001013998</v>
      </c>
      <c r="B9661" s="192" t="s">
        <v>4937</v>
      </c>
      <c r="C9661" s="196">
        <v>-3825000</v>
      </c>
      <c r="D9661" s="196">
        <v>0</v>
      </c>
      <c r="E9661" s="196">
        <v>0</v>
      </c>
      <c r="F9661" s="196">
        <v>0</v>
      </c>
      <c r="G9661" s="196">
        <v>-3825000</v>
      </c>
    </row>
    <row r="9662" spans="1:7" x14ac:dyDescent="0.3">
      <c r="A9662" s="198">
        <v>22184849</v>
      </c>
      <c r="B9662" s="192" t="s">
        <v>6885</v>
      </c>
      <c r="C9662" s="196">
        <v>-396000</v>
      </c>
      <c r="D9662" s="196">
        <v>0</v>
      </c>
      <c r="E9662" s="196">
        <v>0</v>
      </c>
      <c r="F9662" s="196">
        <v>0</v>
      </c>
      <c r="G9662" s="196">
        <v>-396000</v>
      </c>
    </row>
    <row r="9663" spans="1:7" x14ac:dyDescent="0.3">
      <c r="A9663" s="192" t="s">
        <v>1110</v>
      </c>
      <c r="B9663" s="192" t="s">
        <v>1111</v>
      </c>
      <c r="C9663" s="196">
        <v>0</v>
      </c>
      <c r="D9663" s="196">
        <v>0</v>
      </c>
      <c r="E9663" s="196">
        <v>14133000</v>
      </c>
      <c r="F9663" s="196">
        <v>-14133000</v>
      </c>
      <c r="G9663" s="196">
        <v>-14133000</v>
      </c>
    </row>
    <row r="9664" spans="1:7" x14ac:dyDescent="0.3">
      <c r="A9664" s="198">
        <v>21823038</v>
      </c>
      <c r="B9664" s="192" t="s">
        <v>1112</v>
      </c>
      <c r="C9664" s="196">
        <v>-57201</v>
      </c>
      <c r="D9664" s="196">
        <v>0</v>
      </c>
      <c r="E9664" s="196">
        <v>0</v>
      </c>
      <c r="F9664" s="196">
        <v>0</v>
      </c>
      <c r="G9664" s="196">
        <v>-57201</v>
      </c>
    </row>
    <row r="9665" spans="1:7" x14ac:dyDescent="0.3">
      <c r="A9665" s="198">
        <v>21810555</v>
      </c>
      <c r="B9665" s="192" t="s">
        <v>6886</v>
      </c>
      <c r="C9665" s="196">
        <v>-4133000</v>
      </c>
      <c r="D9665" s="196">
        <v>0</v>
      </c>
      <c r="E9665" s="196">
        <v>0</v>
      </c>
      <c r="F9665" s="196">
        <v>0</v>
      </c>
      <c r="G9665" s="196">
        <v>-4133000</v>
      </c>
    </row>
    <row r="9666" spans="1:7" x14ac:dyDescent="0.3">
      <c r="A9666" s="198">
        <v>1113693083</v>
      </c>
      <c r="B9666" s="192" t="s">
        <v>6887</v>
      </c>
      <c r="C9666" s="196">
        <v>-860000</v>
      </c>
      <c r="D9666" s="196">
        <v>0</v>
      </c>
      <c r="E9666" s="196">
        <v>0</v>
      </c>
      <c r="F9666" s="196">
        <v>0</v>
      </c>
      <c r="G9666" s="196">
        <v>-860000</v>
      </c>
    </row>
    <row r="9667" spans="1:7" x14ac:dyDescent="0.3">
      <c r="A9667" s="198">
        <v>1037668699</v>
      </c>
      <c r="B9667" s="192" t="s">
        <v>6888</v>
      </c>
      <c r="C9667" s="196">
        <v>-860000</v>
      </c>
      <c r="D9667" s="196">
        <v>0</v>
      </c>
      <c r="E9667" s="196">
        <v>0</v>
      </c>
      <c r="F9667" s="196">
        <v>0</v>
      </c>
      <c r="G9667" s="196">
        <v>-860000</v>
      </c>
    </row>
    <row r="9668" spans="1:7" x14ac:dyDescent="0.3">
      <c r="A9668" s="198">
        <v>1001420013</v>
      </c>
      <c r="B9668" s="192" t="s">
        <v>1116</v>
      </c>
      <c r="C9668" s="196">
        <v>0</v>
      </c>
      <c r="D9668" s="196">
        <v>0</v>
      </c>
      <c r="E9668" s="196">
        <v>10842800</v>
      </c>
      <c r="F9668" s="196">
        <v>-10842800</v>
      </c>
      <c r="G9668" s="196">
        <v>-10842800</v>
      </c>
    </row>
    <row r="9669" spans="1:7" x14ac:dyDescent="0.3">
      <c r="A9669" s="198">
        <v>1152698099</v>
      </c>
      <c r="B9669" s="192" t="s">
        <v>6889</v>
      </c>
      <c r="C9669" s="196">
        <v>-963000</v>
      </c>
      <c r="D9669" s="196">
        <v>0</v>
      </c>
      <c r="E9669" s="196">
        <v>0</v>
      </c>
      <c r="F9669" s="196">
        <v>0</v>
      </c>
      <c r="G9669" s="196">
        <v>-963000</v>
      </c>
    </row>
    <row r="9670" spans="1:7" x14ac:dyDescent="0.3">
      <c r="A9670" s="198">
        <v>1039450790</v>
      </c>
      <c r="B9670" s="192" t="s">
        <v>6890</v>
      </c>
      <c r="C9670" s="196">
        <v>-963000</v>
      </c>
      <c r="D9670" s="196">
        <v>0</v>
      </c>
      <c r="E9670" s="196">
        <v>0</v>
      </c>
      <c r="F9670" s="196">
        <v>0</v>
      </c>
      <c r="G9670" s="196">
        <v>-963000</v>
      </c>
    </row>
    <row r="9671" spans="1:7" x14ac:dyDescent="0.3">
      <c r="A9671" s="198">
        <v>1035920357</v>
      </c>
      <c r="B9671" s="192" t="s">
        <v>6891</v>
      </c>
      <c r="C9671" s="196">
        <v>-860000</v>
      </c>
      <c r="D9671" s="196">
        <v>0</v>
      </c>
      <c r="E9671" s="196">
        <v>0</v>
      </c>
      <c r="F9671" s="196">
        <v>0</v>
      </c>
      <c r="G9671" s="196">
        <v>-860000</v>
      </c>
    </row>
    <row r="9672" spans="1:7" x14ac:dyDescent="0.3">
      <c r="A9672" s="198">
        <v>1022144984</v>
      </c>
      <c r="B9672" s="192" t="s">
        <v>6892</v>
      </c>
      <c r="C9672" s="196">
        <v>-860000</v>
      </c>
      <c r="D9672" s="196">
        <v>0</v>
      </c>
      <c r="E9672" s="196">
        <v>0</v>
      </c>
      <c r="F9672" s="196">
        <v>0</v>
      </c>
      <c r="G9672" s="196">
        <v>-860000</v>
      </c>
    </row>
    <row r="9673" spans="1:7" x14ac:dyDescent="0.3">
      <c r="A9673" s="198">
        <v>1003076672</v>
      </c>
      <c r="B9673" s="192" t="s">
        <v>1120</v>
      </c>
      <c r="C9673" s="196">
        <v>0</v>
      </c>
      <c r="D9673" s="196">
        <v>0</v>
      </c>
      <c r="E9673" s="196">
        <v>963000</v>
      </c>
      <c r="F9673" s="196">
        <v>-963000</v>
      </c>
      <c r="G9673" s="196">
        <v>-963000</v>
      </c>
    </row>
    <row r="9674" spans="1:7" x14ac:dyDescent="0.3">
      <c r="A9674" s="198">
        <v>1041440035</v>
      </c>
      <c r="B9674" s="192" t="s">
        <v>1121</v>
      </c>
      <c r="C9674" s="196">
        <v>0</v>
      </c>
      <c r="D9674" s="196">
        <v>0</v>
      </c>
      <c r="E9674" s="196">
        <v>963000</v>
      </c>
      <c r="F9674" s="196">
        <v>-963000</v>
      </c>
      <c r="G9674" s="196">
        <v>-963000</v>
      </c>
    </row>
    <row r="9675" spans="1:7" x14ac:dyDescent="0.3">
      <c r="A9675" s="198">
        <v>1000100909</v>
      </c>
      <c r="B9675" s="192" t="s">
        <v>1122</v>
      </c>
      <c r="C9675" s="196">
        <v>0</v>
      </c>
      <c r="D9675" s="196">
        <v>0</v>
      </c>
      <c r="E9675" s="196">
        <v>963000</v>
      </c>
      <c r="F9675" s="196">
        <v>-963000</v>
      </c>
      <c r="G9675" s="196">
        <v>-963000</v>
      </c>
    </row>
    <row r="9676" spans="1:7" x14ac:dyDescent="0.3">
      <c r="A9676" s="198">
        <v>39441102</v>
      </c>
      <c r="B9676" s="192" t="s">
        <v>6893</v>
      </c>
      <c r="C9676" s="196">
        <v>-450000</v>
      </c>
      <c r="D9676" s="196">
        <v>0</v>
      </c>
      <c r="E9676" s="196">
        <v>0</v>
      </c>
      <c r="F9676" s="196">
        <v>0</v>
      </c>
      <c r="G9676" s="196">
        <v>-450000</v>
      </c>
    </row>
    <row r="9677" spans="1:7" x14ac:dyDescent="0.3">
      <c r="A9677" s="198">
        <v>32459151</v>
      </c>
      <c r="B9677" s="192" t="s">
        <v>6894</v>
      </c>
      <c r="C9677" s="196">
        <v>-4133000</v>
      </c>
      <c r="D9677" s="196">
        <v>0</v>
      </c>
      <c r="E9677" s="196">
        <v>0</v>
      </c>
      <c r="F9677" s="196">
        <v>0</v>
      </c>
      <c r="G9677" s="196">
        <v>-4133000</v>
      </c>
    </row>
    <row r="9678" spans="1:7" x14ac:dyDescent="0.3">
      <c r="A9678" s="198">
        <v>1067636707</v>
      </c>
      <c r="B9678" s="192" t="s">
        <v>4988</v>
      </c>
      <c r="C9678" s="196">
        <v>-6433200</v>
      </c>
      <c r="D9678" s="196">
        <v>0</v>
      </c>
      <c r="E9678" s="196">
        <v>0</v>
      </c>
      <c r="F9678" s="196">
        <v>0</v>
      </c>
      <c r="G9678" s="196">
        <v>-6433200</v>
      </c>
    </row>
    <row r="9679" spans="1:7" x14ac:dyDescent="0.3">
      <c r="A9679" s="198">
        <v>1152205930</v>
      </c>
      <c r="B9679" s="192" t="s">
        <v>4998</v>
      </c>
      <c r="C9679" s="196">
        <v>-4678000</v>
      </c>
      <c r="D9679" s="196">
        <v>0</v>
      </c>
      <c r="E9679" s="196">
        <v>0</v>
      </c>
      <c r="F9679" s="196">
        <v>0</v>
      </c>
      <c r="G9679" s="196">
        <v>-4678000</v>
      </c>
    </row>
    <row r="9680" spans="1:7" x14ac:dyDescent="0.3">
      <c r="A9680" s="198">
        <v>42938356</v>
      </c>
      <c r="B9680" s="192" t="s">
        <v>6895</v>
      </c>
      <c r="C9680" s="196">
        <v>-4133000</v>
      </c>
      <c r="D9680" s="196">
        <v>0</v>
      </c>
      <c r="E9680" s="196">
        <v>0</v>
      </c>
      <c r="F9680" s="196">
        <v>0</v>
      </c>
      <c r="G9680" s="196">
        <v>-4133000</v>
      </c>
    </row>
    <row r="9681" spans="1:7" x14ac:dyDescent="0.3">
      <c r="A9681" s="198">
        <v>43009321</v>
      </c>
      <c r="B9681" s="192" t="s">
        <v>6896</v>
      </c>
      <c r="C9681" s="196">
        <v>-57200</v>
      </c>
      <c r="D9681" s="196">
        <v>0</v>
      </c>
      <c r="E9681" s="196">
        <v>0</v>
      </c>
      <c r="F9681" s="196">
        <v>0</v>
      </c>
      <c r="G9681" s="196">
        <v>-57200</v>
      </c>
    </row>
    <row r="9682" spans="1:7" x14ac:dyDescent="0.3">
      <c r="A9682" s="198">
        <v>1079933890</v>
      </c>
      <c r="B9682" s="192" t="s">
        <v>6897</v>
      </c>
      <c r="C9682" s="196">
        <v>-860000</v>
      </c>
      <c r="D9682" s="196">
        <v>0</v>
      </c>
      <c r="E9682" s="196">
        <v>0</v>
      </c>
      <c r="F9682" s="196">
        <v>0</v>
      </c>
      <c r="G9682" s="196">
        <v>-860000</v>
      </c>
    </row>
    <row r="9683" spans="1:7" x14ac:dyDescent="0.3">
      <c r="A9683" s="198">
        <v>21304016</v>
      </c>
      <c r="B9683" s="192" t="s">
        <v>6898</v>
      </c>
      <c r="C9683" s="196">
        <v>-100000</v>
      </c>
      <c r="D9683" s="196">
        <v>0</v>
      </c>
      <c r="E9683" s="196">
        <v>0</v>
      </c>
      <c r="F9683" s="196">
        <v>0</v>
      </c>
      <c r="G9683" s="196">
        <v>-100000</v>
      </c>
    </row>
    <row r="9684" spans="1:7" x14ac:dyDescent="0.3">
      <c r="A9684" s="198">
        <v>32336360</v>
      </c>
      <c r="B9684" s="192" t="s">
        <v>6899</v>
      </c>
      <c r="C9684" s="196">
        <v>-2895000</v>
      </c>
      <c r="D9684" s="196">
        <v>0</v>
      </c>
      <c r="E9684" s="196">
        <v>0</v>
      </c>
      <c r="F9684" s="196">
        <v>0</v>
      </c>
      <c r="G9684" s="196">
        <v>-2895000</v>
      </c>
    </row>
    <row r="9685" spans="1:7" x14ac:dyDescent="0.3">
      <c r="A9685" s="198">
        <v>23196136</v>
      </c>
      <c r="B9685" s="192" t="s">
        <v>1128</v>
      </c>
      <c r="C9685" s="196">
        <v>-1703350</v>
      </c>
      <c r="D9685" s="196">
        <v>0</v>
      </c>
      <c r="E9685" s="196">
        <v>1703000</v>
      </c>
      <c r="F9685" s="196">
        <v>-1703000</v>
      </c>
      <c r="G9685" s="196">
        <v>-3406350</v>
      </c>
    </row>
    <row r="9686" spans="1:7" x14ac:dyDescent="0.3">
      <c r="A9686" s="198">
        <v>1222454908</v>
      </c>
      <c r="B9686" s="192" t="s">
        <v>6900</v>
      </c>
      <c r="C9686" s="196">
        <v>-963000</v>
      </c>
      <c r="D9686" s="196">
        <v>0</v>
      </c>
      <c r="E9686" s="196">
        <v>0</v>
      </c>
      <c r="F9686" s="196">
        <v>0</v>
      </c>
      <c r="G9686" s="196">
        <v>-963000</v>
      </c>
    </row>
    <row r="9687" spans="1:7" x14ac:dyDescent="0.3">
      <c r="A9687" s="198">
        <v>1007109746</v>
      </c>
      <c r="B9687" s="192" t="s">
        <v>6901</v>
      </c>
      <c r="C9687" s="196">
        <v>-963000</v>
      </c>
      <c r="D9687" s="196">
        <v>0</v>
      </c>
      <c r="E9687" s="196">
        <v>0</v>
      </c>
      <c r="F9687" s="196">
        <v>0</v>
      </c>
      <c r="G9687" s="196">
        <v>-963000</v>
      </c>
    </row>
    <row r="9688" spans="1:7" x14ac:dyDescent="0.3">
      <c r="A9688" s="198">
        <v>32446971</v>
      </c>
      <c r="B9688" s="192" t="s">
        <v>5016</v>
      </c>
      <c r="C9688" s="196">
        <v>-85000</v>
      </c>
      <c r="D9688" s="196">
        <v>0</v>
      </c>
      <c r="E9688" s="196">
        <v>0</v>
      </c>
      <c r="F9688" s="196">
        <v>0</v>
      </c>
      <c r="G9688" s="196">
        <v>-85000</v>
      </c>
    </row>
    <row r="9689" spans="1:7" x14ac:dyDescent="0.3">
      <c r="A9689" s="198">
        <v>22056651</v>
      </c>
      <c r="B9689" s="192" t="s">
        <v>5019</v>
      </c>
      <c r="C9689" s="196">
        <v>-9557800</v>
      </c>
      <c r="D9689" s="196">
        <v>0</v>
      </c>
      <c r="E9689" s="196">
        <v>0</v>
      </c>
      <c r="F9689" s="196">
        <v>0</v>
      </c>
      <c r="G9689" s="196">
        <v>-9557800</v>
      </c>
    </row>
    <row r="9690" spans="1:7" x14ac:dyDescent="0.3">
      <c r="A9690" s="198">
        <v>21929400</v>
      </c>
      <c r="B9690" s="192" t="s">
        <v>1134</v>
      </c>
      <c r="C9690" s="196">
        <v>0</v>
      </c>
      <c r="D9690" s="196">
        <v>0</v>
      </c>
      <c r="E9690" s="196">
        <v>4133000</v>
      </c>
      <c r="F9690" s="196">
        <v>-4133000</v>
      </c>
      <c r="G9690" s="196">
        <v>-4133000</v>
      </c>
    </row>
    <row r="9691" spans="1:7" x14ac:dyDescent="0.3">
      <c r="A9691" s="198">
        <v>22115821</v>
      </c>
      <c r="B9691" s="192" t="s">
        <v>1135</v>
      </c>
      <c r="C9691" s="196">
        <v>-3861600</v>
      </c>
      <c r="D9691" s="196">
        <v>0</v>
      </c>
      <c r="E9691" s="196">
        <v>0</v>
      </c>
      <c r="F9691" s="196">
        <v>0</v>
      </c>
      <c r="G9691" s="196">
        <v>-3861600</v>
      </c>
    </row>
    <row r="9692" spans="1:7" x14ac:dyDescent="0.3">
      <c r="A9692" s="198">
        <v>35499965</v>
      </c>
      <c r="B9692" s="192" t="s">
        <v>5022</v>
      </c>
      <c r="C9692" s="196">
        <v>-57200</v>
      </c>
      <c r="D9692" s="196">
        <v>0</v>
      </c>
      <c r="E9692" s="196">
        <v>0</v>
      </c>
      <c r="F9692" s="196">
        <v>0</v>
      </c>
      <c r="G9692" s="196">
        <v>-57200</v>
      </c>
    </row>
    <row r="9693" spans="1:7" x14ac:dyDescent="0.3">
      <c r="A9693" s="198">
        <v>32461352</v>
      </c>
      <c r="B9693" s="192" t="s">
        <v>1136</v>
      </c>
      <c r="C9693" s="196">
        <v>-57200</v>
      </c>
      <c r="D9693" s="196">
        <v>0</v>
      </c>
      <c r="E9693" s="196">
        <v>0</v>
      </c>
      <c r="F9693" s="196">
        <v>0</v>
      </c>
      <c r="G9693" s="196">
        <v>-57200</v>
      </c>
    </row>
    <row r="9694" spans="1:7" x14ac:dyDescent="0.3">
      <c r="A9694" s="198">
        <v>32523533</v>
      </c>
      <c r="B9694" s="192" t="s">
        <v>6902</v>
      </c>
      <c r="C9694" s="196">
        <v>-57200</v>
      </c>
      <c r="D9694" s="196">
        <v>0</v>
      </c>
      <c r="E9694" s="196">
        <v>0</v>
      </c>
      <c r="F9694" s="196">
        <v>0</v>
      </c>
      <c r="G9694" s="196">
        <v>-57200</v>
      </c>
    </row>
    <row r="9695" spans="1:7" x14ac:dyDescent="0.3">
      <c r="A9695" s="198">
        <v>32336151</v>
      </c>
      <c r="B9695" s="192" t="s">
        <v>1138</v>
      </c>
      <c r="C9695" s="196">
        <v>0</v>
      </c>
      <c r="D9695" s="196">
        <v>0</v>
      </c>
      <c r="E9695" s="196">
        <v>2500000</v>
      </c>
      <c r="F9695" s="196">
        <v>-2500000</v>
      </c>
      <c r="G9695" s="196">
        <v>-2500000</v>
      </c>
    </row>
    <row r="9696" spans="1:7" x14ac:dyDescent="0.3">
      <c r="A9696" s="198">
        <v>43005509</v>
      </c>
      <c r="B9696" s="192" t="s">
        <v>6903</v>
      </c>
      <c r="C9696" s="196">
        <v>-3722400</v>
      </c>
      <c r="D9696" s="196">
        <v>0</v>
      </c>
      <c r="E9696" s="196">
        <v>0</v>
      </c>
      <c r="F9696" s="196">
        <v>0</v>
      </c>
      <c r="G9696" s="196">
        <v>-3722400</v>
      </c>
    </row>
    <row r="9697" spans="1:7" x14ac:dyDescent="0.3">
      <c r="A9697" s="198">
        <v>32441670</v>
      </c>
      <c r="B9697" s="192" t="s">
        <v>1139</v>
      </c>
      <c r="C9697" s="196">
        <v>-2010000</v>
      </c>
      <c r="D9697" s="196">
        <v>0</v>
      </c>
      <c r="E9697" s="196">
        <v>0</v>
      </c>
      <c r="F9697" s="196">
        <v>0</v>
      </c>
      <c r="G9697" s="196">
        <v>-2010000</v>
      </c>
    </row>
    <row r="9698" spans="1:7" x14ac:dyDescent="0.3">
      <c r="A9698" s="198">
        <v>51570259</v>
      </c>
      <c r="B9698" s="192" t="s">
        <v>1143</v>
      </c>
      <c r="C9698" s="196">
        <v>-783000</v>
      </c>
      <c r="D9698" s="196">
        <v>0</v>
      </c>
      <c r="E9698" s="196">
        <v>0</v>
      </c>
      <c r="F9698" s="196">
        <v>0</v>
      </c>
      <c r="G9698" s="196">
        <v>-783000</v>
      </c>
    </row>
    <row r="9699" spans="1:7" x14ac:dyDescent="0.3">
      <c r="A9699" s="198">
        <v>21990502</v>
      </c>
      <c r="B9699" s="192" t="s">
        <v>6904</v>
      </c>
      <c r="C9699" s="196">
        <v>-7500000</v>
      </c>
      <c r="D9699" s="196">
        <v>0</v>
      </c>
      <c r="E9699" s="196">
        <v>0</v>
      </c>
      <c r="F9699" s="196">
        <v>0</v>
      </c>
      <c r="G9699" s="196">
        <v>-7500000</v>
      </c>
    </row>
    <row r="9700" spans="1:7" x14ac:dyDescent="0.3">
      <c r="A9700" s="198">
        <v>38865813</v>
      </c>
      <c r="B9700" s="192" t="s">
        <v>5035</v>
      </c>
      <c r="C9700" s="196">
        <v>-9133000</v>
      </c>
      <c r="D9700" s="196">
        <v>0</v>
      </c>
      <c r="E9700" s="196">
        <v>0</v>
      </c>
      <c r="F9700" s="196">
        <v>0</v>
      </c>
      <c r="G9700" s="196">
        <v>-9133000</v>
      </c>
    </row>
    <row r="9701" spans="1:7" x14ac:dyDescent="0.3">
      <c r="A9701" s="198">
        <v>43583379</v>
      </c>
      <c r="B9701" s="192" t="s">
        <v>6905</v>
      </c>
      <c r="C9701" s="196">
        <v>-3722400</v>
      </c>
      <c r="D9701" s="196">
        <v>0</v>
      </c>
      <c r="E9701" s="196">
        <v>0</v>
      </c>
      <c r="F9701" s="196">
        <v>0</v>
      </c>
      <c r="G9701" s="196">
        <v>-3722400</v>
      </c>
    </row>
    <row r="9702" spans="1:7" x14ac:dyDescent="0.3">
      <c r="A9702" s="198">
        <v>42770179</v>
      </c>
      <c r="B9702" s="192" t="s">
        <v>6906</v>
      </c>
      <c r="C9702" s="196">
        <v>-593000</v>
      </c>
      <c r="D9702" s="196">
        <v>0</v>
      </c>
      <c r="E9702" s="196">
        <v>0</v>
      </c>
      <c r="F9702" s="196">
        <v>0</v>
      </c>
      <c r="G9702" s="196">
        <v>-593000</v>
      </c>
    </row>
    <row r="9703" spans="1:7" x14ac:dyDescent="0.3">
      <c r="A9703" s="198">
        <v>32470983</v>
      </c>
      <c r="B9703" s="192" t="s">
        <v>6907</v>
      </c>
      <c r="C9703" s="196">
        <v>-6171000</v>
      </c>
      <c r="D9703" s="196">
        <v>0</v>
      </c>
      <c r="E9703" s="196">
        <v>0</v>
      </c>
      <c r="F9703" s="196">
        <v>0</v>
      </c>
      <c r="G9703" s="196">
        <v>-6171000</v>
      </c>
    </row>
    <row r="9704" spans="1:7" x14ac:dyDescent="0.3">
      <c r="A9704" s="198">
        <v>42784632</v>
      </c>
      <c r="B9704" s="192" t="s">
        <v>1144</v>
      </c>
      <c r="C9704" s="196">
        <v>0</v>
      </c>
      <c r="D9704" s="196">
        <v>0</v>
      </c>
      <c r="E9704" s="196">
        <v>1733400</v>
      </c>
      <c r="F9704" s="196">
        <v>-1733400</v>
      </c>
      <c r="G9704" s="196">
        <v>-1733400</v>
      </c>
    </row>
    <row r="9705" spans="1:7" x14ac:dyDescent="0.3">
      <c r="A9705" s="198">
        <v>1018240433</v>
      </c>
      <c r="B9705" s="192" t="s">
        <v>1146</v>
      </c>
      <c r="C9705" s="196">
        <v>0</v>
      </c>
      <c r="D9705" s="196">
        <v>0</v>
      </c>
      <c r="E9705" s="196">
        <v>963000</v>
      </c>
      <c r="F9705" s="196">
        <v>-963000</v>
      </c>
      <c r="G9705" s="196">
        <v>-963000</v>
      </c>
    </row>
    <row r="9706" spans="1:7" x14ac:dyDescent="0.3">
      <c r="A9706" s="198">
        <v>1007676550</v>
      </c>
      <c r="B9706" s="192" t="s">
        <v>1149</v>
      </c>
      <c r="C9706" s="196">
        <v>0</v>
      </c>
      <c r="D9706" s="196">
        <v>0</v>
      </c>
      <c r="E9706" s="196">
        <v>963000</v>
      </c>
      <c r="F9706" s="196">
        <v>-963000</v>
      </c>
      <c r="G9706" s="196">
        <v>-963000</v>
      </c>
    </row>
    <row r="9707" spans="1:7" x14ac:dyDescent="0.3">
      <c r="A9707" s="198">
        <v>1045050462</v>
      </c>
      <c r="B9707" s="192" t="s">
        <v>6908</v>
      </c>
      <c r="C9707" s="196">
        <v>-860000</v>
      </c>
      <c r="D9707" s="196">
        <v>0</v>
      </c>
      <c r="E9707" s="196">
        <v>0</v>
      </c>
      <c r="F9707" s="196">
        <v>0</v>
      </c>
      <c r="G9707" s="196">
        <v>-860000</v>
      </c>
    </row>
    <row r="9708" spans="1:7" x14ac:dyDescent="0.3">
      <c r="A9708" s="198">
        <v>21926012</v>
      </c>
      <c r="B9708" s="192" t="s">
        <v>1150</v>
      </c>
      <c r="C9708" s="196">
        <v>0</v>
      </c>
      <c r="D9708" s="196">
        <v>0</v>
      </c>
      <c r="E9708" s="196">
        <v>504000</v>
      </c>
      <c r="F9708" s="196">
        <v>-504000</v>
      </c>
      <c r="G9708" s="196">
        <v>-504000</v>
      </c>
    </row>
    <row r="9709" spans="1:7" x14ac:dyDescent="0.3">
      <c r="A9709" s="198">
        <v>21679033</v>
      </c>
      <c r="B9709" s="192" t="s">
        <v>6909</v>
      </c>
      <c r="C9709" s="196">
        <v>-954000</v>
      </c>
      <c r="D9709" s="196">
        <v>0</v>
      </c>
      <c r="E9709" s="196">
        <v>0</v>
      </c>
      <c r="F9709" s="196">
        <v>0</v>
      </c>
      <c r="G9709" s="196">
        <v>-954000</v>
      </c>
    </row>
    <row r="9710" spans="1:7" x14ac:dyDescent="0.3">
      <c r="A9710" s="198">
        <v>43527032</v>
      </c>
      <c r="B9710" s="192" t="s">
        <v>1151</v>
      </c>
      <c r="C9710" s="196">
        <v>-57200</v>
      </c>
      <c r="D9710" s="196">
        <v>0</v>
      </c>
      <c r="E9710" s="196">
        <v>0</v>
      </c>
      <c r="F9710" s="196">
        <v>0</v>
      </c>
      <c r="G9710" s="196">
        <v>-57200</v>
      </c>
    </row>
    <row r="9711" spans="1:7" x14ac:dyDescent="0.3">
      <c r="A9711" s="198">
        <v>25093145</v>
      </c>
      <c r="B9711" s="192" t="s">
        <v>5051</v>
      </c>
      <c r="C9711" s="196">
        <v>-1703000</v>
      </c>
      <c r="D9711" s="196">
        <v>0</v>
      </c>
      <c r="E9711" s="196">
        <v>0</v>
      </c>
      <c r="F9711" s="196">
        <v>0</v>
      </c>
      <c r="G9711" s="196">
        <v>-1703000</v>
      </c>
    </row>
    <row r="9712" spans="1:7" x14ac:dyDescent="0.3">
      <c r="A9712" s="198">
        <v>21685449</v>
      </c>
      <c r="B9712" s="192" t="s">
        <v>5052</v>
      </c>
      <c r="C9712" s="196">
        <v>-1672000</v>
      </c>
      <c r="D9712" s="196">
        <v>0</v>
      </c>
      <c r="E9712" s="196">
        <v>0</v>
      </c>
      <c r="F9712" s="196">
        <v>0</v>
      </c>
      <c r="G9712" s="196">
        <v>-1672000</v>
      </c>
    </row>
    <row r="9713" spans="1:7" x14ac:dyDescent="0.3">
      <c r="A9713" s="198">
        <v>22098018</v>
      </c>
      <c r="B9713" s="192" t="s">
        <v>5055</v>
      </c>
      <c r="C9713" s="196">
        <v>-4240000</v>
      </c>
      <c r="D9713" s="196">
        <v>0</v>
      </c>
      <c r="E9713" s="196">
        <v>0</v>
      </c>
      <c r="F9713" s="196">
        <v>0</v>
      </c>
      <c r="G9713" s="196">
        <v>-4240000</v>
      </c>
    </row>
    <row r="9714" spans="1:7" x14ac:dyDescent="0.3">
      <c r="A9714" s="198">
        <v>43078082</v>
      </c>
      <c r="B9714" s="192" t="s">
        <v>6910</v>
      </c>
      <c r="C9714" s="196">
        <v>-2710000</v>
      </c>
      <c r="D9714" s="196">
        <v>0</v>
      </c>
      <c r="E9714" s="196">
        <v>0</v>
      </c>
      <c r="F9714" s="196">
        <v>0</v>
      </c>
      <c r="G9714" s="196">
        <v>-2710000</v>
      </c>
    </row>
    <row r="9715" spans="1:7" x14ac:dyDescent="0.3">
      <c r="A9715" s="198">
        <v>1152219918</v>
      </c>
      <c r="B9715" s="192" t="s">
        <v>6911</v>
      </c>
      <c r="C9715" s="196">
        <v>-963000</v>
      </c>
      <c r="D9715" s="196">
        <v>0</v>
      </c>
      <c r="E9715" s="196">
        <v>0</v>
      </c>
      <c r="F9715" s="196">
        <v>0</v>
      </c>
      <c r="G9715" s="196">
        <v>-963000</v>
      </c>
    </row>
    <row r="9716" spans="1:7" x14ac:dyDescent="0.3">
      <c r="A9716" s="198">
        <v>1192729439</v>
      </c>
      <c r="B9716" s="192" t="s">
        <v>6912</v>
      </c>
      <c r="C9716" s="196">
        <v>-963000</v>
      </c>
      <c r="D9716" s="196">
        <v>0</v>
      </c>
      <c r="E9716" s="196">
        <v>0</v>
      </c>
      <c r="F9716" s="196">
        <v>0</v>
      </c>
      <c r="G9716" s="196">
        <v>-963000</v>
      </c>
    </row>
    <row r="9717" spans="1:7" x14ac:dyDescent="0.3">
      <c r="A9717" s="198">
        <v>1000099024</v>
      </c>
      <c r="B9717" s="192" t="s">
        <v>1157</v>
      </c>
      <c r="C9717" s="196">
        <v>0</v>
      </c>
      <c r="D9717" s="196">
        <v>0</v>
      </c>
      <c r="E9717" s="196">
        <v>963000</v>
      </c>
      <c r="F9717" s="196">
        <v>-963000</v>
      </c>
      <c r="G9717" s="196">
        <v>-963000</v>
      </c>
    </row>
    <row r="9718" spans="1:7" x14ac:dyDescent="0.3">
      <c r="A9718" s="198">
        <v>1040870387</v>
      </c>
      <c r="B9718" s="192" t="s">
        <v>5078</v>
      </c>
      <c r="C9718" s="196">
        <v>-3000000</v>
      </c>
      <c r="D9718" s="196">
        <v>0</v>
      </c>
      <c r="E9718" s="196">
        <v>0</v>
      </c>
      <c r="F9718" s="196">
        <v>0</v>
      </c>
      <c r="G9718" s="196">
        <v>-3000000</v>
      </c>
    </row>
    <row r="9719" spans="1:7" x14ac:dyDescent="0.3">
      <c r="A9719" s="198">
        <v>1095843402</v>
      </c>
      <c r="B9719" s="192" t="s">
        <v>1160</v>
      </c>
      <c r="C9719" s="196">
        <v>0</v>
      </c>
      <c r="D9719" s="196">
        <v>0</v>
      </c>
      <c r="E9719" s="196">
        <v>2710000</v>
      </c>
      <c r="F9719" s="196">
        <v>-2710000</v>
      </c>
      <c r="G9719" s="196">
        <v>-2710000</v>
      </c>
    </row>
    <row r="9720" spans="1:7" x14ac:dyDescent="0.3">
      <c r="A9720" s="198">
        <v>43785139</v>
      </c>
      <c r="B9720" s="192" t="s">
        <v>6913</v>
      </c>
      <c r="C9720" s="196">
        <v>-7233800</v>
      </c>
      <c r="D9720" s="196">
        <v>0</v>
      </c>
      <c r="E9720" s="196">
        <v>0</v>
      </c>
      <c r="F9720" s="196">
        <v>0</v>
      </c>
      <c r="G9720" s="196">
        <v>-7233800</v>
      </c>
    </row>
    <row r="9721" spans="1:7" x14ac:dyDescent="0.3">
      <c r="A9721" s="198">
        <v>39353922</v>
      </c>
      <c r="B9721" s="192" t="s">
        <v>6914</v>
      </c>
      <c r="C9721" s="196">
        <v>-870000</v>
      </c>
      <c r="D9721" s="196">
        <v>0</v>
      </c>
      <c r="E9721" s="196">
        <v>0</v>
      </c>
      <c r="F9721" s="196">
        <v>0</v>
      </c>
      <c r="G9721" s="196">
        <v>-870000</v>
      </c>
    </row>
    <row r="9722" spans="1:7" x14ac:dyDescent="0.3">
      <c r="A9722" s="198">
        <v>39296670</v>
      </c>
      <c r="B9722" s="192" t="s">
        <v>5103</v>
      </c>
      <c r="C9722" s="196">
        <v>-10196400</v>
      </c>
      <c r="D9722" s="196">
        <v>0</v>
      </c>
      <c r="E9722" s="196">
        <v>0</v>
      </c>
      <c r="F9722" s="196">
        <v>0</v>
      </c>
      <c r="G9722" s="196">
        <v>-10196400</v>
      </c>
    </row>
    <row r="9723" spans="1:7" x14ac:dyDescent="0.3">
      <c r="A9723" s="198">
        <v>1152221738</v>
      </c>
      <c r="B9723" s="192" t="s">
        <v>6915</v>
      </c>
      <c r="C9723" s="196">
        <v>-3652000</v>
      </c>
      <c r="D9723" s="196">
        <v>0</v>
      </c>
      <c r="E9723" s="196">
        <v>0</v>
      </c>
      <c r="F9723" s="196">
        <v>0</v>
      </c>
      <c r="G9723" s="196">
        <v>-3652000</v>
      </c>
    </row>
    <row r="9724" spans="1:7" x14ac:dyDescent="0.3">
      <c r="A9724" s="198">
        <v>40759477</v>
      </c>
      <c r="B9724" s="192" t="s">
        <v>5108</v>
      </c>
      <c r="C9724" s="196">
        <v>-13133000</v>
      </c>
      <c r="D9724" s="196">
        <v>0</v>
      </c>
      <c r="E9724" s="196">
        <v>0</v>
      </c>
      <c r="F9724" s="196">
        <v>0</v>
      </c>
      <c r="G9724" s="196">
        <v>-13133000</v>
      </c>
    </row>
    <row r="9725" spans="1:7" x14ac:dyDescent="0.3">
      <c r="A9725" s="198">
        <v>66752160</v>
      </c>
      <c r="B9725" s="192" t="s">
        <v>1167</v>
      </c>
      <c r="C9725" s="196">
        <v>0</v>
      </c>
      <c r="D9725" s="196">
        <v>0</v>
      </c>
      <c r="E9725" s="196">
        <v>1688000</v>
      </c>
      <c r="F9725" s="196">
        <v>-1688000</v>
      </c>
      <c r="G9725" s="196">
        <v>-1688000</v>
      </c>
    </row>
    <row r="9726" spans="1:7" x14ac:dyDescent="0.3">
      <c r="A9726" s="198">
        <v>42882239</v>
      </c>
      <c r="B9726" s="192" t="s">
        <v>1168</v>
      </c>
      <c r="C9726" s="196">
        <v>0</v>
      </c>
      <c r="D9726" s="196">
        <v>0</v>
      </c>
      <c r="E9726" s="196">
        <v>8338000</v>
      </c>
      <c r="F9726" s="196">
        <v>-8338000</v>
      </c>
      <c r="G9726" s="196">
        <v>-8338000</v>
      </c>
    </row>
    <row r="9727" spans="1:7" x14ac:dyDescent="0.3">
      <c r="A9727" s="198">
        <v>21363325</v>
      </c>
      <c r="B9727" s="192" t="s">
        <v>5110</v>
      </c>
      <c r="C9727" s="196">
        <v>-7238000</v>
      </c>
      <c r="D9727" s="196">
        <v>0</v>
      </c>
      <c r="E9727" s="196">
        <v>0</v>
      </c>
      <c r="F9727" s="196">
        <v>0</v>
      </c>
      <c r="G9727" s="196">
        <v>-7238000</v>
      </c>
    </row>
    <row r="9728" spans="1:7" x14ac:dyDescent="0.3">
      <c r="A9728" s="198">
        <v>42982846</v>
      </c>
      <c r="B9728" s="192" t="s">
        <v>6916</v>
      </c>
      <c r="C9728" s="196">
        <v>-3947000</v>
      </c>
      <c r="D9728" s="196">
        <v>0</v>
      </c>
      <c r="E9728" s="196">
        <v>0</v>
      </c>
      <c r="F9728" s="196">
        <v>0</v>
      </c>
      <c r="G9728" s="196">
        <v>-3947000</v>
      </c>
    </row>
    <row r="9729" spans="1:7" x14ac:dyDescent="0.3">
      <c r="A9729" s="198">
        <v>21667173</v>
      </c>
      <c r="B9729" s="192" t="s">
        <v>6917</v>
      </c>
      <c r="C9729" s="196">
        <v>-6676000</v>
      </c>
      <c r="D9729" s="196">
        <v>0</v>
      </c>
      <c r="E9729" s="196">
        <v>0</v>
      </c>
      <c r="F9729" s="196">
        <v>0</v>
      </c>
      <c r="G9729" s="196">
        <v>-6676000</v>
      </c>
    </row>
    <row r="9730" spans="1:7" x14ac:dyDescent="0.3">
      <c r="A9730" s="198">
        <v>22031992</v>
      </c>
      <c r="B9730" s="192" t="s">
        <v>6918</v>
      </c>
      <c r="C9730" s="196">
        <v>-3690000</v>
      </c>
      <c r="D9730" s="196">
        <v>0</v>
      </c>
      <c r="E9730" s="196">
        <v>0</v>
      </c>
      <c r="F9730" s="196">
        <v>0</v>
      </c>
      <c r="G9730" s="196">
        <v>-3690000</v>
      </c>
    </row>
    <row r="9731" spans="1:7" x14ac:dyDescent="0.3">
      <c r="A9731" s="198">
        <v>1036954474</v>
      </c>
      <c r="B9731" s="192" t="s">
        <v>6919</v>
      </c>
      <c r="C9731" s="196">
        <v>-860000</v>
      </c>
      <c r="D9731" s="196">
        <v>0</v>
      </c>
      <c r="E9731" s="196">
        <v>0</v>
      </c>
      <c r="F9731" s="196">
        <v>0</v>
      </c>
      <c r="G9731" s="196">
        <v>-860000</v>
      </c>
    </row>
    <row r="9732" spans="1:7" x14ac:dyDescent="0.3">
      <c r="A9732" s="198">
        <v>43032096</v>
      </c>
      <c r="B9732" s="192" t="s">
        <v>1170</v>
      </c>
      <c r="C9732" s="196">
        <v>-6534000</v>
      </c>
      <c r="D9732" s="196">
        <v>0</v>
      </c>
      <c r="E9732" s="196">
        <v>5000000</v>
      </c>
      <c r="F9732" s="196">
        <v>-5000000</v>
      </c>
      <c r="G9732" s="196">
        <v>-11534000</v>
      </c>
    </row>
    <row r="9733" spans="1:7" x14ac:dyDescent="0.3">
      <c r="A9733" s="198">
        <v>1097182276</v>
      </c>
      <c r="B9733" s="192" t="s">
        <v>5117</v>
      </c>
      <c r="C9733" s="196">
        <v>-3595000</v>
      </c>
      <c r="D9733" s="196">
        <v>0</v>
      </c>
      <c r="E9733" s="196">
        <v>0</v>
      </c>
      <c r="F9733" s="196">
        <v>0</v>
      </c>
      <c r="G9733" s="196">
        <v>-3595000</v>
      </c>
    </row>
    <row r="9734" spans="1:7" x14ac:dyDescent="0.3">
      <c r="A9734" s="198">
        <v>1003343243</v>
      </c>
      <c r="B9734" s="192" t="s">
        <v>5118</v>
      </c>
      <c r="C9734" s="196">
        <v>-3085000</v>
      </c>
      <c r="D9734" s="196">
        <v>0</v>
      </c>
      <c r="E9734" s="196">
        <v>0</v>
      </c>
      <c r="F9734" s="196">
        <v>0</v>
      </c>
      <c r="G9734" s="196">
        <v>-3085000</v>
      </c>
    </row>
    <row r="9735" spans="1:7" x14ac:dyDescent="0.3">
      <c r="A9735" s="198">
        <v>1037610863</v>
      </c>
      <c r="B9735" s="192" t="s">
        <v>6920</v>
      </c>
      <c r="C9735" s="196">
        <v>-963000</v>
      </c>
      <c r="D9735" s="196">
        <v>0</v>
      </c>
      <c r="E9735" s="196">
        <v>0</v>
      </c>
      <c r="F9735" s="196">
        <v>0</v>
      </c>
      <c r="G9735" s="196">
        <v>-963000</v>
      </c>
    </row>
    <row r="9736" spans="1:7" x14ac:dyDescent="0.3">
      <c r="A9736" s="198">
        <v>1021930710</v>
      </c>
      <c r="B9736" s="192" t="s">
        <v>6921</v>
      </c>
      <c r="C9736" s="196">
        <v>-3211650</v>
      </c>
      <c r="D9736" s="196">
        <v>0</v>
      </c>
      <c r="E9736" s="196">
        <v>0</v>
      </c>
      <c r="F9736" s="196">
        <v>0</v>
      </c>
      <c r="G9736" s="196">
        <v>-3211650</v>
      </c>
    </row>
    <row r="9737" spans="1:7" x14ac:dyDescent="0.3">
      <c r="A9737" s="198">
        <v>21305634</v>
      </c>
      <c r="B9737" s="192" t="s">
        <v>5126</v>
      </c>
      <c r="C9737" s="196">
        <v>-7338000</v>
      </c>
      <c r="D9737" s="196">
        <v>0</v>
      </c>
      <c r="E9737" s="196">
        <v>0</v>
      </c>
      <c r="F9737" s="196">
        <v>0</v>
      </c>
      <c r="G9737" s="196">
        <v>-7338000</v>
      </c>
    </row>
    <row r="9738" spans="1:7" x14ac:dyDescent="0.3">
      <c r="A9738" s="198">
        <v>32328447</v>
      </c>
      <c r="B9738" s="192" t="s">
        <v>1175</v>
      </c>
      <c r="C9738" s="196">
        <v>-207200</v>
      </c>
      <c r="D9738" s="196">
        <v>0</v>
      </c>
      <c r="E9738" s="196">
        <v>0</v>
      </c>
      <c r="F9738" s="196">
        <v>0</v>
      </c>
      <c r="G9738" s="196">
        <v>-207200</v>
      </c>
    </row>
    <row r="9739" spans="1:7" x14ac:dyDescent="0.3">
      <c r="A9739" s="198">
        <v>21396756</v>
      </c>
      <c r="B9739" s="192" t="s">
        <v>6922</v>
      </c>
      <c r="C9739" s="196">
        <v>-2605500</v>
      </c>
      <c r="D9739" s="196">
        <v>0</v>
      </c>
      <c r="E9739" s="196">
        <v>0</v>
      </c>
      <c r="F9739" s="196">
        <v>0</v>
      </c>
      <c r="G9739" s="196">
        <v>-2605500</v>
      </c>
    </row>
    <row r="9740" spans="1:7" x14ac:dyDescent="0.3">
      <c r="A9740" s="198">
        <v>21701234</v>
      </c>
      <c r="B9740" s="192" t="s">
        <v>6923</v>
      </c>
      <c r="C9740" s="196">
        <v>-1683000</v>
      </c>
      <c r="D9740" s="196">
        <v>0</v>
      </c>
      <c r="E9740" s="196">
        <v>0</v>
      </c>
      <c r="F9740" s="196">
        <v>0</v>
      </c>
      <c r="G9740" s="196">
        <v>-1683000</v>
      </c>
    </row>
    <row r="9741" spans="1:7" x14ac:dyDescent="0.3">
      <c r="A9741" s="198">
        <v>25096078</v>
      </c>
      <c r="B9741" s="192" t="s">
        <v>6924</v>
      </c>
      <c r="C9741" s="196">
        <v>-6171000</v>
      </c>
      <c r="D9741" s="196">
        <v>0</v>
      </c>
      <c r="E9741" s="196">
        <v>0</v>
      </c>
      <c r="F9741" s="196">
        <v>0</v>
      </c>
      <c r="G9741" s="196">
        <v>-6171000</v>
      </c>
    </row>
    <row r="9742" spans="1:7" x14ac:dyDescent="0.3">
      <c r="A9742" s="198">
        <v>43628955</v>
      </c>
      <c r="B9742" s="192" t="s">
        <v>5134</v>
      </c>
      <c r="C9742" s="196">
        <v>-963000</v>
      </c>
      <c r="D9742" s="196">
        <v>0</v>
      </c>
      <c r="E9742" s="196">
        <v>0</v>
      </c>
      <c r="F9742" s="196">
        <v>0</v>
      </c>
      <c r="G9742" s="196">
        <v>-963000</v>
      </c>
    </row>
    <row r="9743" spans="1:7" x14ac:dyDescent="0.3">
      <c r="A9743" s="198">
        <v>32449172</v>
      </c>
      <c r="B9743" s="192" t="s">
        <v>5135</v>
      </c>
      <c r="C9743" s="196">
        <v>-57200</v>
      </c>
      <c r="D9743" s="196">
        <v>0</v>
      </c>
      <c r="E9743" s="196">
        <v>0</v>
      </c>
      <c r="F9743" s="196">
        <v>0</v>
      </c>
      <c r="G9743" s="196">
        <v>-57200</v>
      </c>
    </row>
    <row r="9744" spans="1:7" x14ac:dyDescent="0.3">
      <c r="A9744" s="198">
        <v>21851581</v>
      </c>
      <c r="B9744" s="192" t="s">
        <v>5138</v>
      </c>
      <c r="C9744" s="196">
        <v>-6805800</v>
      </c>
      <c r="D9744" s="196">
        <v>0</v>
      </c>
      <c r="E9744" s="196">
        <v>0</v>
      </c>
      <c r="F9744" s="196">
        <v>0</v>
      </c>
      <c r="G9744" s="196">
        <v>-6805800</v>
      </c>
    </row>
    <row r="9745" spans="1:7" x14ac:dyDescent="0.3">
      <c r="A9745" s="198">
        <v>32522672</v>
      </c>
      <c r="B9745" s="192" t="s">
        <v>1179</v>
      </c>
      <c r="C9745" s="196">
        <v>-248400</v>
      </c>
      <c r="D9745" s="196">
        <v>0</v>
      </c>
      <c r="E9745" s="196">
        <v>0</v>
      </c>
      <c r="F9745" s="196">
        <v>0</v>
      </c>
      <c r="G9745" s="196">
        <v>-248400</v>
      </c>
    </row>
    <row r="9746" spans="1:7" x14ac:dyDescent="0.3">
      <c r="A9746" s="198">
        <v>27793828</v>
      </c>
      <c r="B9746" s="192" t="s">
        <v>5143</v>
      </c>
      <c r="C9746" s="196">
        <v>-9080000</v>
      </c>
      <c r="D9746" s="196">
        <v>0</v>
      </c>
      <c r="E9746" s="196">
        <v>0</v>
      </c>
      <c r="F9746" s="196">
        <v>0</v>
      </c>
      <c r="G9746" s="196">
        <v>-9080000</v>
      </c>
    </row>
    <row r="9747" spans="1:7" x14ac:dyDescent="0.3">
      <c r="A9747" s="198">
        <v>21292670</v>
      </c>
      <c r="B9747" s="192" t="s">
        <v>1181</v>
      </c>
      <c r="C9747" s="196">
        <v>-57200</v>
      </c>
      <c r="D9747" s="196">
        <v>0</v>
      </c>
      <c r="E9747" s="196">
        <v>0</v>
      </c>
      <c r="F9747" s="196">
        <v>0</v>
      </c>
      <c r="G9747" s="196">
        <v>-57200</v>
      </c>
    </row>
    <row r="9748" spans="1:7" x14ac:dyDescent="0.3">
      <c r="A9748" s="198">
        <v>1039474234</v>
      </c>
      <c r="B9748" s="192" t="s">
        <v>6925</v>
      </c>
      <c r="C9748" s="196">
        <v>-963000</v>
      </c>
      <c r="D9748" s="196">
        <v>0</v>
      </c>
      <c r="E9748" s="196">
        <v>0</v>
      </c>
      <c r="F9748" s="196">
        <v>0</v>
      </c>
      <c r="G9748" s="196">
        <v>-963000</v>
      </c>
    </row>
    <row r="9749" spans="1:7" x14ac:dyDescent="0.3">
      <c r="A9749" s="198">
        <v>1020490082</v>
      </c>
      <c r="B9749" s="192" t="s">
        <v>6926</v>
      </c>
      <c r="C9749" s="196">
        <v>-860000</v>
      </c>
      <c r="D9749" s="196">
        <v>0</v>
      </c>
      <c r="E9749" s="196">
        <v>0</v>
      </c>
      <c r="F9749" s="196">
        <v>0</v>
      </c>
      <c r="G9749" s="196">
        <v>-860000</v>
      </c>
    </row>
    <row r="9750" spans="1:7" x14ac:dyDescent="0.3">
      <c r="A9750" s="198">
        <v>39443579</v>
      </c>
      <c r="B9750" s="192" t="s">
        <v>5147</v>
      </c>
      <c r="C9750" s="196">
        <v>-8335120</v>
      </c>
      <c r="D9750" s="196">
        <v>0</v>
      </c>
      <c r="E9750" s="196">
        <v>0</v>
      </c>
      <c r="F9750" s="196">
        <v>0</v>
      </c>
      <c r="G9750" s="196">
        <v>-8335120</v>
      </c>
    </row>
    <row r="9751" spans="1:7" x14ac:dyDescent="0.3">
      <c r="A9751" s="198">
        <v>42967780</v>
      </c>
      <c r="B9751" s="192" t="s">
        <v>1184</v>
      </c>
      <c r="C9751" s="196">
        <v>0</v>
      </c>
      <c r="D9751" s="196">
        <v>0</v>
      </c>
      <c r="E9751" s="196">
        <v>1330200</v>
      </c>
      <c r="F9751" s="196">
        <v>-1330200</v>
      </c>
      <c r="G9751" s="196">
        <v>-1330200</v>
      </c>
    </row>
    <row r="9752" spans="1:7" x14ac:dyDescent="0.3">
      <c r="A9752" s="198">
        <v>1039624238</v>
      </c>
      <c r="B9752" s="192" t="s">
        <v>6927</v>
      </c>
      <c r="C9752" s="196">
        <v>-1870000</v>
      </c>
      <c r="D9752" s="196">
        <v>0</v>
      </c>
      <c r="E9752" s="196">
        <v>0</v>
      </c>
      <c r="F9752" s="196">
        <v>0</v>
      </c>
      <c r="G9752" s="196">
        <v>-1870000</v>
      </c>
    </row>
    <row r="9753" spans="1:7" x14ac:dyDescent="0.3">
      <c r="A9753" s="198">
        <v>43634940</v>
      </c>
      <c r="B9753" s="192" t="s">
        <v>1187</v>
      </c>
      <c r="C9753" s="196">
        <v>-3261650</v>
      </c>
      <c r="D9753" s="196">
        <v>0</v>
      </c>
      <c r="E9753" s="196">
        <v>0</v>
      </c>
      <c r="F9753" s="196">
        <v>0</v>
      </c>
      <c r="G9753" s="196">
        <v>-3261650</v>
      </c>
    </row>
    <row r="9754" spans="1:7" x14ac:dyDescent="0.3">
      <c r="A9754" s="198">
        <v>1038406632</v>
      </c>
      <c r="B9754" s="192" t="s">
        <v>1188</v>
      </c>
      <c r="C9754" s="196">
        <v>-3500000</v>
      </c>
      <c r="D9754" s="196">
        <v>0</v>
      </c>
      <c r="E9754" s="196">
        <v>0</v>
      </c>
      <c r="F9754" s="196">
        <v>0</v>
      </c>
      <c r="G9754" s="196">
        <v>-3500000</v>
      </c>
    </row>
    <row r="9755" spans="1:7" x14ac:dyDescent="0.3">
      <c r="A9755" s="198">
        <v>32419962</v>
      </c>
      <c r="B9755" s="192" t="s">
        <v>1190</v>
      </c>
      <c r="C9755" s="196">
        <v>0</v>
      </c>
      <c r="D9755" s="196">
        <v>0</v>
      </c>
      <c r="E9755" s="196">
        <v>683000</v>
      </c>
      <c r="F9755" s="196">
        <v>-683000</v>
      </c>
      <c r="G9755" s="196">
        <v>-683000</v>
      </c>
    </row>
    <row r="9756" spans="1:7" x14ac:dyDescent="0.3">
      <c r="A9756" s="198">
        <v>22229417</v>
      </c>
      <c r="B9756" s="192" t="s">
        <v>6928</v>
      </c>
      <c r="C9756" s="196">
        <v>-3690000</v>
      </c>
      <c r="D9756" s="196">
        <v>0</v>
      </c>
      <c r="E9756" s="196">
        <v>0</v>
      </c>
      <c r="F9756" s="196">
        <v>0</v>
      </c>
      <c r="G9756" s="196">
        <v>-3690000</v>
      </c>
    </row>
    <row r="9757" spans="1:7" x14ac:dyDescent="0.3">
      <c r="A9757" s="198">
        <v>1038405592</v>
      </c>
      <c r="B9757" s="192" t="s">
        <v>6929</v>
      </c>
      <c r="C9757" s="196">
        <v>-963000</v>
      </c>
      <c r="D9757" s="196">
        <v>0</v>
      </c>
      <c r="E9757" s="196">
        <v>0</v>
      </c>
      <c r="F9757" s="196">
        <v>0</v>
      </c>
      <c r="G9757" s="196">
        <v>-963000</v>
      </c>
    </row>
    <row r="9758" spans="1:7" x14ac:dyDescent="0.3">
      <c r="A9758" s="198">
        <v>1128433726</v>
      </c>
      <c r="B9758" s="192" t="s">
        <v>6930</v>
      </c>
      <c r="C9758" s="196">
        <v>-963000</v>
      </c>
      <c r="D9758" s="196">
        <v>0</v>
      </c>
      <c r="E9758" s="196">
        <v>0</v>
      </c>
      <c r="F9758" s="196">
        <v>0</v>
      </c>
      <c r="G9758" s="196">
        <v>-963000</v>
      </c>
    </row>
    <row r="9759" spans="1:7" x14ac:dyDescent="0.3">
      <c r="A9759" s="198">
        <v>27075301</v>
      </c>
      <c r="B9759" s="192" t="s">
        <v>1192</v>
      </c>
      <c r="C9759" s="196">
        <v>-504000</v>
      </c>
      <c r="D9759" s="196">
        <v>0</v>
      </c>
      <c r="E9759" s="196">
        <v>504000</v>
      </c>
      <c r="F9759" s="196">
        <v>-504000</v>
      </c>
      <c r="G9759" s="196">
        <v>-1008000</v>
      </c>
    </row>
    <row r="9760" spans="1:7" x14ac:dyDescent="0.3">
      <c r="A9760" s="198">
        <v>1007433504</v>
      </c>
      <c r="B9760" s="192" t="s">
        <v>1194</v>
      </c>
      <c r="C9760" s="196">
        <v>0</v>
      </c>
      <c r="D9760" s="196">
        <v>0</v>
      </c>
      <c r="E9760" s="196">
        <v>963000</v>
      </c>
      <c r="F9760" s="196">
        <v>-963000</v>
      </c>
      <c r="G9760" s="196">
        <v>-963000</v>
      </c>
    </row>
    <row r="9761" spans="1:7" x14ac:dyDescent="0.3">
      <c r="A9761" s="198">
        <v>1032328157</v>
      </c>
      <c r="B9761" s="192" t="s">
        <v>6931</v>
      </c>
      <c r="C9761" s="196">
        <v>-860000</v>
      </c>
      <c r="D9761" s="196">
        <v>0</v>
      </c>
      <c r="E9761" s="196">
        <v>0</v>
      </c>
      <c r="F9761" s="196">
        <v>0</v>
      </c>
      <c r="G9761" s="196">
        <v>-860000</v>
      </c>
    </row>
    <row r="9762" spans="1:7" x14ac:dyDescent="0.3">
      <c r="A9762" s="198">
        <v>1035867479</v>
      </c>
      <c r="B9762" s="192" t="s">
        <v>6932</v>
      </c>
      <c r="C9762" s="196">
        <v>-3500000</v>
      </c>
      <c r="D9762" s="196">
        <v>0</v>
      </c>
      <c r="E9762" s="196">
        <v>0</v>
      </c>
      <c r="F9762" s="196">
        <v>0</v>
      </c>
      <c r="G9762" s="196">
        <v>-3500000</v>
      </c>
    </row>
    <row r="9763" spans="1:7" x14ac:dyDescent="0.3">
      <c r="A9763" s="198">
        <v>1025645032</v>
      </c>
      <c r="B9763" s="192" t="s">
        <v>6933</v>
      </c>
      <c r="C9763" s="196">
        <v>-963000</v>
      </c>
      <c r="D9763" s="196">
        <v>0</v>
      </c>
      <c r="E9763" s="196">
        <v>0</v>
      </c>
      <c r="F9763" s="196">
        <v>0</v>
      </c>
      <c r="G9763" s="196">
        <v>-963000</v>
      </c>
    </row>
    <row r="9764" spans="1:7" x14ac:dyDescent="0.3">
      <c r="A9764" s="198">
        <v>1004519774</v>
      </c>
      <c r="B9764" s="192" t="s">
        <v>6934</v>
      </c>
      <c r="C9764" s="196">
        <v>-3900000</v>
      </c>
      <c r="D9764" s="196">
        <v>0</v>
      </c>
      <c r="E9764" s="196">
        <v>0</v>
      </c>
      <c r="F9764" s="196">
        <v>0</v>
      </c>
      <c r="G9764" s="196">
        <v>-3900000</v>
      </c>
    </row>
    <row r="9765" spans="1:7" x14ac:dyDescent="0.3">
      <c r="A9765" s="198">
        <v>1214745819</v>
      </c>
      <c r="B9765" s="192" t="s">
        <v>6935</v>
      </c>
      <c r="C9765" s="196">
        <v>-860000</v>
      </c>
      <c r="D9765" s="196">
        <v>0</v>
      </c>
      <c r="E9765" s="196">
        <v>0</v>
      </c>
      <c r="F9765" s="196">
        <v>0</v>
      </c>
      <c r="G9765" s="196">
        <v>-860000</v>
      </c>
    </row>
    <row r="9766" spans="1:7" x14ac:dyDescent="0.3">
      <c r="A9766" s="198">
        <v>1193514088</v>
      </c>
      <c r="B9766" s="192" t="s">
        <v>6936</v>
      </c>
      <c r="C9766" s="196">
        <v>-860000</v>
      </c>
      <c r="D9766" s="196">
        <v>0</v>
      </c>
      <c r="E9766" s="196">
        <v>0</v>
      </c>
      <c r="F9766" s="196">
        <v>0</v>
      </c>
      <c r="G9766" s="196">
        <v>-860000</v>
      </c>
    </row>
    <row r="9767" spans="1:7" x14ac:dyDescent="0.3">
      <c r="A9767" s="198">
        <v>1216724675</v>
      </c>
      <c r="B9767" s="192" t="s">
        <v>6937</v>
      </c>
      <c r="C9767" s="196">
        <v>-963000</v>
      </c>
      <c r="D9767" s="196">
        <v>0</v>
      </c>
      <c r="E9767" s="196">
        <v>0</v>
      </c>
      <c r="F9767" s="196">
        <v>0</v>
      </c>
      <c r="G9767" s="196">
        <v>-963000</v>
      </c>
    </row>
    <row r="9768" spans="1:7" x14ac:dyDescent="0.3">
      <c r="A9768" s="198">
        <v>1020105815</v>
      </c>
      <c r="B9768" s="192" t="s">
        <v>5181</v>
      </c>
      <c r="C9768" s="196">
        <v>-2710000</v>
      </c>
      <c r="D9768" s="196">
        <v>0</v>
      </c>
      <c r="E9768" s="196">
        <v>0</v>
      </c>
      <c r="F9768" s="196">
        <v>0</v>
      </c>
      <c r="G9768" s="196">
        <v>-2710000</v>
      </c>
    </row>
    <row r="9769" spans="1:7" x14ac:dyDescent="0.3">
      <c r="A9769" s="198">
        <v>1020422815</v>
      </c>
      <c r="B9769" s="192" t="s">
        <v>6938</v>
      </c>
      <c r="C9769" s="196">
        <v>-860000</v>
      </c>
      <c r="D9769" s="196">
        <v>0</v>
      </c>
      <c r="E9769" s="196">
        <v>0</v>
      </c>
      <c r="F9769" s="196">
        <v>0</v>
      </c>
      <c r="G9769" s="196">
        <v>-860000</v>
      </c>
    </row>
    <row r="9770" spans="1:7" x14ac:dyDescent="0.3">
      <c r="A9770" s="198">
        <v>43277317</v>
      </c>
      <c r="B9770" s="192" t="s">
        <v>6939</v>
      </c>
      <c r="C9770" s="196">
        <v>-963000</v>
      </c>
      <c r="D9770" s="196">
        <v>0</v>
      </c>
      <c r="E9770" s="196">
        <v>0</v>
      </c>
      <c r="F9770" s="196">
        <v>0</v>
      </c>
      <c r="G9770" s="196">
        <v>-963000</v>
      </c>
    </row>
    <row r="9771" spans="1:7" x14ac:dyDescent="0.3">
      <c r="A9771" s="198">
        <v>1036392957</v>
      </c>
      <c r="B9771" s="192" t="s">
        <v>6940</v>
      </c>
      <c r="C9771" s="196">
        <v>-860000</v>
      </c>
      <c r="D9771" s="196">
        <v>0</v>
      </c>
      <c r="E9771" s="196">
        <v>0</v>
      </c>
      <c r="F9771" s="196">
        <v>0</v>
      </c>
      <c r="G9771" s="196">
        <v>-860000</v>
      </c>
    </row>
    <row r="9772" spans="1:7" x14ac:dyDescent="0.3">
      <c r="A9772" s="198">
        <v>1035128659</v>
      </c>
      <c r="B9772" s="192" t="s">
        <v>6941</v>
      </c>
      <c r="C9772" s="196">
        <v>-963000</v>
      </c>
      <c r="D9772" s="196">
        <v>0</v>
      </c>
      <c r="E9772" s="196">
        <v>0</v>
      </c>
      <c r="F9772" s="196">
        <v>0</v>
      </c>
      <c r="G9772" s="196">
        <v>-963000</v>
      </c>
    </row>
    <row r="9773" spans="1:7" x14ac:dyDescent="0.3">
      <c r="A9773" s="198">
        <v>32220442</v>
      </c>
      <c r="B9773" s="192" t="s">
        <v>6942</v>
      </c>
      <c r="C9773" s="196">
        <v>-963000</v>
      </c>
      <c r="D9773" s="196">
        <v>0</v>
      </c>
      <c r="E9773" s="196">
        <v>0</v>
      </c>
      <c r="F9773" s="196">
        <v>0</v>
      </c>
      <c r="G9773" s="196">
        <v>-963000</v>
      </c>
    </row>
    <row r="9774" spans="1:7" x14ac:dyDescent="0.3">
      <c r="A9774" s="198">
        <v>32427140</v>
      </c>
      <c r="B9774" s="192" t="s">
        <v>1198</v>
      </c>
      <c r="C9774" s="196">
        <v>0</v>
      </c>
      <c r="D9774" s="196">
        <v>0</v>
      </c>
      <c r="E9774" s="196">
        <v>6184000</v>
      </c>
      <c r="F9774" s="196">
        <v>-6184000</v>
      </c>
      <c r="G9774" s="196">
        <v>-6184000</v>
      </c>
    </row>
    <row r="9775" spans="1:7" x14ac:dyDescent="0.3">
      <c r="A9775" s="198">
        <v>22019410</v>
      </c>
      <c r="B9775" s="192" t="s">
        <v>6943</v>
      </c>
      <c r="C9775" s="196">
        <v>-3080000</v>
      </c>
      <c r="D9775" s="196">
        <v>0</v>
      </c>
      <c r="E9775" s="196">
        <v>0</v>
      </c>
      <c r="F9775" s="196">
        <v>0</v>
      </c>
      <c r="G9775" s="196">
        <v>-3080000</v>
      </c>
    </row>
    <row r="9776" spans="1:7" x14ac:dyDescent="0.3">
      <c r="A9776" s="192" t="s">
        <v>1199</v>
      </c>
      <c r="B9776" s="192" t="s">
        <v>1200</v>
      </c>
      <c r="C9776" s="196">
        <v>0</v>
      </c>
      <c r="D9776" s="196">
        <v>0</v>
      </c>
      <c r="E9776" s="196">
        <v>2801000</v>
      </c>
      <c r="F9776" s="196">
        <v>-2801000</v>
      </c>
      <c r="G9776" s="196">
        <v>-2801000</v>
      </c>
    </row>
    <row r="9777" spans="1:7" x14ac:dyDescent="0.3">
      <c r="A9777" s="198">
        <v>42995652</v>
      </c>
      <c r="B9777" s="192" t="s">
        <v>6944</v>
      </c>
      <c r="C9777" s="196">
        <v>-3338000</v>
      </c>
      <c r="D9777" s="196">
        <v>0</v>
      </c>
      <c r="E9777" s="196">
        <v>0</v>
      </c>
      <c r="F9777" s="196">
        <v>0</v>
      </c>
      <c r="G9777" s="196">
        <v>-3338000</v>
      </c>
    </row>
    <row r="9778" spans="1:7" x14ac:dyDescent="0.3">
      <c r="A9778" s="198">
        <v>50967540</v>
      </c>
      <c r="B9778" s="192" t="s">
        <v>6945</v>
      </c>
      <c r="C9778" s="196">
        <v>-963000</v>
      </c>
      <c r="D9778" s="196">
        <v>0</v>
      </c>
      <c r="E9778" s="196">
        <v>0</v>
      </c>
      <c r="F9778" s="196">
        <v>0</v>
      </c>
      <c r="G9778" s="196">
        <v>-963000</v>
      </c>
    </row>
    <row r="9779" spans="1:7" x14ac:dyDescent="0.3">
      <c r="A9779" s="198">
        <v>1152442798</v>
      </c>
      <c r="B9779" s="192" t="s">
        <v>6946</v>
      </c>
      <c r="C9779" s="196">
        <v>-860000</v>
      </c>
      <c r="D9779" s="196">
        <v>0</v>
      </c>
      <c r="E9779" s="196">
        <v>0</v>
      </c>
      <c r="F9779" s="196">
        <v>0</v>
      </c>
      <c r="G9779" s="196">
        <v>-860000</v>
      </c>
    </row>
    <row r="9780" spans="1:7" x14ac:dyDescent="0.3">
      <c r="A9780" s="198">
        <v>1041230599</v>
      </c>
      <c r="B9780" s="192" t="s">
        <v>2427</v>
      </c>
      <c r="C9780" s="196">
        <v>-2</v>
      </c>
      <c r="D9780" s="196">
        <v>0</v>
      </c>
      <c r="E9780" s="196">
        <v>0</v>
      </c>
      <c r="F9780" s="196">
        <v>0</v>
      </c>
      <c r="G9780" s="196">
        <v>-2</v>
      </c>
    </row>
    <row r="9781" spans="1:7" x14ac:dyDescent="0.3">
      <c r="A9781" s="198">
        <v>43735480</v>
      </c>
      <c r="B9781" s="192" t="s">
        <v>6947</v>
      </c>
      <c r="C9781" s="196">
        <v>-12133000</v>
      </c>
      <c r="D9781" s="196">
        <v>0</v>
      </c>
      <c r="E9781" s="196">
        <v>0</v>
      </c>
      <c r="F9781" s="196">
        <v>0</v>
      </c>
      <c r="G9781" s="196">
        <v>-12133000</v>
      </c>
    </row>
    <row r="9782" spans="1:7" x14ac:dyDescent="0.3">
      <c r="A9782" s="198">
        <v>1037613515</v>
      </c>
      <c r="B9782" s="192" t="s">
        <v>6948</v>
      </c>
      <c r="C9782" s="196">
        <v>-963000</v>
      </c>
      <c r="D9782" s="196">
        <v>0</v>
      </c>
      <c r="E9782" s="196">
        <v>0</v>
      </c>
      <c r="F9782" s="196">
        <v>0</v>
      </c>
      <c r="G9782" s="196">
        <v>-963000</v>
      </c>
    </row>
    <row r="9783" spans="1:7" x14ac:dyDescent="0.3">
      <c r="A9783" s="192" t="s">
        <v>5209</v>
      </c>
      <c r="B9783" s="192" t="s">
        <v>5210</v>
      </c>
      <c r="C9783" s="196">
        <v>-11826600</v>
      </c>
      <c r="D9783" s="196">
        <v>0</v>
      </c>
      <c r="E9783" s="196">
        <v>0</v>
      </c>
      <c r="F9783" s="196">
        <v>0</v>
      </c>
      <c r="G9783" s="196">
        <v>-11826600</v>
      </c>
    </row>
    <row r="9784" spans="1:7" x14ac:dyDescent="0.3">
      <c r="A9784" s="192" t="s">
        <v>1209</v>
      </c>
      <c r="B9784" s="192" t="s">
        <v>1210</v>
      </c>
      <c r="C9784" s="196">
        <v>-1396000</v>
      </c>
      <c r="D9784" s="196">
        <v>0</v>
      </c>
      <c r="E9784" s="196">
        <v>0</v>
      </c>
      <c r="F9784" s="196">
        <v>0</v>
      </c>
      <c r="G9784" s="196">
        <v>-1396000</v>
      </c>
    </row>
    <row r="9785" spans="1:7" x14ac:dyDescent="0.3">
      <c r="A9785" s="198">
        <v>1025645394</v>
      </c>
      <c r="B9785" s="192" t="s">
        <v>1211</v>
      </c>
      <c r="C9785" s="196">
        <v>0</v>
      </c>
      <c r="D9785" s="196">
        <v>0</v>
      </c>
      <c r="E9785" s="196">
        <v>963000</v>
      </c>
      <c r="F9785" s="196">
        <v>-963000</v>
      </c>
      <c r="G9785" s="196">
        <v>-963000</v>
      </c>
    </row>
    <row r="9786" spans="1:7" x14ac:dyDescent="0.3">
      <c r="A9786" s="198">
        <v>43807293</v>
      </c>
      <c r="B9786" s="192" t="s">
        <v>6949</v>
      </c>
      <c r="C9786" s="196">
        <v>-683000</v>
      </c>
      <c r="D9786" s="196">
        <v>0</v>
      </c>
      <c r="E9786" s="196">
        <v>0</v>
      </c>
      <c r="F9786" s="196">
        <v>0</v>
      </c>
      <c r="G9786" s="196">
        <v>-683000</v>
      </c>
    </row>
    <row r="9787" spans="1:7" x14ac:dyDescent="0.3">
      <c r="A9787" s="198">
        <v>45505492</v>
      </c>
      <c r="B9787" s="192" t="s">
        <v>6950</v>
      </c>
      <c r="C9787" s="196">
        <v>-963000</v>
      </c>
      <c r="D9787" s="196">
        <v>0</v>
      </c>
      <c r="E9787" s="196">
        <v>0</v>
      </c>
      <c r="F9787" s="196">
        <v>0</v>
      </c>
      <c r="G9787" s="196">
        <v>-963000</v>
      </c>
    </row>
    <row r="9788" spans="1:7" x14ac:dyDescent="0.3">
      <c r="A9788" s="198">
        <v>1037263393</v>
      </c>
      <c r="B9788" s="192" t="s">
        <v>6951</v>
      </c>
      <c r="C9788" s="196">
        <v>-860000</v>
      </c>
      <c r="D9788" s="196">
        <v>0</v>
      </c>
      <c r="E9788" s="196">
        <v>0</v>
      </c>
      <c r="F9788" s="196">
        <v>0</v>
      </c>
      <c r="G9788" s="196">
        <v>-860000</v>
      </c>
    </row>
    <row r="9789" spans="1:7" x14ac:dyDescent="0.3">
      <c r="A9789" s="198">
        <v>43281342</v>
      </c>
      <c r="B9789" s="192" t="s">
        <v>6952</v>
      </c>
      <c r="C9789" s="196">
        <v>-1270000</v>
      </c>
      <c r="D9789" s="196">
        <v>0</v>
      </c>
      <c r="E9789" s="196">
        <v>0</v>
      </c>
      <c r="F9789" s="196">
        <v>0</v>
      </c>
      <c r="G9789" s="196">
        <v>-1270000</v>
      </c>
    </row>
    <row r="9790" spans="1:7" x14ac:dyDescent="0.3">
      <c r="A9790" s="198">
        <v>22212250</v>
      </c>
      <c r="B9790" s="192" t="s">
        <v>6953</v>
      </c>
      <c r="C9790" s="196">
        <v>-360000</v>
      </c>
      <c r="D9790" s="196">
        <v>0</v>
      </c>
      <c r="E9790" s="196">
        <v>0</v>
      </c>
      <c r="F9790" s="196">
        <v>0</v>
      </c>
      <c r="G9790" s="196">
        <v>-360000</v>
      </c>
    </row>
    <row r="9791" spans="1:7" x14ac:dyDescent="0.3">
      <c r="A9791" s="198">
        <v>43072147</v>
      </c>
      <c r="B9791" s="192" t="s">
        <v>1220</v>
      </c>
      <c r="C9791" s="196">
        <v>0</v>
      </c>
      <c r="D9791" s="196">
        <v>0</v>
      </c>
      <c r="E9791" s="196">
        <v>4375000</v>
      </c>
      <c r="F9791" s="196">
        <v>-4375000</v>
      </c>
      <c r="G9791" s="196">
        <v>-4375000</v>
      </c>
    </row>
    <row r="9792" spans="1:7" x14ac:dyDescent="0.3">
      <c r="A9792" s="198">
        <v>32478517</v>
      </c>
      <c r="B9792" s="192" t="s">
        <v>5241</v>
      </c>
      <c r="C9792" s="196">
        <v>-1200000</v>
      </c>
      <c r="D9792" s="196">
        <v>0</v>
      </c>
      <c r="E9792" s="196">
        <v>0</v>
      </c>
      <c r="F9792" s="196">
        <v>0</v>
      </c>
      <c r="G9792" s="196">
        <v>-1200000</v>
      </c>
    </row>
    <row r="9793" spans="1:7" x14ac:dyDescent="0.3">
      <c r="A9793" s="198">
        <v>43557944</v>
      </c>
      <c r="B9793" s="192" t="s">
        <v>5242</v>
      </c>
      <c r="C9793" s="196">
        <v>-7338000</v>
      </c>
      <c r="D9793" s="196">
        <v>0</v>
      </c>
      <c r="E9793" s="196">
        <v>0</v>
      </c>
      <c r="F9793" s="196">
        <v>0</v>
      </c>
      <c r="G9793" s="196">
        <v>-7338000</v>
      </c>
    </row>
    <row r="9794" spans="1:7" x14ac:dyDescent="0.3">
      <c r="A9794" s="198">
        <v>42891583</v>
      </c>
      <c r="B9794" s="192" t="s">
        <v>1221</v>
      </c>
      <c r="C9794" s="196">
        <v>0</v>
      </c>
      <c r="D9794" s="196">
        <v>0</v>
      </c>
      <c r="E9794" s="196">
        <v>6370000</v>
      </c>
      <c r="F9794" s="196">
        <v>-6370000</v>
      </c>
      <c r="G9794" s="196">
        <v>-6370000</v>
      </c>
    </row>
    <row r="9795" spans="1:7" x14ac:dyDescent="0.3">
      <c r="A9795" s="198">
        <v>42841431</v>
      </c>
      <c r="B9795" s="192" t="s">
        <v>6954</v>
      </c>
      <c r="C9795" s="196">
        <v>-4133000</v>
      </c>
      <c r="D9795" s="196">
        <v>0</v>
      </c>
      <c r="E9795" s="196">
        <v>0</v>
      </c>
      <c r="F9795" s="196">
        <v>0</v>
      </c>
      <c r="G9795" s="196">
        <v>-4133000</v>
      </c>
    </row>
    <row r="9796" spans="1:7" x14ac:dyDescent="0.3">
      <c r="A9796" s="198">
        <v>43677420</v>
      </c>
      <c r="B9796" s="192" t="s">
        <v>6955</v>
      </c>
      <c r="C9796" s="196">
        <v>-13690000</v>
      </c>
      <c r="D9796" s="196">
        <v>0</v>
      </c>
      <c r="E9796" s="196">
        <v>0</v>
      </c>
      <c r="F9796" s="196">
        <v>0</v>
      </c>
      <c r="G9796" s="196">
        <v>-13690000</v>
      </c>
    </row>
    <row r="9797" spans="1:7" x14ac:dyDescent="0.3">
      <c r="A9797" s="198">
        <v>3715256</v>
      </c>
      <c r="B9797" s="192" t="s">
        <v>6956</v>
      </c>
      <c r="C9797" s="196">
        <v>-986000</v>
      </c>
      <c r="D9797" s="196">
        <v>0</v>
      </c>
      <c r="E9797" s="196">
        <v>0</v>
      </c>
      <c r="F9797" s="196">
        <v>0</v>
      </c>
      <c r="G9797" s="196">
        <v>-986000</v>
      </c>
    </row>
    <row r="9798" spans="1:7" x14ac:dyDescent="0.3">
      <c r="A9798" s="198">
        <v>646730184</v>
      </c>
      <c r="B9798" s="192" t="s">
        <v>6957</v>
      </c>
      <c r="C9798" s="196">
        <v>-3338000</v>
      </c>
      <c r="D9798" s="196">
        <v>0</v>
      </c>
      <c r="E9798" s="196">
        <v>0</v>
      </c>
      <c r="F9798" s="196">
        <v>0</v>
      </c>
      <c r="G9798" s="196">
        <v>-3338000</v>
      </c>
    </row>
    <row r="9799" spans="1:7" x14ac:dyDescent="0.3">
      <c r="A9799" s="198">
        <v>43610929</v>
      </c>
      <c r="B9799" s="192" t="s">
        <v>1230</v>
      </c>
      <c r="C9799" s="196">
        <v>-11957804</v>
      </c>
      <c r="D9799" s="196">
        <v>0</v>
      </c>
      <c r="E9799" s="196">
        <v>0</v>
      </c>
      <c r="F9799" s="196">
        <v>0</v>
      </c>
      <c r="G9799" s="196">
        <v>-11957804</v>
      </c>
    </row>
    <row r="9800" spans="1:7" x14ac:dyDescent="0.3">
      <c r="A9800" s="198">
        <v>1036617891</v>
      </c>
      <c r="B9800" s="192" t="s">
        <v>6958</v>
      </c>
      <c r="C9800" s="196">
        <v>-963000</v>
      </c>
      <c r="D9800" s="196">
        <v>0</v>
      </c>
      <c r="E9800" s="196">
        <v>0</v>
      </c>
      <c r="F9800" s="196">
        <v>0</v>
      </c>
      <c r="G9800" s="196">
        <v>-963000</v>
      </c>
    </row>
    <row r="9801" spans="1:7" x14ac:dyDescent="0.3">
      <c r="A9801" s="198">
        <v>43874231</v>
      </c>
      <c r="B9801" s="192" t="s">
        <v>6959</v>
      </c>
      <c r="C9801" s="196">
        <v>-963000</v>
      </c>
      <c r="D9801" s="196">
        <v>0</v>
      </c>
      <c r="E9801" s="196">
        <v>0</v>
      </c>
      <c r="F9801" s="196">
        <v>0</v>
      </c>
      <c r="G9801" s="196">
        <v>-963000</v>
      </c>
    </row>
    <row r="9802" spans="1:7" x14ac:dyDescent="0.3">
      <c r="A9802" s="198">
        <v>6880712408</v>
      </c>
      <c r="B9802" s="192" t="s">
        <v>6960</v>
      </c>
      <c r="C9802" s="196">
        <v>-963000</v>
      </c>
      <c r="D9802" s="196">
        <v>0</v>
      </c>
      <c r="E9802" s="196">
        <v>0</v>
      </c>
      <c r="F9802" s="196">
        <v>0</v>
      </c>
      <c r="G9802" s="196">
        <v>-963000</v>
      </c>
    </row>
    <row r="9803" spans="1:7" x14ac:dyDescent="0.3">
      <c r="A9803" s="198">
        <v>1036623625</v>
      </c>
      <c r="B9803" s="192" t="s">
        <v>5284</v>
      </c>
      <c r="C9803" s="196">
        <v>-7330000</v>
      </c>
      <c r="D9803" s="196">
        <v>0</v>
      </c>
      <c r="E9803" s="196">
        <v>0</v>
      </c>
      <c r="F9803" s="196">
        <v>0</v>
      </c>
      <c r="G9803" s="196">
        <v>-7330000</v>
      </c>
    </row>
    <row r="9804" spans="1:7" x14ac:dyDescent="0.3">
      <c r="A9804" s="198">
        <v>43108729</v>
      </c>
      <c r="B9804" s="192" t="s">
        <v>1232</v>
      </c>
      <c r="C9804" s="196">
        <v>0</v>
      </c>
      <c r="D9804" s="196">
        <v>0</v>
      </c>
      <c r="E9804" s="196">
        <v>4133000</v>
      </c>
      <c r="F9804" s="196">
        <v>-4133000</v>
      </c>
      <c r="G9804" s="196">
        <v>-4133000</v>
      </c>
    </row>
    <row r="9805" spans="1:7" x14ac:dyDescent="0.3">
      <c r="A9805" s="198">
        <v>1026159422</v>
      </c>
      <c r="B9805" s="192" t="s">
        <v>6961</v>
      </c>
      <c r="C9805" s="196">
        <v>-963000</v>
      </c>
      <c r="D9805" s="196">
        <v>0</v>
      </c>
      <c r="E9805" s="196">
        <v>0</v>
      </c>
      <c r="F9805" s="196">
        <v>0</v>
      </c>
      <c r="G9805" s="196">
        <v>-963000</v>
      </c>
    </row>
    <row r="9806" spans="1:7" x14ac:dyDescent="0.3">
      <c r="A9806" s="198">
        <v>1000290427</v>
      </c>
      <c r="B9806" s="192" t="s">
        <v>6962</v>
      </c>
      <c r="C9806" s="196">
        <v>-4133000</v>
      </c>
      <c r="D9806" s="196">
        <v>0</v>
      </c>
      <c r="E9806" s="196">
        <v>0</v>
      </c>
      <c r="F9806" s="196">
        <v>0</v>
      </c>
      <c r="G9806" s="196">
        <v>-4133000</v>
      </c>
    </row>
    <row r="9807" spans="1:7" x14ac:dyDescent="0.3">
      <c r="A9807" s="198">
        <v>1192807352</v>
      </c>
      <c r="B9807" s="192" t="s">
        <v>6963</v>
      </c>
      <c r="C9807" s="196">
        <v>-963000</v>
      </c>
      <c r="D9807" s="196">
        <v>0</v>
      </c>
      <c r="E9807" s="196">
        <v>0</v>
      </c>
      <c r="F9807" s="196">
        <v>0</v>
      </c>
      <c r="G9807" s="196">
        <v>-963000</v>
      </c>
    </row>
    <row r="9808" spans="1:7" x14ac:dyDescent="0.3">
      <c r="A9808" s="198">
        <v>1036944561</v>
      </c>
      <c r="B9808" s="192" t="s">
        <v>6964</v>
      </c>
      <c r="C9808" s="196">
        <v>-1350000</v>
      </c>
      <c r="D9808" s="196">
        <v>0</v>
      </c>
      <c r="E9808" s="196">
        <v>0</v>
      </c>
      <c r="F9808" s="196">
        <v>0</v>
      </c>
      <c r="G9808" s="196">
        <v>-1350000</v>
      </c>
    </row>
    <row r="9809" spans="1:7" x14ac:dyDescent="0.3">
      <c r="A9809" s="198">
        <v>1214737663</v>
      </c>
      <c r="B9809" s="192" t="s">
        <v>6965</v>
      </c>
      <c r="C9809" s="196">
        <v>-963000</v>
      </c>
      <c r="D9809" s="196">
        <v>0</v>
      </c>
      <c r="E9809" s="196">
        <v>0</v>
      </c>
      <c r="F9809" s="196">
        <v>0</v>
      </c>
      <c r="G9809" s="196">
        <v>-963000</v>
      </c>
    </row>
    <row r="9810" spans="1:7" x14ac:dyDescent="0.3">
      <c r="A9810" s="198">
        <v>98647290</v>
      </c>
      <c r="B9810" s="192" t="s">
        <v>6966</v>
      </c>
      <c r="C9810" s="196">
        <v>-3500000</v>
      </c>
      <c r="D9810" s="196">
        <v>0</v>
      </c>
      <c r="E9810" s="196">
        <v>0</v>
      </c>
      <c r="F9810" s="196">
        <v>0</v>
      </c>
      <c r="G9810" s="196">
        <v>-3500000</v>
      </c>
    </row>
    <row r="9811" spans="1:7" x14ac:dyDescent="0.3">
      <c r="A9811" s="198">
        <v>1143243070</v>
      </c>
      <c r="B9811" s="192" t="s">
        <v>5358</v>
      </c>
      <c r="C9811" s="196">
        <v>-3910000</v>
      </c>
      <c r="D9811" s="196">
        <v>0</v>
      </c>
      <c r="E9811" s="196">
        <v>0</v>
      </c>
      <c r="F9811" s="196">
        <v>0</v>
      </c>
      <c r="G9811" s="196">
        <v>-3910000</v>
      </c>
    </row>
    <row r="9812" spans="1:7" x14ac:dyDescent="0.3">
      <c r="A9812" s="192" t="s">
        <v>1256</v>
      </c>
      <c r="B9812" s="192" t="s">
        <v>1257</v>
      </c>
      <c r="C9812" s="196">
        <v>0</v>
      </c>
      <c r="D9812" s="196">
        <v>0</v>
      </c>
      <c r="E9812" s="196">
        <v>7220000</v>
      </c>
      <c r="F9812" s="196">
        <v>-7220000</v>
      </c>
      <c r="G9812" s="196">
        <v>-7220000</v>
      </c>
    </row>
    <row r="9813" spans="1:7" x14ac:dyDescent="0.3">
      <c r="A9813" s="198">
        <v>1152707621</v>
      </c>
      <c r="B9813" s="192" t="s">
        <v>6967</v>
      </c>
      <c r="C9813" s="196">
        <v>-4133000</v>
      </c>
      <c r="D9813" s="196">
        <v>0</v>
      </c>
      <c r="E9813" s="196">
        <v>0</v>
      </c>
      <c r="F9813" s="196">
        <v>0</v>
      </c>
      <c r="G9813" s="196">
        <v>-4133000</v>
      </c>
    </row>
    <row r="9814" spans="1:7" x14ac:dyDescent="0.3">
      <c r="A9814" s="198">
        <v>901226955</v>
      </c>
      <c r="B9814" s="192" t="s">
        <v>137</v>
      </c>
      <c r="C9814" s="196">
        <v>-4301000</v>
      </c>
      <c r="D9814" s="196">
        <v>0</v>
      </c>
      <c r="E9814" s="196">
        <v>0</v>
      </c>
      <c r="F9814" s="196">
        <v>0</v>
      </c>
      <c r="G9814" s="196">
        <v>-4301000</v>
      </c>
    </row>
    <row r="9815" spans="1:7" x14ac:dyDescent="0.3">
      <c r="A9815" s="198">
        <v>900178724</v>
      </c>
      <c r="B9815" s="192" t="s">
        <v>1259</v>
      </c>
      <c r="C9815" s="196">
        <v>-51762878</v>
      </c>
      <c r="D9815" s="196">
        <v>0</v>
      </c>
      <c r="E9815" s="196">
        <v>26571832</v>
      </c>
      <c r="F9815" s="196">
        <v>-26571832</v>
      </c>
      <c r="G9815" s="196">
        <v>-78334710</v>
      </c>
    </row>
    <row r="9816" spans="1:7" x14ac:dyDescent="0.3">
      <c r="A9816" s="198">
        <v>1000441269</v>
      </c>
      <c r="B9816" s="192" t="s">
        <v>6968</v>
      </c>
      <c r="C9816" s="196">
        <v>-860000</v>
      </c>
      <c r="D9816" s="196">
        <v>0</v>
      </c>
      <c r="E9816" s="196">
        <v>0</v>
      </c>
      <c r="F9816" s="196">
        <v>0</v>
      </c>
      <c r="G9816" s="196">
        <v>-860000</v>
      </c>
    </row>
    <row r="9817" spans="1:7" x14ac:dyDescent="0.3">
      <c r="A9817" s="198">
        <v>26390958</v>
      </c>
      <c r="B9817" s="192" t="s">
        <v>5362</v>
      </c>
      <c r="C9817" s="196">
        <v>-3500000</v>
      </c>
      <c r="D9817" s="196">
        <v>0</v>
      </c>
      <c r="E9817" s="196">
        <v>0</v>
      </c>
      <c r="F9817" s="196">
        <v>0</v>
      </c>
      <c r="G9817" s="196">
        <v>-3500000</v>
      </c>
    </row>
    <row r="9818" spans="1:7" x14ac:dyDescent="0.3">
      <c r="A9818" s="198">
        <v>1036651210</v>
      </c>
      <c r="B9818" s="192" t="s">
        <v>1261</v>
      </c>
      <c r="C9818" s="196">
        <v>0</v>
      </c>
      <c r="D9818" s="196">
        <v>0</v>
      </c>
      <c r="E9818" s="196">
        <v>963000</v>
      </c>
      <c r="F9818" s="196">
        <v>-963000</v>
      </c>
      <c r="G9818" s="196">
        <v>-963000</v>
      </c>
    </row>
    <row r="9819" spans="1:7" x14ac:dyDescent="0.3">
      <c r="A9819" s="198">
        <v>1020485666</v>
      </c>
      <c r="B9819" s="192" t="s">
        <v>1262</v>
      </c>
      <c r="C9819" s="196">
        <v>0</v>
      </c>
      <c r="D9819" s="196">
        <v>0</v>
      </c>
      <c r="E9819" s="196">
        <v>963000</v>
      </c>
      <c r="F9819" s="196">
        <v>-963000</v>
      </c>
      <c r="G9819" s="196">
        <v>-963000</v>
      </c>
    </row>
    <row r="9820" spans="1:7" x14ac:dyDescent="0.3">
      <c r="A9820" s="198">
        <v>30297920</v>
      </c>
      <c r="B9820" s="192" t="s">
        <v>5366</v>
      </c>
      <c r="C9820" s="196">
        <v>-14133800</v>
      </c>
      <c r="D9820" s="196">
        <v>0</v>
      </c>
      <c r="E9820" s="196">
        <v>0</v>
      </c>
      <c r="F9820" s="196">
        <v>0</v>
      </c>
      <c r="G9820" s="196">
        <v>-14133800</v>
      </c>
    </row>
    <row r="9821" spans="1:7" x14ac:dyDescent="0.3">
      <c r="A9821" s="198">
        <v>39285989</v>
      </c>
      <c r="B9821" s="192" t="s">
        <v>6969</v>
      </c>
      <c r="C9821" s="196">
        <v>-683000</v>
      </c>
      <c r="D9821" s="196">
        <v>0</v>
      </c>
      <c r="E9821" s="196">
        <v>0</v>
      </c>
      <c r="F9821" s="196">
        <v>0</v>
      </c>
      <c r="G9821" s="196">
        <v>-683000</v>
      </c>
    </row>
    <row r="9822" spans="1:7" x14ac:dyDescent="0.3">
      <c r="A9822" s="198">
        <v>1077469089</v>
      </c>
      <c r="B9822" s="192" t="s">
        <v>1265</v>
      </c>
      <c r="C9822" s="196">
        <v>-9653200</v>
      </c>
      <c r="D9822" s="196">
        <v>0</v>
      </c>
      <c r="E9822" s="196">
        <v>0</v>
      </c>
      <c r="F9822" s="196">
        <v>0</v>
      </c>
      <c r="G9822" s="196">
        <v>-9653200</v>
      </c>
    </row>
    <row r="9823" spans="1:7" x14ac:dyDescent="0.3">
      <c r="A9823" s="192" t="s">
        <v>1266</v>
      </c>
      <c r="B9823" s="192" t="s">
        <v>1267</v>
      </c>
      <c r="C9823" s="196">
        <v>-3030000</v>
      </c>
      <c r="D9823" s="196">
        <v>0</v>
      </c>
      <c r="E9823" s="196">
        <v>0</v>
      </c>
      <c r="F9823" s="196">
        <v>0</v>
      </c>
      <c r="G9823" s="196">
        <v>-3030000</v>
      </c>
    </row>
    <row r="9824" spans="1:7" x14ac:dyDescent="0.3">
      <c r="A9824" s="192" t="s">
        <v>5376</v>
      </c>
      <c r="B9824" s="192" t="s">
        <v>5377</v>
      </c>
      <c r="C9824" s="196">
        <v>-4110000</v>
      </c>
      <c r="D9824" s="196">
        <v>0</v>
      </c>
      <c r="E9824" s="196">
        <v>0</v>
      </c>
      <c r="F9824" s="196">
        <v>0</v>
      </c>
      <c r="G9824" s="196">
        <v>-4110000</v>
      </c>
    </row>
    <row r="9825" spans="1:7" x14ac:dyDescent="0.3">
      <c r="A9825" s="198">
        <v>6237830</v>
      </c>
      <c r="B9825" s="192" t="s">
        <v>5381</v>
      </c>
      <c r="C9825" s="196">
        <v>-13133000</v>
      </c>
      <c r="D9825" s="196">
        <v>0</v>
      </c>
      <c r="E9825" s="196">
        <v>0</v>
      </c>
      <c r="F9825" s="196">
        <v>0</v>
      </c>
      <c r="G9825" s="196">
        <v>-13133000</v>
      </c>
    </row>
    <row r="9826" spans="1:7" x14ac:dyDescent="0.3">
      <c r="A9826" s="198">
        <v>1094961271</v>
      </c>
      <c r="B9826" s="192" t="s">
        <v>1272</v>
      </c>
      <c r="C9826" s="196">
        <v>0</v>
      </c>
      <c r="D9826" s="196">
        <v>0</v>
      </c>
      <c r="E9826" s="196">
        <v>963000</v>
      </c>
      <c r="F9826" s="196">
        <v>-963000</v>
      </c>
      <c r="G9826" s="196">
        <v>-963000</v>
      </c>
    </row>
    <row r="9827" spans="1:7" x14ac:dyDescent="0.3">
      <c r="A9827" s="198">
        <v>1007495854</v>
      </c>
      <c r="B9827" s="192" t="s">
        <v>6970</v>
      </c>
      <c r="C9827" s="196">
        <v>-963000</v>
      </c>
      <c r="D9827" s="196">
        <v>0</v>
      </c>
      <c r="E9827" s="196">
        <v>0</v>
      </c>
      <c r="F9827" s="196">
        <v>0</v>
      </c>
      <c r="G9827" s="196">
        <v>-963000</v>
      </c>
    </row>
    <row r="9828" spans="1:7" x14ac:dyDescent="0.3">
      <c r="A9828" s="198">
        <v>1037658312</v>
      </c>
      <c r="B9828" s="192" t="s">
        <v>6971</v>
      </c>
      <c r="C9828" s="196">
        <v>-963000</v>
      </c>
      <c r="D9828" s="196">
        <v>0</v>
      </c>
      <c r="E9828" s="196">
        <v>0</v>
      </c>
      <c r="F9828" s="196">
        <v>0</v>
      </c>
      <c r="G9828" s="196">
        <v>-963000</v>
      </c>
    </row>
    <row r="9829" spans="1:7" x14ac:dyDescent="0.3">
      <c r="A9829" s="192" t="s">
        <v>1278</v>
      </c>
      <c r="B9829" s="192" t="s">
        <v>1279</v>
      </c>
      <c r="C9829" s="196">
        <v>0</v>
      </c>
      <c r="D9829" s="196">
        <v>0</v>
      </c>
      <c r="E9829" s="196">
        <v>13633000</v>
      </c>
      <c r="F9829" s="196">
        <v>-13633000</v>
      </c>
      <c r="G9829" s="196">
        <v>-13633000</v>
      </c>
    </row>
    <row r="9830" spans="1:7" x14ac:dyDescent="0.3">
      <c r="A9830" s="198">
        <v>21353651</v>
      </c>
      <c r="B9830" s="192" t="s">
        <v>5433</v>
      </c>
      <c r="C9830" s="196">
        <v>-1586800</v>
      </c>
      <c r="D9830" s="196">
        <v>0</v>
      </c>
      <c r="E9830" s="196">
        <v>0</v>
      </c>
      <c r="F9830" s="196">
        <v>0</v>
      </c>
      <c r="G9830" s="196">
        <v>-1586800</v>
      </c>
    </row>
    <row r="9831" spans="1:7" x14ac:dyDescent="0.3">
      <c r="A9831" s="198">
        <v>21400419</v>
      </c>
      <c r="B9831" s="192" t="s">
        <v>1283</v>
      </c>
      <c r="C9831" s="196">
        <v>0</v>
      </c>
      <c r="D9831" s="196">
        <v>0</v>
      </c>
      <c r="E9831" s="196">
        <v>57200</v>
      </c>
      <c r="F9831" s="196">
        <v>-57200</v>
      </c>
      <c r="G9831" s="196">
        <v>-57200</v>
      </c>
    </row>
    <row r="9832" spans="1:7" x14ac:dyDescent="0.3">
      <c r="A9832" s="198">
        <v>21991686</v>
      </c>
      <c r="B9832" s="192" t="s">
        <v>6972</v>
      </c>
      <c r="C9832" s="196">
        <v>-2980000</v>
      </c>
      <c r="D9832" s="196">
        <v>0</v>
      </c>
      <c r="E9832" s="196">
        <v>0</v>
      </c>
      <c r="F9832" s="196">
        <v>0</v>
      </c>
      <c r="G9832" s="196">
        <v>-2980000</v>
      </c>
    </row>
    <row r="9833" spans="1:7" x14ac:dyDescent="0.3">
      <c r="A9833" s="198">
        <v>1098745447</v>
      </c>
      <c r="B9833" s="192" t="s">
        <v>6973</v>
      </c>
      <c r="C9833" s="196">
        <v>-2694150</v>
      </c>
      <c r="D9833" s="196">
        <v>0</v>
      </c>
      <c r="E9833" s="196">
        <v>0</v>
      </c>
      <c r="F9833" s="196">
        <v>0</v>
      </c>
      <c r="G9833" s="196">
        <v>-2694150</v>
      </c>
    </row>
    <row r="9834" spans="1:7" x14ac:dyDescent="0.3">
      <c r="A9834" s="198">
        <v>43522296</v>
      </c>
      <c r="B9834" s="192" t="s">
        <v>6974</v>
      </c>
      <c r="C9834" s="196">
        <v>-13012900</v>
      </c>
      <c r="D9834" s="196">
        <v>0</v>
      </c>
      <c r="E9834" s="196">
        <v>0</v>
      </c>
      <c r="F9834" s="196">
        <v>0</v>
      </c>
      <c r="G9834" s="196">
        <v>-13012900</v>
      </c>
    </row>
    <row r="9835" spans="1:7" x14ac:dyDescent="0.3">
      <c r="A9835" s="198">
        <v>66776407</v>
      </c>
      <c r="B9835" s="192" t="s">
        <v>1286</v>
      </c>
      <c r="C9835" s="196">
        <v>-15442000</v>
      </c>
      <c r="D9835" s="196">
        <v>0</v>
      </c>
      <c r="E9835" s="196">
        <v>0</v>
      </c>
      <c r="F9835" s="196">
        <v>0</v>
      </c>
      <c r="G9835" s="196">
        <v>-15442000</v>
      </c>
    </row>
    <row r="9836" spans="1:7" x14ac:dyDescent="0.3">
      <c r="A9836" s="198">
        <v>42939022</v>
      </c>
      <c r="B9836" s="192" t="s">
        <v>6975</v>
      </c>
      <c r="C9836" s="196">
        <v>-683000</v>
      </c>
      <c r="D9836" s="196">
        <v>0</v>
      </c>
      <c r="E9836" s="196">
        <v>0</v>
      </c>
      <c r="F9836" s="196">
        <v>0</v>
      </c>
      <c r="G9836" s="196">
        <v>-683000</v>
      </c>
    </row>
    <row r="9837" spans="1:7" x14ac:dyDescent="0.3">
      <c r="A9837" s="198">
        <v>1037601014</v>
      </c>
      <c r="B9837" s="192" t="s">
        <v>1290</v>
      </c>
      <c r="C9837" s="196">
        <v>0</v>
      </c>
      <c r="D9837" s="196">
        <v>0</v>
      </c>
      <c r="E9837" s="196">
        <v>2710000</v>
      </c>
      <c r="F9837" s="196">
        <v>-2710000</v>
      </c>
      <c r="G9837" s="196">
        <v>-2710000</v>
      </c>
    </row>
    <row r="9838" spans="1:7" x14ac:dyDescent="0.3">
      <c r="A9838" s="198">
        <v>40332845</v>
      </c>
      <c r="B9838" s="192" t="s">
        <v>140</v>
      </c>
      <c r="C9838" s="196">
        <v>0</v>
      </c>
      <c r="D9838" s="196">
        <v>0</v>
      </c>
      <c r="E9838" s="196">
        <v>1843000</v>
      </c>
      <c r="F9838" s="196">
        <v>-1843000</v>
      </c>
      <c r="G9838" s="196">
        <v>-1843000</v>
      </c>
    </row>
    <row r="9839" spans="1:7" x14ac:dyDescent="0.3">
      <c r="A9839" s="198">
        <v>1041230287</v>
      </c>
      <c r="B9839" s="192" t="s">
        <v>6976</v>
      </c>
      <c r="C9839" s="196">
        <v>-963000</v>
      </c>
      <c r="D9839" s="196">
        <v>0</v>
      </c>
      <c r="E9839" s="196">
        <v>0</v>
      </c>
      <c r="F9839" s="196">
        <v>0</v>
      </c>
      <c r="G9839" s="196">
        <v>-963000</v>
      </c>
    </row>
    <row r="9840" spans="1:7" x14ac:dyDescent="0.3">
      <c r="A9840" s="198">
        <v>43794406</v>
      </c>
      <c r="B9840" s="192" t="s">
        <v>6977</v>
      </c>
      <c r="C9840" s="196">
        <v>-860000</v>
      </c>
      <c r="D9840" s="196">
        <v>0</v>
      </c>
      <c r="E9840" s="196">
        <v>0</v>
      </c>
      <c r="F9840" s="196">
        <v>0</v>
      </c>
      <c r="G9840" s="196">
        <v>-860000</v>
      </c>
    </row>
    <row r="9841" spans="1:7" x14ac:dyDescent="0.3">
      <c r="A9841" s="198">
        <v>32293829</v>
      </c>
      <c r="B9841" s="192" t="s">
        <v>6978</v>
      </c>
      <c r="C9841" s="196">
        <v>-963000</v>
      </c>
      <c r="D9841" s="196">
        <v>0</v>
      </c>
      <c r="E9841" s="196">
        <v>0</v>
      </c>
      <c r="F9841" s="196">
        <v>0</v>
      </c>
      <c r="G9841" s="196">
        <v>-963000</v>
      </c>
    </row>
    <row r="9842" spans="1:7" x14ac:dyDescent="0.3">
      <c r="A9842" s="198">
        <v>43812487</v>
      </c>
      <c r="B9842" s="192" t="s">
        <v>6979</v>
      </c>
      <c r="C9842" s="196">
        <v>-50000</v>
      </c>
      <c r="D9842" s="196">
        <v>0</v>
      </c>
      <c r="E9842" s="196">
        <v>0</v>
      </c>
      <c r="F9842" s="196">
        <v>0</v>
      </c>
      <c r="G9842" s="196">
        <v>-50000</v>
      </c>
    </row>
    <row r="9843" spans="1:7" x14ac:dyDescent="0.3">
      <c r="A9843" s="192" t="s">
        <v>5473</v>
      </c>
      <c r="B9843" s="192" t="s">
        <v>5474</v>
      </c>
      <c r="C9843" s="196">
        <v>-4210000</v>
      </c>
      <c r="D9843" s="196">
        <v>0</v>
      </c>
      <c r="E9843" s="196">
        <v>0</v>
      </c>
      <c r="F9843" s="196">
        <v>0</v>
      </c>
      <c r="G9843" s="196">
        <v>-4210000</v>
      </c>
    </row>
    <row r="9844" spans="1:7" x14ac:dyDescent="0.3">
      <c r="A9844" s="198">
        <v>1023625979</v>
      </c>
      <c r="B9844" s="192" t="s">
        <v>6980</v>
      </c>
      <c r="C9844" s="196">
        <v>-963000</v>
      </c>
      <c r="D9844" s="196">
        <v>0</v>
      </c>
      <c r="E9844" s="196">
        <v>0</v>
      </c>
      <c r="F9844" s="196">
        <v>0</v>
      </c>
      <c r="G9844" s="196">
        <v>-963000</v>
      </c>
    </row>
    <row r="9845" spans="1:7" x14ac:dyDescent="0.3">
      <c r="A9845" s="198">
        <v>1144034722</v>
      </c>
      <c r="B9845" s="192" t="s">
        <v>6981</v>
      </c>
      <c r="C9845" s="196">
        <v>-3722400</v>
      </c>
      <c r="D9845" s="196">
        <v>0</v>
      </c>
      <c r="E9845" s="196">
        <v>0</v>
      </c>
      <c r="F9845" s="196">
        <v>0</v>
      </c>
      <c r="G9845" s="196">
        <v>-3722400</v>
      </c>
    </row>
    <row r="9846" spans="1:7" x14ac:dyDescent="0.3">
      <c r="A9846" s="198">
        <v>1128275906</v>
      </c>
      <c r="B9846" s="192" t="s">
        <v>5496</v>
      </c>
      <c r="C9846" s="196">
        <v>-3410000</v>
      </c>
      <c r="D9846" s="196">
        <v>0</v>
      </c>
      <c r="E9846" s="196">
        <v>0</v>
      </c>
      <c r="F9846" s="196">
        <v>0</v>
      </c>
      <c r="G9846" s="196">
        <v>-3410000</v>
      </c>
    </row>
    <row r="9847" spans="1:7" x14ac:dyDescent="0.3">
      <c r="A9847" s="198">
        <v>1001808958</v>
      </c>
      <c r="B9847" s="192" t="s">
        <v>1298</v>
      </c>
      <c r="C9847" s="196">
        <v>0</v>
      </c>
      <c r="D9847" s="196">
        <v>0</v>
      </c>
      <c r="E9847" s="196">
        <v>2710000</v>
      </c>
      <c r="F9847" s="196">
        <v>-2710000</v>
      </c>
      <c r="G9847" s="196">
        <v>-2710000</v>
      </c>
    </row>
    <row r="9848" spans="1:7" x14ac:dyDescent="0.3">
      <c r="A9848" s="198">
        <v>43875460</v>
      </c>
      <c r="B9848" s="192" t="s">
        <v>6982</v>
      </c>
      <c r="C9848" s="196">
        <v>-3320000</v>
      </c>
      <c r="D9848" s="196">
        <v>0</v>
      </c>
      <c r="E9848" s="196">
        <v>0</v>
      </c>
      <c r="F9848" s="196">
        <v>0</v>
      </c>
      <c r="G9848" s="196">
        <v>-3320000</v>
      </c>
    </row>
    <row r="9849" spans="1:7" x14ac:dyDescent="0.3">
      <c r="A9849" s="198">
        <v>1238940354</v>
      </c>
      <c r="B9849" s="192" t="s">
        <v>5507</v>
      </c>
      <c r="C9849" s="196">
        <v>-4210000</v>
      </c>
      <c r="D9849" s="196">
        <v>0</v>
      </c>
      <c r="E9849" s="196">
        <v>0</v>
      </c>
      <c r="F9849" s="196">
        <v>0</v>
      </c>
      <c r="G9849" s="196">
        <v>-4210000</v>
      </c>
    </row>
    <row r="9850" spans="1:7" x14ac:dyDescent="0.3">
      <c r="A9850" s="198">
        <v>1018350030</v>
      </c>
      <c r="B9850" s="192" t="s">
        <v>6983</v>
      </c>
      <c r="C9850" s="196">
        <v>-963000</v>
      </c>
      <c r="D9850" s="196">
        <v>0</v>
      </c>
      <c r="E9850" s="196">
        <v>0</v>
      </c>
      <c r="F9850" s="196">
        <v>0</v>
      </c>
      <c r="G9850" s="196">
        <v>-963000</v>
      </c>
    </row>
    <row r="9851" spans="1:7" x14ac:dyDescent="0.3">
      <c r="A9851" s="198">
        <v>43825460</v>
      </c>
      <c r="B9851" s="192" t="s">
        <v>6984</v>
      </c>
      <c r="C9851" s="196">
        <v>-3652000</v>
      </c>
      <c r="D9851" s="196">
        <v>0</v>
      </c>
      <c r="E9851" s="196">
        <v>0</v>
      </c>
      <c r="F9851" s="196">
        <v>0</v>
      </c>
      <c r="G9851" s="196">
        <v>-3652000</v>
      </c>
    </row>
    <row r="9852" spans="1:7" x14ac:dyDescent="0.3">
      <c r="A9852" s="198">
        <v>1002295944</v>
      </c>
      <c r="B9852" s="192" t="s">
        <v>6985</v>
      </c>
      <c r="C9852" s="196">
        <v>-963000</v>
      </c>
      <c r="D9852" s="196">
        <v>0</v>
      </c>
      <c r="E9852" s="196">
        <v>0</v>
      </c>
      <c r="F9852" s="196">
        <v>0</v>
      </c>
      <c r="G9852" s="196">
        <v>-963000</v>
      </c>
    </row>
    <row r="9853" spans="1:7" x14ac:dyDescent="0.3">
      <c r="A9853" s="198">
        <v>1036684986</v>
      </c>
      <c r="B9853" s="192" t="s">
        <v>6986</v>
      </c>
      <c r="C9853" s="196">
        <v>-860000</v>
      </c>
      <c r="D9853" s="196">
        <v>0</v>
      </c>
      <c r="E9853" s="196">
        <v>0</v>
      </c>
      <c r="F9853" s="196">
        <v>0</v>
      </c>
      <c r="G9853" s="196">
        <v>-860000</v>
      </c>
    </row>
    <row r="9854" spans="1:7" x14ac:dyDescent="0.3">
      <c r="A9854" s="198">
        <v>5442180</v>
      </c>
      <c r="B9854" s="192" t="s">
        <v>6987</v>
      </c>
      <c r="C9854" s="196">
        <v>-963000</v>
      </c>
      <c r="D9854" s="196">
        <v>0</v>
      </c>
      <c r="E9854" s="196">
        <v>0</v>
      </c>
      <c r="F9854" s="196">
        <v>0</v>
      </c>
      <c r="G9854" s="196">
        <v>-963000</v>
      </c>
    </row>
    <row r="9855" spans="1:7" x14ac:dyDescent="0.3">
      <c r="A9855" s="198">
        <v>43434990</v>
      </c>
      <c r="B9855" s="192" t="s">
        <v>5513</v>
      </c>
      <c r="C9855" s="196">
        <v>-53400</v>
      </c>
      <c r="D9855" s="196">
        <v>0</v>
      </c>
      <c r="E9855" s="196">
        <v>0</v>
      </c>
      <c r="F9855" s="196">
        <v>0</v>
      </c>
      <c r="G9855" s="196">
        <v>-53400</v>
      </c>
    </row>
    <row r="9856" spans="1:7" x14ac:dyDescent="0.3">
      <c r="A9856" s="198">
        <v>21653865</v>
      </c>
      <c r="B9856" s="192" t="s">
        <v>6988</v>
      </c>
      <c r="C9856" s="196">
        <v>-4133000</v>
      </c>
      <c r="D9856" s="196">
        <v>0</v>
      </c>
      <c r="E9856" s="196">
        <v>0</v>
      </c>
      <c r="F9856" s="196">
        <v>0</v>
      </c>
      <c r="G9856" s="196">
        <v>-4133000</v>
      </c>
    </row>
    <row r="9857" spans="1:7" x14ac:dyDescent="0.3">
      <c r="A9857" s="198">
        <v>178064202</v>
      </c>
      <c r="B9857" s="192" t="s">
        <v>1306</v>
      </c>
      <c r="C9857" s="196">
        <v>0</v>
      </c>
      <c r="D9857" s="196">
        <v>0</v>
      </c>
      <c r="E9857" s="196">
        <v>355000</v>
      </c>
      <c r="F9857" s="196">
        <v>-355000</v>
      </c>
      <c r="G9857" s="196">
        <v>-355000</v>
      </c>
    </row>
    <row r="9858" spans="1:7" x14ac:dyDescent="0.3">
      <c r="A9858" s="192" t="s">
        <v>6989</v>
      </c>
      <c r="B9858" s="192" t="s">
        <v>6990</v>
      </c>
      <c r="C9858" s="196">
        <v>-3710000</v>
      </c>
      <c r="D9858" s="196">
        <v>0</v>
      </c>
      <c r="E9858" s="196">
        <v>0</v>
      </c>
      <c r="F9858" s="196">
        <v>0</v>
      </c>
      <c r="G9858" s="196">
        <v>-3710000</v>
      </c>
    </row>
    <row r="9859" spans="1:7" x14ac:dyDescent="0.3">
      <c r="A9859" s="198">
        <v>77182383</v>
      </c>
      <c r="B9859" s="192" t="s">
        <v>6991</v>
      </c>
      <c r="C9859" s="196">
        <v>-3910000</v>
      </c>
      <c r="D9859" s="196">
        <v>0</v>
      </c>
      <c r="E9859" s="196">
        <v>0</v>
      </c>
      <c r="F9859" s="196">
        <v>0</v>
      </c>
      <c r="G9859" s="196">
        <v>-3910000</v>
      </c>
    </row>
    <row r="9860" spans="1:7" x14ac:dyDescent="0.3">
      <c r="A9860" s="198">
        <v>900699359</v>
      </c>
      <c r="B9860" s="192" t="s">
        <v>1311</v>
      </c>
      <c r="C9860" s="196">
        <v>-10690000</v>
      </c>
      <c r="D9860" s="196">
        <v>0</v>
      </c>
      <c r="E9860" s="196">
        <v>2601000</v>
      </c>
      <c r="F9860" s="196">
        <v>-2601000</v>
      </c>
      <c r="G9860" s="196">
        <v>-13291000</v>
      </c>
    </row>
    <row r="9861" spans="1:7" x14ac:dyDescent="0.3">
      <c r="A9861" s="198">
        <v>1099205849</v>
      </c>
      <c r="B9861" s="192" t="s">
        <v>1313</v>
      </c>
      <c r="C9861" s="196">
        <v>-3324799</v>
      </c>
      <c r="D9861" s="196">
        <v>0</v>
      </c>
      <c r="E9861" s="196">
        <v>0</v>
      </c>
      <c r="F9861" s="196">
        <v>0</v>
      </c>
      <c r="G9861" s="196">
        <v>-3324799</v>
      </c>
    </row>
    <row r="9862" spans="1:7" x14ac:dyDescent="0.3">
      <c r="A9862" s="198">
        <v>1038866742</v>
      </c>
      <c r="B9862" s="192" t="s">
        <v>6992</v>
      </c>
      <c r="C9862" s="196">
        <v>-963000</v>
      </c>
      <c r="D9862" s="196">
        <v>0</v>
      </c>
      <c r="E9862" s="196">
        <v>0</v>
      </c>
      <c r="F9862" s="196">
        <v>0</v>
      </c>
      <c r="G9862" s="196">
        <v>-963000</v>
      </c>
    </row>
    <row r="9863" spans="1:7" x14ac:dyDescent="0.3">
      <c r="A9863" s="192" t="s">
        <v>1314</v>
      </c>
      <c r="B9863" s="192" t="s">
        <v>1315</v>
      </c>
      <c r="C9863" s="196">
        <v>-4517002</v>
      </c>
      <c r="D9863" s="196">
        <v>0</v>
      </c>
      <c r="E9863" s="196">
        <v>0</v>
      </c>
      <c r="F9863" s="196">
        <v>0</v>
      </c>
      <c r="G9863" s="196">
        <v>-4517002</v>
      </c>
    </row>
    <row r="9864" spans="1:7" x14ac:dyDescent="0.3">
      <c r="A9864" s="198">
        <v>1110564608</v>
      </c>
      <c r="B9864" s="192" t="s">
        <v>5525</v>
      </c>
      <c r="C9864" s="196">
        <v>-3210000</v>
      </c>
      <c r="D9864" s="196">
        <v>0</v>
      </c>
      <c r="E9864" s="196">
        <v>0</v>
      </c>
      <c r="F9864" s="196">
        <v>0</v>
      </c>
      <c r="G9864" s="196">
        <v>-3210000</v>
      </c>
    </row>
    <row r="9865" spans="1:7" x14ac:dyDescent="0.3">
      <c r="A9865" s="198">
        <v>1026571561</v>
      </c>
      <c r="B9865" s="192" t="s">
        <v>5537</v>
      </c>
      <c r="C9865" s="196">
        <v>-3210000</v>
      </c>
      <c r="D9865" s="196">
        <v>0</v>
      </c>
      <c r="E9865" s="196">
        <v>0</v>
      </c>
      <c r="F9865" s="196">
        <v>0</v>
      </c>
      <c r="G9865" s="196">
        <v>-3210000</v>
      </c>
    </row>
    <row r="9866" spans="1:7" x14ac:dyDescent="0.3">
      <c r="A9866" s="192" t="s">
        <v>1320</v>
      </c>
      <c r="B9866" s="192" t="s">
        <v>1321</v>
      </c>
      <c r="C9866" s="196">
        <v>0</v>
      </c>
      <c r="D9866" s="196">
        <v>0</v>
      </c>
      <c r="E9866" s="196">
        <v>963000</v>
      </c>
      <c r="F9866" s="196">
        <v>-963000</v>
      </c>
      <c r="G9866" s="196">
        <v>-963000</v>
      </c>
    </row>
    <row r="9867" spans="1:7" x14ac:dyDescent="0.3">
      <c r="A9867" s="198">
        <v>1001186539</v>
      </c>
      <c r="B9867" s="192" t="s">
        <v>1322</v>
      </c>
      <c r="C9867" s="196">
        <v>0</v>
      </c>
      <c r="D9867" s="196">
        <v>0</v>
      </c>
      <c r="E9867" s="196">
        <v>963000</v>
      </c>
      <c r="F9867" s="196">
        <v>-963000</v>
      </c>
      <c r="G9867" s="196">
        <v>-963000</v>
      </c>
    </row>
    <row r="9868" spans="1:7" x14ac:dyDescent="0.3">
      <c r="A9868" s="198">
        <v>1017122462</v>
      </c>
      <c r="B9868" s="192" t="s">
        <v>6993</v>
      </c>
      <c r="C9868" s="196">
        <v>-963000</v>
      </c>
      <c r="D9868" s="196">
        <v>0</v>
      </c>
      <c r="E9868" s="196">
        <v>0</v>
      </c>
      <c r="F9868" s="196">
        <v>0</v>
      </c>
      <c r="G9868" s="196">
        <v>-963000</v>
      </c>
    </row>
    <row r="9869" spans="1:7" x14ac:dyDescent="0.3">
      <c r="A9869" s="198">
        <v>39273714</v>
      </c>
      <c r="B9869" s="192" t="s">
        <v>5543</v>
      </c>
      <c r="C9869" s="196">
        <v>-13822000</v>
      </c>
      <c r="D9869" s="196">
        <v>0</v>
      </c>
      <c r="E9869" s="196">
        <v>0</v>
      </c>
      <c r="F9869" s="196">
        <v>0</v>
      </c>
      <c r="G9869" s="196">
        <v>-13822000</v>
      </c>
    </row>
    <row r="9870" spans="1:7" x14ac:dyDescent="0.3">
      <c r="A9870" s="192" t="s">
        <v>6994</v>
      </c>
      <c r="B9870" s="192" t="s">
        <v>6995</v>
      </c>
      <c r="C9870" s="196">
        <v>-963000</v>
      </c>
      <c r="D9870" s="196">
        <v>0</v>
      </c>
      <c r="E9870" s="196">
        <v>0</v>
      </c>
      <c r="F9870" s="196">
        <v>0</v>
      </c>
      <c r="G9870" s="196">
        <v>-963000</v>
      </c>
    </row>
    <row r="9871" spans="1:7" x14ac:dyDescent="0.3">
      <c r="A9871" s="198">
        <v>1035227798</v>
      </c>
      <c r="B9871" s="192" t="s">
        <v>6996</v>
      </c>
      <c r="C9871" s="196">
        <v>-3500000</v>
      </c>
      <c r="D9871" s="196">
        <v>0</v>
      </c>
      <c r="E9871" s="196">
        <v>0</v>
      </c>
      <c r="F9871" s="196">
        <v>0</v>
      </c>
      <c r="G9871" s="196">
        <v>-3500000</v>
      </c>
    </row>
    <row r="9872" spans="1:7" x14ac:dyDescent="0.3">
      <c r="A9872" s="198">
        <v>21366963</v>
      </c>
      <c r="B9872" s="192" t="s">
        <v>6997</v>
      </c>
      <c r="C9872" s="196">
        <v>-6342000</v>
      </c>
      <c r="D9872" s="196">
        <v>0</v>
      </c>
      <c r="E9872" s="196">
        <v>0</v>
      </c>
      <c r="F9872" s="196">
        <v>0</v>
      </c>
      <c r="G9872" s="196">
        <v>-6342000</v>
      </c>
    </row>
    <row r="9873" spans="1:7" x14ac:dyDescent="0.3">
      <c r="A9873" s="198">
        <v>32486268</v>
      </c>
      <c r="B9873" s="192" t="s">
        <v>6998</v>
      </c>
      <c r="C9873" s="196">
        <v>-4133000</v>
      </c>
      <c r="D9873" s="196">
        <v>0</v>
      </c>
      <c r="E9873" s="196">
        <v>0</v>
      </c>
      <c r="F9873" s="196">
        <v>0</v>
      </c>
      <c r="G9873" s="196">
        <v>-4133000</v>
      </c>
    </row>
    <row r="9874" spans="1:7" x14ac:dyDescent="0.3">
      <c r="A9874" s="198">
        <v>1037263893</v>
      </c>
      <c r="B9874" s="192" t="s">
        <v>6999</v>
      </c>
      <c r="C9874" s="196">
        <v>-963000</v>
      </c>
      <c r="D9874" s="196">
        <v>0</v>
      </c>
      <c r="E9874" s="196">
        <v>0</v>
      </c>
      <c r="F9874" s="196">
        <v>0</v>
      </c>
      <c r="G9874" s="196">
        <v>-963000</v>
      </c>
    </row>
    <row r="9875" spans="1:7" x14ac:dyDescent="0.3">
      <c r="A9875" s="198">
        <v>74186239</v>
      </c>
      <c r="B9875" s="192" t="s">
        <v>5554</v>
      </c>
      <c r="C9875" s="196">
        <v>-100000</v>
      </c>
      <c r="D9875" s="196">
        <v>0</v>
      </c>
      <c r="E9875" s="196">
        <v>0</v>
      </c>
      <c r="F9875" s="196">
        <v>0</v>
      </c>
      <c r="G9875" s="196">
        <v>-100000</v>
      </c>
    </row>
    <row r="9876" spans="1:7" x14ac:dyDescent="0.3">
      <c r="A9876" s="198">
        <v>1017264636</v>
      </c>
      <c r="B9876" s="192" t="s">
        <v>1327</v>
      </c>
      <c r="C9876" s="196">
        <v>0</v>
      </c>
      <c r="D9876" s="196">
        <v>0</v>
      </c>
      <c r="E9876" s="196">
        <v>963000</v>
      </c>
      <c r="F9876" s="196">
        <v>-963000</v>
      </c>
      <c r="G9876" s="196">
        <v>-963000</v>
      </c>
    </row>
    <row r="9877" spans="1:7" x14ac:dyDescent="0.3">
      <c r="A9877" s="198">
        <v>71878327</v>
      </c>
      <c r="B9877" s="192" t="s">
        <v>7000</v>
      </c>
      <c r="C9877" s="196">
        <v>-1143000</v>
      </c>
      <c r="D9877" s="196">
        <v>0</v>
      </c>
      <c r="E9877" s="196">
        <v>0</v>
      </c>
      <c r="F9877" s="196">
        <v>0</v>
      </c>
      <c r="G9877" s="196">
        <v>-1143000</v>
      </c>
    </row>
    <row r="9878" spans="1:7" x14ac:dyDescent="0.3">
      <c r="A9878" s="192" t="s">
        <v>1328</v>
      </c>
      <c r="B9878" s="192" t="s">
        <v>1329</v>
      </c>
      <c r="C9878" s="196">
        <v>0</v>
      </c>
      <c r="D9878" s="196">
        <v>0</v>
      </c>
      <c r="E9878" s="196">
        <v>1960000</v>
      </c>
      <c r="F9878" s="196">
        <v>-1960000</v>
      </c>
      <c r="G9878" s="196">
        <v>-1960000</v>
      </c>
    </row>
    <row r="9879" spans="1:7" x14ac:dyDescent="0.3">
      <c r="A9879" s="198">
        <v>15381444</v>
      </c>
      <c r="B9879" s="192" t="s">
        <v>7001</v>
      </c>
      <c r="C9879" s="196">
        <v>-13673800</v>
      </c>
      <c r="D9879" s="196">
        <v>0</v>
      </c>
      <c r="E9879" s="196">
        <v>0</v>
      </c>
      <c r="F9879" s="196">
        <v>0</v>
      </c>
      <c r="G9879" s="196">
        <v>-13673800</v>
      </c>
    </row>
    <row r="9880" spans="1:7" x14ac:dyDescent="0.3">
      <c r="A9880" s="198">
        <v>36110068</v>
      </c>
      <c r="B9880" s="192" t="s">
        <v>5560</v>
      </c>
      <c r="C9880" s="196">
        <v>-10863800</v>
      </c>
      <c r="D9880" s="196">
        <v>0</v>
      </c>
      <c r="E9880" s="196">
        <v>0</v>
      </c>
      <c r="F9880" s="196">
        <v>0</v>
      </c>
      <c r="G9880" s="196">
        <v>-10863800</v>
      </c>
    </row>
    <row r="9881" spans="1:7" x14ac:dyDescent="0.3">
      <c r="A9881" s="198">
        <v>32516686</v>
      </c>
      <c r="B9881" s="192" t="s">
        <v>7002</v>
      </c>
      <c r="C9881" s="196">
        <v>-57200</v>
      </c>
      <c r="D9881" s="196">
        <v>0</v>
      </c>
      <c r="E9881" s="196">
        <v>0</v>
      </c>
      <c r="F9881" s="196">
        <v>0</v>
      </c>
      <c r="G9881" s="196">
        <v>-57200</v>
      </c>
    </row>
    <row r="9882" spans="1:7" x14ac:dyDescent="0.3">
      <c r="A9882" s="198">
        <v>42879287</v>
      </c>
      <c r="B9882" s="192" t="s">
        <v>7003</v>
      </c>
      <c r="C9882" s="196">
        <v>-3722400</v>
      </c>
      <c r="D9882" s="196">
        <v>0</v>
      </c>
      <c r="E9882" s="196">
        <v>0</v>
      </c>
      <c r="F9882" s="196">
        <v>0</v>
      </c>
      <c r="G9882" s="196">
        <v>-3722400</v>
      </c>
    </row>
    <row r="9883" spans="1:7" x14ac:dyDescent="0.3">
      <c r="A9883" s="198">
        <v>900776128</v>
      </c>
      <c r="B9883" s="192" t="s">
        <v>1330</v>
      </c>
      <c r="C9883" s="196">
        <v>0</v>
      </c>
      <c r="D9883" s="196">
        <v>0</v>
      </c>
      <c r="E9883" s="196">
        <v>4133000</v>
      </c>
      <c r="F9883" s="196">
        <v>-4133000</v>
      </c>
      <c r="G9883" s="196">
        <v>-4133000</v>
      </c>
    </row>
    <row r="9884" spans="1:7" x14ac:dyDescent="0.3">
      <c r="A9884" s="198">
        <v>21943456</v>
      </c>
      <c r="B9884" s="192" t="s">
        <v>1332</v>
      </c>
      <c r="C9884" s="196">
        <v>0</v>
      </c>
      <c r="D9884" s="196">
        <v>0</v>
      </c>
      <c r="E9884" s="196">
        <v>5600000</v>
      </c>
      <c r="F9884" s="196">
        <v>-5600000</v>
      </c>
      <c r="G9884" s="196">
        <v>-5600000</v>
      </c>
    </row>
    <row r="9885" spans="1:7" x14ac:dyDescent="0.3">
      <c r="A9885" s="198">
        <v>43568430</v>
      </c>
      <c r="B9885" s="192" t="s">
        <v>5566</v>
      </c>
      <c r="C9885" s="196">
        <v>-11229800</v>
      </c>
      <c r="D9885" s="196">
        <v>0</v>
      </c>
      <c r="E9885" s="196">
        <v>0</v>
      </c>
      <c r="F9885" s="196">
        <v>0</v>
      </c>
      <c r="G9885" s="196">
        <v>-11229800</v>
      </c>
    </row>
    <row r="9886" spans="1:7" x14ac:dyDescent="0.3">
      <c r="A9886" s="198">
        <v>32495128</v>
      </c>
      <c r="B9886" s="192" t="s">
        <v>5569</v>
      </c>
      <c r="C9886" s="196">
        <v>-57200</v>
      </c>
      <c r="D9886" s="196">
        <v>0</v>
      </c>
      <c r="E9886" s="196">
        <v>0</v>
      </c>
      <c r="F9886" s="196">
        <v>0</v>
      </c>
      <c r="G9886" s="196">
        <v>-57200</v>
      </c>
    </row>
    <row r="9887" spans="1:7" x14ac:dyDescent="0.3">
      <c r="A9887" s="198">
        <v>43736651</v>
      </c>
      <c r="B9887" s="192" t="s">
        <v>5574</v>
      </c>
      <c r="C9887" s="196">
        <v>-5670000</v>
      </c>
      <c r="D9887" s="196">
        <v>0</v>
      </c>
      <c r="E9887" s="196">
        <v>0</v>
      </c>
      <c r="F9887" s="196">
        <v>0</v>
      </c>
      <c r="G9887" s="196">
        <v>-5670000</v>
      </c>
    </row>
    <row r="9888" spans="1:7" x14ac:dyDescent="0.3">
      <c r="A9888" s="198">
        <v>1220476572</v>
      </c>
      <c r="B9888" s="192" t="s">
        <v>7004</v>
      </c>
      <c r="C9888" s="196">
        <v>-4133000</v>
      </c>
      <c r="D9888" s="196">
        <v>0</v>
      </c>
      <c r="E9888" s="196">
        <v>0</v>
      </c>
      <c r="F9888" s="196">
        <v>0</v>
      </c>
      <c r="G9888" s="196">
        <v>-4133000</v>
      </c>
    </row>
    <row r="9889" spans="1:7" x14ac:dyDescent="0.3">
      <c r="A9889" s="198">
        <v>32469856</v>
      </c>
      <c r="B9889" s="192" t="s">
        <v>1335</v>
      </c>
      <c r="C9889" s="196">
        <v>-57200</v>
      </c>
      <c r="D9889" s="196">
        <v>0</v>
      </c>
      <c r="E9889" s="196">
        <v>0</v>
      </c>
      <c r="F9889" s="196">
        <v>0</v>
      </c>
      <c r="G9889" s="196">
        <v>-57200</v>
      </c>
    </row>
    <row r="9890" spans="1:7" x14ac:dyDescent="0.3">
      <c r="A9890" s="198">
        <v>30573653</v>
      </c>
      <c r="B9890" s="192" t="s">
        <v>1336</v>
      </c>
      <c r="C9890" s="196">
        <v>0</v>
      </c>
      <c r="D9890" s="196">
        <v>0</v>
      </c>
      <c r="E9890" s="196">
        <v>2895000</v>
      </c>
      <c r="F9890" s="196">
        <v>-2895000</v>
      </c>
      <c r="G9890" s="196">
        <v>-2895000</v>
      </c>
    </row>
    <row r="9891" spans="1:7" x14ac:dyDescent="0.3">
      <c r="A9891" s="192" t="s">
        <v>7005</v>
      </c>
      <c r="B9891" s="192" t="s">
        <v>7006</v>
      </c>
      <c r="C9891" s="196">
        <v>-963000</v>
      </c>
      <c r="D9891" s="196">
        <v>0</v>
      </c>
      <c r="E9891" s="196">
        <v>0</v>
      </c>
      <c r="F9891" s="196">
        <v>0</v>
      </c>
      <c r="G9891" s="196">
        <v>-963000</v>
      </c>
    </row>
    <row r="9892" spans="1:7" x14ac:dyDescent="0.3">
      <c r="A9892" s="198">
        <v>8170595</v>
      </c>
      <c r="B9892" s="192" t="s">
        <v>5592</v>
      </c>
      <c r="C9892" s="196">
        <v>-2510000</v>
      </c>
      <c r="D9892" s="196">
        <v>0</v>
      </c>
      <c r="E9892" s="196">
        <v>0</v>
      </c>
      <c r="F9892" s="196">
        <v>0</v>
      </c>
      <c r="G9892" s="196">
        <v>-2510000</v>
      </c>
    </row>
    <row r="9893" spans="1:7" x14ac:dyDescent="0.3">
      <c r="A9893" s="198">
        <v>27294803</v>
      </c>
      <c r="B9893" s="192" t="s">
        <v>1343</v>
      </c>
      <c r="C9893" s="196">
        <v>0</v>
      </c>
      <c r="D9893" s="196">
        <v>0</v>
      </c>
      <c r="E9893" s="196">
        <v>2895000</v>
      </c>
      <c r="F9893" s="196">
        <v>-2895000</v>
      </c>
      <c r="G9893" s="196">
        <v>-2895000</v>
      </c>
    </row>
    <row r="9894" spans="1:7" x14ac:dyDescent="0.3">
      <c r="A9894" s="198">
        <v>22116581</v>
      </c>
      <c r="B9894" s="192" t="s">
        <v>7007</v>
      </c>
      <c r="C9894" s="196">
        <v>-107200</v>
      </c>
      <c r="D9894" s="196">
        <v>0</v>
      </c>
      <c r="E9894" s="196">
        <v>0</v>
      </c>
      <c r="F9894" s="196">
        <v>0</v>
      </c>
      <c r="G9894" s="196">
        <v>-107200</v>
      </c>
    </row>
    <row r="9895" spans="1:7" x14ac:dyDescent="0.3">
      <c r="A9895" s="198">
        <v>15254904</v>
      </c>
      <c r="B9895" s="192" t="s">
        <v>7008</v>
      </c>
      <c r="C9895" s="196">
        <v>-4375000</v>
      </c>
      <c r="D9895" s="196">
        <v>0</v>
      </c>
      <c r="E9895" s="196">
        <v>0</v>
      </c>
      <c r="F9895" s="196">
        <v>0</v>
      </c>
      <c r="G9895" s="196">
        <v>-4375000</v>
      </c>
    </row>
    <row r="9896" spans="1:7" x14ac:dyDescent="0.3">
      <c r="A9896" s="198">
        <v>3304631</v>
      </c>
      <c r="B9896" s="192" t="s">
        <v>5614</v>
      </c>
      <c r="C9896" s="196">
        <v>-2710000</v>
      </c>
      <c r="D9896" s="196">
        <v>0</v>
      </c>
      <c r="E9896" s="196">
        <v>0</v>
      </c>
      <c r="F9896" s="196">
        <v>0</v>
      </c>
      <c r="G9896" s="196">
        <v>-2710000</v>
      </c>
    </row>
    <row r="9897" spans="1:7" x14ac:dyDescent="0.3">
      <c r="A9897" s="198">
        <v>1065831893</v>
      </c>
      <c r="B9897" s="192" t="s">
        <v>7009</v>
      </c>
      <c r="C9897" s="196">
        <v>-2341100</v>
      </c>
      <c r="D9897" s="196">
        <v>0</v>
      </c>
      <c r="E9897" s="196">
        <v>0</v>
      </c>
      <c r="F9897" s="196">
        <v>0</v>
      </c>
      <c r="G9897" s="196">
        <v>-2341100</v>
      </c>
    </row>
    <row r="9898" spans="1:7" x14ac:dyDescent="0.3">
      <c r="A9898" s="198">
        <v>1152218891</v>
      </c>
      <c r="B9898" s="192" t="s">
        <v>7010</v>
      </c>
      <c r="C9898" s="196">
        <v>-963000</v>
      </c>
      <c r="D9898" s="196">
        <v>0</v>
      </c>
      <c r="E9898" s="196">
        <v>0</v>
      </c>
      <c r="F9898" s="196">
        <v>0</v>
      </c>
      <c r="G9898" s="196">
        <v>-963000</v>
      </c>
    </row>
    <row r="9899" spans="1:7" x14ac:dyDescent="0.3">
      <c r="A9899" s="198">
        <v>8345531</v>
      </c>
      <c r="B9899" s="192" t="s">
        <v>1350</v>
      </c>
      <c r="C9899" s="196">
        <v>-5334000</v>
      </c>
      <c r="D9899" s="196">
        <v>0</v>
      </c>
      <c r="E9899" s="196">
        <v>2667000</v>
      </c>
      <c r="F9899" s="196">
        <v>-2667000</v>
      </c>
      <c r="G9899" s="196">
        <v>-8001000</v>
      </c>
    </row>
    <row r="9900" spans="1:7" x14ac:dyDescent="0.3">
      <c r="A9900" s="198">
        <v>70548876</v>
      </c>
      <c r="B9900" s="192" t="s">
        <v>7011</v>
      </c>
      <c r="C9900" s="196">
        <v>-5600000</v>
      </c>
      <c r="D9900" s="196">
        <v>0</v>
      </c>
      <c r="E9900" s="196">
        <v>0</v>
      </c>
      <c r="F9900" s="196">
        <v>0</v>
      </c>
      <c r="G9900" s="196">
        <v>-5600000</v>
      </c>
    </row>
    <row r="9901" spans="1:7" x14ac:dyDescent="0.3">
      <c r="A9901" s="198">
        <v>71731531</v>
      </c>
      <c r="B9901" s="192" t="s">
        <v>7012</v>
      </c>
      <c r="C9901" s="196">
        <v>-550000</v>
      </c>
      <c r="D9901" s="196">
        <v>0</v>
      </c>
      <c r="E9901" s="196">
        <v>0</v>
      </c>
      <c r="F9901" s="196">
        <v>0</v>
      </c>
      <c r="G9901" s="196">
        <v>-550000</v>
      </c>
    </row>
    <row r="9902" spans="1:7" x14ac:dyDescent="0.3">
      <c r="A9902" s="198">
        <v>8229300</v>
      </c>
      <c r="B9902" s="192" t="s">
        <v>7013</v>
      </c>
      <c r="C9902" s="196">
        <v>-4133000</v>
      </c>
      <c r="D9902" s="196">
        <v>0</v>
      </c>
      <c r="E9902" s="196">
        <v>0</v>
      </c>
      <c r="F9902" s="196">
        <v>0</v>
      </c>
      <c r="G9902" s="196">
        <v>-4133000</v>
      </c>
    </row>
    <row r="9903" spans="1:7" x14ac:dyDescent="0.3">
      <c r="A9903" s="198">
        <v>71705398</v>
      </c>
      <c r="B9903" s="192" t="s">
        <v>7014</v>
      </c>
      <c r="C9903" s="196">
        <v>-2980000</v>
      </c>
      <c r="D9903" s="196">
        <v>0</v>
      </c>
      <c r="E9903" s="196">
        <v>0</v>
      </c>
      <c r="F9903" s="196">
        <v>0</v>
      </c>
      <c r="G9903" s="196">
        <v>-2980000</v>
      </c>
    </row>
    <row r="9904" spans="1:7" x14ac:dyDescent="0.3">
      <c r="A9904" s="198">
        <v>1067932772</v>
      </c>
      <c r="B9904" s="192" t="s">
        <v>7015</v>
      </c>
      <c r="C9904" s="196">
        <v>-963000</v>
      </c>
      <c r="D9904" s="196">
        <v>0</v>
      </c>
      <c r="E9904" s="196">
        <v>0</v>
      </c>
      <c r="F9904" s="196">
        <v>0</v>
      </c>
      <c r="G9904" s="196">
        <v>-963000</v>
      </c>
    </row>
    <row r="9905" spans="1:7" x14ac:dyDescent="0.3">
      <c r="A9905" s="198">
        <v>1035283707</v>
      </c>
      <c r="B9905" s="192" t="s">
        <v>7016</v>
      </c>
      <c r="C9905" s="196">
        <v>-860000</v>
      </c>
      <c r="D9905" s="196">
        <v>0</v>
      </c>
      <c r="E9905" s="196">
        <v>0</v>
      </c>
      <c r="F9905" s="196">
        <v>0</v>
      </c>
      <c r="G9905" s="196">
        <v>-860000</v>
      </c>
    </row>
    <row r="9906" spans="1:7" x14ac:dyDescent="0.3">
      <c r="A9906" s="198">
        <v>31712890</v>
      </c>
      <c r="B9906" s="192" t="s">
        <v>1359</v>
      </c>
      <c r="C9906" s="196">
        <v>0</v>
      </c>
      <c r="D9906" s="196">
        <v>0</v>
      </c>
      <c r="E9906" s="196">
        <v>6184000</v>
      </c>
      <c r="F9906" s="196">
        <v>-6184000</v>
      </c>
      <c r="G9906" s="196">
        <v>-6184000</v>
      </c>
    </row>
    <row r="9907" spans="1:7" x14ac:dyDescent="0.3">
      <c r="A9907" s="198">
        <v>43117098</v>
      </c>
      <c r="B9907" s="192" t="s">
        <v>7017</v>
      </c>
      <c r="C9907" s="196">
        <v>-3261650</v>
      </c>
      <c r="D9907" s="196">
        <v>0</v>
      </c>
      <c r="E9907" s="196">
        <v>0</v>
      </c>
      <c r="F9907" s="196">
        <v>0</v>
      </c>
      <c r="G9907" s="196">
        <v>-3261650</v>
      </c>
    </row>
    <row r="9908" spans="1:7" x14ac:dyDescent="0.3">
      <c r="A9908" s="198">
        <v>722363</v>
      </c>
      <c r="B9908" s="192" t="s">
        <v>5644</v>
      </c>
      <c r="C9908" s="196">
        <v>-6434000</v>
      </c>
      <c r="D9908" s="196">
        <v>0</v>
      </c>
      <c r="E9908" s="196">
        <v>0</v>
      </c>
      <c r="F9908" s="196">
        <v>0</v>
      </c>
      <c r="G9908" s="196">
        <v>-6434000</v>
      </c>
    </row>
    <row r="9909" spans="1:7" x14ac:dyDescent="0.3">
      <c r="A9909" s="198">
        <v>43518079</v>
      </c>
      <c r="B9909" s="192" t="s">
        <v>1362</v>
      </c>
      <c r="C9909" s="196">
        <v>0</v>
      </c>
      <c r="D9909" s="196">
        <v>0</v>
      </c>
      <c r="E9909" s="196">
        <v>683000</v>
      </c>
      <c r="F9909" s="196">
        <v>-683000</v>
      </c>
      <c r="G9909" s="196">
        <v>-683000</v>
      </c>
    </row>
    <row r="9910" spans="1:7" x14ac:dyDescent="0.3">
      <c r="A9910" s="198">
        <v>43612135</v>
      </c>
      <c r="B9910" s="192" t="s">
        <v>1365</v>
      </c>
      <c r="C9910" s="196">
        <v>0</v>
      </c>
      <c r="D9910" s="196">
        <v>0</v>
      </c>
      <c r="E9910" s="196">
        <v>106800</v>
      </c>
      <c r="F9910" s="196">
        <v>-106800</v>
      </c>
      <c r="G9910" s="196">
        <v>-106800</v>
      </c>
    </row>
    <row r="9911" spans="1:7" x14ac:dyDescent="0.3">
      <c r="A9911" s="198">
        <v>1037237770</v>
      </c>
      <c r="B9911" s="192" t="s">
        <v>5655</v>
      </c>
      <c r="C9911" s="196">
        <v>-3510000</v>
      </c>
      <c r="D9911" s="196">
        <v>0</v>
      </c>
      <c r="E9911" s="196">
        <v>0</v>
      </c>
      <c r="F9911" s="196">
        <v>0</v>
      </c>
      <c r="G9911" s="196">
        <v>-3510000</v>
      </c>
    </row>
    <row r="9912" spans="1:7" x14ac:dyDescent="0.3">
      <c r="A9912" s="198">
        <v>59311570</v>
      </c>
      <c r="B9912" s="192" t="s">
        <v>7018</v>
      </c>
      <c r="C9912" s="196">
        <v>-3652000</v>
      </c>
      <c r="D9912" s="196">
        <v>0</v>
      </c>
      <c r="E9912" s="196">
        <v>0</v>
      </c>
      <c r="F9912" s="196">
        <v>0</v>
      </c>
      <c r="G9912" s="196">
        <v>-3652000</v>
      </c>
    </row>
    <row r="9913" spans="1:7" x14ac:dyDescent="0.3">
      <c r="A9913" s="198">
        <v>8240891</v>
      </c>
      <c r="B9913" s="192" t="s">
        <v>5656</v>
      </c>
      <c r="C9913" s="196">
        <v>-1750000</v>
      </c>
      <c r="D9913" s="196">
        <v>0</v>
      </c>
      <c r="E9913" s="196">
        <v>0</v>
      </c>
      <c r="F9913" s="196">
        <v>0</v>
      </c>
      <c r="G9913" s="196">
        <v>-1750000</v>
      </c>
    </row>
    <row r="9914" spans="1:7" x14ac:dyDescent="0.3">
      <c r="A9914" s="198">
        <v>42825703</v>
      </c>
      <c r="B9914" s="192" t="s">
        <v>1368</v>
      </c>
      <c r="C9914" s="196">
        <v>-3386000</v>
      </c>
      <c r="D9914" s="196">
        <v>0</v>
      </c>
      <c r="E9914" s="196">
        <v>0</v>
      </c>
      <c r="F9914" s="196">
        <v>0</v>
      </c>
      <c r="G9914" s="196">
        <v>-3386000</v>
      </c>
    </row>
    <row r="9915" spans="1:7" x14ac:dyDescent="0.3">
      <c r="A9915" s="198">
        <v>43117008</v>
      </c>
      <c r="B9915" s="192" t="s">
        <v>7019</v>
      </c>
      <c r="C9915" s="196">
        <v>-1870000</v>
      </c>
      <c r="D9915" s="196">
        <v>0</v>
      </c>
      <c r="E9915" s="196">
        <v>0</v>
      </c>
      <c r="F9915" s="196">
        <v>0</v>
      </c>
      <c r="G9915" s="196">
        <v>-1870000</v>
      </c>
    </row>
    <row r="9916" spans="1:7" x14ac:dyDescent="0.3">
      <c r="A9916" s="198">
        <v>43875819</v>
      </c>
      <c r="B9916" s="192" t="s">
        <v>5662</v>
      </c>
      <c r="C9916" s="196">
        <v>-12147000</v>
      </c>
      <c r="D9916" s="196">
        <v>0</v>
      </c>
      <c r="E9916" s="196">
        <v>0</v>
      </c>
      <c r="F9916" s="196">
        <v>0</v>
      </c>
      <c r="G9916" s="196">
        <v>-12147000</v>
      </c>
    </row>
    <row r="9917" spans="1:7" x14ac:dyDescent="0.3">
      <c r="A9917" s="198">
        <v>1128460083</v>
      </c>
      <c r="B9917" s="192" t="s">
        <v>7020</v>
      </c>
      <c r="C9917" s="196">
        <v>-963000</v>
      </c>
      <c r="D9917" s="196">
        <v>0</v>
      </c>
      <c r="E9917" s="196">
        <v>0</v>
      </c>
      <c r="F9917" s="196">
        <v>0</v>
      </c>
      <c r="G9917" s="196">
        <v>-963000</v>
      </c>
    </row>
    <row r="9918" spans="1:7" x14ac:dyDescent="0.3">
      <c r="A9918" s="198">
        <v>1152464077</v>
      </c>
      <c r="B9918" s="192" t="s">
        <v>7021</v>
      </c>
      <c r="C9918" s="196">
        <v>-963000</v>
      </c>
      <c r="D9918" s="196">
        <v>0</v>
      </c>
      <c r="E9918" s="196">
        <v>0</v>
      </c>
      <c r="F9918" s="196">
        <v>0</v>
      </c>
      <c r="G9918" s="196">
        <v>-963000</v>
      </c>
    </row>
    <row r="9919" spans="1:7" x14ac:dyDescent="0.3">
      <c r="A9919" s="198">
        <v>1026139929</v>
      </c>
      <c r="B9919" s="192" t="s">
        <v>5663</v>
      </c>
      <c r="C9919" s="196">
        <v>-3717000</v>
      </c>
      <c r="D9919" s="196">
        <v>0</v>
      </c>
      <c r="E9919" s="196">
        <v>0</v>
      </c>
      <c r="F9919" s="196">
        <v>0</v>
      </c>
      <c r="G9919" s="196">
        <v>-3717000</v>
      </c>
    </row>
    <row r="9920" spans="1:7" x14ac:dyDescent="0.3">
      <c r="A9920" s="198">
        <v>1015066037</v>
      </c>
      <c r="B9920" s="192" t="s">
        <v>7022</v>
      </c>
      <c r="C9920" s="196">
        <v>-963000</v>
      </c>
      <c r="D9920" s="196">
        <v>0</v>
      </c>
      <c r="E9920" s="196">
        <v>0</v>
      </c>
      <c r="F9920" s="196">
        <v>0</v>
      </c>
      <c r="G9920" s="196">
        <v>-963000</v>
      </c>
    </row>
    <row r="9921" spans="1:7" x14ac:dyDescent="0.3">
      <c r="A9921" s="198">
        <v>1007480686</v>
      </c>
      <c r="B9921" s="192" t="s">
        <v>5664</v>
      </c>
      <c r="C9921" s="196">
        <v>-3510000</v>
      </c>
      <c r="D9921" s="196">
        <v>0</v>
      </c>
      <c r="E9921" s="196">
        <v>0</v>
      </c>
      <c r="F9921" s="196">
        <v>0</v>
      </c>
      <c r="G9921" s="196">
        <v>-3510000</v>
      </c>
    </row>
    <row r="9922" spans="1:7" x14ac:dyDescent="0.3">
      <c r="A9922" s="198">
        <v>1036957613</v>
      </c>
      <c r="B9922" s="192" t="s">
        <v>1370</v>
      </c>
      <c r="C9922" s="196">
        <v>0</v>
      </c>
      <c r="D9922" s="196">
        <v>0</v>
      </c>
      <c r="E9922" s="196">
        <v>963000</v>
      </c>
      <c r="F9922" s="196">
        <v>-963000</v>
      </c>
      <c r="G9922" s="196">
        <v>-963000</v>
      </c>
    </row>
    <row r="9923" spans="1:7" x14ac:dyDescent="0.3">
      <c r="A9923" s="198">
        <v>1128384960</v>
      </c>
      <c r="B9923" s="192" t="s">
        <v>5665</v>
      </c>
      <c r="C9923" s="196">
        <v>-5570000</v>
      </c>
      <c r="D9923" s="196">
        <v>0</v>
      </c>
      <c r="E9923" s="196">
        <v>0</v>
      </c>
      <c r="F9923" s="196">
        <v>0</v>
      </c>
      <c r="G9923" s="196">
        <v>-5570000</v>
      </c>
    </row>
    <row r="9924" spans="1:7" x14ac:dyDescent="0.3">
      <c r="A9924" s="198">
        <v>1040323032</v>
      </c>
      <c r="B9924" s="192" t="s">
        <v>7023</v>
      </c>
      <c r="C9924" s="196">
        <v>-963000</v>
      </c>
      <c r="D9924" s="196">
        <v>0</v>
      </c>
      <c r="E9924" s="196">
        <v>0</v>
      </c>
      <c r="F9924" s="196">
        <v>0</v>
      </c>
      <c r="G9924" s="196">
        <v>-963000</v>
      </c>
    </row>
    <row r="9925" spans="1:7" x14ac:dyDescent="0.3">
      <c r="A9925" s="198">
        <v>1036942476</v>
      </c>
      <c r="B9925" s="192" t="s">
        <v>5666</v>
      </c>
      <c r="C9925" s="196">
        <v>-3117000</v>
      </c>
      <c r="D9925" s="196">
        <v>0</v>
      </c>
      <c r="E9925" s="196">
        <v>0</v>
      </c>
      <c r="F9925" s="196">
        <v>0</v>
      </c>
      <c r="G9925" s="196">
        <v>-3117000</v>
      </c>
    </row>
    <row r="9926" spans="1:7" x14ac:dyDescent="0.3">
      <c r="A9926" s="198">
        <v>24347172</v>
      </c>
      <c r="B9926" s="192" t="s">
        <v>1371</v>
      </c>
      <c r="C9926" s="196">
        <v>0</v>
      </c>
      <c r="D9926" s="196">
        <v>0</v>
      </c>
      <c r="E9926" s="196">
        <v>963000</v>
      </c>
      <c r="F9926" s="196">
        <v>-963000</v>
      </c>
      <c r="G9926" s="196">
        <v>-963000</v>
      </c>
    </row>
    <row r="9927" spans="1:7" x14ac:dyDescent="0.3">
      <c r="A9927" s="198">
        <v>1054571811</v>
      </c>
      <c r="B9927" s="192" t="s">
        <v>7024</v>
      </c>
      <c r="C9927" s="196">
        <v>-963000</v>
      </c>
      <c r="D9927" s="196">
        <v>0</v>
      </c>
      <c r="E9927" s="196">
        <v>0</v>
      </c>
      <c r="F9927" s="196">
        <v>0</v>
      </c>
      <c r="G9927" s="196">
        <v>-963000</v>
      </c>
    </row>
    <row r="9928" spans="1:7" x14ac:dyDescent="0.3">
      <c r="A9928" s="198">
        <v>1007986933</v>
      </c>
      <c r="B9928" s="192" t="s">
        <v>1373</v>
      </c>
      <c r="C9928" s="196">
        <v>0</v>
      </c>
      <c r="D9928" s="196">
        <v>0</v>
      </c>
      <c r="E9928" s="196">
        <v>963000</v>
      </c>
      <c r="F9928" s="196">
        <v>-963000</v>
      </c>
      <c r="G9928" s="196">
        <v>-963000</v>
      </c>
    </row>
    <row r="9929" spans="1:7" x14ac:dyDescent="0.3">
      <c r="A9929" s="198">
        <v>1001243940</v>
      </c>
      <c r="B9929" s="192" t="s">
        <v>1374</v>
      </c>
      <c r="C9929" s="196">
        <v>0</v>
      </c>
      <c r="D9929" s="196">
        <v>0</v>
      </c>
      <c r="E9929" s="196">
        <v>963000</v>
      </c>
      <c r="F9929" s="196">
        <v>-963000</v>
      </c>
      <c r="G9929" s="196">
        <v>-963000</v>
      </c>
    </row>
    <row r="9930" spans="1:7" x14ac:dyDescent="0.3">
      <c r="A9930" s="198">
        <v>1007121886</v>
      </c>
      <c r="B9930" s="192" t="s">
        <v>1375</v>
      </c>
      <c r="C9930" s="196">
        <v>0</v>
      </c>
      <c r="D9930" s="196">
        <v>0</v>
      </c>
      <c r="E9930" s="196">
        <v>963000</v>
      </c>
      <c r="F9930" s="196">
        <v>-963000</v>
      </c>
      <c r="G9930" s="196">
        <v>-963000</v>
      </c>
    </row>
    <row r="9931" spans="1:7" x14ac:dyDescent="0.3">
      <c r="A9931" s="198">
        <v>352383</v>
      </c>
      <c r="B9931" s="192" t="s">
        <v>1381</v>
      </c>
      <c r="C9931" s="196">
        <v>-8171002</v>
      </c>
      <c r="D9931" s="196">
        <v>0</v>
      </c>
      <c r="E9931" s="196">
        <v>0</v>
      </c>
      <c r="F9931" s="196">
        <v>0</v>
      </c>
      <c r="G9931" s="196">
        <v>-8171002</v>
      </c>
    </row>
    <row r="9932" spans="1:7" x14ac:dyDescent="0.3">
      <c r="A9932" s="198">
        <v>36156102</v>
      </c>
      <c r="B9932" s="192" t="s">
        <v>5696</v>
      </c>
      <c r="C9932" s="196">
        <v>-3210000</v>
      </c>
      <c r="D9932" s="196">
        <v>0</v>
      </c>
      <c r="E9932" s="196">
        <v>0</v>
      </c>
      <c r="F9932" s="196">
        <v>0</v>
      </c>
      <c r="G9932" s="196">
        <v>-3210000</v>
      </c>
    </row>
    <row r="9933" spans="1:7" x14ac:dyDescent="0.3">
      <c r="A9933" s="198">
        <v>1233341577</v>
      </c>
      <c r="B9933" s="192" t="s">
        <v>7025</v>
      </c>
      <c r="C9933" s="196">
        <v>-860000</v>
      </c>
      <c r="D9933" s="196">
        <v>0</v>
      </c>
      <c r="E9933" s="196">
        <v>0</v>
      </c>
      <c r="F9933" s="196">
        <v>0</v>
      </c>
      <c r="G9933" s="196">
        <v>-860000</v>
      </c>
    </row>
    <row r="9934" spans="1:7" x14ac:dyDescent="0.3">
      <c r="A9934" s="198">
        <v>6695218</v>
      </c>
      <c r="B9934" s="192" t="s">
        <v>1384</v>
      </c>
      <c r="C9934" s="196">
        <v>-3338000</v>
      </c>
      <c r="D9934" s="196">
        <v>0</v>
      </c>
      <c r="E9934" s="196">
        <v>3338000</v>
      </c>
      <c r="F9934" s="196">
        <v>-3338000</v>
      </c>
      <c r="G9934" s="196">
        <v>-6676000</v>
      </c>
    </row>
    <row r="9935" spans="1:7" x14ac:dyDescent="0.3">
      <c r="A9935" s="198">
        <v>17950917</v>
      </c>
      <c r="B9935" s="192" t="s">
        <v>5711</v>
      </c>
      <c r="C9935" s="196">
        <v>-16703900</v>
      </c>
      <c r="D9935" s="196">
        <v>0</v>
      </c>
      <c r="E9935" s="196">
        <v>0</v>
      </c>
      <c r="F9935" s="196">
        <v>0</v>
      </c>
      <c r="G9935" s="196">
        <v>-16703900</v>
      </c>
    </row>
    <row r="9936" spans="1:7" x14ac:dyDescent="0.3">
      <c r="A9936" s="198">
        <v>98451584</v>
      </c>
      <c r="B9936" s="192" t="s">
        <v>7026</v>
      </c>
      <c r="C9936" s="196">
        <v>-1143000</v>
      </c>
      <c r="D9936" s="196">
        <v>0</v>
      </c>
      <c r="E9936" s="196">
        <v>0</v>
      </c>
      <c r="F9936" s="196">
        <v>0</v>
      </c>
      <c r="G9936" s="196">
        <v>-1143000</v>
      </c>
    </row>
    <row r="9937" spans="1:7" x14ac:dyDescent="0.3">
      <c r="A9937" s="192" t="s">
        <v>7027</v>
      </c>
      <c r="B9937" s="192" t="s">
        <v>7028</v>
      </c>
      <c r="C9937" s="196">
        <v>-2605500</v>
      </c>
      <c r="D9937" s="196">
        <v>0</v>
      </c>
      <c r="E9937" s="196">
        <v>0</v>
      </c>
      <c r="F9937" s="196">
        <v>0</v>
      </c>
      <c r="G9937" s="196">
        <v>-2605500</v>
      </c>
    </row>
    <row r="9938" spans="1:7" x14ac:dyDescent="0.3">
      <c r="A9938" s="192" t="s">
        <v>5732</v>
      </c>
      <c r="B9938" s="192" t="s">
        <v>5733</v>
      </c>
      <c r="C9938" s="196">
        <v>-4210000</v>
      </c>
      <c r="D9938" s="196">
        <v>0</v>
      </c>
      <c r="E9938" s="196">
        <v>0</v>
      </c>
      <c r="F9938" s="196">
        <v>0</v>
      </c>
      <c r="G9938" s="196">
        <v>-4210000</v>
      </c>
    </row>
    <row r="9939" spans="1:7" x14ac:dyDescent="0.3">
      <c r="A9939" s="198">
        <v>35745085</v>
      </c>
      <c r="B9939" s="192" t="s">
        <v>1397</v>
      </c>
      <c r="C9939" s="196">
        <v>-8544900</v>
      </c>
      <c r="D9939" s="196">
        <v>0</v>
      </c>
      <c r="E9939" s="196">
        <v>0</v>
      </c>
      <c r="F9939" s="196">
        <v>0</v>
      </c>
      <c r="G9939" s="196">
        <v>-8544900</v>
      </c>
    </row>
    <row r="9940" spans="1:7" x14ac:dyDescent="0.3">
      <c r="A9940" s="198">
        <v>3670838</v>
      </c>
      <c r="B9940" s="192" t="s">
        <v>7029</v>
      </c>
      <c r="C9940" s="196">
        <v>-6469800</v>
      </c>
      <c r="D9940" s="196">
        <v>0</v>
      </c>
      <c r="E9940" s="196">
        <v>0</v>
      </c>
      <c r="F9940" s="196">
        <v>0</v>
      </c>
      <c r="G9940" s="196">
        <v>-6469800</v>
      </c>
    </row>
    <row r="9941" spans="1:7" x14ac:dyDescent="0.3">
      <c r="A9941" s="192" t="s">
        <v>7030</v>
      </c>
      <c r="B9941" s="192" t="s">
        <v>7031</v>
      </c>
      <c r="C9941" s="196">
        <v>-4981200</v>
      </c>
      <c r="D9941" s="196">
        <v>0</v>
      </c>
      <c r="E9941" s="196">
        <v>0</v>
      </c>
      <c r="F9941" s="196">
        <v>0</v>
      </c>
      <c r="G9941" s="196">
        <v>-4981200</v>
      </c>
    </row>
    <row r="9942" spans="1:7" x14ac:dyDescent="0.3">
      <c r="A9942" s="198">
        <v>1017161254</v>
      </c>
      <c r="B9942" s="192" t="s">
        <v>7032</v>
      </c>
      <c r="C9942" s="196">
        <v>-963000</v>
      </c>
      <c r="D9942" s="196">
        <v>0</v>
      </c>
      <c r="E9942" s="196">
        <v>0</v>
      </c>
      <c r="F9942" s="196">
        <v>0</v>
      </c>
      <c r="G9942" s="196">
        <v>-963000</v>
      </c>
    </row>
    <row r="9943" spans="1:7" x14ac:dyDescent="0.3">
      <c r="A9943" s="192" t="s">
        <v>144</v>
      </c>
      <c r="B9943" s="192" t="s">
        <v>145</v>
      </c>
      <c r="C9943" s="196">
        <v>-14229800</v>
      </c>
      <c r="D9943" s="196">
        <v>0</v>
      </c>
      <c r="E9943" s="196">
        <v>0</v>
      </c>
      <c r="F9943" s="196">
        <v>0</v>
      </c>
      <c r="G9943" s="196">
        <v>-14229800</v>
      </c>
    </row>
    <row r="9944" spans="1:7" x14ac:dyDescent="0.3">
      <c r="A9944" s="198">
        <v>70140958</v>
      </c>
      <c r="B9944" s="192" t="s">
        <v>7033</v>
      </c>
      <c r="C9944" s="196">
        <v>-1675000</v>
      </c>
      <c r="D9944" s="196">
        <v>0</v>
      </c>
      <c r="E9944" s="196">
        <v>0</v>
      </c>
      <c r="F9944" s="196">
        <v>0</v>
      </c>
      <c r="G9944" s="196">
        <v>-1675000</v>
      </c>
    </row>
    <row r="9945" spans="1:7" x14ac:dyDescent="0.3">
      <c r="A9945" s="198">
        <v>15339450</v>
      </c>
      <c r="B9945" s="192" t="s">
        <v>7034</v>
      </c>
      <c r="C9945" s="196">
        <v>-358000</v>
      </c>
      <c r="D9945" s="196">
        <v>0</v>
      </c>
      <c r="E9945" s="196">
        <v>0</v>
      </c>
      <c r="F9945" s="196">
        <v>0</v>
      </c>
      <c r="G9945" s="196">
        <v>-358000</v>
      </c>
    </row>
    <row r="9946" spans="1:7" x14ac:dyDescent="0.3">
      <c r="A9946" s="198">
        <v>54252438</v>
      </c>
      <c r="B9946" s="192" t="s">
        <v>1407</v>
      </c>
      <c r="C9946" s="196">
        <v>0</v>
      </c>
      <c r="D9946" s="196">
        <v>0</v>
      </c>
      <c r="E9946" s="196">
        <v>795000</v>
      </c>
      <c r="F9946" s="196">
        <v>-795000</v>
      </c>
      <c r="G9946" s="196">
        <v>-795000</v>
      </c>
    </row>
    <row r="9947" spans="1:7" x14ac:dyDescent="0.3">
      <c r="A9947" s="198">
        <v>8458296</v>
      </c>
      <c r="B9947" s="192" t="s">
        <v>5774</v>
      </c>
      <c r="C9947" s="196">
        <v>-900000</v>
      </c>
      <c r="D9947" s="196">
        <v>0</v>
      </c>
      <c r="E9947" s="196">
        <v>0</v>
      </c>
      <c r="F9947" s="196">
        <v>0</v>
      </c>
      <c r="G9947" s="196">
        <v>-900000</v>
      </c>
    </row>
    <row r="9948" spans="1:7" x14ac:dyDescent="0.3">
      <c r="A9948" s="198">
        <v>16615406</v>
      </c>
      <c r="B9948" s="192" t="s">
        <v>7035</v>
      </c>
      <c r="C9948" s="196">
        <v>-6575000</v>
      </c>
      <c r="D9948" s="196">
        <v>0</v>
      </c>
      <c r="E9948" s="196">
        <v>0</v>
      </c>
      <c r="F9948" s="196">
        <v>0</v>
      </c>
      <c r="G9948" s="196">
        <v>-6575000</v>
      </c>
    </row>
    <row r="9949" spans="1:7" x14ac:dyDescent="0.3">
      <c r="A9949" s="198">
        <v>1018344491</v>
      </c>
      <c r="B9949" s="192" t="s">
        <v>5783</v>
      </c>
      <c r="C9949" s="196">
        <v>-100000</v>
      </c>
      <c r="D9949" s="196">
        <v>0</v>
      </c>
      <c r="E9949" s="196">
        <v>0</v>
      </c>
      <c r="F9949" s="196">
        <v>0</v>
      </c>
      <c r="G9949" s="196">
        <v>-100000</v>
      </c>
    </row>
    <row r="9950" spans="1:7" x14ac:dyDescent="0.3">
      <c r="A9950" s="192" t="s">
        <v>5785</v>
      </c>
      <c r="B9950" s="192" t="s">
        <v>5786</v>
      </c>
      <c r="C9950" s="196">
        <v>-6830000</v>
      </c>
      <c r="D9950" s="196">
        <v>0</v>
      </c>
      <c r="E9950" s="196">
        <v>0</v>
      </c>
      <c r="F9950" s="196">
        <v>0</v>
      </c>
      <c r="G9950" s="196">
        <v>-6830000</v>
      </c>
    </row>
    <row r="9951" spans="1:7" x14ac:dyDescent="0.3">
      <c r="A9951" s="198">
        <v>43683835</v>
      </c>
      <c r="B9951" s="192" t="s">
        <v>7036</v>
      </c>
      <c r="C9951" s="196">
        <v>-4375000</v>
      </c>
      <c r="D9951" s="196">
        <v>0</v>
      </c>
      <c r="E9951" s="196">
        <v>0</v>
      </c>
      <c r="F9951" s="196">
        <v>0</v>
      </c>
      <c r="G9951" s="196">
        <v>-4375000</v>
      </c>
    </row>
    <row r="9952" spans="1:7" x14ac:dyDescent="0.3">
      <c r="A9952" s="198">
        <v>41104413</v>
      </c>
      <c r="B9952" s="192" t="s">
        <v>5791</v>
      </c>
      <c r="C9952" s="196">
        <v>-87800</v>
      </c>
      <c r="D9952" s="196">
        <v>0</v>
      </c>
      <c r="E9952" s="196">
        <v>0</v>
      </c>
      <c r="F9952" s="196">
        <v>0</v>
      </c>
      <c r="G9952" s="196">
        <v>-87800</v>
      </c>
    </row>
    <row r="9953" spans="1:7" x14ac:dyDescent="0.3">
      <c r="A9953" s="198">
        <v>30737674</v>
      </c>
      <c r="B9953" s="192" t="s">
        <v>7037</v>
      </c>
      <c r="C9953" s="196">
        <v>-1950000</v>
      </c>
      <c r="D9953" s="196">
        <v>0</v>
      </c>
      <c r="E9953" s="196">
        <v>0</v>
      </c>
      <c r="F9953" s="196">
        <v>0</v>
      </c>
      <c r="G9953" s="196">
        <v>-1950000</v>
      </c>
    </row>
    <row r="9954" spans="1:7" x14ac:dyDescent="0.3">
      <c r="A9954" s="198">
        <v>32336875</v>
      </c>
      <c r="B9954" s="192" t="s">
        <v>7038</v>
      </c>
      <c r="C9954" s="196">
        <v>-4280000</v>
      </c>
      <c r="D9954" s="196">
        <v>0</v>
      </c>
      <c r="E9954" s="196">
        <v>0</v>
      </c>
      <c r="F9954" s="196">
        <v>0</v>
      </c>
      <c r="G9954" s="196">
        <v>-4280000</v>
      </c>
    </row>
    <row r="9955" spans="1:7" x14ac:dyDescent="0.3">
      <c r="A9955" s="198">
        <v>32469455</v>
      </c>
      <c r="B9955" s="192" t="s">
        <v>7039</v>
      </c>
      <c r="C9955" s="196">
        <v>-8344000</v>
      </c>
      <c r="D9955" s="196">
        <v>0</v>
      </c>
      <c r="E9955" s="196">
        <v>0</v>
      </c>
      <c r="F9955" s="196">
        <v>0</v>
      </c>
      <c r="G9955" s="196">
        <v>-8344000</v>
      </c>
    </row>
    <row r="9956" spans="1:7" x14ac:dyDescent="0.3">
      <c r="A9956" s="198">
        <v>1035019025</v>
      </c>
      <c r="B9956" s="192" t="s">
        <v>1414</v>
      </c>
      <c r="C9956" s="196">
        <v>-41400</v>
      </c>
      <c r="D9956" s="196">
        <v>0</v>
      </c>
      <c r="E9956" s="196">
        <v>0</v>
      </c>
      <c r="F9956" s="196">
        <v>0</v>
      </c>
      <c r="G9956" s="196">
        <v>-41400</v>
      </c>
    </row>
    <row r="9957" spans="1:7" x14ac:dyDescent="0.3">
      <c r="A9957" s="198">
        <v>32748971</v>
      </c>
      <c r="B9957" s="192" t="s">
        <v>1415</v>
      </c>
      <c r="C9957" s="196">
        <v>-8820000</v>
      </c>
      <c r="D9957" s="196">
        <v>0</v>
      </c>
      <c r="E9957" s="196">
        <v>150000</v>
      </c>
      <c r="F9957" s="196">
        <v>-150000</v>
      </c>
      <c r="G9957" s="196">
        <v>-8970000</v>
      </c>
    </row>
    <row r="9958" spans="1:7" x14ac:dyDescent="0.3">
      <c r="A9958" s="198">
        <v>21387467</v>
      </c>
      <c r="B9958" s="192" t="s">
        <v>7040</v>
      </c>
      <c r="C9958" s="196">
        <v>-3722400</v>
      </c>
      <c r="D9958" s="196">
        <v>0</v>
      </c>
      <c r="E9958" s="196">
        <v>0</v>
      </c>
      <c r="F9958" s="196">
        <v>0</v>
      </c>
      <c r="G9958" s="196">
        <v>-3722400</v>
      </c>
    </row>
    <row r="9959" spans="1:7" x14ac:dyDescent="0.3">
      <c r="A9959" s="198">
        <v>8298380</v>
      </c>
      <c r="B9959" s="192" t="s">
        <v>5809</v>
      </c>
      <c r="C9959" s="196">
        <v>-990000</v>
      </c>
      <c r="D9959" s="196">
        <v>0</v>
      </c>
      <c r="E9959" s="196">
        <v>0</v>
      </c>
      <c r="F9959" s="196">
        <v>0</v>
      </c>
      <c r="G9959" s="196">
        <v>-990000</v>
      </c>
    </row>
    <row r="9960" spans="1:7" x14ac:dyDescent="0.3">
      <c r="A9960" s="198">
        <v>71756796</v>
      </c>
      <c r="B9960" s="192" t="s">
        <v>7041</v>
      </c>
      <c r="C9960" s="196">
        <v>-860000</v>
      </c>
      <c r="D9960" s="196">
        <v>0</v>
      </c>
      <c r="E9960" s="196">
        <v>0</v>
      </c>
      <c r="F9960" s="196">
        <v>0</v>
      </c>
      <c r="G9960" s="196">
        <v>-860000</v>
      </c>
    </row>
    <row r="9961" spans="1:7" x14ac:dyDescent="0.3">
      <c r="A9961" s="198">
        <v>21979476</v>
      </c>
      <c r="B9961" s="192" t="s">
        <v>1420</v>
      </c>
      <c r="C9961" s="196">
        <v>0</v>
      </c>
      <c r="D9961" s="196">
        <v>0</v>
      </c>
      <c r="E9961" s="196">
        <v>3338000</v>
      </c>
      <c r="F9961" s="196">
        <v>-3338000</v>
      </c>
      <c r="G9961" s="196">
        <v>-3338000</v>
      </c>
    </row>
    <row r="9962" spans="1:7" x14ac:dyDescent="0.3">
      <c r="A9962" s="198">
        <v>1056769612</v>
      </c>
      <c r="B9962" s="192" t="s">
        <v>5821</v>
      </c>
      <c r="C9962" s="196">
        <v>-3717000</v>
      </c>
      <c r="D9962" s="196">
        <v>0</v>
      </c>
      <c r="E9962" s="196">
        <v>0</v>
      </c>
      <c r="F9962" s="196">
        <v>0</v>
      </c>
      <c r="G9962" s="196">
        <v>-3717000</v>
      </c>
    </row>
    <row r="9963" spans="1:7" x14ac:dyDescent="0.3">
      <c r="A9963" s="192" t="s">
        <v>7042</v>
      </c>
      <c r="B9963" s="192" t="s">
        <v>7043</v>
      </c>
      <c r="C9963" s="196">
        <v>-2184000</v>
      </c>
      <c r="D9963" s="196">
        <v>0</v>
      </c>
      <c r="E9963" s="196">
        <v>0</v>
      </c>
      <c r="F9963" s="196">
        <v>0</v>
      </c>
      <c r="G9963" s="196">
        <v>-2184000</v>
      </c>
    </row>
    <row r="9964" spans="1:7" x14ac:dyDescent="0.3">
      <c r="A9964" s="198">
        <v>1033257274</v>
      </c>
      <c r="B9964" s="192" t="s">
        <v>7044</v>
      </c>
      <c r="C9964" s="196">
        <v>-1800000</v>
      </c>
      <c r="D9964" s="196">
        <v>0</v>
      </c>
      <c r="E9964" s="196">
        <v>0</v>
      </c>
      <c r="F9964" s="196">
        <v>0</v>
      </c>
      <c r="G9964" s="196">
        <v>-1800000</v>
      </c>
    </row>
    <row r="9965" spans="1:7" x14ac:dyDescent="0.3">
      <c r="A9965" s="198">
        <v>1039025031</v>
      </c>
      <c r="B9965" s="192" t="s">
        <v>7045</v>
      </c>
      <c r="C9965" s="196">
        <v>-963000</v>
      </c>
      <c r="D9965" s="196">
        <v>0</v>
      </c>
      <c r="E9965" s="196">
        <v>0</v>
      </c>
      <c r="F9965" s="196">
        <v>0</v>
      </c>
      <c r="G9965" s="196">
        <v>-963000</v>
      </c>
    </row>
    <row r="9966" spans="1:7" x14ac:dyDescent="0.3">
      <c r="A9966" s="198">
        <v>1035432338</v>
      </c>
      <c r="B9966" s="192" t="s">
        <v>7046</v>
      </c>
      <c r="C9966" s="196">
        <v>-3500000</v>
      </c>
      <c r="D9966" s="196">
        <v>0</v>
      </c>
      <c r="E9966" s="196">
        <v>0</v>
      </c>
      <c r="F9966" s="196">
        <v>0</v>
      </c>
      <c r="G9966" s="196">
        <v>-3500000</v>
      </c>
    </row>
    <row r="9967" spans="1:7" x14ac:dyDescent="0.3">
      <c r="A9967" s="198">
        <v>1020400374</v>
      </c>
      <c r="B9967" s="192" t="s">
        <v>7047</v>
      </c>
      <c r="C9967" s="196">
        <v>-963000</v>
      </c>
      <c r="D9967" s="196">
        <v>0</v>
      </c>
      <c r="E9967" s="196">
        <v>0</v>
      </c>
      <c r="F9967" s="196">
        <v>0</v>
      </c>
      <c r="G9967" s="196">
        <v>-963000</v>
      </c>
    </row>
    <row r="9968" spans="1:7" x14ac:dyDescent="0.3">
      <c r="A9968" s="198">
        <v>1036452104</v>
      </c>
      <c r="B9968" s="192" t="s">
        <v>7048</v>
      </c>
      <c r="C9968" s="196">
        <v>-963000</v>
      </c>
      <c r="D9968" s="196">
        <v>0</v>
      </c>
      <c r="E9968" s="196">
        <v>0</v>
      </c>
      <c r="F9968" s="196">
        <v>0</v>
      </c>
      <c r="G9968" s="196">
        <v>-963000</v>
      </c>
    </row>
    <row r="9969" spans="1:7" x14ac:dyDescent="0.3">
      <c r="A9969" s="198">
        <v>1000851478</v>
      </c>
      <c r="B9969" s="192" t="s">
        <v>5873</v>
      </c>
      <c r="C9969" s="196">
        <v>-3035000</v>
      </c>
      <c r="D9969" s="196">
        <v>0</v>
      </c>
      <c r="E9969" s="196">
        <v>0</v>
      </c>
      <c r="F9969" s="196">
        <v>0</v>
      </c>
      <c r="G9969" s="196">
        <v>-3035000</v>
      </c>
    </row>
    <row r="9970" spans="1:7" x14ac:dyDescent="0.3">
      <c r="A9970" s="198">
        <v>1037633834</v>
      </c>
      <c r="B9970" s="192" t="s">
        <v>7049</v>
      </c>
      <c r="C9970" s="196">
        <v>-963000</v>
      </c>
      <c r="D9970" s="196">
        <v>0</v>
      </c>
      <c r="E9970" s="196">
        <v>0</v>
      </c>
      <c r="F9970" s="196">
        <v>0</v>
      </c>
      <c r="G9970" s="196">
        <v>-963000</v>
      </c>
    </row>
    <row r="9971" spans="1:7" x14ac:dyDescent="0.3">
      <c r="A9971" s="198">
        <v>43794156</v>
      </c>
      <c r="B9971" s="192" t="s">
        <v>7050</v>
      </c>
      <c r="C9971" s="196">
        <v>-963000</v>
      </c>
      <c r="D9971" s="196">
        <v>0</v>
      </c>
      <c r="E9971" s="196">
        <v>0</v>
      </c>
      <c r="F9971" s="196">
        <v>0</v>
      </c>
      <c r="G9971" s="196">
        <v>-963000</v>
      </c>
    </row>
    <row r="9972" spans="1:7" x14ac:dyDescent="0.3">
      <c r="A9972" s="198">
        <v>32228072</v>
      </c>
      <c r="B9972" s="192" t="s">
        <v>7051</v>
      </c>
      <c r="C9972" s="196">
        <v>-963000</v>
      </c>
      <c r="D9972" s="196">
        <v>0</v>
      </c>
      <c r="E9972" s="196">
        <v>0</v>
      </c>
      <c r="F9972" s="196">
        <v>0</v>
      </c>
      <c r="G9972" s="196">
        <v>-963000</v>
      </c>
    </row>
    <row r="9973" spans="1:7" x14ac:dyDescent="0.3">
      <c r="A9973" s="198">
        <v>37120928</v>
      </c>
      <c r="B9973" s="192" t="s">
        <v>1439</v>
      </c>
      <c r="C9973" s="196">
        <v>0</v>
      </c>
      <c r="D9973" s="196">
        <v>0</v>
      </c>
      <c r="E9973" s="196">
        <v>3782100</v>
      </c>
      <c r="F9973" s="196">
        <v>-3782100</v>
      </c>
      <c r="G9973" s="196">
        <v>-3782100</v>
      </c>
    </row>
    <row r="9974" spans="1:7" x14ac:dyDescent="0.3">
      <c r="A9974" s="198">
        <v>43204829</v>
      </c>
      <c r="B9974" s="192" t="s">
        <v>7052</v>
      </c>
      <c r="C9974" s="196">
        <v>-1733400</v>
      </c>
      <c r="D9974" s="196">
        <v>0</v>
      </c>
      <c r="E9974" s="196">
        <v>0</v>
      </c>
      <c r="F9974" s="196">
        <v>0</v>
      </c>
      <c r="G9974" s="196">
        <v>-1733400</v>
      </c>
    </row>
    <row r="9975" spans="1:7" x14ac:dyDescent="0.3">
      <c r="A9975" s="198">
        <v>1020396763</v>
      </c>
      <c r="B9975" s="192" t="s">
        <v>7053</v>
      </c>
      <c r="C9975" s="196">
        <v>-860000</v>
      </c>
      <c r="D9975" s="196">
        <v>0</v>
      </c>
      <c r="E9975" s="196">
        <v>0</v>
      </c>
      <c r="F9975" s="196">
        <v>0</v>
      </c>
      <c r="G9975" s="196">
        <v>-860000</v>
      </c>
    </row>
    <row r="9976" spans="1:7" x14ac:dyDescent="0.3">
      <c r="A9976" s="198">
        <v>1042770889</v>
      </c>
      <c r="B9976" s="192" t="s">
        <v>1442</v>
      </c>
      <c r="C9976" s="196">
        <v>0</v>
      </c>
      <c r="D9976" s="196">
        <v>0</v>
      </c>
      <c r="E9976" s="196">
        <v>2710000</v>
      </c>
      <c r="F9976" s="196">
        <v>-2710000</v>
      </c>
      <c r="G9976" s="196">
        <v>-2710000</v>
      </c>
    </row>
    <row r="9977" spans="1:7" x14ac:dyDescent="0.3">
      <c r="A9977" s="198">
        <v>42131936</v>
      </c>
      <c r="B9977" s="192" t="s">
        <v>5908</v>
      </c>
      <c r="C9977" s="196">
        <v>-12933000</v>
      </c>
      <c r="D9977" s="196">
        <v>0</v>
      </c>
      <c r="E9977" s="196">
        <v>0</v>
      </c>
      <c r="F9977" s="196">
        <v>0</v>
      </c>
      <c r="G9977" s="196">
        <v>-12933000</v>
      </c>
    </row>
    <row r="9978" spans="1:7" x14ac:dyDescent="0.3">
      <c r="A9978" s="198">
        <v>1020430572</v>
      </c>
      <c r="B9978" s="192" t="s">
        <v>1443</v>
      </c>
      <c r="C9978" s="196">
        <v>0</v>
      </c>
      <c r="D9978" s="196">
        <v>0</v>
      </c>
      <c r="E9978" s="196">
        <v>963000</v>
      </c>
      <c r="F9978" s="196">
        <v>-963000</v>
      </c>
      <c r="G9978" s="196">
        <v>-963000</v>
      </c>
    </row>
    <row r="9979" spans="1:7" x14ac:dyDescent="0.3">
      <c r="A9979" s="198">
        <v>46373890</v>
      </c>
      <c r="B9979" s="192" t="s">
        <v>1444</v>
      </c>
      <c r="C9979" s="196">
        <v>-11747000</v>
      </c>
      <c r="D9979" s="196">
        <v>0</v>
      </c>
      <c r="E9979" s="196">
        <v>0</v>
      </c>
      <c r="F9979" s="196">
        <v>0</v>
      </c>
      <c r="G9979" s="196">
        <v>-11747000</v>
      </c>
    </row>
    <row r="9980" spans="1:7" x14ac:dyDescent="0.3">
      <c r="A9980" s="198">
        <v>39661080</v>
      </c>
      <c r="B9980" s="192" t="s">
        <v>5911</v>
      </c>
      <c r="C9980" s="196">
        <v>-44900</v>
      </c>
      <c r="D9980" s="196">
        <v>0</v>
      </c>
      <c r="E9980" s="196">
        <v>0</v>
      </c>
      <c r="F9980" s="196">
        <v>0</v>
      </c>
      <c r="G9980" s="196">
        <v>-44900</v>
      </c>
    </row>
    <row r="9981" spans="1:7" x14ac:dyDescent="0.3">
      <c r="A9981" s="198">
        <v>1017214669</v>
      </c>
      <c r="B9981" s="192" t="s">
        <v>7054</v>
      </c>
      <c r="C9981" s="196">
        <v>-963000</v>
      </c>
      <c r="D9981" s="196">
        <v>0</v>
      </c>
      <c r="E9981" s="196">
        <v>0</v>
      </c>
      <c r="F9981" s="196">
        <v>0</v>
      </c>
      <c r="G9981" s="196">
        <v>-963000</v>
      </c>
    </row>
    <row r="9982" spans="1:7" x14ac:dyDescent="0.3">
      <c r="A9982" s="198">
        <v>1007118138</v>
      </c>
      <c r="B9982" s="192" t="s">
        <v>1447</v>
      </c>
      <c r="C9982" s="196">
        <v>-3590000</v>
      </c>
      <c r="D9982" s="196">
        <v>0</v>
      </c>
      <c r="E9982" s="196">
        <v>0</v>
      </c>
      <c r="F9982" s="196">
        <v>0</v>
      </c>
      <c r="G9982" s="196">
        <v>-3590000</v>
      </c>
    </row>
    <row r="9983" spans="1:7" x14ac:dyDescent="0.3">
      <c r="A9983" s="198">
        <v>1000565171</v>
      </c>
      <c r="B9983" s="192" t="s">
        <v>1450</v>
      </c>
      <c r="C9983" s="196">
        <v>0</v>
      </c>
      <c r="D9983" s="196">
        <v>0</v>
      </c>
      <c r="E9983" s="196">
        <v>963000</v>
      </c>
      <c r="F9983" s="196">
        <v>-963000</v>
      </c>
      <c r="G9983" s="196">
        <v>-963000</v>
      </c>
    </row>
    <row r="9984" spans="1:7" x14ac:dyDescent="0.3">
      <c r="A9984" s="198">
        <v>1020494406</v>
      </c>
      <c r="B9984" s="192" t="s">
        <v>7055</v>
      </c>
      <c r="C9984" s="196">
        <v>-963000</v>
      </c>
      <c r="D9984" s="196">
        <v>0</v>
      </c>
      <c r="E9984" s="196">
        <v>0</v>
      </c>
      <c r="F9984" s="196">
        <v>0</v>
      </c>
      <c r="G9984" s="196">
        <v>-963000</v>
      </c>
    </row>
    <row r="9985" spans="1:7" x14ac:dyDescent="0.3">
      <c r="A9985" s="198">
        <v>1003344460</v>
      </c>
      <c r="B9985" s="192" t="s">
        <v>7056</v>
      </c>
      <c r="C9985" s="196">
        <v>-963000</v>
      </c>
      <c r="D9985" s="196">
        <v>0</v>
      </c>
      <c r="E9985" s="196">
        <v>0</v>
      </c>
      <c r="F9985" s="196">
        <v>0</v>
      </c>
      <c r="G9985" s="196">
        <v>-963000</v>
      </c>
    </row>
    <row r="9986" spans="1:7" x14ac:dyDescent="0.3">
      <c r="A9986" s="198">
        <v>71370780</v>
      </c>
      <c r="B9986" s="192" t="s">
        <v>5930</v>
      </c>
      <c r="C9986" s="196">
        <v>-5945000</v>
      </c>
      <c r="D9986" s="196">
        <v>0</v>
      </c>
      <c r="E9986" s="196">
        <v>0</v>
      </c>
      <c r="F9986" s="196">
        <v>0</v>
      </c>
      <c r="G9986" s="196">
        <v>-5945000</v>
      </c>
    </row>
    <row r="9987" spans="1:7" x14ac:dyDescent="0.3">
      <c r="A9987" s="198">
        <v>8426855</v>
      </c>
      <c r="B9987" s="192" t="s">
        <v>7057</v>
      </c>
      <c r="C9987" s="196">
        <v>-4133000</v>
      </c>
      <c r="D9987" s="196">
        <v>0</v>
      </c>
      <c r="E9987" s="196">
        <v>0</v>
      </c>
      <c r="F9987" s="196">
        <v>0</v>
      </c>
      <c r="G9987" s="196">
        <v>-4133000</v>
      </c>
    </row>
    <row r="9988" spans="1:7" x14ac:dyDescent="0.3">
      <c r="A9988" s="198">
        <v>1000409721</v>
      </c>
      <c r="B9988" s="192" t="s">
        <v>5931</v>
      </c>
      <c r="C9988" s="196">
        <v>-3310000</v>
      </c>
      <c r="D9988" s="196">
        <v>0</v>
      </c>
      <c r="E9988" s="196">
        <v>0</v>
      </c>
      <c r="F9988" s="196">
        <v>0</v>
      </c>
      <c r="G9988" s="196">
        <v>-3310000</v>
      </c>
    </row>
    <row r="9989" spans="1:7" x14ac:dyDescent="0.3">
      <c r="A9989" s="192" t="s">
        <v>5932</v>
      </c>
      <c r="B9989" s="192" t="s">
        <v>5933</v>
      </c>
      <c r="C9989" s="196">
        <v>-4210000</v>
      </c>
      <c r="D9989" s="196">
        <v>0</v>
      </c>
      <c r="E9989" s="196">
        <v>0</v>
      </c>
      <c r="F9989" s="196">
        <v>0</v>
      </c>
      <c r="G9989" s="196">
        <v>-4210000</v>
      </c>
    </row>
    <row r="9990" spans="1:7" x14ac:dyDescent="0.3">
      <c r="A9990" s="198">
        <v>98555752</v>
      </c>
      <c r="B9990" s="192" t="s">
        <v>7058</v>
      </c>
      <c r="C9990" s="196">
        <v>-1870000</v>
      </c>
      <c r="D9990" s="196">
        <v>0</v>
      </c>
      <c r="E9990" s="196">
        <v>0</v>
      </c>
      <c r="F9990" s="196">
        <v>0</v>
      </c>
      <c r="G9990" s="196">
        <v>-1870000</v>
      </c>
    </row>
    <row r="9991" spans="1:7" x14ac:dyDescent="0.3">
      <c r="A9991" s="198">
        <v>3383810</v>
      </c>
      <c r="B9991" s="192" t="s">
        <v>7059</v>
      </c>
      <c r="C9991" s="196">
        <v>-2895000</v>
      </c>
      <c r="D9991" s="196">
        <v>0</v>
      </c>
      <c r="E9991" s="196">
        <v>0</v>
      </c>
      <c r="F9991" s="196">
        <v>0</v>
      </c>
      <c r="G9991" s="196">
        <v>-2895000</v>
      </c>
    </row>
    <row r="9992" spans="1:7" x14ac:dyDescent="0.3">
      <c r="A9992" s="198">
        <v>1002210832</v>
      </c>
      <c r="B9992" s="192" t="s">
        <v>5936</v>
      </c>
      <c r="C9992" s="196">
        <v>-3510000</v>
      </c>
      <c r="D9992" s="196">
        <v>0</v>
      </c>
      <c r="E9992" s="196">
        <v>0</v>
      </c>
      <c r="F9992" s="196">
        <v>0</v>
      </c>
      <c r="G9992" s="196">
        <v>-3510000</v>
      </c>
    </row>
    <row r="9993" spans="1:7" x14ac:dyDescent="0.3">
      <c r="A9993" s="198">
        <v>1152707599</v>
      </c>
      <c r="B9993" s="192" t="s">
        <v>7060</v>
      </c>
      <c r="C9993" s="196">
        <v>-963000</v>
      </c>
      <c r="D9993" s="196">
        <v>0</v>
      </c>
      <c r="E9993" s="196">
        <v>0</v>
      </c>
      <c r="F9993" s="196">
        <v>0</v>
      </c>
      <c r="G9993" s="196">
        <v>-963000</v>
      </c>
    </row>
    <row r="9994" spans="1:7" x14ac:dyDescent="0.3">
      <c r="A9994" s="198">
        <v>1018236225</v>
      </c>
      <c r="B9994" s="192" t="s">
        <v>7061</v>
      </c>
      <c r="C9994" s="196">
        <v>-963000</v>
      </c>
      <c r="D9994" s="196">
        <v>0</v>
      </c>
      <c r="E9994" s="196">
        <v>0</v>
      </c>
      <c r="F9994" s="196">
        <v>0</v>
      </c>
      <c r="G9994" s="196">
        <v>-963000</v>
      </c>
    </row>
    <row r="9995" spans="1:7" x14ac:dyDescent="0.3">
      <c r="A9995" s="198">
        <v>1037589014</v>
      </c>
      <c r="B9995" s="192" t="s">
        <v>7062</v>
      </c>
      <c r="C9995" s="196">
        <v>-57200</v>
      </c>
      <c r="D9995" s="196">
        <v>0</v>
      </c>
      <c r="E9995" s="196">
        <v>0</v>
      </c>
      <c r="F9995" s="196">
        <v>0</v>
      </c>
      <c r="G9995" s="196">
        <v>-57200</v>
      </c>
    </row>
    <row r="9996" spans="1:7" x14ac:dyDescent="0.3">
      <c r="A9996" s="198">
        <v>1152717719</v>
      </c>
      <c r="B9996" s="192" t="s">
        <v>1457</v>
      </c>
      <c r="C9996" s="196">
        <v>0</v>
      </c>
      <c r="D9996" s="196">
        <v>0</v>
      </c>
      <c r="E9996" s="196">
        <v>963000</v>
      </c>
      <c r="F9996" s="196">
        <v>-963000</v>
      </c>
      <c r="G9996" s="196">
        <v>-963000</v>
      </c>
    </row>
    <row r="9997" spans="1:7" x14ac:dyDescent="0.3">
      <c r="A9997" s="198">
        <v>1045050212</v>
      </c>
      <c r="B9997" s="192" t="s">
        <v>7063</v>
      </c>
      <c r="C9997" s="196">
        <v>-963000</v>
      </c>
      <c r="D9997" s="196">
        <v>0</v>
      </c>
      <c r="E9997" s="196">
        <v>0</v>
      </c>
      <c r="F9997" s="196">
        <v>0</v>
      </c>
      <c r="G9997" s="196">
        <v>-963000</v>
      </c>
    </row>
    <row r="9998" spans="1:7" x14ac:dyDescent="0.3">
      <c r="A9998" s="198">
        <v>43023429</v>
      </c>
      <c r="B9998" s="192" t="s">
        <v>5953</v>
      </c>
      <c r="C9998" s="196">
        <v>-170000</v>
      </c>
      <c r="D9998" s="196">
        <v>0</v>
      </c>
      <c r="E9998" s="196">
        <v>0</v>
      </c>
      <c r="F9998" s="196">
        <v>0</v>
      </c>
      <c r="G9998" s="196">
        <v>-170000</v>
      </c>
    </row>
    <row r="9999" spans="1:7" x14ac:dyDescent="0.3">
      <c r="A9999" s="198">
        <v>1011511984</v>
      </c>
      <c r="B9999" s="192" t="s">
        <v>5955</v>
      </c>
      <c r="C9999" s="196">
        <v>-6830000</v>
      </c>
      <c r="D9999" s="196">
        <v>0</v>
      </c>
      <c r="E9999" s="196">
        <v>0</v>
      </c>
      <c r="F9999" s="196">
        <v>0</v>
      </c>
      <c r="G9999" s="196">
        <v>-6830000</v>
      </c>
    </row>
    <row r="10000" spans="1:7" x14ac:dyDescent="0.3">
      <c r="A10000" s="198">
        <v>1037653638</v>
      </c>
      <c r="B10000" s="192" t="s">
        <v>5959</v>
      </c>
      <c r="C10000" s="196">
        <v>-3210000</v>
      </c>
      <c r="D10000" s="196">
        <v>0</v>
      </c>
      <c r="E10000" s="196">
        <v>0</v>
      </c>
      <c r="F10000" s="196">
        <v>0</v>
      </c>
      <c r="G10000" s="196">
        <v>-3210000</v>
      </c>
    </row>
    <row r="10001" spans="1:7" x14ac:dyDescent="0.3">
      <c r="A10001" s="198">
        <v>1001015864</v>
      </c>
      <c r="B10001" s="192" t="s">
        <v>5962</v>
      </c>
      <c r="C10001" s="196">
        <v>-3153700</v>
      </c>
      <c r="D10001" s="196">
        <v>0</v>
      </c>
      <c r="E10001" s="196">
        <v>0</v>
      </c>
      <c r="F10001" s="196">
        <v>0</v>
      </c>
      <c r="G10001" s="196">
        <v>-3153700</v>
      </c>
    </row>
    <row r="10002" spans="1:7" x14ac:dyDescent="0.3">
      <c r="A10002" s="198">
        <v>1104821872</v>
      </c>
      <c r="B10002" s="192" t="s">
        <v>7064</v>
      </c>
      <c r="C10002" s="196">
        <v>-963000</v>
      </c>
      <c r="D10002" s="196">
        <v>0</v>
      </c>
      <c r="E10002" s="196">
        <v>0</v>
      </c>
      <c r="F10002" s="196">
        <v>0</v>
      </c>
      <c r="G10002" s="196">
        <v>-963000</v>
      </c>
    </row>
    <row r="10003" spans="1:7" x14ac:dyDescent="0.3">
      <c r="A10003" s="198">
        <v>1033188070</v>
      </c>
      <c r="B10003" s="192" t="s">
        <v>7065</v>
      </c>
      <c r="C10003" s="196">
        <v>-3500000</v>
      </c>
      <c r="D10003" s="196">
        <v>0</v>
      </c>
      <c r="E10003" s="196">
        <v>0</v>
      </c>
      <c r="F10003" s="196">
        <v>0</v>
      </c>
      <c r="G10003" s="196">
        <v>-3500000</v>
      </c>
    </row>
    <row r="10004" spans="1:7" x14ac:dyDescent="0.3">
      <c r="A10004" s="198">
        <v>1001363302</v>
      </c>
      <c r="B10004" s="192" t="s">
        <v>1460</v>
      </c>
      <c r="C10004" s="196">
        <v>0</v>
      </c>
      <c r="D10004" s="196">
        <v>0</v>
      </c>
      <c r="E10004" s="196">
        <v>963000</v>
      </c>
      <c r="F10004" s="196">
        <v>-963000</v>
      </c>
      <c r="G10004" s="196">
        <v>-963000</v>
      </c>
    </row>
    <row r="10005" spans="1:7" x14ac:dyDescent="0.3">
      <c r="A10005" s="192" t="s">
        <v>5978</v>
      </c>
      <c r="B10005" s="192" t="s">
        <v>5979</v>
      </c>
      <c r="C10005" s="196">
        <v>-4410000</v>
      </c>
      <c r="D10005" s="196">
        <v>0</v>
      </c>
      <c r="E10005" s="196">
        <v>0</v>
      </c>
      <c r="F10005" s="196">
        <v>0</v>
      </c>
      <c r="G10005" s="196">
        <v>-4410000</v>
      </c>
    </row>
    <row r="10006" spans="1:7" x14ac:dyDescent="0.3">
      <c r="A10006" s="192" t="s">
        <v>7066</v>
      </c>
      <c r="B10006" s="192" t="s">
        <v>7067</v>
      </c>
      <c r="C10006" s="196">
        <v>-10160000</v>
      </c>
      <c r="D10006" s="196">
        <v>0</v>
      </c>
      <c r="E10006" s="196">
        <v>0</v>
      </c>
      <c r="F10006" s="196">
        <v>0</v>
      </c>
      <c r="G10006" s="196">
        <v>-10160000</v>
      </c>
    </row>
    <row r="10007" spans="1:7" x14ac:dyDescent="0.3">
      <c r="A10007" s="198">
        <v>1000412351</v>
      </c>
      <c r="B10007" s="192" t="s">
        <v>7068</v>
      </c>
      <c r="C10007" s="196">
        <v>-860000</v>
      </c>
      <c r="D10007" s="196">
        <v>0</v>
      </c>
      <c r="E10007" s="196">
        <v>0</v>
      </c>
      <c r="F10007" s="196">
        <v>0</v>
      </c>
      <c r="G10007" s="196">
        <v>-860000</v>
      </c>
    </row>
    <row r="10008" spans="1:7" x14ac:dyDescent="0.3">
      <c r="A10008" s="198">
        <v>1020443053</v>
      </c>
      <c r="B10008" s="192" t="s">
        <v>7069</v>
      </c>
      <c r="C10008" s="196">
        <v>-963000</v>
      </c>
      <c r="D10008" s="196">
        <v>0</v>
      </c>
      <c r="E10008" s="196">
        <v>0</v>
      </c>
      <c r="F10008" s="196">
        <v>0</v>
      </c>
      <c r="G10008" s="196">
        <v>-963000</v>
      </c>
    </row>
    <row r="10009" spans="1:7" x14ac:dyDescent="0.3">
      <c r="A10009" s="198">
        <v>1017242646</v>
      </c>
      <c r="B10009" s="192" t="s">
        <v>1463</v>
      </c>
      <c r="C10009" s="196">
        <v>-2500000</v>
      </c>
      <c r="D10009" s="196">
        <v>0</v>
      </c>
      <c r="E10009" s="196">
        <v>0</v>
      </c>
      <c r="F10009" s="196">
        <v>0</v>
      </c>
      <c r="G10009" s="196">
        <v>-2500000</v>
      </c>
    </row>
    <row r="10010" spans="1:7" x14ac:dyDescent="0.3">
      <c r="A10010" s="198">
        <v>1036448667</v>
      </c>
      <c r="B10010" s="192" t="s">
        <v>7070</v>
      </c>
      <c r="C10010" s="196">
        <v>-963000</v>
      </c>
      <c r="D10010" s="196">
        <v>0</v>
      </c>
      <c r="E10010" s="196">
        <v>0</v>
      </c>
      <c r="F10010" s="196">
        <v>0</v>
      </c>
      <c r="G10010" s="196">
        <v>-963000</v>
      </c>
    </row>
    <row r="10011" spans="1:7" x14ac:dyDescent="0.3">
      <c r="A10011" s="198">
        <v>1036450198</v>
      </c>
      <c r="B10011" s="192" t="s">
        <v>5996</v>
      </c>
      <c r="C10011" s="196">
        <v>-4310000</v>
      </c>
      <c r="D10011" s="196">
        <v>0</v>
      </c>
      <c r="E10011" s="196">
        <v>0</v>
      </c>
      <c r="F10011" s="196">
        <v>0</v>
      </c>
      <c r="G10011" s="196">
        <v>-4310000</v>
      </c>
    </row>
    <row r="10012" spans="1:7" x14ac:dyDescent="0.3">
      <c r="A10012" s="198">
        <v>1000100365</v>
      </c>
      <c r="B10012" s="192" t="s">
        <v>5997</v>
      </c>
      <c r="C10012" s="196">
        <v>-3825000</v>
      </c>
      <c r="D10012" s="196">
        <v>0</v>
      </c>
      <c r="E10012" s="196">
        <v>0</v>
      </c>
      <c r="F10012" s="196">
        <v>0</v>
      </c>
      <c r="G10012" s="196">
        <v>-3825000</v>
      </c>
    </row>
    <row r="10013" spans="1:7" x14ac:dyDescent="0.3">
      <c r="A10013" s="198">
        <v>890903790</v>
      </c>
      <c r="B10013" s="192" t="s">
        <v>1466</v>
      </c>
      <c r="C10013" s="196">
        <v>-1349880186</v>
      </c>
      <c r="D10013" s="196">
        <v>0</v>
      </c>
      <c r="E10013" s="196">
        <v>199914884</v>
      </c>
      <c r="F10013" s="196">
        <v>-199914884</v>
      </c>
      <c r="G10013" s="196">
        <v>-1549795070</v>
      </c>
    </row>
    <row r="10014" spans="1:7" x14ac:dyDescent="0.3">
      <c r="A10014" s="198">
        <v>67151151</v>
      </c>
      <c r="B10014" s="192" t="s">
        <v>1467</v>
      </c>
      <c r="C10014" s="196">
        <v>0</v>
      </c>
      <c r="D10014" s="196">
        <v>0</v>
      </c>
      <c r="E10014" s="196">
        <v>963000</v>
      </c>
      <c r="F10014" s="196">
        <v>-963000</v>
      </c>
      <c r="G10014" s="196">
        <v>-963000</v>
      </c>
    </row>
    <row r="10015" spans="1:7" x14ac:dyDescent="0.3">
      <c r="A10015" s="198">
        <v>1032398527</v>
      </c>
      <c r="B10015" s="192" t="s">
        <v>6005</v>
      </c>
      <c r="C10015" s="196">
        <v>-3178000</v>
      </c>
      <c r="D10015" s="196">
        <v>0</v>
      </c>
      <c r="E10015" s="196">
        <v>0</v>
      </c>
      <c r="F10015" s="196">
        <v>0</v>
      </c>
      <c r="G10015" s="196">
        <v>-3178000</v>
      </c>
    </row>
    <row r="10016" spans="1:7" x14ac:dyDescent="0.3">
      <c r="A10016" s="198">
        <v>5533236</v>
      </c>
      <c r="B10016" s="192" t="s">
        <v>1474</v>
      </c>
      <c r="C10016" s="196">
        <v>0</v>
      </c>
      <c r="D10016" s="196">
        <v>0</v>
      </c>
      <c r="E10016" s="196">
        <v>3717000</v>
      </c>
      <c r="F10016" s="196">
        <v>-3717000</v>
      </c>
      <c r="G10016" s="196">
        <v>-3717000</v>
      </c>
    </row>
    <row r="10017" spans="1:7" x14ac:dyDescent="0.3">
      <c r="A10017" s="198">
        <v>1238938083</v>
      </c>
      <c r="B10017" s="192" t="s">
        <v>1475</v>
      </c>
      <c r="C10017" s="196">
        <v>0</v>
      </c>
      <c r="D10017" s="196">
        <v>0</v>
      </c>
      <c r="E10017" s="196">
        <v>963000</v>
      </c>
      <c r="F10017" s="196">
        <v>-963000</v>
      </c>
      <c r="G10017" s="196">
        <v>-963000</v>
      </c>
    </row>
    <row r="10018" spans="1:7" x14ac:dyDescent="0.3">
      <c r="A10018" s="198">
        <v>1037236576</v>
      </c>
      <c r="B10018" s="192" t="s">
        <v>7071</v>
      </c>
      <c r="C10018" s="196">
        <v>-963000</v>
      </c>
      <c r="D10018" s="196">
        <v>0</v>
      </c>
      <c r="E10018" s="196">
        <v>0</v>
      </c>
      <c r="F10018" s="196">
        <v>0</v>
      </c>
      <c r="G10018" s="196">
        <v>-963000</v>
      </c>
    </row>
    <row r="10019" spans="1:7" x14ac:dyDescent="0.3">
      <c r="A10019" s="198">
        <v>1026146547</v>
      </c>
      <c r="B10019" s="192" t="s">
        <v>6016</v>
      </c>
      <c r="C10019" s="196">
        <v>-1000</v>
      </c>
      <c r="D10019" s="196">
        <v>0</v>
      </c>
      <c r="E10019" s="196">
        <v>0</v>
      </c>
      <c r="F10019" s="196">
        <v>0</v>
      </c>
      <c r="G10019" s="196">
        <v>-1000</v>
      </c>
    </row>
    <row r="10020" spans="1:7" x14ac:dyDescent="0.3">
      <c r="A10020" s="198">
        <v>1020431916</v>
      </c>
      <c r="B10020" s="192" t="s">
        <v>6017</v>
      </c>
      <c r="C10020" s="196">
        <v>-3017000</v>
      </c>
      <c r="D10020" s="196">
        <v>0</v>
      </c>
      <c r="E10020" s="196">
        <v>0</v>
      </c>
      <c r="F10020" s="196">
        <v>0</v>
      </c>
      <c r="G10020" s="196">
        <v>-3017000</v>
      </c>
    </row>
    <row r="10021" spans="1:7" x14ac:dyDescent="0.3">
      <c r="A10021" s="198">
        <v>21742667</v>
      </c>
      <c r="B10021" s="192" t="s">
        <v>7072</v>
      </c>
      <c r="C10021" s="196">
        <v>-4133000</v>
      </c>
      <c r="D10021" s="196">
        <v>0</v>
      </c>
      <c r="E10021" s="196">
        <v>0</v>
      </c>
      <c r="F10021" s="196">
        <v>0</v>
      </c>
      <c r="G10021" s="196">
        <v>-4133000</v>
      </c>
    </row>
    <row r="10022" spans="1:7" x14ac:dyDescent="0.3">
      <c r="A10022" s="198">
        <v>98670357</v>
      </c>
      <c r="B10022" s="192" t="s">
        <v>7073</v>
      </c>
      <c r="C10022" s="196">
        <v>-963000</v>
      </c>
      <c r="D10022" s="196">
        <v>0</v>
      </c>
      <c r="E10022" s="196">
        <v>0</v>
      </c>
      <c r="F10022" s="196">
        <v>0</v>
      </c>
      <c r="G10022" s="196">
        <v>-963000</v>
      </c>
    </row>
    <row r="10023" spans="1:7" x14ac:dyDescent="0.3">
      <c r="A10023" s="198">
        <v>1152184713</v>
      </c>
      <c r="B10023" s="192" t="s">
        <v>7074</v>
      </c>
      <c r="C10023" s="196">
        <v>-963000</v>
      </c>
      <c r="D10023" s="196">
        <v>0</v>
      </c>
      <c r="E10023" s="196">
        <v>0</v>
      </c>
      <c r="F10023" s="196">
        <v>0</v>
      </c>
      <c r="G10023" s="196">
        <v>-963000</v>
      </c>
    </row>
    <row r="10024" spans="1:7" x14ac:dyDescent="0.3">
      <c r="A10024" s="198">
        <v>1059709863</v>
      </c>
      <c r="B10024" s="192" t="s">
        <v>7075</v>
      </c>
      <c r="C10024" s="196">
        <v>-963000</v>
      </c>
      <c r="D10024" s="196">
        <v>0</v>
      </c>
      <c r="E10024" s="196">
        <v>0</v>
      </c>
      <c r="F10024" s="196">
        <v>0</v>
      </c>
      <c r="G10024" s="196">
        <v>-963000</v>
      </c>
    </row>
    <row r="10025" spans="1:7" x14ac:dyDescent="0.3">
      <c r="A10025" s="198">
        <v>1152691772</v>
      </c>
      <c r="B10025" s="192" t="s">
        <v>7076</v>
      </c>
      <c r="C10025" s="196">
        <v>-860000</v>
      </c>
      <c r="D10025" s="196">
        <v>0</v>
      </c>
      <c r="E10025" s="196">
        <v>0</v>
      </c>
      <c r="F10025" s="196">
        <v>0</v>
      </c>
      <c r="G10025" s="196">
        <v>-860000</v>
      </c>
    </row>
    <row r="10026" spans="1:7" x14ac:dyDescent="0.3">
      <c r="A10026" s="198">
        <v>1082774773</v>
      </c>
      <c r="B10026" s="192" t="s">
        <v>6043</v>
      </c>
      <c r="C10026" s="196">
        <v>-3510000</v>
      </c>
      <c r="D10026" s="196">
        <v>0</v>
      </c>
      <c r="E10026" s="196">
        <v>0</v>
      </c>
      <c r="F10026" s="196">
        <v>0</v>
      </c>
      <c r="G10026" s="196">
        <v>-3510000</v>
      </c>
    </row>
    <row r="10027" spans="1:7" x14ac:dyDescent="0.3">
      <c r="A10027" s="198">
        <v>50872795</v>
      </c>
      <c r="B10027" s="192" t="s">
        <v>7077</v>
      </c>
      <c r="C10027" s="196">
        <v>-1143000</v>
      </c>
      <c r="D10027" s="196">
        <v>0</v>
      </c>
      <c r="E10027" s="196">
        <v>0</v>
      </c>
      <c r="F10027" s="196">
        <v>0</v>
      </c>
      <c r="G10027" s="196">
        <v>-1143000</v>
      </c>
    </row>
    <row r="10028" spans="1:7" x14ac:dyDescent="0.3">
      <c r="A10028" s="198">
        <v>1152472229</v>
      </c>
      <c r="B10028" s="192" t="s">
        <v>1489</v>
      </c>
      <c r="C10028" s="196">
        <v>-6115000</v>
      </c>
      <c r="D10028" s="196">
        <v>0</v>
      </c>
      <c r="E10028" s="196">
        <v>0</v>
      </c>
      <c r="F10028" s="196">
        <v>0</v>
      </c>
      <c r="G10028" s="196">
        <v>-6115000</v>
      </c>
    </row>
    <row r="10029" spans="1:7" x14ac:dyDescent="0.3">
      <c r="A10029" s="198">
        <v>1193569496</v>
      </c>
      <c r="B10029" s="192" t="s">
        <v>1490</v>
      </c>
      <c r="C10029" s="196">
        <v>0</v>
      </c>
      <c r="D10029" s="196">
        <v>0</v>
      </c>
      <c r="E10029" s="196">
        <v>7005000</v>
      </c>
      <c r="F10029" s="196">
        <v>-7005000</v>
      </c>
      <c r="G10029" s="196">
        <v>-7005000</v>
      </c>
    </row>
    <row r="10030" spans="1:7" x14ac:dyDescent="0.3">
      <c r="A10030" s="198">
        <v>1033258803</v>
      </c>
      <c r="B10030" s="192" t="s">
        <v>6063</v>
      </c>
      <c r="C10030" s="196">
        <v>-6720000</v>
      </c>
      <c r="D10030" s="196">
        <v>0</v>
      </c>
      <c r="E10030" s="196">
        <v>0</v>
      </c>
      <c r="F10030" s="196">
        <v>0</v>
      </c>
      <c r="G10030" s="196">
        <v>-6720000</v>
      </c>
    </row>
    <row r="10031" spans="1:7" x14ac:dyDescent="0.3">
      <c r="A10031" s="198">
        <v>1000416873</v>
      </c>
      <c r="B10031" s="192" t="s">
        <v>7078</v>
      </c>
      <c r="C10031" s="196">
        <v>-3078000</v>
      </c>
      <c r="D10031" s="196">
        <v>0</v>
      </c>
      <c r="E10031" s="196">
        <v>0</v>
      </c>
      <c r="F10031" s="196">
        <v>0</v>
      </c>
      <c r="G10031" s="196">
        <v>-3078000</v>
      </c>
    </row>
    <row r="10032" spans="1:7" x14ac:dyDescent="0.3">
      <c r="A10032" s="198">
        <v>32320278</v>
      </c>
      <c r="B10032" s="192" t="s">
        <v>7079</v>
      </c>
      <c r="C10032" s="196">
        <v>-4133000</v>
      </c>
      <c r="D10032" s="196">
        <v>0</v>
      </c>
      <c r="E10032" s="196">
        <v>0</v>
      </c>
      <c r="F10032" s="196">
        <v>0</v>
      </c>
      <c r="G10032" s="196">
        <v>-4133000</v>
      </c>
    </row>
    <row r="10033" spans="1:7" x14ac:dyDescent="0.3">
      <c r="A10033" s="198">
        <v>1094880470</v>
      </c>
      <c r="B10033" s="192" t="s">
        <v>1491</v>
      </c>
      <c r="C10033" s="196">
        <v>0</v>
      </c>
      <c r="D10033" s="196">
        <v>0</v>
      </c>
      <c r="E10033" s="196">
        <v>10231100</v>
      </c>
      <c r="F10033" s="196">
        <v>-10231100</v>
      </c>
      <c r="G10033" s="196">
        <v>-10231100</v>
      </c>
    </row>
    <row r="10034" spans="1:7" x14ac:dyDescent="0.3">
      <c r="A10034" s="198">
        <v>39447758</v>
      </c>
      <c r="B10034" s="192" t="s">
        <v>7080</v>
      </c>
      <c r="C10034" s="196">
        <v>-683000</v>
      </c>
      <c r="D10034" s="196">
        <v>0</v>
      </c>
      <c r="E10034" s="196">
        <v>0</v>
      </c>
      <c r="F10034" s="196">
        <v>0</v>
      </c>
      <c r="G10034" s="196">
        <v>-683000</v>
      </c>
    </row>
    <row r="10035" spans="1:7" x14ac:dyDescent="0.3">
      <c r="A10035" s="198">
        <v>52066465</v>
      </c>
      <c r="B10035" s="192" t="s">
        <v>6078</v>
      </c>
      <c r="C10035" s="196">
        <v>-106800</v>
      </c>
      <c r="D10035" s="196">
        <v>0</v>
      </c>
      <c r="E10035" s="196">
        <v>0</v>
      </c>
      <c r="F10035" s="196">
        <v>0</v>
      </c>
      <c r="G10035" s="196">
        <v>-106800</v>
      </c>
    </row>
    <row r="10036" spans="1:7" x14ac:dyDescent="0.3">
      <c r="A10036" s="198">
        <v>43742280</v>
      </c>
      <c r="B10036" s="192" t="s">
        <v>6081</v>
      </c>
      <c r="C10036" s="196">
        <v>-43900</v>
      </c>
      <c r="D10036" s="196">
        <v>0</v>
      </c>
      <c r="E10036" s="196">
        <v>0</v>
      </c>
      <c r="F10036" s="196">
        <v>0</v>
      </c>
      <c r="G10036" s="196">
        <v>-43900</v>
      </c>
    </row>
    <row r="10037" spans="1:7" x14ac:dyDescent="0.3">
      <c r="A10037" s="198">
        <v>1017258723</v>
      </c>
      <c r="B10037" s="192" t="s">
        <v>7081</v>
      </c>
      <c r="C10037" s="196">
        <v>-963000</v>
      </c>
      <c r="D10037" s="196">
        <v>0</v>
      </c>
      <c r="E10037" s="196">
        <v>0</v>
      </c>
      <c r="F10037" s="196">
        <v>0</v>
      </c>
      <c r="G10037" s="196">
        <v>-963000</v>
      </c>
    </row>
    <row r="10038" spans="1:7" x14ac:dyDescent="0.3">
      <c r="A10038" s="198">
        <v>1035230350</v>
      </c>
      <c r="B10038" s="192" t="s">
        <v>1493</v>
      </c>
      <c r="C10038" s="196">
        <v>0</v>
      </c>
      <c r="D10038" s="196">
        <v>0</v>
      </c>
      <c r="E10038" s="196">
        <v>1250000</v>
      </c>
      <c r="F10038" s="196">
        <v>-1250000</v>
      </c>
      <c r="G10038" s="196">
        <v>-1250000</v>
      </c>
    </row>
    <row r="10039" spans="1:7" x14ac:dyDescent="0.3">
      <c r="A10039" s="192" t="s">
        <v>1495</v>
      </c>
      <c r="B10039" s="192" t="s">
        <v>1496</v>
      </c>
      <c r="C10039" s="196">
        <v>0</v>
      </c>
      <c r="D10039" s="196">
        <v>0</v>
      </c>
      <c r="E10039" s="196">
        <v>4046000</v>
      </c>
      <c r="F10039" s="196">
        <v>-4046000</v>
      </c>
      <c r="G10039" s="196">
        <v>-4046000</v>
      </c>
    </row>
    <row r="10040" spans="1:7" x14ac:dyDescent="0.3">
      <c r="A10040" s="198">
        <v>1035232080</v>
      </c>
      <c r="B10040" s="192" t="s">
        <v>6096</v>
      </c>
      <c r="C10040" s="196">
        <v>-3510000</v>
      </c>
      <c r="D10040" s="196">
        <v>0</v>
      </c>
      <c r="E10040" s="196">
        <v>0</v>
      </c>
      <c r="F10040" s="196">
        <v>0</v>
      </c>
      <c r="G10040" s="196">
        <v>-3510000</v>
      </c>
    </row>
    <row r="10041" spans="1:7" x14ac:dyDescent="0.3">
      <c r="A10041" s="198">
        <v>29757007</v>
      </c>
      <c r="B10041" s="192" t="s">
        <v>1497</v>
      </c>
      <c r="C10041" s="196">
        <v>0</v>
      </c>
      <c r="D10041" s="196">
        <v>0</v>
      </c>
      <c r="E10041" s="196">
        <v>4375000</v>
      </c>
      <c r="F10041" s="196">
        <v>-4375000</v>
      </c>
      <c r="G10041" s="196">
        <v>-4375000</v>
      </c>
    </row>
    <row r="10042" spans="1:7" x14ac:dyDescent="0.3">
      <c r="A10042" s="198">
        <v>1128273286</v>
      </c>
      <c r="B10042" s="192" t="s">
        <v>1498</v>
      </c>
      <c r="C10042" s="196">
        <v>0</v>
      </c>
      <c r="D10042" s="196">
        <v>0</v>
      </c>
      <c r="E10042" s="196">
        <v>1870000</v>
      </c>
      <c r="F10042" s="196">
        <v>-1870000</v>
      </c>
      <c r="G10042" s="196">
        <v>-1870000</v>
      </c>
    </row>
    <row r="10043" spans="1:7" x14ac:dyDescent="0.3">
      <c r="A10043" s="198">
        <v>43151920</v>
      </c>
      <c r="B10043" s="192" t="s">
        <v>7082</v>
      </c>
      <c r="C10043" s="196">
        <v>-1750000</v>
      </c>
      <c r="D10043" s="196">
        <v>0</v>
      </c>
      <c r="E10043" s="196">
        <v>0</v>
      </c>
      <c r="F10043" s="196">
        <v>0</v>
      </c>
      <c r="G10043" s="196">
        <v>-1750000</v>
      </c>
    </row>
    <row r="10044" spans="1:7" x14ac:dyDescent="0.3">
      <c r="A10044" s="198">
        <v>1021924121</v>
      </c>
      <c r="B10044" s="192" t="s">
        <v>1499</v>
      </c>
      <c r="C10044" s="196">
        <v>0</v>
      </c>
      <c r="D10044" s="196">
        <v>0</v>
      </c>
      <c r="E10044" s="196">
        <v>963000</v>
      </c>
      <c r="F10044" s="196">
        <v>-963000</v>
      </c>
      <c r="G10044" s="196">
        <v>-963000</v>
      </c>
    </row>
    <row r="10045" spans="1:7" x14ac:dyDescent="0.3">
      <c r="A10045" s="198">
        <v>1017213586</v>
      </c>
      <c r="B10045" s="192" t="s">
        <v>7083</v>
      </c>
      <c r="C10045" s="196">
        <v>-963000</v>
      </c>
      <c r="D10045" s="196">
        <v>0</v>
      </c>
      <c r="E10045" s="196">
        <v>0</v>
      </c>
      <c r="F10045" s="196">
        <v>0</v>
      </c>
      <c r="G10045" s="196">
        <v>-963000</v>
      </c>
    </row>
    <row r="10046" spans="1:7" x14ac:dyDescent="0.3">
      <c r="A10046" s="198">
        <v>1034996683</v>
      </c>
      <c r="B10046" s="192" t="s">
        <v>1500</v>
      </c>
      <c r="C10046" s="196">
        <v>0</v>
      </c>
      <c r="D10046" s="196">
        <v>0</v>
      </c>
      <c r="E10046" s="196">
        <v>2500000</v>
      </c>
      <c r="F10046" s="196">
        <v>-2500000</v>
      </c>
      <c r="G10046" s="196">
        <v>-2500000</v>
      </c>
    </row>
    <row r="10047" spans="1:7" x14ac:dyDescent="0.3">
      <c r="A10047" s="198">
        <v>1152225727</v>
      </c>
      <c r="B10047" s="192" t="s">
        <v>1501</v>
      </c>
      <c r="C10047" s="196">
        <v>-500001</v>
      </c>
      <c r="D10047" s="196">
        <v>0</v>
      </c>
      <c r="E10047" s="196">
        <v>0</v>
      </c>
      <c r="F10047" s="196">
        <v>0</v>
      </c>
      <c r="G10047" s="196">
        <v>-500001</v>
      </c>
    </row>
    <row r="10048" spans="1:7" x14ac:dyDescent="0.3">
      <c r="A10048" s="192" t="s">
        <v>7084</v>
      </c>
      <c r="B10048" s="192" t="s">
        <v>7085</v>
      </c>
      <c r="C10048" s="196">
        <v>-2805000</v>
      </c>
      <c r="D10048" s="196">
        <v>0</v>
      </c>
      <c r="E10048" s="196">
        <v>0</v>
      </c>
      <c r="F10048" s="196">
        <v>0</v>
      </c>
      <c r="G10048" s="196">
        <v>-2805000</v>
      </c>
    </row>
    <row r="10049" spans="1:7" x14ac:dyDescent="0.3">
      <c r="A10049" s="192" t="s">
        <v>7086</v>
      </c>
      <c r="B10049" s="192" t="s">
        <v>7087</v>
      </c>
      <c r="C10049" s="196">
        <v>-963000</v>
      </c>
      <c r="D10049" s="196">
        <v>0</v>
      </c>
      <c r="E10049" s="196">
        <v>0</v>
      </c>
      <c r="F10049" s="196">
        <v>0</v>
      </c>
      <c r="G10049" s="196">
        <v>-963000</v>
      </c>
    </row>
    <row r="10050" spans="1:7" x14ac:dyDescent="0.3">
      <c r="A10050" s="198">
        <v>678656860</v>
      </c>
      <c r="B10050" s="192" t="s">
        <v>6108</v>
      </c>
      <c r="C10050" s="196">
        <v>-4201000</v>
      </c>
      <c r="D10050" s="196">
        <v>0</v>
      </c>
      <c r="E10050" s="196">
        <v>0</v>
      </c>
      <c r="F10050" s="196">
        <v>0</v>
      </c>
      <c r="G10050" s="196">
        <v>-4201000</v>
      </c>
    </row>
    <row r="10051" spans="1:7" x14ac:dyDescent="0.3">
      <c r="A10051" s="192" t="s">
        <v>1504</v>
      </c>
      <c r="B10051" s="192" t="s">
        <v>1505</v>
      </c>
      <c r="C10051" s="196">
        <v>0</v>
      </c>
      <c r="D10051" s="196">
        <v>0</v>
      </c>
      <c r="E10051" s="196">
        <v>2710000</v>
      </c>
      <c r="F10051" s="196">
        <v>-2710000</v>
      </c>
      <c r="G10051" s="196">
        <v>-2710000</v>
      </c>
    </row>
    <row r="10052" spans="1:7" x14ac:dyDescent="0.3">
      <c r="A10052" s="198">
        <v>1020409600</v>
      </c>
      <c r="B10052" s="192" t="s">
        <v>7088</v>
      </c>
      <c r="C10052" s="196">
        <v>-963000</v>
      </c>
      <c r="D10052" s="196">
        <v>0</v>
      </c>
      <c r="E10052" s="196">
        <v>0</v>
      </c>
      <c r="F10052" s="196">
        <v>0</v>
      </c>
      <c r="G10052" s="196">
        <v>-963000</v>
      </c>
    </row>
    <row r="10053" spans="1:7" x14ac:dyDescent="0.3">
      <c r="A10053" s="198">
        <v>1110568614</v>
      </c>
      <c r="B10053" s="192" t="s">
        <v>1511</v>
      </c>
      <c r="C10053" s="196">
        <v>0</v>
      </c>
      <c r="D10053" s="196">
        <v>0</v>
      </c>
      <c r="E10053" s="196">
        <v>11747000</v>
      </c>
      <c r="F10053" s="196">
        <v>-11747000</v>
      </c>
      <c r="G10053" s="196">
        <v>-11747000</v>
      </c>
    </row>
    <row r="10054" spans="1:7" x14ac:dyDescent="0.3">
      <c r="A10054" s="198">
        <v>1017265018</v>
      </c>
      <c r="B10054" s="192" t="s">
        <v>1512</v>
      </c>
      <c r="C10054" s="196">
        <v>-3152000</v>
      </c>
      <c r="D10054" s="196">
        <v>0</v>
      </c>
      <c r="E10054" s="196">
        <v>0</v>
      </c>
      <c r="F10054" s="196">
        <v>0</v>
      </c>
      <c r="G10054" s="196">
        <v>-3152000</v>
      </c>
    </row>
    <row r="10055" spans="1:7" x14ac:dyDescent="0.3">
      <c r="A10055" s="198">
        <v>1128469026</v>
      </c>
      <c r="B10055" s="192" t="s">
        <v>6123</v>
      </c>
      <c r="C10055" s="196">
        <v>-5934000</v>
      </c>
      <c r="D10055" s="196">
        <v>0</v>
      </c>
      <c r="E10055" s="196">
        <v>0</v>
      </c>
      <c r="F10055" s="196">
        <v>0</v>
      </c>
      <c r="G10055" s="196">
        <v>-5934000</v>
      </c>
    </row>
    <row r="10056" spans="1:7" x14ac:dyDescent="0.3">
      <c r="A10056" s="198">
        <v>680221889</v>
      </c>
      <c r="B10056" s="192" t="s">
        <v>6124</v>
      </c>
      <c r="C10056" s="196">
        <v>-4408000</v>
      </c>
      <c r="D10056" s="196">
        <v>0</v>
      </c>
      <c r="E10056" s="196">
        <v>0</v>
      </c>
      <c r="F10056" s="196">
        <v>0</v>
      </c>
      <c r="G10056" s="196">
        <v>-4408000</v>
      </c>
    </row>
    <row r="10057" spans="1:7" x14ac:dyDescent="0.3">
      <c r="A10057" s="198">
        <v>1001154620</v>
      </c>
      <c r="B10057" s="192" t="s">
        <v>7089</v>
      </c>
      <c r="C10057" s="196">
        <v>-963000</v>
      </c>
      <c r="D10057" s="196">
        <v>0</v>
      </c>
      <c r="E10057" s="196">
        <v>0</v>
      </c>
      <c r="F10057" s="196">
        <v>0</v>
      </c>
      <c r="G10057" s="196">
        <v>-963000</v>
      </c>
    </row>
    <row r="10058" spans="1:7" x14ac:dyDescent="0.3">
      <c r="A10058" s="198">
        <v>22336666</v>
      </c>
      <c r="B10058" s="192" t="s">
        <v>7090</v>
      </c>
      <c r="C10058" s="196">
        <v>-800000</v>
      </c>
      <c r="D10058" s="196">
        <v>0</v>
      </c>
      <c r="E10058" s="196">
        <v>0</v>
      </c>
      <c r="F10058" s="196">
        <v>0</v>
      </c>
      <c r="G10058" s="196">
        <v>-800000</v>
      </c>
    </row>
    <row r="10059" spans="1:7" x14ac:dyDescent="0.3">
      <c r="A10059" s="198">
        <v>32475022</v>
      </c>
      <c r="B10059" s="192" t="s">
        <v>1513</v>
      </c>
      <c r="C10059" s="196">
        <v>-57200</v>
      </c>
      <c r="D10059" s="196">
        <v>0</v>
      </c>
      <c r="E10059" s="196">
        <v>0</v>
      </c>
      <c r="F10059" s="196">
        <v>0</v>
      </c>
      <c r="G10059" s="196">
        <v>-57200</v>
      </c>
    </row>
    <row r="10060" spans="1:7" x14ac:dyDescent="0.3">
      <c r="A10060" s="198">
        <v>21410257</v>
      </c>
      <c r="B10060" s="192" t="s">
        <v>7091</v>
      </c>
      <c r="C10060" s="196">
        <v>-2895000</v>
      </c>
      <c r="D10060" s="196">
        <v>0</v>
      </c>
      <c r="E10060" s="196">
        <v>0</v>
      </c>
      <c r="F10060" s="196">
        <v>0</v>
      </c>
      <c r="G10060" s="196">
        <v>-2895000</v>
      </c>
    </row>
    <row r="10061" spans="1:7" x14ac:dyDescent="0.3">
      <c r="A10061" s="198">
        <v>43466973</v>
      </c>
      <c r="B10061" s="192" t="s">
        <v>7092</v>
      </c>
      <c r="C10061" s="196">
        <v>-2073500</v>
      </c>
      <c r="D10061" s="196">
        <v>0</v>
      </c>
      <c r="E10061" s="196">
        <v>0</v>
      </c>
      <c r="F10061" s="196">
        <v>0</v>
      </c>
      <c r="G10061" s="196">
        <v>-2073500</v>
      </c>
    </row>
    <row r="10062" spans="1:7" x14ac:dyDescent="0.3">
      <c r="A10062" s="198">
        <v>32461229</v>
      </c>
      <c r="B10062" s="192" t="s">
        <v>1515</v>
      </c>
      <c r="C10062" s="196">
        <v>-3243000</v>
      </c>
      <c r="D10062" s="196">
        <v>0</v>
      </c>
      <c r="E10062" s="196">
        <v>1525000</v>
      </c>
      <c r="F10062" s="196">
        <v>-1525000</v>
      </c>
      <c r="G10062" s="196">
        <v>-4768000</v>
      </c>
    </row>
    <row r="10063" spans="1:7" x14ac:dyDescent="0.3">
      <c r="A10063" s="198">
        <v>1020317891</v>
      </c>
      <c r="B10063" s="192" t="s">
        <v>7093</v>
      </c>
      <c r="C10063" s="196">
        <v>-963000</v>
      </c>
      <c r="D10063" s="196">
        <v>0</v>
      </c>
      <c r="E10063" s="196">
        <v>0</v>
      </c>
      <c r="F10063" s="196">
        <v>0</v>
      </c>
      <c r="G10063" s="196">
        <v>-963000</v>
      </c>
    </row>
    <row r="10064" spans="1:7" x14ac:dyDescent="0.3">
      <c r="A10064" s="198">
        <v>473014</v>
      </c>
      <c r="B10064" s="192" t="s">
        <v>7094</v>
      </c>
      <c r="C10064" s="196">
        <v>-6676000</v>
      </c>
      <c r="D10064" s="196">
        <v>0</v>
      </c>
      <c r="E10064" s="196">
        <v>0</v>
      </c>
      <c r="F10064" s="196">
        <v>0</v>
      </c>
      <c r="G10064" s="196">
        <v>-6676000</v>
      </c>
    </row>
    <row r="10065" spans="1:7" x14ac:dyDescent="0.3">
      <c r="A10065" s="198">
        <v>1035971578</v>
      </c>
      <c r="B10065" s="192" t="s">
        <v>7095</v>
      </c>
      <c r="C10065" s="196">
        <v>-963000</v>
      </c>
      <c r="D10065" s="196">
        <v>0</v>
      </c>
      <c r="E10065" s="196">
        <v>0</v>
      </c>
      <c r="F10065" s="196">
        <v>0</v>
      </c>
      <c r="G10065" s="196">
        <v>-963000</v>
      </c>
    </row>
    <row r="10066" spans="1:7" x14ac:dyDescent="0.3">
      <c r="A10066" s="198">
        <v>80419835</v>
      </c>
      <c r="B10066" s="192" t="s">
        <v>1528</v>
      </c>
      <c r="C10066" s="196">
        <v>0</v>
      </c>
      <c r="D10066" s="196">
        <v>0</v>
      </c>
      <c r="E10066" s="196">
        <v>2895000</v>
      </c>
      <c r="F10066" s="196">
        <v>-2895000</v>
      </c>
      <c r="G10066" s="196">
        <v>-2895000</v>
      </c>
    </row>
    <row r="10067" spans="1:7" x14ac:dyDescent="0.3">
      <c r="A10067" s="198">
        <v>1036965150</v>
      </c>
      <c r="B10067" s="192" t="s">
        <v>7096</v>
      </c>
      <c r="C10067" s="196">
        <v>-963000</v>
      </c>
      <c r="D10067" s="196">
        <v>0</v>
      </c>
      <c r="E10067" s="196">
        <v>0</v>
      </c>
      <c r="F10067" s="196">
        <v>0</v>
      </c>
      <c r="G10067" s="196">
        <v>-963000</v>
      </c>
    </row>
    <row r="10068" spans="1:7" x14ac:dyDescent="0.3">
      <c r="A10068" s="198">
        <v>1214748395</v>
      </c>
      <c r="B10068" s="192" t="s">
        <v>1533</v>
      </c>
      <c r="C10068" s="196">
        <v>0</v>
      </c>
      <c r="D10068" s="196">
        <v>481499</v>
      </c>
      <c r="E10068" s="196">
        <v>1444500</v>
      </c>
      <c r="F10068" s="196">
        <v>-963001</v>
      </c>
      <c r="G10068" s="196">
        <v>-963001</v>
      </c>
    </row>
    <row r="10069" spans="1:7" x14ac:dyDescent="0.3">
      <c r="A10069" s="198">
        <v>1005543537</v>
      </c>
      <c r="B10069" s="192" t="s">
        <v>7097</v>
      </c>
      <c r="C10069" s="196">
        <v>-963000</v>
      </c>
      <c r="D10069" s="196">
        <v>0</v>
      </c>
      <c r="E10069" s="196">
        <v>0</v>
      </c>
      <c r="F10069" s="196">
        <v>0</v>
      </c>
      <c r="G10069" s="196">
        <v>-963000</v>
      </c>
    </row>
    <row r="10070" spans="1:7" x14ac:dyDescent="0.3">
      <c r="A10070" s="198">
        <v>1214732981</v>
      </c>
      <c r="B10070" s="192" t="s">
        <v>7098</v>
      </c>
      <c r="C10070" s="196">
        <v>-963000</v>
      </c>
      <c r="D10070" s="196">
        <v>0</v>
      </c>
      <c r="E10070" s="196">
        <v>0</v>
      </c>
      <c r="F10070" s="196">
        <v>0</v>
      </c>
      <c r="G10070" s="196">
        <v>-963000</v>
      </c>
    </row>
    <row r="10071" spans="1:7" x14ac:dyDescent="0.3">
      <c r="A10071" s="198">
        <v>1017262883</v>
      </c>
      <c r="B10071" s="192" t="s">
        <v>7099</v>
      </c>
      <c r="C10071" s="196">
        <v>-963000</v>
      </c>
      <c r="D10071" s="196">
        <v>0</v>
      </c>
      <c r="E10071" s="196">
        <v>0</v>
      </c>
      <c r="F10071" s="196">
        <v>0</v>
      </c>
      <c r="G10071" s="196">
        <v>-963000</v>
      </c>
    </row>
    <row r="10072" spans="1:7" x14ac:dyDescent="0.3">
      <c r="A10072" s="198">
        <v>1038262898</v>
      </c>
      <c r="B10072" s="192" t="s">
        <v>1537</v>
      </c>
      <c r="C10072" s="196">
        <v>0</v>
      </c>
      <c r="D10072" s="196">
        <v>0</v>
      </c>
      <c r="E10072" s="196">
        <v>963000</v>
      </c>
      <c r="F10072" s="196">
        <v>-963000</v>
      </c>
      <c r="G10072" s="196">
        <v>-963000</v>
      </c>
    </row>
    <row r="10073" spans="1:7" x14ac:dyDescent="0.3">
      <c r="A10073" s="198">
        <v>1039473567</v>
      </c>
      <c r="B10073" s="192" t="s">
        <v>1539</v>
      </c>
      <c r="C10073" s="196">
        <v>-3310000</v>
      </c>
      <c r="D10073" s="196">
        <v>0</v>
      </c>
      <c r="E10073" s="196">
        <v>0</v>
      </c>
      <c r="F10073" s="196">
        <v>0</v>
      </c>
      <c r="G10073" s="196">
        <v>-3310000</v>
      </c>
    </row>
    <row r="10074" spans="1:7" x14ac:dyDescent="0.3">
      <c r="A10074" s="198">
        <v>1007253338</v>
      </c>
      <c r="B10074" s="192" t="s">
        <v>7100</v>
      </c>
      <c r="C10074" s="196">
        <v>-963000</v>
      </c>
      <c r="D10074" s="196">
        <v>0</v>
      </c>
      <c r="E10074" s="196">
        <v>0</v>
      </c>
      <c r="F10074" s="196">
        <v>0</v>
      </c>
      <c r="G10074" s="196">
        <v>-963000</v>
      </c>
    </row>
    <row r="10075" spans="1:7" x14ac:dyDescent="0.3">
      <c r="A10075" s="198">
        <v>1026000891</v>
      </c>
      <c r="B10075" s="192" t="s">
        <v>7101</v>
      </c>
      <c r="C10075" s="196">
        <v>-963000</v>
      </c>
      <c r="D10075" s="196">
        <v>0</v>
      </c>
      <c r="E10075" s="196">
        <v>0</v>
      </c>
      <c r="F10075" s="196">
        <v>0</v>
      </c>
      <c r="G10075" s="196">
        <v>-963000</v>
      </c>
    </row>
    <row r="10076" spans="1:7" x14ac:dyDescent="0.3">
      <c r="A10076" s="198">
        <v>1007410378</v>
      </c>
      <c r="B10076" s="192" t="s">
        <v>7102</v>
      </c>
      <c r="C10076" s="196">
        <v>-963000</v>
      </c>
      <c r="D10076" s="196">
        <v>0</v>
      </c>
      <c r="E10076" s="196">
        <v>0</v>
      </c>
      <c r="F10076" s="196">
        <v>0</v>
      </c>
      <c r="G10076" s="196">
        <v>-963000</v>
      </c>
    </row>
    <row r="10077" spans="1:7" x14ac:dyDescent="0.3">
      <c r="A10077" s="198">
        <v>1000535796</v>
      </c>
      <c r="B10077" s="192" t="s">
        <v>6184</v>
      </c>
      <c r="C10077" s="196">
        <v>-1963000</v>
      </c>
      <c r="D10077" s="196">
        <v>0</v>
      </c>
      <c r="E10077" s="196">
        <v>0</v>
      </c>
      <c r="F10077" s="196">
        <v>0</v>
      </c>
      <c r="G10077" s="196">
        <v>-1963000</v>
      </c>
    </row>
    <row r="10078" spans="1:7" x14ac:dyDescent="0.3">
      <c r="A10078" s="198">
        <v>1234988519</v>
      </c>
      <c r="B10078" s="192" t="s">
        <v>7103</v>
      </c>
      <c r="C10078" s="196">
        <v>-963000</v>
      </c>
      <c r="D10078" s="196">
        <v>0</v>
      </c>
      <c r="E10078" s="196">
        <v>0</v>
      </c>
      <c r="F10078" s="196">
        <v>0</v>
      </c>
      <c r="G10078" s="196">
        <v>-963000</v>
      </c>
    </row>
    <row r="10079" spans="1:7" x14ac:dyDescent="0.3">
      <c r="A10079" s="198">
        <v>1011390579</v>
      </c>
      <c r="B10079" s="192" t="s">
        <v>6189</v>
      </c>
      <c r="C10079" s="196">
        <v>-3385000</v>
      </c>
      <c r="D10079" s="196">
        <v>0</v>
      </c>
      <c r="E10079" s="196">
        <v>0</v>
      </c>
      <c r="F10079" s="196">
        <v>0</v>
      </c>
      <c r="G10079" s="196">
        <v>-3385000</v>
      </c>
    </row>
    <row r="10080" spans="1:7" x14ac:dyDescent="0.3">
      <c r="A10080" s="198">
        <v>1020494358</v>
      </c>
      <c r="B10080" s="192" t="s">
        <v>7104</v>
      </c>
      <c r="C10080" s="196">
        <v>-963000</v>
      </c>
      <c r="D10080" s="196">
        <v>0</v>
      </c>
      <c r="E10080" s="196">
        <v>0</v>
      </c>
      <c r="F10080" s="196">
        <v>0</v>
      </c>
      <c r="G10080" s="196">
        <v>-963000</v>
      </c>
    </row>
    <row r="10081" spans="1:7" x14ac:dyDescent="0.3">
      <c r="A10081" s="198">
        <v>1000438827</v>
      </c>
      <c r="B10081" s="192" t="s">
        <v>6192</v>
      </c>
      <c r="C10081" s="196">
        <v>-1000000</v>
      </c>
      <c r="D10081" s="196">
        <v>0</v>
      </c>
      <c r="E10081" s="196">
        <v>0</v>
      </c>
      <c r="F10081" s="196">
        <v>0</v>
      </c>
      <c r="G10081" s="196">
        <v>-1000000</v>
      </c>
    </row>
    <row r="10082" spans="1:7" x14ac:dyDescent="0.3">
      <c r="A10082" s="198">
        <v>1054875392</v>
      </c>
      <c r="B10082" s="192" t="s">
        <v>7105</v>
      </c>
      <c r="C10082" s="196">
        <v>-3323800</v>
      </c>
      <c r="D10082" s="196">
        <v>0</v>
      </c>
      <c r="E10082" s="196">
        <v>0</v>
      </c>
      <c r="F10082" s="196">
        <v>0</v>
      </c>
      <c r="G10082" s="196">
        <v>-3323800</v>
      </c>
    </row>
    <row r="10083" spans="1:7" x14ac:dyDescent="0.3">
      <c r="A10083" s="198">
        <v>1011396585</v>
      </c>
      <c r="B10083" s="192" t="s">
        <v>1546</v>
      </c>
      <c r="C10083" s="196">
        <v>0</v>
      </c>
      <c r="D10083" s="196">
        <v>0</v>
      </c>
      <c r="E10083" s="196">
        <v>4375000</v>
      </c>
      <c r="F10083" s="196">
        <v>-4375000</v>
      </c>
      <c r="G10083" s="196">
        <v>-4375000</v>
      </c>
    </row>
    <row r="10084" spans="1:7" x14ac:dyDescent="0.3">
      <c r="A10084" s="198">
        <v>1000402554</v>
      </c>
      <c r="B10084" s="192" t="s">
        <v>7106</v>
      </c>
      <c r="C10084" s="196">
        <v>-963000</v>
      </c>
      <c r="D10084" s="196">
        <v>0</v>
      </c>
      <c r="E10084" s="196">
        <v>0</v>
      </c>
      <c r="F10084" s="196">
        <v>0</v>
      </c>
      <c r="G10084" s="196">
        <v>-963000</v>
      </c>
    </row>
    <row r="10085" spans="1:7" x14ac:dyDescent="0.3">
      <c r="A10085" s="198">
        <v>1015066701</v>
      </c>
      <c r="B10085" s="192" t="s">
        <v>7107</v>
      </c>
      <c r="C10085" s="196">
        <v>-860000</v>
      </c>
      <c r="D10085" s="196">
        <v>0</v>
      </c>
      <c r="E10085" s="196">
        <v>0</v>
      </c>
      <c r="F10085" s="196">
        <v>0</v>
      </c>
      <c r="G10085" s="196">
        <v>-860000</v>
      </c>
    </row>
    <row r="10086" spans="1:7" x14ac:dyDescent="0.3">
      <c r="A10086" s="198">
        <v>1000755521</v>
      </c>
      <c r="B10086" s="192" t="s">
        <v>7108</v>
      </c>
      <c r="C10086" s="196">
        <v>-860000</v>
      </c>
      <c r="D10086" s="196">
        <v>0</v>
      </c>
      <c r="E10086" s="196">
        <v>0</v>
      </c>
      <c r="F10086" s="196">
        <v>0</v>
      </c>
      <c r="G10086" s="196">
        <v>-860000</v>
      </c>
    </row>
    <row r="10087" spans="1:7" x14ac:dyDescent="0.3">
      <c r="A10087" s="198">
        <v>1000190903</v>
      </c>
      <c r="B10087" s="192" t="s">
        <v>7109</v>
      </c>
      <c r="C10087" s="196">
        <v>-963000</v>
      </c>
      <c r="D10087" s="196">
        <v>0</v>
      </c>
      <c r="E10087" s="196">
        <v>0</v>
      </c>
      <c r="F10087" s="196">
        <v>0</v>
      </c>
      <c r="G10087" s="196">
        <v>-963000</v>
      </c>
    </row>
    <row r="10088" spans="1:7" x14ac:dyDescent="0.3">
      <c r="A10088" s="198">
        <v>1002133839</v>
      </c>
      <c r="B10088" s="192" t="s">
        <v>6204</v>
      </c>
      <c r="C10088" s="196">
        <v>-4277000</v>
      </c>
      <c r="D10088" s="196">
        <v>0</v>
      </c>
      <c r="E10088" s="196">
        <v>0</v>
      </c>
      <c r="F10088" s="196">
        <v>0</v>
      </c>
      <c r="G10088" s="196">
        <v>-4277000</v>
      </c>
    </row>
    <row r="10089" spans="1:7" x14ac:dyDescent="0.3">
      <c r="A10089" s="192" t="s">
        <v>1552</v>
      </c>
      <c r="B10089" s="192" t="s">
        <v>1553</v>
      </c>
      <c r="C10089" s="196">
        <v>0</v>
      </c>
      <c r="D10089" s="196">
        <v>0</v>
      </c>
      <c r="E10089" s="196">
        <v>4210000</v>
      </c>
      <c r="F10089" s="196">
        <v>-4210000</v>
      </c>
      <c r="G10089" s="196">
        <v>-4210000</v>
      </c>
    </row>
    <row r="10090" spans="1:7" x14ac:dyDescent="0.3">
      <c r="A10090" s="192" t="s">
        <v>6205</v>
      </c>
      <c r="B10090" s="192" t="s">
        <v>6206</v>
      </c>
      <c r="C10090" s="196">
        <v>-5500000</v>
      </c>
      <c r="D10090" s="196">
        <v>0</v>
      </c>
      <c r="E10090" s="196">
        <v>0</v>
      </c>
      <c r="F10090" s="196">
        <v>0</v>
      </c>
      <c r="G10090" s="196">
        <v>-5500000</v>
      </c>
    </row>
    <row r="10091" spans="1:7" x14ac:dyDescent="0.3">
      <c r="A10091" s="198">
        <v>1045111316</v>
      </c>
      <c r="B10091" s="192" t="s">
        <v>7110</v>
      </c>
      <c r="C10091" s="196">
        <v>-963000</v>
      </c>
      <c r="D10091" s="196">
        <v>0</v>
      </c>
      <c r="E10091" s="196">
        <v>0</v>
      </c>
      <c r="F10091" s="196">
        <v>0</v>
      </c>
      <c r="G10091" s="196">
        <v>-963000</v>
      </c>
    </row>
    <row r="10092" spans="1:7" x14ac:dyDescent="0.3">
      <c r="A10092" s="198">
        <v>43592088</v>
      </c>
      <c r="B10092" s="192" t="s">
        <v>7111</v>
      </c>
      <c r="C10092" s="196">
        <v>-3530000</v>
      </c>
      <c r="D10092" s="196">
        <v>0</v>
      </c>
      <c r="E10092" s="196">
        <v>0</v>
      </c>
      <c r="F10092" s="196">
        <v>0</v>
      </c>
      <c r="G10092" s="196">
        <v>-3530000</v>
      </c>
    </row>
    <row r="10093" spans="1:7" x14ac:dyDescent="0.3">
      <c r="A10093" s="198">
        <v>28859164</v>
      </c>
      <c r="B10093" s="192" t="s">
        <v>1556</v>
      </c>
      <c r="C10093" s="196">
        <v>-3690000</v>
      </c>
      <c r="D10093" s="196">
        <v>0</v>
      </c>
      <c r="E10093" s="196">
        <v>0</v>
      </c>
      <c r="F10093" s="196">
        <v>0</v>
      </c>
      <c r="G10093" s="196">
        <v>-3690000</v>
      </c>
    </row>
    <row r="10094" spans="1:7" x14ac:dyDescent="0.3">
      <c r="A10094" s="198">
        <v>1033653901</v>
      </c>
      <c r="B10094" s="192" t="s">
        <v>6210</v>
      </c>
      <c r="C10094" s="196">
        <v>-963000</v>
      </c>
      <c r="D10094" s="196">
        <v>0</v>
      </c>
      <c r="E10094" s="196">
        <v>0</v>
      </c>
      <c r="F10094" s="196">
        <v>0</v>
      </c>
      <c r="G10094" s="196">
        <v>-963000</v>
      </c>
    </row>
    <row r="10095" spans="1:7" x14ac:dyDescent="0.3">
      <c r="A10095" s="198">
        <v>1152461952</v>
      </c>
      <c r="B10095" s="192" t="s">
        <v>7112</v>
      </c>
      <c r="C10095" s="196">
        <v>-860000</v>
      </c>
      <c r="D10095" s="196">
        <v>0</v>
      </c>
      <c r="E10095" s="196">
        <v>0</v>
      </c>
      <c r="F10095" s="196">
        <v>0</v>
      </c>
      <c r="G10095" s="196">
        <v>-860000</v>
      </c>
    </row>
    <row r="10096" spans="1:7" x14ac:dyDescent="0.3">
      <c r="A10096" s="198">
        <v>1001748289</v>
      </c>
      <c r="B10096" s="192" t="s">
        <v>7113</v>
      </c>
      <c r="C10096" s="196">
        <v>-963000</v>
      </c>
      <c r="D10096" s="196">
        <v>0</v>
      </c>
      <c r="E10096" s="196">
        <v>0</v>
      </c>
      <c r="F10096" s="196">
        <v>0</v>
      </c>
      <c r="G10096" s="196">
        <v>-963000</v>
      </c>
    </row>
    <row r="10097" spans="1:7" x14ac:dyDescent="0.3">
      <c r="A10097" s="198">
        <v>1022142653</v>
      </c>
      <c r="B10097" s="192" t="s">
        <v>7114</v>
      </c>
      <c r="C10097" s="196">
        <v>-963000</v>
      </c>
      <c r="D10097" s="196">
        <v>0</v>
      </c>
      <c r="E10097" s="196">
        <v>0</v>
      </c>
      <c r="F10097" s="196">
        <v>0</v>
      </c>
      <c r="G10097" s="196">
        <v>-963000</v>
      </c>
    </row>
    <row r="10098" spans="1:7" x14ac:dyDescent="0.3">
      <c r="A10098" s="198">
        <v>1017141944</v>
      </c>
      <c r="B10098" s="192" t="s">
        <v>6212</v>
      </c>
      <c r="C10098" s="196">
        <v>-2463000</v>
      </c>
      <c r="D10098" s="196">
        <v>0</v>
      </c>
      <c r="E10098" s="196">
        <v>0</v>
      </c>
      <c r="F10098" s="196">
        <v>0</v>
      </c>
      <c r="G10098" s="196">
        <v>-2463000</v>
      </c>
    </row>
    <row r="10099" spans="1:7" x14ac:dyDescent="0.3">
      <c r="A10099" s="198">
        <v>3329860</v>
      </c>
      <c r="B10099" s="192" t="s">
        <v>6214</v>
      </c>
      <c r="C10099" s="196">
        <v>-1703000</v>
      </c>
      <c r="D10099" s="196">
        <v>0</v>
      </c>
      <c r="E10099" s="196">
        <v>0</v>
      </c>
      <c r="F10099" s="196">
        <v>0</v>
      </c>
      <c r="G10099" s="196">
        <v>-1703000</v>
      </c>
    </row>
    <row r="10100" spans="1:7" x14ac:dyDescent="0.3">
      <c r="A10100" s="198">
        <v>501264</v>
      </c>
      <c r="B10100" s="192" t="s">
        <v>7115</v>
      </c>
      <c r="C10100" s="196">
        <v>-7138000</v>
      </c>
      <c r="D10100" s="196">
        <v>0</v>
      </c>
      <c r="E10100" s="196">
        <v>0</v>
      </c>
      <c r="F10100" s="196">
        <v>0</v>
      </c>
      <c r="G10100" s="196">
        <v>-7138000</v>
      </c>
    </row>
    <row r="10101" spans="1:7" x14ac:dyDescent="0.3">
      <c r="A10101" s="198">
        <v>1045021359</v>
      </c>
      <c r="B10101" s="192" t="s">
        <v>7116</v>
      </c>
      <c r="C10101" s="196">
        <v>-7715000</v>
      </c>
      <c r="D10101" s="196">
        <v>0</v>
      </c>
      <c r="E10101" s="196">
        <v>0</v>
      </c>
      <c r="F10101" s="196">
        <v>0</v>
      </c>
      <c r="G10101" s="196">
        <v>-7715000</v>
      </c>
    </row>
    <row r="10102" spans="1:7" x14ac:dyDescent="0.3">
      <c r="A10102" s="198">
        <v>71780788</v>
      </c>
      <c r="B10102" s="192" t="s">
        <v>7117</v>
      </c>
      <c r="C10102" s="196">
        <v>-50000</v>
      </c>
      <c r="D10102" s="196">
        <v>0</v>
      </c>
      <c r="E10102" s="196">
        <v>0</v>
      </c>
      <c r="F10102" s="196">
        <v>0</v>
      </c>
      <c r="G10102" s="196">
        <v>-50000</v>
      </c>
    </row>
    <row r="10103" spans="1:7" x14ac:dyDescent="0.3">
      <c r="A10103" s="198">
        <v>1037611919</v>
      </c>
      <c r="B10103" s="192" t="s">
        <v>7118</v>
      </c>
      <c r="C10103" s="196">
        <v>-263739</v>
      </c>
      <c r="D10103" s="196">
        <v>0</v>
      </c>
      <c r="E10103" s="196">
        <v>0</v>
      </c>
      <c r="F10103" s="196">
        <v>0</v>
      </c>
      <c r="G10103" s="196">
        <v>-263739</v>
      </c>
    </row>
    <row r="10104" spans="1:7" x14ac:dyDescent="0.3">
      <c r="A10104" s="198">
        <v>42969030</v>
      </c>
      <c r="B10104" s="192" t="s">
        <v>6229</v>
      </c>
      <c r="C10104" s="196">
        <v>-57200</v>
      </c>
      <c r="D10104" s="196">
        <v>0</v>
      </c>
      <c r="E10104" s="196">
        <v>0</v>
      </c>
      <c r="F10104" s="196">
        <v>0</v>
      </c>
      <c r="G10104" s="196">
        <v>-57200</v>
      </c>
    </row>
    <row r="10105" spans="1:7" x14ac:dyDescent="0.3">
      <c r="A10105" s="198">
        <v>6614794</v>
      </c>
      <c r="B10105" s="192" t="s">
        <v>7119</v>
      </c>
      <c r="C10105" s="196">
        <v>-11600000</v>
      </c>
      <c r="D10105" s="196">
        <v>0</v>
      </c>
      <c r="E10105" s="196">
        <v>0</v>
      </c>
      <c r="F10105" s="196">
        <v>0</v>
      </c>
      <c r="G10105" s="196">
        <v>-11600000</v>
      </c>
    </row>
    <row r="10106" spans="1:7" x14ac:dyDescent="0.3">
      <c r="A10106" s="198">
        <v>3489146</v>
      </c>
      <c r="B10106" s="192" t="s">
        <v>1563</v>
      </c>
      <c r="C10106" s="196">
        <v>-13171804</v>
      </c>
      <c r="D10106" s="196">
        <v>0</v>
      </c>
      <c r="E10106" s="196">
        <v>0</v>
      </c>
      <c r="F10106" s="196">
        <v>0</v>
      </c>
      <c r="G10106" s="196">
        <v>-13171804</v>
      </c>
    </row>
    <row r="10107" spans="1:7" x14ac:dyDescent="0.3">
      <c r="A10107" s="198">
        <v>1038101569</v>
      </c>
      <c r="B10107" s="192" t="s">
        <v>1564</v>
      </c>
      <c r="C10107" s="196">
        <v>-3563000</v>
      </c>
      <c r="D10107" s="196">
        <v>0</v>
      </c>
      <c r="E10107" s="196">
        <v>0</v>
      </c>
      <c r="F10107" s="196">
        <v>0</v>
      </c>
      <c r="G10107" s="196">
        <v>-3563000</v>
      </c>
    </row>
    <row r="10108" spans="1:7" x14ac:dyDescent="0.3">
      <c r="A10108" s="198">
        <v>1105785971</v>
      </c>
      <c r="B10108" s="192" t="s">
        <v>7120</v>
      </c>
      <c r="C10108" s="196">
        <v>-963000</v>
      </c>
      <c r="D10108" s="196">
        <v>0</v>
      </c>
      <c r="E10108" s="196">
        <v>0</v>
      </c>
      <c r="F10108" s="196">
        <v>0</v>
      </c>
      <c r="G10108" s="196">
        <v>-963000</v>
      </c>
    </row>
    <row r="10109" spans="1:7" x14ac:dyDescent="0.3">
      <c r="A10109" s="198">
        <v>1112767498</v>
      </c>
      <c r="B10109" s="192" t="s">
        <v>7121</v>
      </c>
      <c r="C10109" s="196">
        <v>-963000</v>
      </c>
      <c r="D10109" s="196">
        <v>0</v>
      </c>
      <c r="E10109" s="196">
        <v>0</v>
      </c>
      <c r="F10109" s="196">
        <v>0</v>
      </c>
      <c r="G10109" s="196">
        <v>-963000</v>
      </c>
    </row>
    <row r="10110" spans="1:7" x14ac:dyDescent="0.3">
      <c r="A10110" s="198">
        <v>32106351</v>
      </c>
      <c r="B10110" s="192" t="s">
        <v>7122</v>
      </c>
      <c r="C10110" s="196">
        <v>-2895000</v>
      </c>
      <c r="D10110" s="196">
        <v>0</v>
      </c>
      <c r="E10110" s="196">
        <v>0</v>
      </c>
      <c r="F10110" s="196">
        <v>0</v>
      </c>
      <c r="G10110" s="196">
        <v>-2895000</v>
      </c>
    </row>
    <row r="10111" spans="1:7" x14ac:dyDescent="0.3">
      <c r="A10111" s="198">
        <v>1234989898</v>
      </c>
      <c r="B10111" s="192" t="s">
        <v>7123</v>
      </c>
      <c r="C10111" s="196">
        <v>-963000</v>
      </c>
      <c r="D10111" s="196">
        <v>0</v>
      </c>
      <c r="E10111" s="196">
        <v>0</v>
      </c>
      <c r="F10111" s="196">
        <v>0</v>
      </c>
      <c r="G10111" s="196">
        <v>-963000</v>
      </c>
    </row>
    <row r="10112" spans="1:7" x14ac:dyDescent="0.3">
      <c r="A10112" s="198">
        <v>1000874730</v>
      </c>
      <c r="B10112" s="192" t="s">
        <v>1567</v>
      </c>
      <c r="C10112" s="196">
        <v>0</v>
      </c>
      <c r="D10112" s="196">
        <v>0</v>
      </c>
      <c r="E10112" s="196">
        <v>963000</v>
      </c>
      <c r="F10112" s="196">
        <v>-963000</v>
      </c>
      <c r="G10112" s="196">
        <v>-963000</v>
      </c>
    </row>
    <row r="10113" spans="1:7" x14ac:dyDescent="0.3">
      <c r="A10113" s="198">
        <v>1095816268</v>
      </c>
      <c r="B10113" s="192" t="s">
        <v>7124</v>
      </c>
      <c r="C10113" s="196">
        <v>-963000</v>
      </c>
      <c r="D10113" s="196">
        <v>0</v>
      </c>
      <c r="E10113" s="196">
        <v>0</v>
      </c>
      <c r="F10113" s="196">
        <v>0</v>
      </c>
      <c r="G10113" s="196">
        <v>-963000</v>
      </c>
    </row>
    <row r="10114" spans="1:7" x14ac:dyDescent="0.3">
      <c r="A10114" s="198">
        <v>1017192911</v>
      </c>
      <c r="B10114" s="192" t="s">
        <v>7125</v>
      </c>
      <c r="C10114" s="196">
        <v>-963000</v>
      </c>
      <c r="D10114" s="196">
        <v>0</v>
      </c>
      <c r="E10114" s="196">
        <v>0</v>
      </c>
      <c r="F10114" s="196">
        <v>0</v>
      </c>
      <c r="G10114" s="196">
        <v>-963000</v>
      </c>
    </row>
    <row r="10115" spans="1:7" x14ac:dyDescent="0.3">
      <c r="A10115" s="198">
        <v>1020466111</v>
      </c>
      <c r="B10115" s="192" t="s">
        <v>7126</v>
      </c>
      <c r="C10115" s="196">
        <v>-963000</v>
      </c>
      <c r="D10115" s="196">
        <v>0</v>
      </c>
      <c r="E10115" s="196">
        <v>0</v>
      </c>
      <c r="F10115" s="196">
        <v>0</v>
      </c>
      <c r="G10115" s="196">
        <v>-963000</v>
      </c>
    </row>
    <row r="10116" spans="1:7" x14ac:dyDescent="0.3">
      <c r="A10116" s="198">
        <v>71362408</v>
      </c>
      <c r="B10116" s="192" t="s">
        <v>7127</v>
      </c>
      <c r="C10116" s="196">
        <v>-4044100</v>
      </c>
      <c r="D10116" s="196">
        <v>0</v>
      </c>
      <c r="E10116" s="196">
        <v>0</v>
      </c>
      <c r="F10116" s="196">
        <v>0</v>
      </c>
      <c r="G10116" s="196">
        <v>-4044100</v>
      </c>
    </row>
    <row r="10117" spans="1:7" x14ac:dyDescent="0.3">
      <c r="A10117" s="198">
        <v>8407446</v>
      </c>
      <c r="B10117" s="192" t="s">
        <v>7128</v>
      </c>
      <c r="C10117" s="196">
        <v>-4133000</v>
      </c>
      <c r="D10117" s="196">
        <v>0</v>
      </c>
      <c r="E10117" s="196">
        <v>0</v>
      </c>
      <c r="F10117" s="196">
        <v>0</v>
      </c>
      <c r="G10117" s="196">
        <v>-4133000</v>
      </c>
    </row>
    <row r="10118" spans="1:7" x14ac:dyDescent="0.3">
      <c r="A10118" s="198">
        <v>8458181</v>
      </c>
      <c r="B10118" s="192" t="s">
        <v>7129</v>
      </c>
      <c r="C10118" s="196">
        <v>-11444200</v>
      </c>
      <c r="D10118" s="196">
        <v>0</v>
      </c>
      <c r="E10118" s="196">
        <v>0</v>
      </c>
      <c r="F10118" s="196">
        <v>0</v>
      </c>
      <c r="G10118" s="196">
        <v>-11444200</v>
      </c>
    </row>
    <row r="10119" spans="1:7" x14ac:dyDescent="0.3">
      <c r="A10119" s="198">
        <v>8732415</v>
      </c>
      <c r="B10119" s="192" t="s">
        <v>6250</v>
      </c>
      <c r="C10119" s="196">
        <v>-3795000</v>
      </c>
      <c r="D10119" s="196">
        <v>0</v>
      </c>
      <c r="E10119" s="196">
        <v>0</v>
      </c>
      <c r="F10119" s="196">
        <v>0</v>
      </c>
      <c r="G10119" s="196">
        <v>-3795000</v>
      </c>
    </row>
    <row r="10120" spans="1:7" x14ac:dyDescent="0.3">
      <c r="A10120" s="198">
        <v>70724924</v>
      </c>
      <c r="B10120" s="192" t="s">
        <v>1572</v>
      </c>
      <c r="C10120" s="196">
        <v>-53500</v>
      </c>
      <c r="D10120" s="196">
        <v>0</v>
      </c>
      <c r="E10120" s="196">
        <v>0</v>
      </c>
      <c r="F10120" s="196">
        <v>0</v>
      </c>
      <c r="G10120" s="196">
        <v>-53500</v>
      </c>
    </row>
    <row r="10121" spans="1:7" x14ac:dyDescent="0.3">
      <c r="A10121" s="198">
        <v>1067845400</v>
      </c>
      <c r="B10121" s="192" t="s">
        <v>1573</v>
      </c>
      <c r="C10121" s="196">
        <v>-2701600</v>
      </c>
      <c r="D10121" s="196">
        <v>0</v>
      </c>
      <c r="E10121" s="196">
        <v>0</v>
      </c>
      <c r="F10121" s="196">
        <v>0</v>
      </c>
      <c r="G10121" s="196">
        <v>-2701600</v>
      </c>
    </row>
    <row r="10122" spans="1:7" x14ac:dyDescent="0.3">
      <c r="A10122" s="192" t="s">
        <v>6254</v>
      </c>
      <c r="B10122" s="192" t="s">
        <v>6255</v>
      </c>
      <c r="C10122" s="196">
        <v>-3937000</v>
      </c>
      <c r="D10122" s="196">
        <v>0</v>
      </c>
      <c r="E10122" s="196">
        <v>0</v>
      </c>
      <c r="F10122" s="196">
        <v>0</v>
      </c>
      <c r="G10122" s="196">
        <v>-3937000</v>
      </c>
    </row>
    <row r="10123" spans="1:7" x14ac:dyDescent="0.3">
      <c r="A10123" s="198">
        <v>1040742687</v>
      </c>
      <c r="B10123" s="192" t="s">
        <v>6256</v>
      </c>
      <c r="C10123" s="196">
        <v>-3560000</v>
      </c>
      <c r="D10123" s="196">
        <v>0</v>
      </c>
      <c r="E10123" s="196">
        <v>0</v>
      </c>
      <c r="F10123" s="196">
        <v>0</v>
      </c>
      <c r="G10123" s="196">
        <v>-3560000</v>
      </c>
    </row>
    <row r="10124" spans="1:7" x14ac:dyDescent="0.3">
      <c r="A10124" s="198">
        <v>1003305208</v>
      </c>
      <c r="B10124" s="192" t="s">
        <v>1575</v>
      </c>
      <c r="C10124" s="196">
        <v>0</v>
      </c>
      <c r="D10124" s="196">
        <v>0</v>
      </c>
      <c r="E10124" s="196">
        <v>963000</v>
      </c>
      <c r="F10124" s="196">
        <v>-963000</v>
      </c>
      <c r="G10124" s="196">
        <v>-963000</v>
      </c>
    </row>
    <row r="10125" spans="1:7" x14ac:dyDescent="0.3">
      <c r="A10125" s="198">
        <v>1036650485</v>
      </c>
      <c r="B10125" s="192" t="s">
        <v>7130</v>
      </c>
      <c r="C10125" s="196">
        <v>-860000</v>
      </c>
      <c r="D10125" s="196">
        <v>0</v>
      </c>
      <c r="E10125" s="196">
        <v>0</v>
      </c>
      <c r="F10125" s="196">
        <v>0</v>
      </c>
      <c r="G10125" s="196">
        <v>-860000</v>
      </c>
    </row>
    <row r="10126" spans="1:7" x14ac:dyDescent="0.3">
      <c r="A10126" s="198">
        <v>1007238383</v>
      </c>
      <c r="B10126" s="192" t="s">
        <v>7131</v>
      </c>
      <c r="C10126" s="196">
        <v>-860000</v>
      </c>
      <c r="D10126" s="196">
        <v>0</v>
      </c>
      <c r="E10126" s="196">
        <v>0</v>
      </c>
      <c r="F10126" s="196">
        <v>0</v>
      </c>
      <c r="G10126" s="196">
        <v>-860000</v>
      </c>
    </row>
    <row r="10127" spans="1:7" x14ac:dyDescent="0.3">
      <c r="A10127" s="198">
        <v>1001391274</v>
      </c>
      <c r="B10127" s="192" t="s">
        <v>7132</v>
      </c>
      <c r="C10127" s="196">
        <v>-1326600</v>
      </c>
      <c r="D10127" s="196">
        <v>0</v>
      </c>
      <c r="E10127" s="196">
        <v>0</v>
      </c>
      <c r="F10127" s="196">
        <v>0</v>
      </c>
      <c r="G10127" s="196">
        <v>-1326600</v>
      </c>
    </row>
    <row r="10128" spans="1:7" x14ac:dyDescent="0.3">
      <c r="A10128" s="198">
        <v>24395213</v>
      </c>
      <c r="B10128" s="192" t="s">
        <v>7133</v>
      </c>
      <c r="C10128" s="196">
        <v>-4133000</v>
      </c>
      <c r="D10128" s="196">
        <v>0</v>
      </c>
      <c r="E10128" s="196">
        <v>0</v>
      </c>
      <c r="F10128" s="196">
        <v>0</v>
      </c>
      <c r="G10128" s="196">
        <v>-4133000</v>
      </c>
    </row>
    <row r="10129" spans="1:7" x14ac:dyDescent="0.3">
      <c r="A10129" s="198">
        <v>43598446</v>
      </c>
      <c r="B10129" s="192" t="s">
        <v>1577</v>
      </c>
      <c r="C10129" s="196">
        <v>0</v>
      </c>
      <c r="D10129" s="196">
        <v>0</v>
      </c>
      <c r="E10129" s="196">
        <v>963000</v>
      </c>
      <c r="F10129" s="196">
        <v>-963000</v>
      </c>
      <c r="G10129" s="196">
        <v>-963000</v>
      </c>
    </row>
    <row r="10130" spans="1:7" x14ac:dyDescent="0.3">
      <c r="A10130" s="198">
        <v>1035869175</v>
      </c>
      <c r="B10130" s="192" t="s">
        <v>7134</v>
      </c>
      <c r="C10130" s="196">
        <v>-963000</v>
      </c>
      <c r="D10130" s="196">
        <v>0</v>
      </c>
      <c r="E10130" s="196">
        <v>0</v>
      </c>
      <c r="F10130" s="196">
        <v>0</v>
      </c>
      <c r="G10130" s="196">
        <v>-963000</v>
      </c>
    </row>
    <row r="10131" spans="1:7" x14ac:dyDescent="0.3">
      <c r="A10131" s="198">
        <v>1045492313</v>
      </c>
      <c r="B10131" s="192" t="s">
        <v>7135</v>
      </c>
      <c r="C10131" s="196">
        <v>-963000</v>
      </c>
      <c r="D10131" s="196">
        <v>0</v>
      </c>
      <c r="E10131" s="196">
        <v>0</v>
      </c>
      <c r="F10131" s="196">
        <v>0</v>
      </c>
      <c r="G10131" s="196">
        <v>-963000</v>
      </c>
    </row>
    <row r="10132" spans="1:7" x14ac:dyDescent="0.3">
      <c r="A10132" s="198">
        <v>1000908879</v>
      </c>
      <c r="B10132" s="192" t="s">
        <v>7136</v>
      </c>
      <c r="C10132" s="196">
        <v>-963000</v>
      </c>
      <c r="D10132" s="196">
        <v>0</v>
      </c>
      <c r="E10132" s="196">
        <v>0</v>
      </c>
      <c r="F10132" s="196">
        <v>0</v>
      </c>
      <c r="G10132" s="196">
        <v>-963000</v>
      </c>
    </row>
    <row r="10133" spans="1:7" x14ac:dyDescent="0.3">
      <c r="A10133" s="198">
        <v>43838140</v>
      </c>
      <c r="B10133" s="192" t="s">
        <v>7137</v>
      </c>
      <c r="C10133" s="196">
        <v>-2980000</v>
      </c>
      <c r="D10133" s="196">
        <v>0</v>
      </c>
      <c r="E10133" s="196">
        <v>0</v>
      </c>
      <c r="F10133" s="196">
        <v>0</v>
      </c>
      <c r="G10133" s="196">
        <v>-2980000</v>
      </c>
    </row>
    <row r="10134" spans="1:7" x14ac:dyDescent="0.3">
      <c r="A10134" s="198">
        <v>1096200275</v>
      </c>
      <c r="B10134" s="192" t="s">
        <v>6275</v>
      </c>
      <c r="C10134" s="196">
        <v>-1900000</v>
      </c>
      <c r="D10134" s="196">
        <v>0</v>
      </c>
      <c r="E10134" s="196">
        <v>0</v>
      </c>
      <c r="F10134" s="196">
        <v>0</v>
      </c>
      <c r="G10134" s="196">
        <v>-1900000</v>
      </c>
    </row>
    <row r="10135" spans="1:7" x14ac:dyDescent="0.3">
      <c r="A10135" s="198">
        <v>39277314</v>
      </c>
      <c r="B10135" s="192" t="s">
        <v>7138</v>
      </c>
      <c r="C10135" s="196">
        <v>-963000</v>
      </c>
      <c r="D10135" s="196">
        <v>0</v>
      </c>
      <c r="E10135" s="196">
        <v>0</v>
      </c>
      <c r="F10135" s="196">
        <v>0</v>
      </c>
      <c r="G10135" s="196">
        <v>-963000</v>
      </c>
    </row>
    <row r="10136" spans="1:7" x14ac:dyDescent="0.3">
      <c r="A10136" s="198">
        <v>1000403360</v>
      </c>
      <c r="B10136" s="192" t="s">
        <v>1688</v>
      </c>
      <c r="C10136" s="196">
        <v>-2910000</v>
      </c>
      <c r="D10136" s="196">
        <v>0</v>
      </c>
      <c r="E10136" s="196">
        <v>0</v>
      </c>
      <c r="F10136" s="196">
        <v>0</v>
      </c>
      <c r="G10136" s="196">
        <v>-2910000</v>
      </c>
    </row>
    <row r="10137" spans="1:7" x14ac:dyDescent="0.3">
      <c r="A10137" s="198">
        <v>1075253888</v>
      </c>
      <c r="B10137" s="192" t="s">
        <v>1581</v>
      </c>
      <c r="C10137" s="196">
        <v>0</v>
      </c>
      <c r="D10137" s="196">
        <v>0</v>
      </c>
      <c r="E10137" s="196">
        <v>963000</v>
      </c>
      <c r="F10137" s="196">
        <v>-963000</v>
      </c>
      <c r="G10137" s="196">
        <v>-963000</v>
      </c>
    </row>
    <row r="10138" spans="1:7" x14ac:dyDescent="0.3">
      <c r="A10138" s="198">
        <v>1020423559</v>
      </c>
      <c r="B10138" s="192" t="s">
        <v>1582</v>
      </c>
      <c r="C10138" s="196">
        <v>0</v>
      </c>
      <c r="D10138" s="196">
        <v>0</v>
      </c>
      <c r="E10138" s="196">
        <v>963000</v>
      </c>
      <c r="F10138" s="196">
        <v>-963000</v>
      </c>
      <c r="G10138" s="196">
        <v>-963000</v>
      </c>
    </row>
    <row r="10139" spans="1:7" x14ac:dyDescent="0.3">
      <c r="A10139" s="198">
        <v>1128430369</v>
      </c>
      <c r="B10139" s="192" t="s">
        <v>7139</v>
      </c>
      <c r="C10139" s="196">
        <v>-963000</v>
      </c>
      <c r="D10139" s="196">
        <v>0</v>
      </c>
      <c r="E10139" s="196">
        <v>0</v>
      </c>
      <c r="F10139" s="196">
        <v>0</v>
      </c>
      <c r="G10139" s="196">
        <v>-963000</v>
      </c>
    </row>
    <row r="10140" spans="1:7" x14ac:dyDescent="0.3">
      <c r="A10140" s="198">
        <v>1000660626</v>
      </c>
      <c r="B10140" s="192" t="s">
        <v>7140</v>
      </c>
      <c r="C10140" s="196">
        <v>-860000</v>
      </c>
      <c r="D10140" s="196">
        <v>0</v>
      </c>
      <c r="E10140" s="196">
        <v>0</v>
      </c>
      <c r="F10140" s="196">
        <v>0</v>
      </c>
      <c r="G10140" s="196">
        <v>-860000</v>
      </c>
    </row>
    <row r="10141" spans="1:7" x14ac:dyDescent="0.3">
      <c r="A10141" s="198">
        <v>1121825664</v>
      </c>
      <c r="B10141" s="192" t="s">
        <v>1584</v>
      </c>
      <c r="C10141" s="196">
        <v>-7543100</v>
      </c>
      <c r="D10141" s="196">
        <v>0</v>
      </c>
      <c r="E10141" s="196">
        <v>0</v>
      </c>
      <c r="F10141" s="196">
        <v>0</v>
      </c>
      <c r="G10141" s="196">
        <v>-7543100</v>
      </c>
    </row>
    <row r="10142" spans="1:7" x14ac:dyDescent="0.3">
      <c r="A10142" s="198">
        <v>1000886381</v>
      </c>
      <c r="B10142" s="192" t="s">
        <v>7141</v>
      </c>
      <c r="C10142" s="196">
        <v>-963000</v>
      </c>
      <c r="D10142" s="196">
        <v>0</v>
      </c>
      <c r="E10142" s="196">
        <v>0</v>
      </c>
      <c r="F10142" s="196">
        <v>0</v>
      </c>
      <c r="G10142" s="196">
        <v>-963000</v>
      </c>
    </row>
    <row r="10143" spans="1:7" x14ac:dyDescent="0.3">
      <c r="A10143" s="198">
        <v>1011392520</v>
      </c>
      <c r="B10143" s="192" t="s">
        <v>1585</v>
      </c>
      <c r="C10143" s="196">
        <v>0</v>
      </c>
      <c r="D10143" s="196">
        <v>0</v>
      </c>
      <c r="E10143" s="196">
        <v>963000</v>
      </c>
      <c r="F10143" s="196">
        <v>-963000</v>
      </c>
      <c r="G10143" s="196">
        <v>-963000</v>
      </c>
    </row>
    <row r="10144" spans="1:7" x14ac:dyDescent="0.3">
      <c r="A10144" s="198">
        <v>43714834</v>
      </c>
      <c r="B10144" s="192" t="s">
        <v>7142</v>
      </c>
      <c r="C10144" s="196">
        <v>-860000</v>
      </c>
      <c r="D10144" s="196">
        <v>0</v>
      </c>
      <c r="E10144" s="196">
        <v>0</v>
      </c>
      <c r="F10144" s="196">
        <v>0</v>
      </c>
      <c r="G10144" s="196">
        <v>-860000</v>
      </c>
    </row>
    <row r="10145" spans="1:7" x14ac:dyDescent="0.3">
      <c r="A10145" s="198">
        <v>1047489261</v>
      </c>
      <c r="B10145" s="192" t="s">
        <v>7143</v>
      </c>
      <c r="C10145" s="196">
        <v>-963000</v>
      </c>
      <c r="D10145" s="196">
        <v>0</v>
      </c>
      <c r="E10145" s="196">
        <v>0</v>
      </c>
      <c r="F10145" s="196">
        <v>0</v>
      </c>
      <c r="G10145" s="196">
        <v>-963000</v>
      </c>
    </row>
    <row r="10146" spans="1:7" x14ac:dyDescent="0.3">
      <c r="A10146" s="198">
        <v>1152456827</v>
      </c>
      <c r="B10146" s="192" t="s">
        <v>1587</v>
      </c>
      <c r="C10146" s="196">
        <v>0</v>
      </c>
      <c r="D10146" s="196">
        <v>0</v>
      </c>
      <c r="E10146" s="196">
        <v>963000</v>
      </c>
      <c r="F10146" s="196">
        <v>-963000</v>
      </c>
      <c r="G10146" s="196">
        <v>-963000</v>
      </c>
    </row>
    <row r="10147" spans="1:7" x14ac:dyDescent="0.3">
      <c r="A10147" s="198">
        <v>1017183589</v>
      </c>
      <c r="B10147" s="192" t="s">
        <v>7144</v>
      </c>
      <c r="C10147" s="196">
        <v>-3261650</v>
      </c>
      <c r="D10147" s="196">
        <v>0</v>
      </c>
      <c r="E10147" s="196">
        <v>0</v>
      </c>
      <c r="F10147" s="196">
        <v>0</v>
      </c>
      <c r="G10147" s="196">
        <v>-3261650</v>
      </c>
    </row>
    <row r="10148" spans="1:7" x14ac:dyDescent="0.3">
      <c r="A10148" s="198">
        <v>1017214503</v>
      </c>
      <c r="B10148" s="192" t="s">
        <v>7145</v>
      </c>
      <c r="C10148" s="196">
        <v>-963000</v>
      </c>
      <c r="D10148" s="196">
        <v>0</v>
      </c>
      <c r="E10148" s="196">
        <v>0</v>
      </c>
      <c r="F10148" s="196">
        <v>0</v>
      </c>
      <c r="G10148" s="196">
        <v>-963000</v>
      </c>
    </row>
    <row r="10149" spans="1:7" x14ac:dyDescent="0.3">
      <c r="A10149" s="198">
        <v>1128459292</v>
      </c>
      <c r="B10149" s="192" t="s">
        <v>7146</v>
      </c>
      <c r="C10149" s="196">
        <v>-8304600</v>
      </c>
      <c r="D10149" s="196">
        <v>0</v>
      </c>
      <c r="E10149" s="196">
        <v>0</v>
      </c>
      <c r="F10149" s="196">
        <v>0</v>
      </c>
      <c r="G10149" s="196">
        <v>-8304600</v>
      </c>
    </row>
    <row r="10150" spans="1:7" x14ac:dyDescent="0.3">
      <c r="A10150" s="198">
        <v>1017176919</v>
      </c>
      <c r="B10150" s="192" t="s">
        <v>7147</v>
      </c>
      <c r="C10150" s="196">
        <v>-963000</v>
      </c>
      <c r="D10150" s="196">
        <v>0</v>
      </c>
      <c r="E10150" s="196">
        <v>0</v>
      </c>
      <c r="F10150" s="196">
        <v>0</v>
      </c>
      <c r="G10150" s="196">
        <v>-963000</v>
      </c>
    </row>
    <row r="10151" spans="1:7" x14ac:dyDescent="0.3">
      <c r="A10151" s="198">
        <v>1039460955</v>
      </c>
      <c r="B10151" s="192" t="s">
        <v>7148</v>
      </c>
      <c r="C10151" s="196">
        <v>-610000</v>
      </c>
      <c r="D10151" s="196">
        <v>0</v>
      </c>
      <c r="E10151" s="196">
        <v>0</v>
      </c>
      <c r="F10151" s="196">
        <v>0</v>
      </c>
      <c r="G10151" s="196">
        <v>-610000</v>
      </c>
    </row>
    <row r="10152" spans="1:7" x14ac:dyDescent="0.3">
      <c r="A10152" s="198">
        <v>1152202873</v>
      </c>
      <c r="B10152" s="192" t="s">
        <v>7149</v>
      </c>
      <c r="C10152" s="196">
        <v>-860000</v>
      </c>
      <c r="D10152" s="196">
        <v>0</v>
      </c>
      <c r="E10152" s="196">
        <v>0</v>
      </c>
      <c r="F10152" s="196">
        <v>0</v>
      </c>
      <c r="G10152" s="196">
        <v>-860000</v>
      </c>
    </row>
    <row r="10153" spans="1:7" x14ac:dyDescent="0.3">
      <c r="A10153" s="198">
        <v>1214740200</v>
      </c>
      <c r="B10153" s="192" t="s">
        <v>7150</v>
      </c>
      <c r="C10153" s="196">
        <v>-963000</v>
      </c>
      <c r="D10153" s="196">
        <v>0</v>
      </c>
      <c r="E10153" s="196">
        <v>0</v>
      </c>
      <c r="F10153" s="196">
        <v>0</v>
      </c>
      <c r="G10153" s="196">
        <v>-963000</v>
      </c>
    </row>
    <row r="10154" spans="1:7" x14ac:dyDescent="0.3">
      <c r="A10154" s="198">
        <v>1039457659</v>
      </c>
      <c r="B10154" s="192" t="s">
        <v>7151</v>
      </c>
      <c r="C10154" s="196">
        <v>-963000</v>
      </c>
      <c r="D10154" s="196">
        <v>0</v>
      </c>
      <c r="E10154" s="196">
        <v>0</v>
      </c>
      <c r="F10154" s="196">
        <v>0</v>
      </c>
      <c r="G10154" s="196">
        <v>-963000</v>
      </c>
    </row>
    <row r="10155" spans="1:7" x14ac:dyDescent="0.3">
      <c r="A10155" s="198">
        <v>1020404630</v>
      </c>
      <c r="B10155" s="192" t="s">
        <v>6295</v>
      </c>
      <c r="C10155" s="196">
        <v>-4085000</v>
      </c>
      <c r="D10155" s="196">
        <v>0</v>
      </c>
      <c r="E10155" s="196">
        <v>0</v>
      </c>
      <c r="F10155" s="196">
        <v>0</v>
      </c>
      <c r="G10155" s="196">
        <v>-4085000</v>
      </c>
    </row>
    <row r="10156" spans="1:7" x14ac:dyDescent="0.3">
      <c r="A10156" s="198">
        <v>1001507966</v>
      </c>
      <c r="B10156" s="192" t="s">
        <v>1589</v>
      </c>
      <c r="C10156" s="196">
        <v>0</v>
      </c>
      <c r="D10156" s="196">
        <v>0</v>
      </c>
      <c r="E10156" s="196">
        <v>963000</v>
      </c>
      <c r="F10156" s="196">
        <v>-963000</v>
      </c>
      <c r="G10156" s="196">
        <v>-963000</v>
      </c>
    </row>
    <row r="10157" spans="1:7" x14ac:dyDescent="0.3">
      <c r="A10157" s="198">
        <v>1192748408</v>
      </c>
      <c r="B10157" s="192" t="s">
        <v>6296</v>
      </c>
      <c r="C10157" s="196">
        <v>-1850000</v>
      </c>
      <c r="D10157" s="196">
        <v>0</v>
      </c>
      <c r="E10157" s="196">
        <v>0</v>
      </c>
      <c r="F10157" s="196">
        <v>0</v>
      </c>
      <c r="G10157" s="196">
        <v>-1850000</v>
      </c>
    </row>
    <row r="10158" spans="1:7" x14ac:dyDescent="0.3">
      <c r="A10158" s="198">
        <v>43688362</v>
      </c>
      <c r="B10158" s="192" t="s">
        <v>7152</v>
      </c>
      <c r="C10158" s="196">
        <v>-963000</v>
      </c>
      <c r="D10158" s="196">
        <v>0</v>
      </c>
      <c r="E10158" s="196">
        <v>0</v>
      </c>
      <c r="F10158" s="196">
        <v>0</v>
      </c>
      <c r="G10158" s="196">
        <v>-963000</v>
      </c>
    </row>
    <row r="10159" spans="1:7" x14ac:dyDescent="0.3">
      <c r="A10159" s="198">
        <v>1017153165</v>
      </c>
      <c r="B10159" s="192" t="s">
        <v>6297</v>
      </c>
      <c r="C10159" s="196">
        <v>-2210000</v>
      </c>
      <c r="D10159" s="196">
        <v>0</v>
      </c>
      <c r="E10159" s="196">
        <v>0</v>
      </c>
      <c r="F10159" s="196">
        <v>0</v>
      </c>
      <c r="G10159" s="196">
        <v>-2210000</v>
      </c>
    </row>
    <row r="10160" spans="1:7" x14ac:dyDescent="0.3">
      <c r="A10160" s="198">
        <v>1128400877</v>
      </c>
      <c r="B10160" s="192" t="s">
        <v>1591</v>
      </c>
      <c r="C10160" s="196">
        <v>0</v>
      </c>
      <c r="D10160" s="196">
        <v>0</v>
      </c>
      <c r="E10160" s="196">
        <v>963000</v>
      </c>
      <c r="F10160" s="196">
        <v>-963000</v>
      </c>
      <c r="G10160" s="196">
        <v>-963000</v>
      </c>
    </row>
    <row r="10161" spans="1:7" x14ac:dyDescent="0.3">
      <c r="A10161" s="198">
        <v>1044505395</v>
      </c>
      <c r="B10161" s="192" t="s">
        <v>7153</v>
      </c>
      <c r="C10161" s="196">
        <v>-963000</v>
      </c>
      <c r="D10161" s="196">
        <v>0</v>
      </c>
      <c r="E10161" s="196">
        <v>0</v>
      </c>
      <c r="F10161" s="196">
        <v>0</v>
      </c>
      <c r="G10161" s="196">
        <v>-963000</v>
      </c>
    </row>
    <row r="10162" spans="1:7" x14ac:dyDescent="0.3">
      <c r="A10162" s="198">
        <v>1037666529</v>
      </c>
      <c r="B10162" s="192" t="s">
        <v>6301</v>
      </c>
      <c r="C10162" s="196">
        <v>-3510000</v>
      </c>
      <c r="D10162" s="196">
        <v>0</v>
      </c>
      <c r="E10162" s="196">
        <v>0</v>
      </c>
      <c r="F10162" s="196">
        <v>0</v>
      </c>
      <c r="G10162" s="196">
        <v>-3510000</v>
      </c>
    </row>
    <row r="10163" spans="1:7" x14ac:dyDescent="0.3">
      <c r="A10163" s="198">
        <v>1020471033</v>
      </c>
      <c r="B10163" s="192" t="s">
        <v>7154</v>
      </c>
      <c r="C10163" s="196">
        <v>-963000</v>
      </c>
      <c r="D10163" s="196">
        <v>0</v>
      </c>
      <c r="E10163" s="196">
        <v>0</v>
      </c>
      <c r="F10163" s="196">
        <v>0</v>
      </c>
      <c r="G10163" s="196">
        <v>-963000</v>
      </c>
    </row>
    <row r="10164" spans="1:7" x14ac:dyDescent="0.3">
      <c r="A10164" s="198">
        <v>1152683438</v>
      </c>
      <c r="B10164" s="192" t="s">
        <v>7155</v>
      </c>
      <c r="C10164" s="196">
        <v>-963000</v>
      </c>
      <c r="D10164" s="196">
        <v>0</v>
      </c>
      <c r="E10164" s="196">
        <v>0</v>
      </c>
      <c r="F10164" s="196">
        <v>0</v>
      </c>
      <c r="G10164" s="196">
        <v>-963000</v>
      </c>
    </row>
    <row r="10165" spans="1:7" x14ac:dyDescent="0.3">
      <c r="A10165" s="198">
        <v>5920014</v>
      </c>
      <c r="B10165" s="192" t="s">
        <v>7156</v>
      </c>
      <c r="C10165" s="196">
        <v>-860000</v>
      </c>
      <c r="D10165" s="196">
        <v>0</v>
      </c>
      <c r="E10165" s="196">
        <v>0</v>
      </c>
      <c r="F10165" s="196">
        <v>0</v>
      </c>
      <c r="G10165" s="196">
        <v>-860000</v>
      </c>
    </row>
    <row r="10166" spans="1:7" x14ac:dyDescent="0.3">
      <c r="A10166" s="198">
        <v>1007757399</v>
      </c>
      <c r="B10166" s="192" t="s">
        <v>7157</v>
      </c>
      <c r="C10166" s="196">
        <v>-860000</v>
      </c>
      <c r="D10166" s="196">
        <v>0</v>
      </c>
      <c r="E10166" s="196">
        <v>0</v>
      </c>
      <c r="F10166" s="196">
        <v>0</v>
      </c>
      <c r="G10166" s="196">
        <v>-860000</v>
      </c>
    </row>
    <row r="10167" spans="1:7" x14ac:dyDescent="0.3">
      <c r="A10167" s="198">
        <v>1036641290</v>
      </c>
      <c r="B10167" s="192" t="s">
        <v>7158</v>
      </c>
      <c r="C10167" s="196">
        <v>-963000</v>
      </c>
      <c r="D10167" s="196">
        <v>0</v>
      </c>
      <c r="E10167" s="196">
        <v>0</v>
      </c>
      <c r="F10167" s="196">
        <v>0</v>
      </c>
      <c r="G10167" s="196">
        <v>-963000</v>
      </c>
    </row>
    <row r="10168" spans="1:7" x14ac:dyDescent="0.3">
      <c r="A10168" s="198">
        <v>1122415207</v>
      </c>
      <c r="B10168" s="192" t="s">
        <v>1596</v>
      </c>
      <c r="C10168" s="196">
        <v>0</v>
      </c>
      <c r="D10168" s="196">
        <v>0</v>
      </c>
      <c r="E10168" s="196">
        <v>963000</v>
      </c>
      <c r="F10168" s="196">
        <v>-963000</v>
      </c>
      <c r="G10168" s="196">
        <v>-963000</v>
      </c>
    </row>
    <row r="10169" spans="1:7" x14ac:dyDescent="0.3">
      <c r="A10169" s="198">
        <v>79899233</v>
      </c>
      <c r="B10169" s="192" t="s">
        <v>6307</v>
      </c>
      <c r="C10169" s="196">
        <v>-3986000</v>
      </c>
      <c r="D10169" s="196">
        <v>0</v>
      </c>
      <c r="E10169" s="196">
        <v>0</v>
      </c>
      <c r="F10169" s="196">
        <v>0</v>
      </c>
      <c r="G10169" s="196">
        <v>-3986000</v>
      </c>
    </row>
    <row r="10170" spans="1:7" x14ac:dyDescent="0.3">
      <c r="A10170" s="198">
        <v>1035127364</v>
      </c>
      <c r="B10170" s="192" t="s">
        <v>7159</v>
      </c>
      <c r="C10170" s="196">
        <v>-963000</v>
      </c>
      <c r="D10170" s="196">
        <v>0</v>
      </c>
      <c r="E10170" s="196">
        <v>0</v>
      </c>
      <c r="F10170" s="196">
        <v>0</v>
      </c>
      <c r="G10170" s="196">
        <v>-963000</v>
      </c>
    </row>
    <row r="10171" spans="1:7" x14ac:dyDescent="0.3">
      <c r="A10171" s="198">
        <v>1001605174</v>
      </c>
      <c r="B10171" s="192" t="s">
        <v>1600</v>
      </c>
      <c r="C10171" s="196">
        <v>0</v>
      </c>
      <c r="D10171" s="196">
        <v>0</v>
      </c>
      <c r="E10171" s="196">
        <v>963000</v>
      </c>
      <c r="F10171" s="196">
        <v>-963000</v>
      </c>
      <c r="G10171" s="196">
        <v>-963000</v>
      </c>
    </row>
    <row r="10172" spans="1:7" x14ac:dyDescent="0.3">
      <c r="A10172" s="198">
        <v>1214726545</v>
      </c>
      <c r="B10172" s="192" t="s">
        <v>1601</v>
      </c>
      <c r="C10172" s="196">
        <v>0</v>
      </c>
      <c r="D10172" s="196">
        <v>0</v>
      </c>
      <c r="E10172" s="196">
        <v>963000</v>
      </c>
      <c r="F10172" s="196">
        <v>-963000</v>
      </c>
      <c r="G10172" s="196">
        <v>-963000</v>
      </c>
    </row>
    <row r="10173" spans="1:7" x14ac:dyDescent="0.3">
      <c r="A10173" s="198">
        <v>1020475253</v>
      </c>
      <c r="B10173" s="192" t="s">
        <v>7160</v>
      </c>
      <c r="C10173" s="196">
        <v>-963000</v>
      </c>
      <c r="D10173" s="196">
        <v>0</v>
      </c>
      <c r="E10173" s="196">
        <v>0</v>
      </c>
      <c r="F10173" s="196">
        <v>0</v>
      </c>
      <c r="G10173" s="196">
        <v>-963000</v>
      </c>
    </row>
    <row r="10174" spans="1:7" x14ac:dyDescent="0.3">
      <c r="A10174" s="198">
        <v>1039886212</v>
      </c>
      <c r="B10174" s="192" t="s">
        <v>7161</v>
      </c>
      <c r="C10174" s="196">
        <v>-963000</v>
      </c>
      <c r="D10174" s="196">
        <v>0</v>
      </c>
      <c r="E10174" s="196">
        <v>0</v>
      </c>
      <c r="F10174" s="196">
        <v>0</v>
      </c>
      <c r="G10174" s="196">
        <v>-963000</v>
      </c>
    </row>
    <row r="10175" spans="1:7" x14ac:dyDescent="0.3">
      <c r="A10175" s="198">
        <v>1001510696</v>
      </c>
      <c r="B10175" s="192" t="s">
        <v>2062</v>
      </c>
      <c r="C10175" s="196">
        <v>-500000</v>
      </c>
      <c r="D10175" s="196">
        <v>0</v>
      </c>
      <c r="E10175" s="196">
        <v>0</v>
      </c>
      <c r="F10175" s="196">
        <v>0</v>
      </c>
      <c r="G10175" s="196">
        <v>-500000</v>
      </c>
    </row>
    <row r="10176" spans="1:7" x14ac:dyDescent="0.3">
      <c r="A10176" s="198">
        <v>1037646932</v>
      </c>
      <c r="B10176" s="192" t="s">
        <v>1605</v>
      </c>
      <c r="C10176" s="196">
        <v>0</v>
      </c>
      <c r="D10176" s="196">
        <v>0</v>
      </c>
      <c r="E10176" s="196">
        <v>963000</v>
      </c>
      <c r="F10176" s="196">
        <v>-963000</v>
      </c>
      <c r="G10176" s="196">
        <v>-963000</v>
      </c>
    </row>
    <row r="10177" spans="1:7" x14ac:dyDescent="0.3">
      <c r="A10177" s="198">
        <v>1128275157</v>
      </c>
      <c r="B10177" s="192" t="s">
        <v>7162</v>
      </c>
      <c r="C10177" s="196">
        <v>-963000</v>
      </c>
      <c r="D10177" s="196">
        <v>0</v>
      </c>
      <c r="E10177" s="196">
        <v>0</v>
      </c>
      <c r="F10177" s="196">
        <v>0</v>
      </c>
      <c r="G10177" s="196">
        <v>-963000</v>
      </c>
    </row>
    <row r="10178" spans="1:7" x14ac:dyDescent="0.3">
      <c r="A10178" s="198">
        <v>1061796895</v>
      </c>
      <c r="B10178" s="192" t="s">
        <v>1606</v>
      </c>
      <c r="C10178" s="196">
        <v>0</v>
      </c>
      <c r="D10178" s="196">
        <v>0</v>
      </c>
      <c r="E10178" s="196">
        <v>963000</v>
      </c>
      <c r="F10178" s="196">
        <v>-963000</v>
      </c>
      <c r="G10178" s="196">
        <v>-963000</v>
      </c>
    </row>
    <row r="10179" spans="1:7" x14ac:dyDescent="0.3">
      <c r="A10179" s="198">
        <v>32728706</v>
      </c>
      <c r="B10179" s="192" t="s">
        <v>7163</v>
      </c>
      <c r="C10179" s="196">
        <v>-1733400</v>
      </c>
      <c r="D10179" s="196">
        <v>0</v>
      </c>
      <c r="E10179" s="196">
        <v>0</v>
      </c>
      <c r="F10179" s="196">
        <v>0</v>
      </c>
      <c r="G10179" s="196">
        <v>-1733400</v>
      </c>
    </row>
    <row r="10180" spans="1:7" x14ac:dyDescent="0.3">
      <c r="A10180" s="198">
        <v>1152712278</v>
      </c>
      <c r="B10180" s="192" t="s">
        <v>1607</v>
      </c>
      <c r="C10180" s="196">
        <v>0</v>
      </c>
      <c r="D10180" s="196">
        <v>0</v>
      </c>
      <c r="E10180" s="196">
        <v>963000</v>
      </c>
      <c r="F10180" s="196">
        <v>-963000</v>
      </c>
      <c r="G10180" s="196">
        <v>-963000</v>
      </c>
    </row>
    <row r="10181" spans="1:7" x14ac:dyDescent="0.3">
      <c r="A10181" s="198">
        <v>1035129844</v>
      </c>
      <c r="B10181" s="192" t="s">
        <v>7164</v>
      </c>
      <c r="C10181" s="196">
        <v>-860000</v>
      </c>
      <c r="D10181" s="196">
        <v>0</v>
      </c>
      <c r="E10181" s="196">
        <v>0</v>
      </c>
      <c r="F10181" s="196">
        <v>0</v>
      </c>
      <c r="G10181" s="196">
        <v>-860000</v>
      </c>
    </row>
    <row r="10182" spans="1:7" x14ac:dyDescent="0.3">
      <c r="A10182" s="198">
        <v>1017128020</v>
      </c>
      <c r="B10182" s="192" t="s">
        <v>7165</v>
      </c>
      <c r="C10182" s="196">
        <v>-963000</v>
      </c>
      <c r="D10182" s="196">
        <v>0</v>
      </c>
      <c r="E10182" s="196">
        <v>0</v>
      </c>
      <c r="F10182" s="196">
        <v>0</v>
      </c>
      <c r="G10182" s="196">
        <v>-963000</v>
      </c>
    </row>
    <row r="10183" spans="1:7" x14ac:dyDescent="0.3">
      <c r="A10183" s="198">
        <v>1037045197</v>
      </c>
      <c r="B10183" s="192" t="s">
        <v>7166</v>
      </c>
      <c r="C10183" s="196">
        <v>-860000</v>
      </c>
      <c r="D10183" s="196">
        <v>0</v>
      </c>
      <c r="E10183" s="196">
        <v>0</v>
      </c>
      <c r="F10183" s="196">
        <v>0</v>
      </c>
      <c r="G10183" s="196">
        <v>-860000</v>
      </c>
    </row>
    <row r="10184" spans="1:7" x14ac:dyDescent="0.3">
      <c r="A10184" s="198">
        <v>1001444495</v>
      </c>
      <c r="B10184" s="192" t="s">
        <v>7167</v>
      </c>
      <c r="C10184" s="196">
        <v>-963000</v>
      </c>
      <c r="D10184" s="196">
        <v>0</v>
      </c>
      <c r="E10184" s="196">
        <v>0</v>
      </c>
      <c r="F10184" s="196">
        <v>0</v>
      </c>
      <c r="G10184" s="196">
        <v>-963000</v>
      </c>
    </row>
    <row r="10185" spans="1:7" x14ac:dyDescent="0.3">
      <c r="A10185" s="198">
        <v>1000395341</v>
      </c>
      <c r="B10185" s="192" t="s">
        <v>7168</v>
      </c>
      <c r="C10185" s="196">
        <v>-963000</v>
      </c>
      <c r="D10185" s="196">
        <v>0</v>
      </c>
      <c r="E10185" s="196">
        <v>0</v>
      </c>
      <c r="F10185" s="196">
        <v>0</v>
      </c>
      <c r="G10185" s="196">
        <v>-963000</v>
      </c>
    </row>
    <row r="10186" spans="1:7" x14ac:dyDescent="0.3">
      <c r="A10186" s="198">
        <v>1040802702</v>
      </c>
      <c r="B10186" s="192" t="s">
        <v>7169</v>
      </c>
      <c r="C10186" s="196">
        <v>-963000</v>
      </c>
      <c r="D10186" s="196">
        <v>0</v>
      </c>
      <c r="E10186" s="196">
        <v>0</v>
      </c>
      <c r="F10186" s="196">
        <v>0</v>
      </c>
      <c r="G10186" s="196">
        <v>-963000</v>
      </c>
    </row>
    <row r="10187" spans="1:7" x14ac:dyDescent="0.3">
      <c r="A10187" s="198">
        <v>1128465112</v>
      </c>
      <c r="B10187" s="192" t="s">
        <v>7170</v>
      </c>
      <c r="C10187" s="196">
        <v>-963000</v>
      </c>
      <c r="D10187" s="196">
        <v>0</v>
      </c>
      <c r="E10187" s="196">
        <v>0</v>
      </c>
      <c r="F10187" s="196">
        <v>0</v>
      </c>
      <c r="G10187" s="196">
        <v>-963000</v>
      </c>
    </row>
    <row r="10188" spans="1:7" x14ac:dyDescent="0.3">
      <c r="A10188" s="198">
        <v>1017245598</v>
      </c>
      <c r="B10188" s="192" t="s">
        <v>6318</v>
      </c>
      <c r="C10188" s="196">
        <v>-6184000</v>
      </c>
      <c r="D10188" s="196">
        <v>0</v>
      </c>
      <c r="E10188" s="196">
        <v>0</v>
      </c>
      <c r="F10188" s="196">
        <v>0</v>
      </c>
      <c r="G10188" s="196">
        <v>-6184000</v>
      </c>
    </row>
    <row r="10189" spans="1:7" x14ac:dyDescent="0.3">
      <c r="A10189" s="198">
        <v>44003020</v>
      </c>
      <c r="B10189" s="192" t="s">
        <v>1611</v>
      </c>
      <c r="C10189" s="196">
        <v>0</v>
      </c>
      <c r="D10189" s="196">
        <v>0</v>
      </c>
      <c r="E10189" s="196">
        <v>6184000</v>
      </c>
      <c r="F10189" s="196">
        <v>-6184000</v>
      </c>
      <c r="G10189" s="196">
        <v>-6184000</v>
      </c>
    </row>
    <row r="10190" spans="1:7" x14ac:dyDescent="0.3">
      <c r="A10190" s="198">
        <v>584029661</v>
      </c>
      <c r="B10190" s="192" t="s">
        <v>6324</v>
      </c>
      <c r="C10190" s="196">
        <v>-4210000</v>
      </c>
      <c r="D10190" s="196">
        <v>0</v>
      </c>
      <c r="E10190" s="196">
        <v>0</v>
      </c>
      <c r="F10190" s="196">
        <v>0</v>
      </c>
      <c r="G10190" s="196">
        <v>-4210000</v>
      </c>
    </row>
    <row r="10191" spans="1:7" x14ac:dyDescent="0.3">
      <c r="A10191" s="198">
        <v>41651003</v>
      </c>
      <c r="B10191" s="192" t="s">
        <v>7171</v>
      </c>
      <c r="C10191" s="196">
        <v>-427673675</v>
      </c>
      <c r="D10191" s="196">
        <v>13673670</v>
      </c>
      <c r="E10191" s="196">
        <v>109489551</v>
      </c>
      <c r="F10191" s="196">
        <v>-95815881</v>
      </c>
      <c r="G10191" s="196">
        <v>-523489556</v>
      </c>
    </row>
    <row r="10192" spans="1:7" x14ac:dyDescent="0.3">
      <c r="A10192" s="198">
        <v>32408002</v>
      </c>
      <c r="B10192" s="192" t="s">
        <v>163</v>
      </c>
      <c r="C10192" s="196">
        <v>-33200</v>
      </c>
      <c r="D10192" s="196">
        <v>0</v>
      </c>
      <c r="E10192" s="196">
        <v>0</v>
      </c>
      <c r="F10192" s="196">
        <v>0</v>
      </c>
      <c r="G10192" s="196">
        <v>-33200</v>
      </c>
    </row>
    <row r="10193" spans="1:7" x14ac:dyDescent="0.3">
      <c r="A10193" s="198">
        <v>42876800</v>
      </c>
      <c r="B10193" s="192" t="s">
        <v>2480</v>
      </c>
      <c r="C10193" s="196">
        <v>-79200</v>
      </c>
      <c r="D10193" s="196">
        <v>0</v>
      </c>
      <c r="E10193" s="196">
        <v>0</v>
      </c>
      <c r="F10193" s="196">
        <v>0</v>
      </c>
      <c r="G10193" s="196">
        <v>-79200</v>
      </c>
    </row>
    <row r="10194" spans="1:7" x14ac:dyDescent="0.3">
      <c r="A10194" s="198">
        <v>15307142</v>
      </c>
      <c r="B10194" s="192" t="s">
        <v>2481</v>
      </c>
      <c r="C10194" s="196">
        <v>-121800</v>
      </c>
      <c r="D10194" s="196">
        <v>0</v>
      </c>
      <c r="E10194" s="196">
        <v>0</v>
      </c>
      <c r="F10194" s="196">
        <v>0</v>
      </c>
      <c r="G10194" s="196">
        <v>-121800</v>
      </c>
    </row>
    <row r="10195" spans="1:7" x14ac:dyDescent="0.3">
      <c r="A10195" s="198">
        <v>79462379</v>
      </c>
      <c r="B10195" s="192" t="s">
        <v>2482</v>
      </c>
      <c r="C10195" s="196">
        <v>-125200</v>
      </c>
      <c r="D10195" s="196">
        <v>0</v>
      </c>
      <c r="E10195" s="196">
        <v>0</v>
      </c>
      <c r="F10195" s="196">
        <v>0</v>
      </c>
      <c r="G10195" s="196">
        <v>-125200</v>
      </c>
    </row>
    <row r="10196" spans="1:7" x14ac:dyDescent="0.3">
      <c r="A10196" s="198">
        <v>39789207</v>
      </c>
      <c r="B10196" s="192" t="s">
        <v>164</v>
      </c>
      <c r="C10196" s="196">
        <v>0</v>
      </c>
      <c r="D10196" s="196">
        <v>0</v>
      </c>
      <c r="E10196" s="196">
        <v>258000</v>
      </c>
      <c r="F10196" s="196">
        <v>-258000</v>
      </c>
      <c r="G10196" s="196">
        <v>-258000</v>
      </c>
    </row>
    <row r="10197" spans="1:7" x14ac:dyDescent="0.3">
      <c r="A10197" s="198">
        <v>43023158</v>
      </c>
      <c r="B10197" s="192" t="s">
        <v>166</v>
      </c>
      <c r="C10197" s="196">
        <v>0</v>
      </c>
      <c r="D10197" s="196">
        <v>0</v>
      </c>
      <c r="E10197" s="196">
        <v>88000</v>
      </c>
      <c r="F10197" s="196">
        <v>-88000</v>
      </c>
      <c r="G10197" s="196">
        <v>-88000</v>
      </c>
    </row>
    <row r="10198" spans="1:7" x14ac:dyDescent="0.3">
      <c r="A10198" s="198">
        <v>43083279</v>
      </c>
      <c r="B10198" s="192" t="s">
        <v>167</v>
      </c>
      <c r="C10198" s="196">
        <v>-79200</v>
      </c>
      <c r="D10198" s="196">
        <v>0</v>
      </c>
      <c r="E10198" s="196">
        <v>33200</v>
      </c>
      <c r="F10198" s="196">
        <v>-33200</v>
      </c>
      <c r="G10198" s="196">
        <v>-112400</v>
      </c>
    </row>
    <row r="10199" spans="1:7" x14ac:dyDescent="0.3">
      <c r="A10199" s="198">
        <v>42766222</v>
      </c>
      <c r="B10199" s="192" t="s">
        <v>2495</v>
      </c>
      <c r="C10199" s="196">
        <v>-40600</v>
      </c>
      <c r="D10199" s="196">
        <v>0</v>
      </c>
      <c r="E10199" s="196">
        <v>0</v>
      </c>
      <c r="F10199" s="196">
        <v>0</v>
      </c>
      <c r="G10199" s="196">
        <v>-40600</v>
      </c>
    </row>
    <row r="10200" spans="1:7" x14ac:dyDescent="0.3">
      <c r="A10200" s="198">
        <v>43507408</v>
      </c>
      <c r="B10200" s="192" t="s">
        <v>2496</v>
      </c>
      <c r="C10200" s="196">
        <v>-84300</v>
      </c>
      <c r="D10200" s="196">
        <v>0</v>
      </c>
      <c r="E10200" s="196">
        <v>0</v>
      </c>
      <c r="F10200" s="196">
        <v>0</v>
      </c>
      <c r="G10200" s="196">
        <v>-84300</v>
      </c>
    </row>
    <row r="10201" spans="1:7" x14ac:dyDescent="0.3">
      <c r="A10201" s="198">
        <v>43729448</v>
      </c>
      <c r="B10201" s="192" t="s">
        <v>170</v>
      </c>
      <c r="C10201" s="196">
        <v>0</v>
      </c>
      <c r="D10201" s="196">
        <v>0</v>
      </c>
      <c r="E10201" s="196">
        <v>46000</v>
      </c>
      <c r="F10201" s="196">
        <v>-46000</v>
      </c>
      <c r="G10201" s="196">
        <v>-46000</v>
      </c>
    </row>
    <row r="10202" spans="1:7" x14ac:dyDescent="0.3">
      <c r="A10202" s="198">
        <v>66904389</v>
      </c>
      <c r="B10202" s="192" t="s">
        <v>2498</v>
      </c>
      <c r="C10202" s="196">
        <v>-45700</v>
      </c>
      <c r="D10202" s="196">
        <v>0</v>
      </c>
      <c r="E10202" s="196">
        <v>0</v>
      </c>
      <c r="F10202" s="196">
        <v>0</v>
      </c>
      <c r="G10202" s="196">
        <v>-45700</v>
      </c>
    </row>
    <row r="10203" spans="1:7" x14ac:dyDescent="0.3">
      <c r="A10203" s="198">
        <v>43490210</v>
      </c>
      <c r="B10203" s="192" t="s">
        <v>2499</v>
      </c>
      <c r="C10203" s="196">
        <v>-96000</v>
      </c>
      <c r="D10203" s="196">
        <v>0</v>
      </c>
      <c r="E10203" s="196">
        <v>0</v>
      </c>
      <c r="F10203" s="196">
        <v>0</v>
      </c>
      <c r="G10203" s="196">
        <v>-96000</v>
      </c>
    </row>
    <row r="10204" spans="1:7" x14ac:dyDescent="0.3">
      <c r="A10204" s="198">
        <v>43532661</v>
      </c>
      <c r="B10204" s="192" t="s">
        <v>175</v>
      </c>
      <c r="C10204" s="196">
        <v>-436200</v>
      </c>
      <c r="D10204" s="196">
        <v>0</v>
      </c>
      <c r="E10204" s="196">
        <v>0</v>
      </c>
      <c r="F10204" s="196">
        <v>0</v>
      </c>
      <c r="G10204" s="196">
        <v>-436200</v>
      </c>
    </row>
    <row r="10205" spans="1:7" x14ac:dyDescent="0.3">
      <c r="A10205" s="198">
        <v>43553970</v>
      </c>
      <c r="B10205" s="192" t="s">
        <v>7172</v>
      </c>
      <c r="C10205" s="196">
        <v>-79300</v>
      </c>
      <c r="D10205" s="196">
        <v>0</v>
      </c>
      <c r="E10205" s="196">
        <v>0</v>
      </c>
      <c r="F10205" s="196">
        <v>0</v>
      </c>
      <c r="G10205" s="196">
        <v>-79300</v>
      </c>
    </row>
    <row r="10206" spans="1:7" x14ac:dyDescent="0.3">
      <c r="A10206" s="198">
        <v>43904849</v>
      </c>
      <c r="B10206" s="192" t="s">
        <v>2501</v>
      </c>
      <c r="C10206" s="196">
        <v>-32000</v>
      </c>
      <c r="D10206" s="196">
        <v>0</v>
      </c>
      <c r="E10206" s="196">
        <v>0</v>
      </c>
      <c r="F10206" s="196">
        <v>0</v>
      </c>
      <c r="G10206" s="196">
        <v>-32000</v>
      </c>
    </row>
    <row r="10207" spans="1:7" x14ac:dyDescent="0.3">
      <c r="A10207" s="198">
        <v>43720751</v>
      </c>
      <c r="B10207" s="192" t="s">
        <v>2502</v>
      </c>
      <c r="C10207" s="196">
        <v>-46100</v>
      </c>
      <c r="D10207" s="196">
        <v>0</v>
      </c>
      <c r="E10207" s="196">
        <v>0</v>
      </c>
      <c r="F10207" s="196">
        <v>0</v>
      </c>
      <c r="G10207" s="196">
        <v>-46100</v>
      </c>
    </row>
    <row r="10208" spans="1:7" x14ac:dyDescent="0.3">
      <c r="A10208" s="198">
        <v>900983931</v>
      </c>
      <c r="B10208" s="192" t="s">
        <v>1684</v>
      </c>
      <c r="C10208" s="196">
        <v>-115000</v>
      </c>
      <c r="D10208" s="196">
        <v>0</v>
      </c>
      <c r="E10208" s="196">
        <v>0</v>
      </c>
      <c r="F10208" s="196">
        <v>0</v>
      </c>
      <c r="G10208" s="196">
        <v>-115000</v>
      </c>
    </row>
    <row r="10209" spans="1:7" x14ac:dyDescent="0.3">
      <c r="A10209" s="198">
        <v>42731208</v>
      </c>
      <c r="B10209" s="192" t="s">
        <v>2538</v>
      </c>
      <c r="C10209" s="196">
        <v>-255000</v>
      </c>
      <c r="D10209" s="196">
        <v>0</v>
      </c>
      <c r="E10209" s="196">
        <v>0</v>
      </c>
      <c r="F10209" s="196">
        <v>0</v>
      </c>
      <c r="G10209" s="196">
        <v>-255000</v>
      </c>
    </row>
    <row r="10210" spans="1:7" x14ac:dyDescent="0.3">
      <c r="A10210" s="198">
        <v>43002772</v>
      </c>
      <c r="B10210" s="192" t="s">
        <v>193</v>
      </c>
      <c r="C10210" s="196">
        <v>-112400</v>
      </c>
      <c r="D10210" s="196">
        <v>0</v>
      </c>
      <c r="E10210" s="196">
        <v>0</v>
      </c>
      <c r="F10210" s="196">
        <v>0</v>
      </c>
      <c r="G10210" s="196">
        <v>-112400</v>
      </c>
    </row>
    <row r="10211" spans="1:7" x14ac:dyDescent="0.3">
      <c r="A10211" s="198">
        <v>98654155</v>
      </c>
      <c r="B10211" s="192" t="s">
        <v>195</v>
      </c>
      <c r="C10211" s="196">
        <v>0</v>
      </c>
      <c r="D10211" s="196">
        <v>0</v>
      </c>
      <c r="E10211" s="196">
        <v>258000</v>
      </c>
      <c r="F10211" s="196">
        <v>-258000</v>
      </c>
      <c r="G10211" s="196">
        <v>-258000</v>
      </c>
    </row>
    <row r="10212" spans="1:7" x14ac:dyDescent="0.3">
      <c r="A10212" s="198">
        <v>240155</v>
      </c>
      <c r="B10212" s="192" t="s">
        <v>2550</v>
      </c>
      <c r="C10212" s="196">
        <v>-92000</v>
      </c>
      <c r="D10212" s="196">
        <v>0</v>
      </c>
      <c r="E10212" s="196">
        <v>0</v>
      </c>
      <c r="F10212" s="196">
        <v>0</v>
      </c>
      <c r="G10212" s="196">
        <v>-92000</v>
      </c>
    </row>
    <row r="10213" spans="1:7" x14ac:dyDescent="0.3">
      <c r="A10213" s="198">
        <v>669147319</v>
      </c>
      <c r="B10213" s="192" t="s">
        <v>7173</v>
      </c>
      <c r="C10213" s="196">
        <v>-357000</v>
      </c>
      <c r="D10213" s="196">
        <v>0</v>
      </c>
      <c r="E10213" s="196">
        <v>0</v>
      </c>
      <c r="F10213" s="196">
        <v>0</v>
      </c>
      <c r="G10213" s="196">
        <v>-357000</v>
      </c>
    </row>
    <row r="10214" spans="1:7" x14ac:dyDescent="0.3">
      <c r="A10214" s="198">
        <v>43111273</v>
      </c>
      <c r="B10214" s="192" t="s">
        <v>6337</v>
      </c>
      <c r="C10214" s="196">
        <v>-167000</v>
      </c>
      <c r="D10214" s="196">
        <v>0</v>
      </c>
      <c r="E10214" s="196">
        <v>0</v>
      </c>
      <c r="F10214" s="196">
        <v>0</v>
      </c>
      <c r="G10214" s="196">
        <v>-167000</v>
      </c>
    </row>
    <row r="10215" spans="1:7" x14ac:dyDescent="0.3">
      <c r="A10215" s="198">
        <v>1193128291</v>
      </c>
      <c r="B10215" s="192" t="s">
        <v>7174</v>
      </c>
      <c r="C10215" s="196">
        <v>-150000</v>
      </c>
      <c r="D10215" s="196">
        <v>0</v>
      </c>
      <c r="E10215" s="196">
        <v>0</v>
      </c>
      <c r="F10215" s="196">
        <v>0</v>
      </c>
      <c r="G10215" s="196">
        <v>-150000</v>
      </c>
    </row>
    <row r="10216" spans="1:7" x14ac:dyDescent="0.3">
      <c r="A10216" s="198">
        <v>142038600</v>
      </c>
      <c r="B10216" s="192" t="s">
        <v>6338</v>
      </c>
      <c r="C10216" s="196">
        <v>-285600</v>
      </c>
      <c r="D10216" s="196">
        <v>0</v>
      </c>
      <c r="E10216" s="196">
        <v>0</v>
      </c>
      <c r="F10216" s="196">
        <v>0</v>
      </c>
      <c r="G10216" s="196">
        <v>-285600</v>
      </c>
    </row>
    <row r="10217" spans="1:7" x14ac:dyDescent="0.3">
      <c r="A10217" s="198">
        <v>43759008</v>
      </c>
      <c r="B10217" s="192" t="s">
        <v>2561</v>
      </c>
      <c r="C10217" s="196">
        <v>-258000</v>
      </c>
      <c r="D10217" s="196">
        <v>0</v>
      </c>
      <c r="E10217" s="196">
        <v>0</v>
      </c>
      <c r="F10217" s="196">
        <v>0</v>
      </c>
      <c r="G10217" s="196">
        <v>-258000</v>
      </c>
    </row>
    <row r="10218" spans="1:7" x14ac:dyDescent="0.3">
      <c r="A10218" s="198">
        <v>43864772</v>
      </c>
      <c r="B10218" s="192" t="s">
        <v>2562</v>
      </c>
      <c r="C10218" s="196">
        <v>-305500</v>
      </c>
      <c r="D10218" s="196">
        <v>0</v>
      </c>
      <c r="E10218" s="196">
        <v>0</v>
      </c>
      <c r="F10218" s="196">
        <v>0</v>
      </c>
      <c r="G10218" s="196">
        <v>-305500</v>
      </c>
    </row>
    <row r="10219" spans="1:7" x14ac:dyDescent="0.3">
      <c r="A10219" s="198">
        <v>8433956</v>
      </c>
      <c r="B10219" s="192" t="s">
        <v>2570</v>
      </c>
      <c r="C10219" s="196">
        <v>-73800</v>
      </c>
      <c r="D10219" s="196">
        <v>0</v>
      </c>
      <c r="E10219" s="196">
        <v>0</v>
      </c>
      <c r="F10219" s="196">
        <v>0</v>
      </c>
      <c r="G10219" s="196">
        <v>-73800</v>
      </c>
    </row>
    <row r="10220" spans="1:7" x14ac:dyDescent="0.3">
      <c r="A10220" s="198">
        <v>91236049</v>
      </c>
      <c r="B10220" s="192" t="s">
        <v>200</v>
      </c>
      <c r="C10220" s="196">
        <v>-79200</v>
      </c>
      <c r="D10220" s="196">
        <v>0</v>
      </c>
      <c r="E10220" s="196">
        <v>0</v>
      </c>
      <c r="F10220" s="196">
        <v>0</v>
      </c>
      <c r="G10220" s="196">
        <v>-79200</v>
      </c>
    </row>
    <row r="10221" spans="1:7" x14ac:dyDescent="0.3">
      <c r="A10221" s="198">
        <v>80412226</v>
      </c>
      <c r="B10221" s="192" t="s">
        <v>201</v>
      </c>
      <c r="C10221" s="196">
        <v>0</v>
      </c>
      <c r="D10221" s="196">
        <v>0</v>
      </c>
      <c r="E10221" s="196">
        <v>347000</v>
      </c>
      <c r="F10221" s="196">
        <v>-347000</v>
      </c>
      <c r="G10221" s="196">
        <v>-347000</v>
      </c>
    </row>
    <row r="10222" spans="1:7" x14ac:dyDescent="0.3">
      <c r="A10222" s="198">
        <v>1023547667</v>
      </c>
      <c r="B10222" s="192" t="s">
        <v>2573</v>
      </c>
      <c r="C10222" s="196">
        <v>-84300</v>
      </c>
      <c r="D10222" s="196">
        <v>0</v>
      </c>
      <c r="E10222" s="196">
        <v>0</v>
      </c>
      <c r="F10222" s="196">
        <v>0</v>
      </c>
      <c r="G10222" s="196">
        <v>-84300</v>
      </c>
    </row>
    <row r="10223" spans="1:7" x14ac:dyDescent="0.3">
      <c r="A10223" s="198">
        <v>1128389783</v>
      </c>
      <c r="B10223" s="192" t="s">
        <v>2574</v>
      </c>
      <c r="C10223" s="196">
        <v>-190000</v>
      </c>
      <c r="D10223" s="196">
        <v>0</v>
      </c>
      <c r="E10223" s="196">
        <v>0</v>
      </c>
      <c r="F10223" s="196">
        <v>0</v>
      </c>
      <c r="G10223" s="196">
        <v>-190000</v>
      </c>
    </row>
    <row r="10224" spans="1:7" x14ac:dyDescent="0.3">
      <c r="A10224" s="198">
        <v>1001764275</v>
      </c>
      <c r="B10224" s="192" t="s">
        <v>2575</v>
      </c>
      <c r="C10224" s="196">
        <v>-315000</v>
      </c>
      <c r="D10224" s="196">
        <v>0</v>
      </c>
      <c r="E10224" s="196">
        <v>0</v>
      </c>
      <c r="F10224" s="196">
        <v>0</v>
      </c>
      <c r="G10224" s="196">
        <v>-315000</v>
      </c>
    </row>
    <row r="10225" spans="1:7" x14ac:dyDescent="0.3">
      <c r="A10225" s="198">
        <v>1036927643</v>
      </c>
      <c r="B10225" s="192" t="s">
        <v>203</v>
      </c>
      <c r="C10225" s="196">
        <v>0</v>
      </c>
      <c r="D10225" s="196">
        <v>0</v>
      </c>
      <c r="E10225" s="196">
        <v>79200</v>
      </c>
      <c r="F10225" s="196">
        <v>-79200</v>
      </c>
      <c r="G10225" s="196">
        <v>-79200</v>
      </c>
    </row>
    <row r="10226" spans="1:7" x14ac:dyDescent="0.3">
      <c r="A10226" s="198">
        <v>8162486</v>
      </c>
      <c r="B10226" s="192" t="s">
        <v>2578</v>
      </c>
      <c r="C10226" s="196">
        <v>-46000</v>
      </c>
      <c r="D10226" s="196">
        <v>0</v>
      </c>
      <c r="E10226" s="196">
        <v>0</v>
      </c>
      <c r="F10226" s="196">
        <v>0</v>
      </c>
      <c r="G10226" s="196">
        <v>-46000</v>
      </c>
    </row>
    <row r="10227" spans="1:7" x14ac:dyDescent="0.3">
      <c r="A10227" s="198">
        <v>1152692330</v>
      </c>
      <c r="B10227" s="192" t="s">
        <v>2579</v>
      </c>
      <c r="C10227" s="196">
        <v>-125200</v>
      </c>
      <c r="D10227" s="196">
        <v>0</v>
      </c>
      <c r="E10227" s="196">
        <v>0</v>
      </c>
      <c r="F10227" s="196">
        <v>0</v>
      </c>
      <c r="G10227" s="196">
        <v>-125200</v>
      </c>
    </row>
    <row r="10228" spans="1:7" x14ac:dyDescent="0.3">
      <c r="A10228" s="198">
        <v>585241528</v>
      </c>
      <c r="B10228" s="192" t="s">
        <v>2580</v>
      </c>
      <c r="C10228" s="196">
        <v>-449000</v>
      </c>
      <c r="D10228" s="196">
        <v>0</v>
      </c>
      <c r="E10228" s="196">
        <v>0</v>
      </c>
      <c r="F10228" s="196">
        <v>0</v>
      </c>
      <c r="G10228" s="196">
        <v>-449000</v>
      </c>
    </row>
    <row r="10229" spans="1:7" x14ac:dyDescent="0.3">
      <c r="A10229" s="198">
        <v>16857164</v>
      </c>
      <c r="B10229" s="192" t="s">
        <v>207</v>
      </c>
      <c r="C10229" s="196">
        <v>0</v>
      </c>
      <c r="D10229" s="196">
        <v>0</v>
      </c>
      <c r="E10229" s="196">
        <v>33200</v>
      </c>
      <c r="F10229" s="196">
        <v>-33200</v>
      </c>
      <c r="G10229" s="196">
        <v>-33200</v>
      </c>
    </row>
    <row r="10230" spans="1:7" x14ac:dyDescent="0.3">
      <c r="A10230" s="198">
        <v>1143399563</v>
      </c>
      <c r="B10230" s="192" t="s">
        <v>208</v>
      </c>
      <c r="C10230" s="196">
        <v>-1</v>
      </c>
      <c r="D10230" s="196">
        <v>0</v>
      </c>
      <c r="E10230" s="196">
        <v>0</v>
      </c>
      <c r="F10230" s="196">
        <v>0</v>
      </c>
      <c r="G10230" s="196">
        <v>-1</v>
      </c>
    </row>
    <row r="10231" spans="1:7" x14ac:dyDescent="0.3">
      <c r="A10231" s="198">
        <v>1017214277</v>
      </c>
      <c r="B10231" s="192" t="s">
        <v>2584</v>
      </c>
      <c r="C10231" s="196">
        <v>-87800</v>
      </c>
      <c r="D10231" s="196">
        <v>0</v>
      </c>
      <c r="E10231" s="196">
        <v>0</v>
      </c>
      <c r="F10231" s="196">
        <v>0</v>
      </c>
      <c r="G10231" s="196">
        <v>-87800</v>
      </c>
    </row>
    <row r="10232" spans="1:7" x14ac:dyDescent="0.3">
      <c r="A10232" s="198">
        <v>1025881186</v>
      </c>
      <c r="B10232" s="192" t="s">
        <v>209</v>
      </c>
      <c r="C10232" s="196">
        <v>-84300</v>
      </c>
      <c r="D10232" s="196">
        <v>0</v>
      </c>
      <c r="E10232" s="196">
        <v>0</v>
      </c>
      <c r="F10232" s="196">
        <v>0</v>
      </c>
      <c r="G10232" s="196">
        <v>-84300</v>
      </c>
    </row>
    <row r="10233" spans="1:7" x14ac:dyDescent="0.3">
      <c r="A10233" s="198">
        <v>71290081</v>
      </c>
      <c r="B10233" s="192" t="s">
        <v>2589</v>
      </c>
      <c r="C10233" s="196">
        <v>-405600</v>
      </c>
      <c r="D10233" s="196">
        <v>0</v>
      </c>
      <c r="E10233" s="196">
        <v>0</v>
      </c>
      <c r="F10233" s="196">
        <v>0</v>
      </c>
      <c r="G10233" s="196">
        <v>-405600</v>
      </c>
    </row>
    <row r="10234" spans="1:7" x14ac:dyDescent="0.3">
      <c r="A10234" s="198">
        <v>71773603</v>
      </c>
      <c r="B10234" s="192" t="s">
        <v>7175</v>
      </c>
      <c r="C10234" s="196">
        <v>-92000</v>
      </c>
      <c r="D10234" s="196">
        <v>0</v>
      </c>
      <c r="E10234" s="196">
        <v>0</v>
      </c>
      <c r="F10234" s="196">
        <v>0</v>
      </c>
      <c r="G10234" s="196">
        <v>-92000</v>
      </c>
    </row>
    <row r="10235" spans="1:7" x14ac:dyDescent="0.3">
      <c r="A10235" s="198">
        <v>71332072</v>
      </c>
      <c r="B10235" s="192" t="s">
        <v>2596</v>
      </c>
      <c r="C10235" s="196">
        <v>-79200</v>
      </c>
      <c r="D10235" s="196">
        <v>0</v>
      </c>
      <c r="E10235" s="196">
        <v>0</v>
      </c>
      <c r="F10235" s="196">
        <v>0</v>
      </c>
      <c r="G10235" s="196">
        <v>-79200</v>
      </c>
    </row>
    <row r="10236" spans="1:7" x14ac:dyDescent="0.3">
      <c r="A10236" s="198">
        <v>43873215</v>
      </c>
      <c r="B10236" s="192" t="s">
        <v>213</v>
      </c>
      <c r="C10236" s="196">
        <v>-79300</v>
      </c>
      <c r="D10236" s="196">
        <v>0</v>
      </c>
      <c r="E10236" s="196">
        <v>0</v>
      </c>
      <c r="F10236" s="196">
        <v>0</v>
      </c>
      <c r="G10236" s="196">
        <v>-79300</v>
      </c>
    </row>
    <row r="10237" spans="1:7" x14ac:dyDescent="0.3">
      <c r="A10237" s="198">
        <v>43729051</v>
      </c>
      <c r="B10237" s="192" t="s">
        <v>7176</v>
      </c>
      <c r="C10237" s="196">
        <v>-79200</v>
      </c>
      <c r="D10237" s="196">
        <v>0</v>
      </c>
      <c r="E10237" s="196">
        <v>0</v>
      </c>
      <c r="F10237" s="196">
        <v>0</v>
      </c>
      <c r="G10237" s="196">
        <v>-79200</v>
      </c>
    </row>
    <row r="10238" spans="1:7" x14ac:dyDescent="0.3">
      <c r="A10238" s="198">
        <v>43686730</v>
      </c>
      <c r="B10238" s="192" t="s">
        <v>2600</v>
      </c>
      <c r="C10238" s="196">
        <v>-33200</v>
      </c>
      <c r="D10238" s="196">
        <v>0</v>
      </c>
      <c r="E10238" s="196">
        <v>0</v>
      </c>
      <c r="F10238" s="196">
        <v>0</v>
      </c>
      <c r="G10238" s="196">
        <v>-33200</v>
      </c>
    </row>
    <row r="10239" spans="1:7" x14ac:dyDescent="0.3">
      <c r="A10239" s="198">
        <v>39282142</v>
      </c>
      <c r="B10239" s="192" t="s">
        <v>216</v>
      </c>
      <c r="C10239" s="196">
        <v>-183000</v>
      </c>
      <c r="D10239" s="196">
        <v>0</v>
      </c>
      <c r="E10239" s="196">
        <v>0</v>
      </c>
      <c r="F10239" s="196">
        <v>0</v>
      </c>
      <c r="G10239" s="196">
        <v>-183000</v>
      </c>
    </row>
    <row r="10240" spans="1:7" x14ac:dyDescent="0.3">
      <c r="A10240" s="198">
        <v>3524565</v>
      </c>
      <c r="B10240" s="192" t="s">
        <v>6347</v>
      </c>
      <c r="C10240" s="196">
        <v>-205000</v>
      </c>
      <c r="D10240" s="196">
        <v>0</v>
      </c>
      <c r="E10240" s="196">
        <v>0</v>
      </c>
      <c r="F10240" s="196">
        <v>0</v>
      </c>
      <c r="G10240" s="196">
        <v>-205000</v>
      </c>
    </row>
    <row r="10241" spans="1:7" x14ac:dyDescent="0.3">
      <c r="A10241" s="198">
        <v>22085624</v>
      </c>
      <c r="B10241" s="192" t="s">
        <v>2605</v>
      </c>
      <c r="C10241" s="196">
        <v>-40000</v>
      </c>
      <c r="D10241" s="196">
        <v>0</v>
      </c>
      <c r="E10241" s="196">
        <v>0</v>
      </c>
      <c r="F10241" s="196">
        <v>0</v>
      </c>
      <c r="G10241" s="196">
        <v>-40000</v>
      </c>
    </row>
    <row r="10242" spans="1:7" x14ac:dyDescent="0.3">
      <c r="A10242" s="198">
        <v>860027404</v>
      </c>
      <c r="B10242" s="192" t="s">
        <v>228</v>
      </c>
      <c r="C10242" s="196">
        <v>-6869196</v>
      </c>
      <c r="D10242" s="196">
        <v>350470</v>
      </c>
      <c r="E10242" s="196">
        <v>1927692</v>
      </c>
      <c r="F10242" s="196">
        <v>-1577222</v>
      </c>
      <c r="G10242" s="196">
        <v>-8446418</v>
      </c>
    </row>
    <row r="10243" spans="1:7" x14ac:dyDescent="0.3">
      <c r="A10243" s="198">
        <v>19374400</v>
      </c>
      <c r="B10243" s="192" t="s">
        <v>2623</v>
      </c>
      <c r="C10243" s="196">
        <v>-80000</v>
      </c>
      <c r="D10243" s="196">
        <v>0</v>
      </c>
      <c r="E10243" s="196">
        <v>0</v>
      </c>
      <c r="F10243" s="196">
        <v>0</v>
      </c>
      <c r="G10243" s="196">
        <v>-80000</v>
      </c>
    </row>
    <row r="10244" spans="1:7" x14ac:dyDescent="0.3">
      <c r="A10244" s="198">
        <v>71626370</v>
      </c>
      <c r="B10244" s="192" t="s">
        <v>232</v>
      </c>
      <c r="C10244" s="196">
        <v>-49000</v>
      </c>
      <c r="D10244" s="196">
        <v>0</v>
      </c>
      <c r="E10244" s="196">
        <v>0</v>
      </c>
      <c r="F10244" s="196">
        <v>0</v>
      </c>
      <c r="G10244" s="196">
        <v>-49000</v>
      </c>
    </row>
    <row r="10245" spans="1:7" x14ac:dyDescent="0.3">
      <c r="A10245" s="198">
        <v>98630588</v>
      </c>
      <c r="B10245" s="192" t="s">
        <v>2625</v>
      </c>
      <c r="C10245" s="196">
        <v>-124300</v>
      </c>
      <c r="D10245" s="196">
        <v>0</v>
      </c>
      <c r="E10245" s="196">
        <v>0</v>
      </c>
      <c r="F10245" s="196">
        <v>0</v>
      </c>
      <c r="G10245" s="196">
        <v>-124300</v>
      </c>
    </row>
    <row r="10246" spans="1:7" x14ac:dyDescent="0.3">
      <c r="A10246" s="198">
        <v>8284880</v>
      </c>
      <c r="B10246" s="192" t="s">
        <v>234</v>
      </c>
      <c r="C10246" s="196">
        <v>0</v>
      </c>
      <c r="D10246" s="196">
        <v>0</v>
      </c>
      <c r="E10246" s="196">
        <v>40600</v>
      </c>
      <c r="F10246" s="196">
        <v>-40600</v>
      </c>
      <c r="G10246" s="196">
        <v>-40600</v>
      </c>
    </row>
    <row r="10247" spans="1:7" x14ac:dyDescent="0.3">
      <c r="A10247" s="198">
        <v>19442020</v>
      </c>
      <c r="B10247" s="192" t="s">
        <v>2629</v>
      </c>
      <c r="C10247" s="196">
        <v>-347000</v>
      </c>
      <c r="D10247" s="196">
        <v>0</v>
      </c>
      <c r="E10247" s="196">
        <v>0</v>
      </c>
      <c r="F10247" s="196">
        <v>0</v>
      </c>
      <c r="G10247" s="196">
        <v>-347000</v>
      </c>
    </row>
    <row r="10248" spans="1:7" x14ac:dyDescent="0.3">
      <c r="A10248" s="198">
        <v>1126667015</v>
      </c>
      <c r="B10248" s="192" t="s">
        <v>237</v>
      </c>
      <c r="C10248" s="196">
        <v>0</v>
      </c>
      <c r="D10248" s="196">
        <v>0</v>
      </c>
      <c r="E10248" s="196">
        <v>112400</v>
      </c>
      <c r="F10248" s="196">
        <v>-112400</v>
      </c>
      <c r="G10248" s="196">
        <v>-112400</v>
      </c>
    </row>
    <row r="10249" spans="1:7" x14ac:dyDescent="0.3">
      <c r="A10249" s="198">
        <v>22008427</v>
      </c>
      <c r="B10249" s="192" t="s">
        <v>243</v>
      </c>
      <c r="C10249" s="196">
        <v>0</v>
      </c>
      <c r="D10249" s="196">
        <v>0</v>
      </c>
      <c r="E10249" s="196">
        <v>89000</v>
      </c>
      <c r="F10249" s="196">
        <v>-89000</v>
      </c>
      <c r="G10249" s="196">
        <v>-89000</v>
      </c>
    </row>
    <row r="10250" spans="1:7" x14ac:dyDescent="0.3">
      <c r="A10250" s="198">
        <v>42769517</v>
      </c>
      <c r="B10250" s="192" t="s">
        <v>2640</v>
      </c>
      <c r="C10250" s="196">
        <v>-40600</v>
      </c>
      <c r="D10250" s="196">
        <v>0</v>
      </c>
      <c r="E10250" s="196">
        <v>0</v>
      </c>
      <c r="F10250" s="196">
        <v>0</v>
      </c>
      <c r="G10250" s="196">
        <v>-40600</v>
      </c>
    </row>
    <row r="10251" spans="1:7" x14ac:dyDescent="0.3">
      <c r="A10251" s="198">
        <v>24602434</v>
      </c>
      <c r="B10251" s="192" t="s">
        <v>2641</v>
      </c>
      <c r="C10251" s="196">
        <v>-467000</v>
      </c>
      <c r="D10251" s="196">
        <v>0</v>
      </c>
      <c r="E10251" s="196">
        <v>0</v>
      </c>
      <c r="F10251" s="196">
        <v>0</v>
      </c>
      <c r="G10251" s="196">
        <v>-467000</v>
      </c>
    </row>
    <row r="10252" spans="1:7" x14ac:dyDescent="0.3">
      <c r="A10252" s="198">
        <v>43734698</v>
      </c>
      <c r="B10252" s="192" t="s">
        <v>7177</v>
      </c>
      <c r="C10252" s="196">
        <v>-79300</v>
      </c>
      <c r="D10252" s="196">
        <v>0</v>
      </c>
      <c r="E10252" s="196">
        <v>0</v>
      </c>
      <c r="F10252" s="196">
        <v>0</v>
      </c>
      <c r="G10252" s="196">
        <v>-79300</v>
      </c>
    </row>
    <row r="10253" spans="1:7" x14ac:dyDescent="0.3">
      <c r="A10253" s="192" t="s">
        <v>2372</v>
      </c>
      <c r="B10253" s="192" t="s">
        <v>2373</v>
      </c>
      <c r="C10253" s="196">
        <v>-299000</v>
      </c>
      <c r="D10253" s="196">
        <v>0</v>
      </c>
      <c r="E10253" s="196">
        <v>0</v>
      </c>
      <c r="F10253" s="196">
        <v>0</v>
      </c>
      <c r="G10253" s="196">
        <v>-299000</v>
      </c>
    </row>
    <row r="10254" spans="1:7" x14ac:dyDescent="0.3">
      <c r="A10254" s="198">
        <v>43449847</v>
      </c>
      <c r="B10254" s="192" t="s">
        <v>248</v>
      </c>
      <c r="C10254" s="196">
        <v>-112400</v>
      </c>
      <c r="D10254" s="196">
        <v>0</v>
      </c>
      <c r="E10254" s="196">
        <v>0</v>
      </c>
      <c r="F10254" s="196">
        <v>0</v>
      </c>
      <c r="G10254" s="196">
        <v>-112400</v>
      </c>
    </row>
    <row r="10255" spans="1:7" x14ac:dyDescent="0.3">
      <c r="A10255" s="198">
        <v>34042566</v>
      </c>
      <c r="B10255" s="192" t="s">
        <v>250</v>
      </c>
      <c r="C10255" s="196">
        <v>-203000</v>
      </c>
      <c r="D10255" s="196">
        <v>0</v>
      </c>
      <c r="E10255" s="196">
        <v>0</v>
      </c>
      <c r="F10255" s="196">
        <v>0</v>
      </c>
      <c r="G10255" s="196">
        <v>-203000</v>
      </c>
    </row>
    <row r="10256" spans="1:7" x14ac:dyDescent="0.3">
      <c r="A10256" s="198">
        <v>21230962</v>
      </c>
      <c r="B10256" s="192" t="s">
        <v>6353</v>
      </c>
      <c r="C10256" s="196">
        <v>-514000</v>
      </c>
      <c r="D10256" s="196">
        <v>0</v>
      </c>
      <c r="E10256" s="196">
        <v>0</v>
      </c>
      <c r="F10256" s="196">
        <v>0</v>
      </c>
      <c r="G10256" s="196">
        <v>-514000</v>
      </c>
    </row>
    <row r="10257" spans="1:7" x14ac:dyDescent="0.3">
      <c r="A10257" s="198">
        <v>21369513</v>
      </c>
      <c r="B10257" s="192" t="s">
        <v>2664</v>
      </c>
      <c r="C10257" s="196">
        <v>-40600</v>
      </c>
      <c r="D10257" s="196">
        <v>0</v>
      </c>
      <c r="E10257" s="196">
        <v>0</v>
      </c>
      <c r="F10257" s="196">
        <v>0</v>
      </c>
      <c r="G10257" s="196">
        <v>-40600</v>
      </c>
    </row>
    <row r="10258" spans="1:7" x14ac:dyDescent="0.3">
      <c r="A10258" s="198">
        <v>21374478</v>
      </c>
      <c r="B10258" s="192" t="s">
        <v>253</v>
      </c>
      <c r="C10258" s="196">
        <v>-184400</v>
      </c>
      <c r="D10258" s="196">
        <v>0</v>
      </c>
      <c r="E10258" s="196">
        <v>46100</v>
      </c>
      <c r="F10258" s="196">
        <v>-46100</v>
      </c>
      <c r="G10258" s="196">
        <v>-230500</v>
      </c>
    </row>
    <row r="10259" spans="1:7" x14ac:dyDescent="0.3">
      <c r="A10259" s="198">
        <v>30278445</v>
      </c>
      <c r="B10259" s="192" t="s">
        <v>2668</v>
      </c>
      <c r="C10259" s="196">
        <v>-121800</v>
      </c>
      <c r="D10259" s="196">
        <v>0</v>
      </c>
      <c r="E10259" s="196">
        <v>0</v>
      </c>
      <c r="F10259" s="196">
        <v>0</v>
      </c>
      <c r="G10259" s="196">
        <v>-121800</v>
      </c>
    </row>
    <row r="10260" spans="1:7" x14ac:dyDescent="0.3">
      <c r="A10260" s="198">
        <v>23048955</v>
      </c>
      <c r="B10260" s="192" t="s">
        <v>2670</v>
      </c>
      <c r="C10260" s="196">
        <v>-766200</v>
      </c>
      <c r="D10260" s="196">
        <v>0</v>
      </c>
      <c r="E10260" s="196">
        <v>0</v>
      </c>
      <c r="F10260" s="196">
        <v>0</v>
      </c>
      <c r="G10260" s="196">
        <v>-766200</v>
      </c>
    </row>
    <row r="10261" spans="1:7" x14ac:dyDescent="0.3">
      <c r="A10261" s="198">
        <v>1143362062</v>
      </c>
      <c r="B10261" s="192" t="s">
        <v>2672</v>
      </c>
      <c r="C10261" s="196">
        <v>-498000</v>
      </c>
      <c r="D10261" s="196">
        <v>0</v>
      </c>
      <c r="E10261" s="196">
        <v>0</v>
      </c>
      <c r="F10261" s="196">
        <v>0</v>
      </c>
      <c r="G10261" s="196">
        <v>-498000</v>
      </c>
    </row>
    <row r="10262" spans="1:7" x14ac:dyDescent="0.3">
      <c r="A10262" s="198">
        <v>43593305</v>
      </c>
      <c r="B10262" s="192" t="s">
        <v>2677</v>
      </c>
      <c r="C10262" s="196">
        <v>-42900</v>
      </c>
      <c r="D10262" s="196">
        <v>0</v>
      </c>
      <c r="E10262" s="196">
        <v>0</v>
      </c>
      <c r="F10262" s="196">
        <v>0</v>
      </c>
      <c r="G10262" s="196">
        <v>-42900</v>
      </c>
    </row>
    <row r="10263" spans="1:7" x14ac:dyDescent="0.3">
      <c r="A10263" s="198">
        <v>22056671</v>
      </c>
      <c r="B10263" s="192" t="s">
        <v>255</v>
      </c>
      <c r="C10263" s="196">
        <v>0</v>
      </c>
      <c r="D10263" s="196">
        <v>0</v>
      </c>
      <c r="E10263" s="196">
        <v>88000</v>
      </c>
      <c r="F10263" s="196">
        <v>-88000</v>
      </c>
      <c r="G10263" s="196">
        <v>-88000</v>
      </c>
    </row>
    <row r="10264" spans="1:7" x14ac:dyDescent="0.3">
      <c r="A10264" s="198">
        <v>33174309</v>
      </c>
      <c r="B10264" s="192" t="s">
        <v>2683</v>
      </c>
      <c r="C10264" s="196">
        <v>-75650</v>
      </c>
      <c r="D10264" s="196">
        <v>0</v>
      </c>
      <c r="E10264" s="196">
        <v>0</v>
      </c>
      <c r="F10264" s="196">
        <v>0</v>
      </c>
      <c r="G10264" s="196">
        <v>-75650</v>
      </c>
    </row>
    <row r="10265" spans="1:7" x14ac:dyDescent="0.3">
      <c r="A10265" s="198">
        <v>39172673</v>
      </c>
      <c r="B10265" s="192" t="s">
        <v>2689</v>
      </c>
      <c r="C10265" s="196">
        <v>-258000</v>
      </c>
      <c r="D10265" s="196">
        <v>0</v>
      </c>
      <c r="E10265" s="196">
        <v>0</v>
      </c>
      <c r="F10265" s="196">
        <v>0</v>
      </c>
      <c r="G10265" s="196">
        <v>-258000</v>
      </c>
    </row>
    <row r="10266" spans="1:7" x14ac:dyDescent="0.3">
      <c r="A10266" s="198">
        <v>1044100073</v>
      </c>
      <c r="B10266" s="192" t="s">
        <v>6359</v>
      </c>
      <c r="C10266" s="196">
        <v>-115000</v>
      </c>
      <c r="D10266" s="196">
        <v>0</v>
      </c>
      <c r="E10266" s="196">
        <v>0</v>
      </c>
      <c r="F10266" s="196">
        <v>0</v>
      </c>
      <c r="G10266" s="196">
        <v>-115000</v>
      </c>
    </row>
    <row r="10267" spans="1:7" x14ac:dyDescent="0.3">
      <c r="A10267" s="198">
        <v>1036622511</v>
      </c>
      <c r="B10267" s="192" t="s">
        <v>2692</v>
      </c>
      <c r="C10267" s="196">
        <v>-133300</v>
      </c>
      <c r="D10267" s="196">
        <v>0</v>
      </c>
      <c r="E10267" s="196">
        <v>0</v>
      </c>
      <c r="F10267" s="196">
        <v>0</v>
      </c>
      <c r="G10267" s="196">
        <v>-133300</v>
      </c>
    </row>
    <row r="10268" spans="1:7" x14ac:dyDescent="0.3">
      <c r="A10268" s="198">
        <v>1037574549</v>
      </c>
      <c r="B10268" s="192" t="s">
        <v>7178</v>
      </c>
      <c r="C10268" s="196">
        <v>-33200</v>
      </c>
      <c r="D10268" s="196">
        <v>0</v>
      </c>
      <c r="E10268" s="196">
        <v>0</v>
      </c>
      <c r="F10268" s="196">
        <v>0</v>
      </c>
      <c r="G10268" s="196">
        <v>-33200</v>
      </c>
    </row>
    <row r="10269" spans="1:7" x14ac:dyDescent="0.3">
      <c r="A10269" s="198">
        <v>43723590</v>
      </c>
      <c r="B10269" s="192" t="s">
        <v>263</v>
      </c>
      <c r="C10269" s="196">
        <v>-40600</v>
      </c>
      <c r="D10269" s="196">
        <v>0</v>
      </c>
      <c r="E10269" s="196">
        <v>0</v>
      </c>
      <c r="F10269" s="196">
        <v>0</v>
      </c>
      <c r="G10269" s="196">
        <v>-40600</v>
      </c>
    </row>
    <row r="10270" spans="1:7" x14ac:dyDescent="0.3">
      <c r="A10270" s="198">
        <v>41638013</v>
      </c>
      <c r="B10270" s="192" t="s">
        <v>265</v>
      </c>
      <c r="C10270" s="196">
        <v>0</v>
      </c>
      <c r="D10270" s="196">
        <v>0</v>
      </c>
      <c r="E10270" s="196">
        <v>125400</v>
      </c>
      <c r="F10270" s="196">
        <v>-125400</v>
      </c>
      <c r="G10270" s="196">
        <v>-125400</v>
      </c>
    </row>
    <row r="10271" spans="1:7" x14ac:dyDescent="0.3">
      <c r="A10271" s="198">
        <v>1152712164</v>
      </c>
      <c r="B10271" s="192" t="s">
        <v>268</v>
      </c>
      <c r="C10271" s="196">
        <v>-299002</v>
      </c>
      <c r="D10271" s="196">
        <v>0</v>
      </c>
      <c r="E10271" s="196">
        <v>0</v>
      </c>
      <c r="F10271" s="196">
        <v>0</v>
      </c>
      <c r="G10271" s="196">
        <v>-299002</v>
      </c>
    </row>
    <row r="10272" spans="1:7" x14ac:dyDescent="0.3">
      <c r="A10272" s="198">
        <v>43613730</v>
      </c>
      <c r="B10272" s="192" t="s">
        <v>7179</v>
      </c>
      <c r="C10272" s="196">
        <v>-66400</v>
      </c>
      <c r="D10272" s="196">
        <v>0</v>
      </c>
      <c r="E10272" s="196">
        <v>0</v>
      </c>
      <c r="F10272" s="196">
        <v>0</v>
      </c>
      <c r="G10272" s="196">
        <v>-66400</v>
      </c>
    </row>
    <row r="10273" spans="1:7" x14ac:dyDescent="0.3">
      <c r="A10273" s="198">
        <v>43564662</v>
      </c>
      <c r="B10273" s="192" t="s">
        <v>2707</v>
      </c>
      <c r="C10273" s="196">
        <v>-42900</v>
      </c>
      <c r="D10273" s="196">
        <v>0</v>
      </c>
      <c r="E10273" s="196">
        <v>0</v>
      </c>
      <c r="F10273" s="196">
        <v>0</v>
      </c>
      <c r="G10273" s="196">
        <v>-42900</v>
      </c>
    </row>
    <row r="10274" spans="1:7" x14ac:dyDescent="0.3">
      <c r="A10274" s="198">
        <v>42871041</v>
      </c>
      <c r="B10274" s="192" t="s">
        <v>7180</v>
      </c>
      <c r="C10274" s="196">
        <v>-171500</v>
      </c>
      <c r="D10274" s="196">
        <v>0</v>
      </c>
      <c r="E10274" s="196">
        <v>0</v>
      </c>
      <c r="F10274" s="196">
        <v>0</v>
      </c>
      <c r="G10274" s="196">
        <v>-171500</v>
      </c>
    </row>
    <row r="10275" spans="1:7" x14ac:dyDescent="0.3">
      <c r="A10275" s="198">
        <v>39273484</v>
      </c>
      <c r="B10275" s="192" t="s">
        <v>271</v>
      </c>
      <c r="C10275" s="196">
        <v>-79200</v>
      </c>
      <c r="D10275" s="196">
        <v>0</v>
      </c>
      <c r="E10275" s="196">
        <v>0</v>
      </c>
      <c r="F10275" s="196">
        <v>0</v>
      </c>
      <c r="G10275" s="196">
        <v>-79200</v>
      </c>
    </row>
    <row r="10276" spans="1:7" x14ac:dyDescent="0.3">
      <c r="A10276" s="198">
        <v>43220105</v>
      </c>
      <c r="B10276" s="192" t="s">
        <v>273</v>
      </c>
      <c r="C10276" s="196">
        <v>0</v>
      </c>
      <c r="D10276" s="196">
        <v>0</v>
      </c>
      <c r="E10276" s="196">
        <v>46100</v>
      </c>
      <c r="F10276" s="196">
        <v>-46100</v>
      </c>
      <c r="G10276" s="196">
        <v>-46100</v>
      </c>
    </row>
    <row r="10277" spans="1:7" x14ac:dyDescent="0.3">
      <c r="A10277" s="198">
        <v>1038647572</v>
      </c>
      <c r="B10277" s="192" t="s">
        <v>275</v>
      </c>
      <c r="C10277" s="196">
        <v>-200000</v>
      </c>
      <c r="D10277" s="196">
        <v>115000</v>
      </c>
      <c r="E10277" s="196">
        <v>230000</v>
      </c>
      <c r="F10277" s="196">
        <v>-115000</v>
      </c>
      <c r="G10277" s="196">
        <v>-315000</v>
      </c>
    </row>
    <row r="10278" spans="1:7" x14ac:dyDescent="0.3">
      <c r="A10278" s="198">
        <v>1013352416</v>
      </c>
      <c r="B10278" s="192" t="s">
        <v>7181</v>
      </c>
      <c r="C10278" s="196">
        <v>-373600</v>
      </c>
      <c r="D10278" s="196">
        <v>0</v>
      </c>
      <c r="E10278" s="196">
        <v>0</v>
      </c>
      <c r="F10278" s="196">
        <v>0</v>
      </c>
      <c r="G10278" s="196">
        <v>-373600</v>
      </c>
    </row>
    <row r="10279" spans="1:7" x14ac:dyDescent="0.3">
      <c r="A10279" s="198">
        <v>1067878905</v>
      </c>
      <c r="B10279" s="192" t="s">
        <v>2720</v>
      </c>
      <c r="C10279" s="196">
        <v>-190000</v>
      </c>
      <c r="D10279" s="196">
        <v>0</v>
      </c>
      <c r="E10279" s="196">
        <v>0</v>
      </c>
      <c r="F10279" s="196">
        <v>0</v>
      </c>
      <c r="G10279" s="196">
        <v>-190000</v>
      </c>
    </row>
    <row r="10280" spans="1:7" x14ac:dyDescent="0.3">
      <c r="A10280" s="198">
        <v>1004999021</v>
      </c>
      <c r="B10280" s="192" t="s">
        <v>6363</v>
      </c>
      <c r="C10280" s="196">
        <v>-193000</v>
      </c>
      <c r="D10280" s="196">
        <v>0</v>
      </c>
      <c r="E10280" s="196">
        <v>0</v>
      </c>
      <c r="F10280" s="196">
        <v>0</v>
      </c>
      <c r="G10280" s="196">
        <v>-193000</v>
      </c>
    </row>
    <row r="10281" spans="1:7" x14ac:dyDescent="0.3">
      <c r="A10281" s="198">
        <v>1037656284</v>
      </c>
      <c r="B10281" s="192" t="s">
        <v>281</v>
      </c>
      <c r="C10281" s="196">
        <v>0</v>
      </c>
      <c r="D10281" s="196">
        <v>0</v>
      </c>
      <c r="E10281" s="196">
        <v>79200</v>
      </c>
      <c r="F10281" s="196">
        <v>-79200</v>
      </c>
      <c r="G10281" s="196">
        <v>-79200</v>
      </c>
    </row>
    <row r="10282" spans="1:7" x14ac:dyDescent="0.3">
      <c r="A10282" s="198">
        <v>42902137</v>
      </c>
      <c r="B10282" s="192" t="s">
        <v>7182</v>
      </c>
      <c r="C10282" s="196">
        <v>-486000</v>
      </c>
      <c r="D10282" s="196">
        <v>0</v>
      </c>
      <c r="E10282" s="196">
        <v>0</v>
      </c>
      <c r="F10282" s="196">
        <v>0</v>
      </c>
      <c r="G10282" s="196">
        <v>-486000</v>
      </c>
    </row>
    <row r="10283" spans="1:7" x14ac:dyDescent="0.3">
      <c r="A10283" s="198">
        <v>1102843942</v>
      </c>
      <c r="B10283" s="192" t="s">
        <v>2730</v>
      </c>
      <c r="C10283" s="196">
        <v>-193600</v>
      </c>
      <c r="D10283" s="196">
        <v>0</v>
      </c>
      <c r="E10283" s="196">
        <v>0</v>
      </c>
      <c r="F10283" s="196">
        <v>0</v>
      </c>
      <c r="G10283" s="196">
        <v>-193600</v>
      </c>
    </row>
    <row r="10284" spans="1:7" x14ac:dyDescent="0.3">
      <c r="A10284" s="198">
        <v>1037625277</v>
      </c>
      <c r="B10284" s="192" t="s">
        <v>2732</v>
      </c>
      <c r="C10284" s="196">
        <v>-125200</v>
      </c>
      <c r="D10284" s="196">
        <v>0</v>
      </c>
      <c r="E10284" s="196">
        <v>0</v>
      </c>
      <c r="F10284" s="196">
        <v>0</v>
      </c>
      <c r="G10284" s="196">
        <v>-125200</v>
      </c>
    </row>
    <row r="10285" spans="1:7" x14ac:dyDescent="0.3">
      <c r="A10285" s="198">
        <v>15380928</v>
      </c>
      <c r="B10285" s="192" t="s">
        <v>2737</v>
      </c>
      <c r="C10285" s="196">
        <v>-79200</v>
      </c>
      <c r="D10285" s="196">
        <v>0</v>
      </c>
      <c r="E10285" s="196">
        <v>0</v>
      </c>
      <c r="F10285" s="196">
        <v>0</v>
      </c>
      <c r="G10285" s="196">
        <v>-79200</v>
      </c>
    </row>
    <row r="10286" spans="1:7" x14ac:dyDescent="0.3">
      <c r="A10286" s="198">
        <v>79596268</v>
      </c>
      <c r="B10286" s="192" t="s">
        <v>288</v>
      </c>
      <c r="C10286" s="196">
        <v>-79302</v>
      </c>
      <c r="D10286" s="196">
        <v>0</v>
      </c>
      <c r="E10286" s="196">
        <v>0</v>
      </c>
      <c r="F10286" s="196">
        <v>0</v>
      </c>
      <c r="G10286" s="196">
        <v>-79302</v>
      </c>
    </row>
    <row r="10287" spans="1:7" x14ac:dyDescent="0.3">
      <c r="A10287" s="198">
        <v>1035305442</v>
      </c>
      <c r="B10287" s="192" t="s">
        <v>2741</v>
      </c>
      <c r="C10287" s="196">
        <v>-347000</v>
      </c>
      <c r="D10287" s="196">
        <v>0</v>
      </c>
      <c r="E10287" s="196">
        <v>0</v>
      </c>
      <c r="F10287" s="196">
        <v>0</v>
      </c>
      <c r="G10287" s="196">
        <v>-347000</v>
      </c>
    </row>
    <row r="10288" spans="1:7" x14ac:dyDescent="0.3">
      <c r="A10288" s="198">
        <v>1128482014</v>
      </c>
      <c r="B10288" s="192" t="s">
        <v>292</v>
      </c>
      <c r="C10288" s="196">
        <v>0</v>
      </c>
      <c r="D10288" s="196">
        <v>0</v>
      </c>
      <c r="E10288" s="196">
        <v>49000</v>
      </c>
      <c r="F10288" s="196">
        <v>-49000</v>
      </c>
      <c r="G10288" s="196">
        <v>-49000</v>
      </c>
    </row>
    <row r="10289" spans="1:7" x14ac:dyDescent="0.3">
      <c r="A10289" s="198">
        <v>1036667081</v>
      </c>
      <c r="B10289" s="192" t="s">
        <v>2744</v>
      </c>
      <c r="C10289" s="196">
        <v>-305000</v>
      </c>
      <c r="D10289" s="196">
        <v>0</v>
      </c>
      <c r="E10289" s="196">
        <v>0</v>
      </c>
      <c r="F10289" s="196">
        <v>0</v>
      </c>
      <c r="G10289" s="196">
        <v>-305000</v>
      </c>
    </row>
    <row r="10290" spans="1:7" x14ac:dyDescent="0.3">
      <c r="A10290" s="198">
        <v>1037668258</v>
      </c>
      <c r="B10290" s="192" t="s">
        <v>2745</v>
      </c>
      <c r="C10290" s="196">
        <v>-84300</v>
      </c>
      <c r="D10290" s="196">
        <v>0</v>
      </c>
      <c r="E10290" s="196">
        <v>0</v>
      </c>
      <c r="F10290" s="196">
        <v>0</v>
      </c>
      <c r="G10290" s="196">
        <v>-84300</v>
      </c>
    </row>
    <row r="10291" spans="1:7" x14ac:dyDescent="0.3">
      <c r="A10291" s="198">
        <v>1036668463</v>
      </c>
      <c r="B10291" s="192" t="s">
        <v>2749</v>
      </c>
      <c r="C10291" s="196">
        <v>-190000</v>
      </c>
      <c r="D10291" s="196">
        <v>0</v>
      </c>
      <c r="E10291" s="196">
        <v>0</v>
      </c>
      <c r="F10291" s="196">
        <v>0</v>
      </c>
      <c r="G10291" s="196">
        <v>-190000</v>
      </c>
    </row>
    <row r="10292" spans="1:7" x14ac:dyDescent="0.3">
      <c r="A10292" s="198">
        <v>16536997</v>
      </c>
      <c r="B10292" s="192" t="s">
        <v>2750</v>
      </c>
      <c r="C10292" s="196">
        <v>-347000</v>
      </c>
      <c r="D10292" s="196">
        <v>0</v>
      </c>
      <c r="E10292" s="196">
        <v>0</v>
      </c>
      <c r="F10292" s="196">
        <v>0</v>
      </c>
      <c r="G10292" s="196">
        <v>-347000</v>
      </c>
    </row>
    <row r="10293" spans="1:7" x14ac:dyDescent="0.3">
      <c r="A10293" s="198">
        <v>71279506</v>
      </c>
      <c r="B10293" s="192" t="s">
        <v>2753</v>
      </c>
      <c r="C10293" s="196">
        <v>-46000</v>
      </c>
      <c r="D10293" s="196">
        <v>0</v>
      </c>
      <c r="E10293" s="196">
        <v>0</v>
      </c>
      <c r="F10293" s="196">
        <v>0</v>
      </c>
      <c r="G10293" s="196">
        <v>-46000</v>
      </c>
    </row>
    <row r="10294" spans="1:7" x14ac:dyDescent="0.3">
      <c r="A10294" s="198">
        <v>1130671654</v>
      </c>
      <c r="B10294" s="192" t="s">
        <v>2754</v>
      </c>
      <c r="C10294" s="196">
        <v>-175000</v>
      </c>
      <c r="D10294" s="196">
        <v>0</v>
      </c>
      <c r="E10294" s="196">
        <v>0</v>
      </c>
      <c r="F10294" s="196">
        <v>0</v>
      </c>
      <c r="G10294" s="196">
        <v>-175000</v>
      </c>
    </row>
    <row r="10295" spans="1:7" x14ac:dyDescent="0.3">
      <c r="A10295" s="198">
        <v>1033650578</v>
      </c>
      <c r="B10295" s="192" t="s">
        <v>2758</v>
      </c>
      <c r="C10295" s="196">
        <v>-75650</v>
      </c>
      <c r="D10295" s="196">
        <v>0</v>
      </c>
      <c r="E10295" s="196">
        <v>0</v>
      </c>
      <c r="F10295" s="196">
        <v>0</v>
      </c>
      <c r="G10295" s="196">
        <v>-75650</v>
      </c>
    </row>
    <row r="10296" spans="1:7" x14ac:dyDescent="0.3">
      <c r="A10296" s="198">
        <v>8160292</v>
      </c>
      <c r="B10296" s="192" t="s">
        <v>2761</v>
      </c>
      <c r="C10296" s="196">
        <v>-131700</v>
      </c>
      <c r="D10296" s="196">
        <v>0</v>
      </c>
      <c r="E10296" s="196">
        <v>0</v>
      </c>
      <c r="F10296" s="196">
        <v>0</v>
      </c>
      <c r="G10296" s="196">
        <v>-131700</v>
      </c>
    </row>
    <row r="10297" spans="1:7" x14ac:dyDescent="0.3">
      <c r="A10297" s="198">
        <v>79156096</v>
      </c>
      <c r="B10297" s="192" t="s">
        <v>2765</v>
      </c>
      <c r="C10297" s="196">
        <v>-134900</v>
      </c>
      <c r="D10297" s="196">
        <v>0</v>
      </c>
      <c r="E10297" s="196">
        <v>0</v>
      </c>
      <c r="F10297" s="196">
        <v>0</v>
      </c>
      <c r="G10297" s="196">
        <v>-134900</v>
      </c>
    </row>
    <row r="10298" spans="1:7" x14ac:dyDescent="0.3">
      <c r="A10298" s="198">
        <v>1037658217</v>
      </c>
      <c r="B10298" s="192" t="s">
        <v>2766</v>
      </c>
      <c r="C10298" s="196">
        <v>-259200</v>
      </c>
      <c r="D10298" s="196">
        <v>0</v>
      </c>
      <c r="E10298" s="196">
        <v>0</v>
      </c>
      <c r="F10298" s="196">
        <v>0</v>
      </c>
      <c r="G10298" s="196">
        <v>-259200</v>
      </c>
    </row>
    <row r="10299" spans="1:7" x14ac:dyDescent="0.3">
      <c r="A10299" s="198">
        <v>79105874</v>
      </c>
      <c r="B10299" s="192" t="s">
        <v>2778</v>
      </c>
      <c r="C10299" s="196">
        <v>-121800</v>
      </c>
      <c r="D10299" s="196">
        <v>0</v>
      </c>
      <c r="E10299" s="196">
        <v>0</v>
      </c>
      <c r="F10299" s="196">
        <v>0</v>
      </c>
      <c r="G10299" s="196">
        <v>-121800</v>
      </c>
    </row>
    <row r="10300" spans="1:7" x14ac:dyDescent="0.3">
      <c r="A10300" s="198">
        <v>43006525</v>
      </c>
      <c r="B10300" s="192" t="s">
        <v>2780</v>
      </c>
      <c r="C10300" s="196">
        <v>-20300</v>
      </c>
      <c r="D10300" s="196">
        <v>0</v>
      </c>
      <c r="E10300" s="196">
        <v>0</v>
      </c>
      <c r="F10300" s="196">
        <v>0</v>
      </c>
      <c r="G10300" s="196">
        <v>-20300</v>
      </c>
    </row>
    <row r="10301" spans="1:7" x14ac:dyDescent="0.3">
      <c r="A10301" s="198">
        <v>43494112</v>
      </c>
      <c r="B10301" s="192" t="s">
        <v>2783</v>
      </c>
      <c r="C10301" s="196">
        <v>-357000</v>
      </c>
      <c r="D10301" s="196">
        <v>0</v>
      </c>
      <c r="E10301" s="196">
        <v>0</v>
      </c>
      <c r="F10301" s="196">
        <v>0</v>
      </c>
      <c r="G10301" s="196">
        <v>-357000</v>
      </c>
    </row>
    <row r="10302" spans="1:7" x14ac:dyDescent="0.3">
      <c r="A10302" s="198">
        <v>42867176</v>
      </c>
      <c r="B10302" s="192" t="s">
        <v>2785</v>
      </c>
      <c r="C10302" s="196">
        <v>-162400</v>
      </c>
      <c r="D10302" s="196">
        <v>0</v>
      </c>
      <c r="E10302" s="196">
        <v>0</v>
      </c>
      <c r="F10302" s="196">
        <v>0</v>
      </c>
      <c r="G10302" s="196">
        <v>-162400</v>
      </c>
    </row>
    <row r="10303" spans="1:7" x14ac:dyDescent="0.3">
      <c r="A10303" s="198">
        <v>42968482</v>
      </c>
      <c r="B10303" s="192" t="s">
        <v>2786</v>
      </c>
      <c r="C10303" s="196">
        <v>-30900</v>
      </c>
      <c r="D10303" s="196">
        <v>0</v>
      </c>
      <c r="E10303" s="196">
        <v>0</v>
      </c>
      <c r="F10303" s="196">
        <v>0</v>
      </c>
      <c r="G10303" s="196">
        <v>-30900</v>
      </c>
    </row>
    <row r="10304" spans="1:7" x14ac:dyDescent="0.3">
      <c r="A10304" s="198">
        <v>1017126454</v>
      </c>
      <c r="B10304" s="192" t="s">
        <v>2788</v>
      </c>
      <c r="C10304" s="196">
        <v>-42900</v>
      </c>
      <c r="D10304" s="196">
        <v>0</v>
      </c>
      <c r="E10304" s="196">
        <v>0</v>
      </c>
      <c r="F10304" s="196">
        <v>0</v>
      </c>
      <c r="G10304" s="196">
        <v>-42900</v>
      </c>
    </row>
    <row r="10305" spans="1:7" x14ac:dyDescent="0.3">
      <c r="A10305" s="198">
        <v>21788564</v>
      </c>
      <c r="B10305" s="192" t="s">
        <v>2793</v>
      </c>
      <c r="C10305" s="196">
        <v>-81200</v>
      </c>
      <c r="D10305" s="196">
        <v>0</v>
      </c>
      <c r="E10305" s="196">
        <v>0</v>
      </c>
      <c r="F10305" s="196">
        <v>0</v>
      </c>
      <c r="G10305" s="196">
        <v>-81200</v>
      </c>
    </row>
    <row r="10306" spans="1:7" x14ac:dyDescent="0.3">
      <c r="A10306" s="198">
        <v>21400896</v>
      </c>
      <c r="B10306" s="192" t="s">
        <v>2800</v>
      </c>
      <c r="C10306" s="196">
        <v>-285600</v>
      </c>
      <c r="D10306" s="196">
        <v>0</v>
      </c>
      <c r="E10306" s="196">
        <v>0</v>
      </c>
      <c r="F10306" s="196">
        <v>0</v>
      </c>
      <c r="G10306" s="196">
        <v>-285600</v>
      </c>
    </row>
    <row r="10307" spans="1:7" x14ac:dyDescent="0.3">
      <c r="A10307" s="198">
        <v>32519273</v>
      </c>
      <c r="B10307" s="192" t="s">
        <v>2801</v>
      </c>
      <c r="C10307" s="196">
        <v>-365400</v>
      </c>
      <c r="D10307" s="196">
        <v>0</v>
      </c>
      <c r="E10307" s="196">
        <v>0</v>
      </c>
      <c r="F10307" s="196">
        <v>0</v>
      </c>
      <c r="G10307" s="196">
        <v>-365400</v>
      </c>
    </row>
    <row r="10308" spans="1:7" x14ac:dyDescent="0.3">
      <c r="A10308" s="198">
        <v>31655136</v>
      </c>
      <c r="B10308" s="192" t="s">
        <v>2805</v>
      </c>
      <c r="C10308" s="196">
        <v>-46100</v>
      </c>
      <c r="D10308" s="196">
        <v>0</v>
      </c>
      <c r="E10308" s="196">
        <v>0</v>
      </c>
      <c r="F10308" s="196">
        <v>0</v>
      </c>
      <c r="G10308" s="196">
        <v>-46100</v>
      </c>
    </row>
    <row r="10309" spans="1:7" x14ac:dyDescent="0.3">
      <c r="A10309" s="198">
        <v>42790044</v>
      </c>
      <c r="B10309" s="192" t="s">
        <v>2807</v>
      </c>
      <c r="C10309" s="196">
        <v>-33200</v>
      </c>
      <c r="D10309" s="196">
        <v>0</v>
      </c>
      <c r="E10309" s="196">
        <v>0</v>
      </c>
      <c r="F10309" s="196">
        <v>0</v>
      </c>
      <c r="G10309" s="196">
        <v>-33200</v>
      </c>
    </row>
    <row r="10310" spans="1:7" x14ac:dyDescent="0.3">
      <c r="A10310" s="198">
        <v>43757644</v>
      </c>
      <c r="B10310" s="192" t="s">
        <v>2808</v>
      </c>
      <c r="C10310" s="196">
        <v>-79300</v>
      </c>
      <c r="D10310" s="196">
        <v>0</v>
      </c>
      <c r="E10310" s="196">
        <v>0</v>
      </c>
      <c r="F10310" s="196">
        <v>0</v>
      </c>
      <c r="G10310" s="196">
        <v>-79300</v>
      </c>
    </row>
    <row r="10311" spans="1:7" x14ac:dyDescent="0.3">
      <c r="A10311" s="198">
        <v>1061047689</v>
      </c>
      <c r="B10311" s="192" t="s">
        <v>306</v>
      </c>
      <c r="C10311" s="196">
        <v>0</v>
      </c>
      <c r="D10311" s="196">
        <v>347000</v>
      </c>
      <c r="E10311" s="196">
        <v>694000</v>
      </c>
      <c r="F10311" s="196">
        <v>-347000</v>
      </c>
      <c r="G10311" s="196">
        <v>-347000</v>
      </c>
    </row>
    <row r="10312" spans="1:7" x14ac:dyDescent="0.3">
      <c r="A10312" s="198">
        <v>1000445422</v>
      </c>
      <c r="B10312" s="192" t="s">
        <v>307</v>
      </c>
      <c r="C10312" s="196">
        <v>-490000</v>
      </c>
      <c r="D10312" s="196">
        <v>0</v>
      </c>
      <c r="E10312" s="196">
        <v>0</v>
      </c>
      <c r="F10312" s="196">
        <v>0</v>
      </c>
      <c r="G10312" s="196">
        <v>-490000</v>
      </c>
    </row>
    <row r="10313" spans="1:7" x14ac:dyDescent="0.3">
      <c r="A10313" s="198">
        <v>1037587514</v>
      </c>
      <c r="B10313" s="192" t="s">
        <v>311</v>
      </c>
      <c r="C10313" s="196">
        <v>0</v>
      </c>
      <c r="D10313" s="196">
        <v>0</v>
      </c>
      <c r="E10313" s="196">
        <v>33200</v>
      </c>
      <c r="F10313" s="196">
        <v>-33200</v>
      </c>
      <c r="G10313" s="196">
        <v>-33200</v>
      </c>
    </row>
    <row r="10314" spans="1:7" x14ac:dyDescent="0.3">
      <c r="A10314" s="198">
        <v>1234439775</v>
      </c>
      <c r="B10314" s="192" t="s">
        <v>2826</v>
      </c>
      <c r="C10314" s="196">
        <v>-98000</v>
      </c>
      <c r="D10314" s="196">
        <v>0</v>
      </c>
      <c r="E10314" s="196">
        <v>0</v>
      </c>
      <c r="F10314" s="196">
        <v>0</v>
      </c>
      <c r="G10314" s="196">
        <v>-98000</v>
      </c>
    </row>
    <row r="10315" spans="1:7" x14ac:dyDescent="0.3">
      <c r="A10315" s="198">
        <v>1073328873</v>
      </c>
      <c r="B10315" s="192" t="s">
        <v>2832</v>
      </c>
      <c r="C10315" s="196">
        <v>-347000</v>
      </c>
      <c r="D10315" s="196">
        <v>0</v>
      </c>
      <c r="E10315" s="196">
        <v>0</v>
      </c>
      <c r="F10315" s="196">
        <v>0</v>
      </c>
      <c r="G10315" s="196">
        <v>-347000</v>
      </c>
    </row>
    <row r="10316" spans="1:7" x14ac:dyDescent="0.3">
      <c r="A10316" s="192" t="s">
        <v>2842</v>
      </c>
      <c r="B10316" s="192" t="s">
        <v>2843</v>
      </c>
      <c r="C10316" s="196">
        <v>-309000</v>
      </c>
      <c r="D10316" s="196">
        <v>0</v>
      </c>
      <c r="E10316" s="196">
        <v>0</v>
      </c>
      <c r="F10316" s="196">
        <v>0</v>
      </c>
      <c r="G10316" s="196">
        <v>-309000</v>
      </c>
    </row>
    <row r="10317" spans="1:7" x14ac:dyDescent="0.3">
      <c r="A10317" s="198">
        <v>43441600</v>
      </c>
      <c r="B10317" s="192" t="s">
        <v>2848</v>
      </c>
      <c r="C10317" s="196">
        <v>-79300</v>
      </c>
      <c r="D10317" s="196">
        <v>0</v>
      </c>
      <c r="E10317" s="196">
        <v>0</v>
      </c>
      <c r="F10317" s="196">
        <v>0</v>
      </c>
      <c r="G10317" s="196">
        <v>-79300</v>
      </c>
    </row>
    <row r="10318" spans="1:7" x14ac:dyDescent="0.3">
      <c r="A10318" s="198">
        <v>43265192</v>
      </c>
      <c r="B10318" s="192" t="s">
        <v>322</v>
      </c>
      <c r="C10318" s="196">
        <v>-79200</v>
      </c>
      <c r="D10318" s="196">
        <v>0</v>
      </c>
      <c r="E10318" s="196">
        <v>0</v>
      </c>
      <c r="F10318" s="196">
        <v>0</v>
      </c>
      <c r="G10318" s="196">
        <v>-79200</v>
      </c>
    </row>
    <row r="10319" spans="1:7" x14ac:dyDescent="0.3">
      <c r="A10319" s="198">
        <v>1220465759</v>
      </c>
      <c r="B10319" s="192" t="s">
        <v>325</v>
      </c>
      <c r="C10319" s="196">
        <v>0</v>
      </c>
      <c r="D10319" s="196">
        <v>0</v>
      </c>
      <c r="E10319" s="196">
        <v>33200</v>
      </c>
      <c r="F10319" s="196">
        <v>-33200</v>
      </c>
      <c r="G10319" s="196">
        <v>-33200</v>
      </c>
    </row>
    <row r="10320" spans="1:7" x14ac:dyDescent="0.3">
      <c r="A10320" s="198">
        <v>3553180</v>
      </c>
      <c r="B10320" s="192" t="s">
        <v>2852</v>
      </c>
      <c r="C10320" s="196">
        <v>-285600</v>
      </c>
      <c r="D10320" s="196">
        <v>0</v>
      </c>
      <c r="E10320" s="196">
        <v>0</v>
      </c>
      <c r="F10320" s="196">
        <v>0</v>
      </c>
      <c r="G10320" s="196">
        <v>-285600</v>
      </c>
    </row>
    <row r="10321" spans="1:7" x14ac:dyDescent="0.3">
      <c r="A10321" s="198">
        <v>18108488</v>
      </c>
      <c r="B10321" s="192" t="s">
        <v>6386</v>
      </c>
      <c r="C10321" s="196">
        <v>-133600</v>
      </c>
      <c r="D10321" s="196">
        <v>0</v>
      </c>
      <c r="E10321" s="196">
        <v>0</v>
      </c>
      <c r="F10321" s="196">
        <v>0</v>
      </c>
      <c r="G10321" s="196">
        <v>-133600</v>
      </c>
    </row>
    <row r="10322" spans="1:7" x14ac:dyDescent="0.3">
      <c r="A10322" s="198">
        <v>21829121</v>
      </c>
      <c r="B10322" s="192" t="s">
        <v>2854</v>
      </c>
      <c r="C10322" s="196">
        <v>-285600</v>
      </c>
      <c r="D10322" s="196">
        <v>0</v>
      </c>
      <c r="E10322" s="196">
        <v>0</v>
      </c>
      <c r="F10322" s="196">
        <v>0</v>
      </c>
      <c r="G10322" s="196">
        <v>-285600</v>
      </c>
    </row>
    <row r="10323" spans="1:7" x14ac:dyDescent="0.3">
      <c r="A10323" s="198">
        <v>79531662</v>
      </c>
      <c r="B10323" s="192" t="s">
        <v>2857</v>
      </c>
      <c r="C10323" s="196">
        <v>-46000</v>
      </c>
      <c r="D10323" s="196">
        <v>0</v>
      </c>
      <c r="E10323" s="196">
        <v>0</v>
      </c>
      <c r="F10323" s="196">
        <v>0</v>
      </c>
      <c r="G10323" s="196">
        <v>-46000</v>
      </c>
    </row>
    <row r="10324" spans="1:7" x14ac:dyDescent="0.3">
      <c r="A10324" s="192" t="s">
        <v>2859</v>
      </c>
      <c r="B10324" s="192" t="s">
        <v>2860</v>
      </c>
      <c r="C10324" s="196">
        <v>-273000</v>
      </c>
      <c r="D10324" s="196">
        <v>0</v>
      </c>
      <c r="E10324" s="196">
        <v>0</v>
      </c>
      <c r="F10324" s="196">
        <v>0</v>
      </c>
      <c r="G10324" s="196">
        <v>-273000</v>
      </c>
    </row>
    <row r="10325" spans="1:7" x14ac:dyDescent="0.3">
      <c r="A10325" s="198">
        <v>42873989</v>
      </c>
      <c r="B10325" s="192" t="s">
        <v>2863</v>
      </c>
      <c r="C10325" s="196">
        <v>-46100</v>
      </c>
      <c r="D10325" s="196">
        <v>0</v>
      </c>
      <c r="E10325" s="196">
        <v>0</v>
      </c>
      <c r="F10325" s="196">
        <v>0</v>
      </c>
      <c r="G10325" s="196">
        <v>-46100</v>
      </c>
    </row>
    <row r="10326" spans="1:7" x14ac:dyDescent="0.3">
      <c r="A10326" s="198">
        <v>21810071</v>
      </c>
      <c r="B10326" s="192" t="s">
        <v>329</v>
      </c>
      <c r="C10326" s="196">
        <v>-255000</v>
      </c>
      <c r="D10326" s="196">
        <v>0</v>
      </c>
      <c r="E10326" s="196">
        <v>0</v>
      </c>
      <c r="F10326" s="196">
        <v>0</v>
      </c>
      <c r="G10326" s="196">
        <v>-255000</v>
      </c>
    </row>
    <row r="10327" spans="1:7" x14ac:dyDescent="0.3">
      <c r="A10327" s="198">
        <v>43347263</v>
      </c>
      <c r="B10327" s="192" t="s">
        <v>2879</v>
      </c>
      <c r="C10327" s="196">
        <v>-112400</v>
      </c>
      <c r="D10327" s="196">
        <v>0</v>
      </c>
      <c r="E10327" s="196">
        <v>0</v>
      </c>
      <c r="F10327" s="196">
        <v>0</v>
      </c>
      <c r="G10327" s="196">
        <v>-112400</v>
      </c>
    </row>
    <row r="10328" spans="1:7" x14ac:dyDescent="0.3">
      <c r="A10328" s="198">
        <v>32534947</v>
      </c>
      <c r="B10328" s="192" t="s">
        <v>2880</v>
      </c>
      <c r="C10328" s="196">
        <v>-121800</v>
      </c>
      <c r="D10328" s="196">
        <v>0</v>
      </c>
      <c r="E10328" s="196">
        <v>0</v>
      </c>
      <c r="F10328" s="196">
        <v>0</v>
      </c>
      <c r="G10328" s="196">
        <v>-121800</v>
      </c>
    </row>
    <row r="10329" spans="1:7" x14ac:dyDescent="0.3">
      <c r="A10329" s="198">
        <v>70691514</v>
      </c>
      <c r="B10329" s="192" t="s">
        <v>2881</v>
      </c>
      <c r="C10329" s="196">
        <v>-75650</v>
      </c>
      <c r="D10329" s="196">
        <v>0</v>
      </c>
      <c r="E10329" s="196">
        <v>0</v>
      </c>
      <c r="F10329" s="196">
        <v>0</v>
      </c>
      <c r="G10329" s="196">
        <v>-75650</v>
      </c>
    </row>
    <row r="10330" spans="1:7" x14ac:dyDescent="0.3">
      <c r="A10330" s="198">
        <v>900640334</v>
      </c>
      <c r="B10330" s="192" t="s">
        <v>336</v>
      </c>
      <c r="C10330" s="196">
        <v>-467644</v>
      </c>
      <c r="D10330" s="196">
        <v>327169</v>
      </c>
      <c r="E10330" s="196">
        <v>2043995</v>
      </c>
      <c r="F10330" s="196">
        <v>-1716826</v>
      </c>
      <c r="G10330" s="196">
        <v>-2184470</v>
      </c>
    </row>
    <row r="10331" spans="1:7" x14ac:dyDescent="0.3">
      <c r="A10331" s="198">
        <v>860002183</v>
      </c>
      <c r="B10331" s="192" t="s">
        <v>337</v>
      </c>
      <c r="C10331" s="196">
        <v>-406585</v>
      </c>
      <c r="D10331" s="196">
        <v>0</v>
      </c>
      <c r="E10331" s="196">
        <v>1614421</v>
      </c>
      <c r="F10331" s="196">
        <v>-1614421</v>
      </c>
      <c r="G10331" s="196">
        <v>-2021006</v>
      </c>
    </row>
    <row r="10332" spans="1:7" x14ac:dyDescent="0.3">
      <c r="A10332" s="198">
        <v>43627566</v>
      </c>
      <c r="B10332" s="192" t="s">
        <v>2888</v>
      </c>
      <c r="C10332" s="196">
        <v>-46000</v>
      </c>
      <c r="D10332" s="196">
        <v>0</v>
      </c>
      <c r="E10332" s="196">
        <v>0</v>
      </c>
      <c r="F10332" s="196">
        <v>0</v>
      </c>
      <c r="G10332" s="196">
        <v>-46000</v>
      </c>
    </row>
    <row r="10333" spans="1:7" x14ac:dyDescent="0.3">
      <c r="A10333" s="192" t="s">
        <v>106</v>
      </c>
      <c r="B10333" s="192" t="s">
        <v>105</v>
      </c>
      <c r="C10333" s="196">
        <v>-299000</v>
      </c>
      <c r="D10333" s="196">
        <v>115000</v>
      </c>
      <c r="E10333" s="196">
        <v>230000</v>
      </c>
      <c r="F10333" s="196">
        <v>-115000</v>
      </c>
      <c r="G10333" s="196">
        <v>-414000</v>
      </c>
    </row>
    <row r="10334" spans="1:7" x14ac:dyDescent="0.3">
      <c r="A10334" s="198">
        <v>1000922206</v>
      </c>
      <c r="B10334" s="192" t="s">
        <v>7183</v>
      </c>
      <c r="C10334" s="196">
        <v>-165000</v>
      </c>
      <c r="D10334" s="196">
        <v>0</v>
      </c>
      <c r="E10334" s="196">
        <v>0</v>
      </c>
      <c r="F10334" s="196">
        <v>0</v>
      </c>
      <c r="G10334" s="196">
        <v>-165000</v>
      </c>
    </row>
    <row r="10335" spans="1:7" x14ac:dyDescent="0.3">
      <c r="A10335" s="198">
        <v>8222040</v>
      </c>
      <c r="B10335" s="192" t="s">
        <v>2890</v>
      </c>
      <c r="C10335" s="196">
        <v>-418200</v>
      </c>
      <c r="D10335" s="196">
        <v>0</v>
      </c>
      <c r="E10335" s="196">
        <v>0</v>
      </c>
      <c r="F10335" s="196">
        <v>0</v>
      </c>
      <c r="G10335" s="196">
        <v>-418200</v>
      </c>
    </row>
    <row r="10336" spans="1:7" x14ac:dyDescent="0.3">
      <c r="A10336" s="198">
        <v>42901795</v>
      </c>
      <c r="B10336" s="192" t="s">
        <v>2893</v>
      </c>
      <c r="C10336" s="196">
        <v>-165600</v>
      </c>
      <c r="D10336" s="196">
        <v>0</v>
      </c>
      <c r="E10336" s="196">
        <v>0</v>
      </c>
      <c r="F10336" s="196">
        <v>0</v>
      </c>
      <c r="G10336" s="196">
        <v>-165600</v>
      </c>
    </row>
    <row r="10337" spans="1:7" x14ac:dyDescent="0.3">
      <c r="A10337" s="198">
        <v>43540374</v>
      </c>
      <c r="B10337" s="192" t="s">
        <v>2894</v>
      </c>
      <c r="C10337" s="196">
        <v>-165600</v>
      </c>
      <c r="D10337" s="196">
        <v>0</v>
      </c>
      <c r="E10337" s="196">
        <v>0</v>
      </c>
      <c r="F10337" s="196">
        <v>0</v>
      </c>
      <c r="G10337" s="196">
        <v>-165600</v>
      </c>
    </row>
    <row r="10338" spans="1:7" x14ac:dyDescent="0.3">
      <c r="A10338" s="198">
        <v>42870173</v>
      </c>
      <c r="B10338" s="192" t="s">
        <v>2896</v>
      </c>
      <c r="C10338" s="196">
        <v>-133600</v>
      </c>
      <c r="D10338" s="196">
        <v>0</v>
      </c>
      <c r="E10338" s="196">
        <v>0</v>
      </c>
      <c r="F10338" s="196">
        <v>0</v>
      </c>
      <c r="G10338" s="196">
        <v>-133600</v>
      </c>
    </row>
    <row r="10339" spans="1:7" x14ac:dyDescent="0.3">
      <c r="A10339" s="198">
        <v>43062123</v>
      </c>
      <c r="B10339" s="192" t="s">
        <v>342</v>
      </c>
      <c r="C10339" s="196">
        <v>-467000</v>
      </c>
      <c r="D10339" s="196">
        <v>0</v>
      </c>
      <c r="E10339" s="196">
        <v>0</v>
      </c>
      <c r="F10339" s="196">
        <v>0</v>
      </c>
      <c r="G10339" s="196">
        <v>-467000</v>
      </c>
    </row>
    <row r="10340" spans="1:7" x14ac:dyDescent="0.3">
      <c r="A10340" s="198">
        <v>21714188</v>
      </c>
      <c r="B10340" s="192" t="s">
        <v>343</v>
      </c>
      <c r="C10340" s="196">
        <v>-79200</v>
      </c>
      <c r="D10340" s="196">
        <v>0</v>
      </c>
      <c r="E10340" s="196">
        <v>0</v>
      </c>
      <c r="F10340" s="196">
        <v>0</v>
      </c>
      <c r="G10340" s="196">
        <v>-79200</v>
      </c>
    </row>
    <row r="10341" spans="1:7" x14ac:dyDescent="0.3">
      <c r="A10341" s="198">
        <v>32333128</v>
      </c>
      <c r="B10341" s="192" t="s">
        <v>2899</v>
      </c>
      <c r="C10341" s="196">
        <v>-49000</v>
      </c>
      <c r="D10341" s="196">
        <v>0</v>
      </c>
      <c r="E10341" s="196">
        <v>0</v>
      </c>
      <c r="F10341" s="196">
        <v>0</v>
      </c>
      <c r="G10341" s="196">
        <v>-49000</v>
      </c>
    </row>
    <row r="10342" spans="1:7" x14ac:dyDescent="0.3">
      <c r="A10342" s="198">
        <v>43003611</v>
      </c>
      <c r="B10342" s="192" t="s">
        <v>7184</v>
      </c>
      <c r="C10342" s="196">
        <v>-324000</v>
      </c>
      <c r="D10342" s="196">
        <v>0</v>
      </c>
      <c r="E10342" s="196">
        <v>0</v>
      </c>
      <c r="F10342" s="196">
        <v>0</v>
      </c>
      <c r="G10342" s="196">
        <v>-324000</v>
      </c>
    </row>
    <row r="10343" spans="1:7" x14ac:dyDescent="0.3">
      <c r="A10343" s="198">
        <v>32531387</v>
      </c>
      <c r="B10343" s="192" t="s">
        <v>2902</v>
      </c>
      <c r="C10343" s="196">
        <v>-81200</v>
      </c>
      <c r="D10343" s="196">
        <v>0</v>
      </c>
      <c r="E10343" s="196">
        <v>0</v>
      </c>
      <c r="F10343" s="196">
        <v>0</v>
      </c>
      <c r="G10343" s="196">
        <v>-81200</v>
      </c>
    </row>
    <row r="10344" spans="1:7" x14ac:dyDescent="0.3">
      <c r="A10344" s="198">
        <v>43533017</v>
      </c>
      <c r="B10344" s="192" t="s">
        <v>2904</v>
      </c>
      <c r="C10344" s="196">
        <v>-91400</v>
      </c>
      <c r="D10344" s="196">
        <v>0</v>
      </c>
      <c r="E10344" s="196">
        <v>0</v>
      </c>
      <c r="F10344" s="196">
        <v>0</v>
      </c>
      <c r="G10344" s="196">
        <v>-91400</v>
      </c>
    </row>
    <row r="10345" spans="1:7" x14ac:dyDescent="0.3">
      <c r="A10345" s="198">
        <v>21353692</v>
      </c>
      <c r="B10345" s="192" t="s">
        <v>2908</v>
      </c>
      <c r="C10345" s="196">
        <v>-40600</v>
      </c>
      <c r="D10345" s="196">
        <v>0</v>
      </c>
      <c r="E10345" s="196">
        <v>0</v>
      </c>
      <c r="F10345" s="196">
        <v>0</v>
      </c>
      <c r="G10345" s="196">
        <v>-40600</v>
      </c>
    </row>
    <row r="10346" spans="1:7" x14ac:dyDescent="0.3">
      <c r="A10346" s="198">
        <v>24836512</v>
      </c>
      <c r="B10346" s="192" t="s">
        <v>6397</v>
      </c>
      <c r="C10346" s="196">
        <v>-167000</v>
      </c>
      <c r="D10346" s="196">
        <v>0</v>
      </c>
      <c r="E10346" s="196">
        <v>0</v>
      </c>
      <c r="F10346" s="196">
        <v>0</v>
      </c>
      <c r="G10346" s="196">
        <v>-167000</v>
      </c>
    </row>
    <row r="10347" spans="1:7" x14ac:dyDescent="0.3">
      <c r="A10347" s="198">
        <v>42969847</v>
      </c>
      <c r="B10347" s="192" t="s">
        <v>2909</v>
      </c>
      <c r="C10347" s="196">
        <v>-49000</v>
      </c>
      <c r="D10347" s="196">
        <v>0</v>
      </c>
      <c r="E10347" s="196">
        <v>0</v>
      </c>
      <c r="F10347" s="196">
        <v>0</v>
      </c>
      <c r="G10347" s="196">
        <v>-49000</v>
      </c>
    </row>
    <row r="10348" spans="1:7" x14ac:dyDescent="0.3">
      <c r="A10348" s="198">
        <v>32289607</v>
      </c>
      <c r="B10348" s="192" t="s">
        <v>2910</v>
      </c>
      <c r="C10348" s="196">
        <v>-419200</v>
      </c>
      <c r="D10348" s="196">
        <v>0</v>
      </c>
      <c r="E10348" s="196">
        <v>0</v>
      </c>
      <c r="F10348" s="196">
        <v>0</v>
      </c>
      <c r="G10348" s="196">
        <v>-419200</v>
      </c>
    </row>
    <row r="10349" spans="1:7" x14ac:dyDescent="0.3">
      <c r="A10349" s="198">
        <v>43097494</v>
      </c>
      <c r="B10349" s="192" t="s">
        <v>7185</v>
      </c>
      <c r="C10349" s="196">
        <v>-209000</v>
      </c>
      <c r="D10349" s="196">
        <v>0</v>
      </c>
      <c r="E10349" s="196">
        <v>0</v>
      </c>
      <c r="F10349" s="196">
        <v>0</v>
      </c>
      <c r="G10349" s="196">
        <v>-209000</v>
      </c>
    </row>
    <row r="10350" spans="1:7" x14ac:dyDescent="0.3">
      <c r="A10350" s="198">
        <v>43110688</v>
      </c>
      <c r="B10350" s="192" t="s">
        <v>348</v>
      </c>
      <c r="C10350" s="196">
        <v>-121800</v>
      </c>
      <c r="D10350" s="196">
        <v>0</v>
      </c>
      <c r="E10350" s="196">
        <v>0</v>
      </c>
      <c r="F10350" s="196">
        <v>0</v>
      </c>
      <c r="G10350" s="196">
        <v>-121800</v>
      </c>
    </row>
    <row r="10351" spans="1:7" x14ac:dyDescent="0.3">
      <c r="A10351" s="198">
        <v>315321</v>
      </c>
      <c r="B10351" s="192" t="s">
        <v>2912</v>
      </c>
      <c r="C10351" s="196">
        <v>-35300</v>
      </c>
      <c r="D10351" s="196">
        <v>0</v>
      </c>
      <c r="E10351" s="196">
        <v>0</v>
      </c>
      <c r="F10351" s="196">
        <v>0</v>
      </c>
      <c r="G10351" s="196">
        <v>-35300</v>
      </c>
    </row>
    <row r="10352" spans="1:7" x14ac:dyDescent="0.3">
      <c r="A10352" s="198">
        <v>22103904</v>
      </c>
      <c r="B10352" s="192" t="s">
        <v>351</v>
      </c>
      <c r="C10352" s="196">
        <v>0</v>
      </c>
      <c r="D10352" s="196">
        <v>0</v>
      </c>
      <c r="E10352" s="196">
        <v>254000</v>
      </c>
      <c r="F10352" s="196">
        <v>-254000</v>
      </c>
      <c r="G10352" s="196">
        <v>-254000</v>
      </c>
    </row>
    <row r="10353" spans="1:7" x14ac:dyDescent="0.3">
      <c r="A10353" s="198">
        <v>88157555</v>
      </c>
      <c r="B10353" s="192" t="s">
        <v>2916</v>
      </c>
      <c r="C10353" s="196">
        <v>-258000</v>
      </c>
      <c r="D10353" s="196">
        <v>0</v>
      </c>
      <c r="E10353" s="196">
        <v>0</v>
      </c>
      <c r="F10353" s="196">
        <v>0</v>
      </c>
      <c r="G10353" s="196">
        <v>-258000</v>
      </c>
    </row>
    <row r="10354" spans="1:7" x14ac:dyDescent="0.3">
      <c r="A10354" s="198">
        <v>22211398</v>
      </c>
      <c r="B10354" s="192" t="s">
        <v>2928</v>
      </c>
      <c r="C10354" s="196">
        <v>-258000</v>
      </c>
      <c r="D10354" s="196">
        <v>0</v>
      </c>
      <c r="E10354" s="196">
        <v>0</v>
      </c>
      <c r="F10354" s="196">
        <v>0</v>
      </c>
      <c r="G10354" s="196">
        <v>-258000</v>
      </c>
    </row>
    <row r="10355" spans="1:7" x14ac:dyDescent="0.3">
      <c r="A10355" s="198">
        <v>21657630</v>
      </c>
      <c r="B10355" s="192" t="s">
        <v>7186</v>
      </c>
      <c r="C10355" s="196">
        <v>-871000</v>
      </c>
      <c r="D10355" s="196">
        <v>0</v>
      </c>
      <c r="E10355" s="196">
        <v>0</v>
      </c>
      <c r="F10355" s="196">
        <v>0</v>
      </c>
      <c r="G10355" s="196">
        <v>-871000</v>
      </c>
    </row>
    <row r="10356" spans="1:7" x14ac:dyDescent="0.3">
      <c r="A10356" s="198">
        <v>52319132</v>
      </c>
      <c r="B10356" s="192" t="s">
        <v>356</v>
      </c>
      <c r="C10356" s="196">
        <v>-79300</v>
      </c>
      <c r="D10356" s="196">
        <v>0</v>
      </c>
      <c r="E10356" s="196">
        <v>0</v>
      </c>
      <c r="F10356" s="196">
        <v>0</v>
      </c>
      <c r="G10356" s="196">
        <v>-79300</v>
      </c>
    </row>
    <row r="10357" spans="1:7" x14ac:dyDescent="0.3">
      <c r="A10357" s="198">
        <v>43117877</v>
      </c>
      <c r="B10357" s="192" t="s">
        <v>2935</v>
      </c>
      <c r="C10357" s="196">
        <v>-81200</v>
      </c>
      <c r="D10357" s="196">
        <v>0</v>
      </c>
      <c r="E10357" s="196">
        <v>0</v>
      </c>
      <c r="F10357" s="196">
        <v>0</v>
      </c>
      <c r="G10357" s="196">
        <v>-81200</v>
      </c>
    </row>
    <row r="10358" spans="1:7" x14ac:dyDescent="0.3">
      <c r="A10358" s="198">
        <v>901630573</v>
      </c>
      <c r="B10358" s="192" t="s">
        <v>107</v>
      </c>
      <c r="C10358" s="196">
        <v>-5135000</v>
      </c>
      <c r="D10358" s="196">
        <v>0</v>
      </c>
      <c r="E10358" s="196">
        <v>0</v>
      </c>
      <c r="F10358" s="196">
        <v>0</v>
      </c>
      <c r="G10358" s="196">
        <v>-5135000</v>
      </c>
    </row>
    <row r="10359" spans="1:7" x14ac:dyDescent="0.3">
      <c r="A10359" s="198">
        <v>25062889</v>
      </c>
      <c r="B10359" s="192" t="s">
        <v>364</v>
      </c>
      <c r="C10359" s="196">
        <v>-357000</v>
      </c>
      <c r="D10359" s="196">
        <v>0</v>
      </c>
      <c r="E10359" s="196">
        <v>0</v>
      </c>
      <c r="F10359" s="196">
        <v>0</v>
      </c>
      <c r="G10359" s="196">
        <v>-357000</v>
      </c>
    </row>
    <row r="10360" spans="1:7" x14ac:dyDescent="0.3">
      <c r="A10360" s="198">
        <v>22080523</v>
      </c>
      <c r="B10360" s="192" t="s">
        <v>7187</v>
      </c>
      <c r="C10360" s="196">
        <v>-357000</v>
      </c>
      <c r="D10360" s="196">
        <v>0</v>
      </c>
      <c r="E10360" s="196">
        <v>0</v>
      </c>
      <c r="F10360" s="196">
        <v>0</v>
      </c>
      <c r="G10360" s="196">
        <v>-357000</v>
      </c>
    </row>
    <row r="10361" spans="1:7" x14ac:dyDescent="0.3">
      <c r="A10361" s="198">
        <v>42751453</v>
      </c>
      <c r="B10361" s="192" t="s">
        <v>365</v>
      </c>
      <c r="C10361" s="196">
        <v>0</v>
      </c>
      <c r="D10361" s="196">
        <v>0</v>
      </c>
      <c r="E10361" s="196">
        <v>46000</v>
      </c>
      <c r="F10361" s="196">
        <v>-46000</v>
      </c>
      <c r="G10361" s="196">
        <v>-46000</v>
      </c>
    </row>
    <row r="10362" spans="1:7" x14ac:dyDescent="0.3">
      <c r="A10362" s="198">
        <v>43746429</v>
      </c>
      <c r="B10362" s="192" t="s">
        <v>366</v>
      </c>
      <c r="C10362" s="196">
        <v>-167000</v>
      </c>
      <c r="D10362" s="196">
        <v>0</v>
      </c>
      <c r="E10362" s="196">
        <v>0</v>
      </c>
      <c r="F10362" s="196">
        <v>0</v>
      </c>
      <c r="G10362" s="196">
        <v>-167000</v>
      </c>
    </row>
    <row r="10363" spans="1:7" x14ac:dyDescent="0.3">
      <c r="A10363" s="198">
        <v>32329884</v>
      </c>
      <c r="B10363" s="192" t="s">
        <v>367</v>
      </c>
      <c r="C10363" s="196">
        <v>-125200</v>
      </c>
      <c r="D10363" s="196">
        <v>0</v>
      </c>
      <c r="E10363" s="196">
        <v>0</v>
      </c>
      <c r="F10363" s="196">
        <v>0</v>
      </c>
      <c r="G10363" s="196">
        <v>-125200</v>
      </c>
    </row>
    <row r="10364" spans="1:7" x14ac:dyDescent="0.3">
      <c r="A10364" s="198">
        <v>43792171</v>
      </c>
      <c r="B10364" s="192" t="s">
        <v>2948</v>
      </c>
      <c r="C10364" s="196">
        <v>-46000</v>
      </c>
      <c r="D10364" s="196">
        <v>0</v>
      </c>
      <c r="E10364" s="196">
        <v>0</v>
      </c>
      <c r="F10364" s="196">
        <v>0</v>
      </c>
      <c r="G10364" s="196">
        <v>-46000</v>
      </c>
    </row>
    <row r="10365" spans="1:7" x14ac:dyDescent="0.3">
      <c r="A10365" s="198">
        <v>15517529</v>
      </c>
      <c r="B10365" s="192" t="s">
        <v>369</v>
      </c>
      <c r="C10365" s="196">
        <v>0</v>
      </c>
      <c r="D10365" s="196">
        <v>0</v>
      </c>
      <c r="E10365" s="196">
        <v>150000</v>
      </c>
      <c r="F10365" s="196">
        <v>-150000</v>
      </c>
      <c r="G10365" s="196">
        <v>-150000</v>
      </c>
    </row>
    <row r="10366" spans="1:7" x14ac:dyDescent="0.3">
      <c r="A10366" s="198">
        <v>7433411</v>
      </c>
      <c r="B10366" s="192" t="s">
        <v>2949</v>
      </c>
      <c r="C10366" s="196">
        <v>-46000</v>
      </c>
      <c r="D10366" s="196">
        <v>0</v>
      </c>
      <c r="E10366" s="196">
        <v>0</v>
      </c>
      <c r="F10366" s="196">
        <v>0</v>
      </c>
      <c r="G10366" s="196">
        <v>-46000</v>
      </c>
    </row>
    <row r="10367" spans="1:7" x14ac:dyDescent="0.3">
      <c r="A10367" s="192" t="s">
        <v>370</v>
      </c>
      <c r="B10367" s="192" t="s">
        <v>371</v>
      </c>
      <c r="C10367" s="196">
        <v>0</v>
      </c>
      <c r="D10367" s="196">
        <v>495000</v>
      </c>
      <c r="E10367" s="196">
        <v>1289000</v>
      </c>
      <c r="F10367" s="196">
        <v>-794000</v>
      </c>
      <c r="G10367" s="196">
        <v>-794000</v>
      </c>
    </row>
    <row r="10368" spans="1:7" x14ac:dyDescent="0.3">
      <c r="A10368" s="192" t="s">
        <v>2951</v>
      </c>
      <c r="B10368" s="192" t="s">
        <v>2952</v>
      </c>
      <c r="C10368" s="196">
        <v>-258000</v>
      </c>
      <c r="D10368" s="196">
        <v>0</v>
      </c>
      <c r="E10368" s="196">
        <v>0</v>
      </c>
      <c r="F10368" s="196">
        <v>0</v>
      </c>
      <c r="G10368" s="196">
        <v>-258000</v>
      </c>
    </row>
    <row r="10369" spans="1:7" x14ac:dyDescent="0.3">
      <c r="A10369" s="198">
        <v>1001004076</v>
      </c>
      <c r="B10369" s="192" t="s">
        <v>2956</v>
      </c>
      <c r="C10369" s="196">
        <v>-115000</v>
      </c>
      <c r="D10369" s="196">
        <v>0</v>
      </c>
      <c r="E10369" s="196">
        <v>0</v>
      </c>
      <c r="F10369" s="196">
        <v>0</v>
      </c>
      <c r="G10369" s="196">
        <v>-115000</v>
      </c>
    </row>
    <row r="10370" spans="1:7" x14ac:dyDescent="0.3">
      <c r="A10370" s="192" t="s">
        <v>6410</v>
      </c>
      <c r="B10370" s="192" t="s">
        <v>6411</v>
      </c>
      <c r="C10370" s="196">
        <v>-193000</v>
      </c>
      <c r="D10370" s="196">
        <v>0</v>
      </c>
      <c r="E10370" s="196">
        <v>0</v>
      </c>
      <c r="F10370" s="196">
        <v>0</v>
      </c>
      <c r="G10370" s="196">
        <v>-193000</v>
      </c>
    </row>
    <row r="10371" spans="1:7" x14ac:dyDescent="0.3">
      <c r="A10371" s="192" t="s">
        <v>377</v>
      </c>
      <c r="B10371" s="192" t="s">
        <v>378</v>
      </c>
      <c r="C10371" s="196">
        <v>0</v>
      </c>
      <c r="D10371" s="196">
        <v>0</v>
      </c>
      <c r="E10371" s="196">
        <v>190000</v>
      </c>
      <c r="F10371" s="196">
        <v>-190000</v>
      </c>
      <c r="G10371" s="196">
        <v>-190000</v>
      </c>
    </row>
    <row r="10372" spans="1:7" x14ac:dyDescent="0.3">
      <c r="A10372" s="198">
        <v>1065833783</v>
      </c>
      <c r="B10372" s="192" t="s">
        <v>379</v>
      </c>
      <c r="C10372" s="196">
        <v>0</v>
      </c>
      <c r="D10372" s="196">
        <v>0</v>
      </c>
      <c r="E10372" s="196">
        <v>279000</v>
      </c>
      <c r="F10372" s="196">
        <v>-279000</v>
      </c>
      <c r="G10372" s="196">
        <v>-279000</v>
      </c>
    </row>
    <row r="10373" spans="1:7" x14ac:dyDescent="0.3">
      <c r="A10373" s="198">
        <v>1152223186</v>
      </c>
      <c r="B10373" s="192" t="s">
        <v>2959</v>
      </c>
      <c r="C10373" s="196">
        <v>-508000</v>
      </c>
      <c r="D10373" s="196">
        <v>0</v>
      </c>
      <c r="E10373" s="196">
        <v>0</v>
      </c>
      <c r="F10373" s="196">
        <v>0</v>
      </c>
      <c r="G10373" s="196">
        <v>-508000</v>
      </c>
    </row>
    <row r="10374" spans="1:7" x14ac:dyDescent="0.3">
      <c r="A10374" s="198">
        <v>1000568483</v>
      </c>
      <c r="B10374" s="192" t="s">
        <v>2963</v>
      </c>
      <c r="C10374" s="196">
        <v>-165600</v>
      </c>
      <c r="D10374" s="196">
        <v>0</v>
      </c>
      <c r="E10374" s="196">
        <v>0</v>
      </c>
      <c r="F10374" s="196">
        <v>0</v>
      </c>
      <c r="G10374" s="196">
        <v>-165600</v>
      </c>
    </row>
    <row r="10375" spans="1:7" x14ac:dyDescent="0.3">
      <c r="A10375" s="198">
        <v>1036623788</v>
      </c>
      <c r="B10375" s="192" t="s">
        <v>2964</v>
      </c>
      <c r="C10375" s="196">
        <v>-76800</v>
      </c>
      <c r="D10375" s="196">
        <v>0</v>
      </c>
      <c r="E10375" s="196">
        <v>0</v>
      </c>
      <c r="F10375" s="196">
        <v>0</v>
      </c>
      <c r="G10375" s="196">
        <v>-76800</v>
      </c>
    </row>
    <row r="10376" spans="1:7" x14ac:dyDescent="0.3">
      <c r="A10376" s="198">
        <v>1000596924</v>
      </c>
      <c r="B10376" s="192" t="s">
        <v>7188</v>
      </c>
      <c r="C10376" s="196">
        <v>-79300</v>
      </c>
      <c r="D10376" s="196">
        <v>0</v>
      </c>
      <c r="E10376" s="196">
        <v>0</v>
      </c>
      <c r="F10376" s="196">
        <v>0</v>
      </c>
      <c r="G10376" s="196">
        <v>-79300</v>
      </c>
    </row>
    <row r="10377" spans="1:7" x14ac:dyDescent="0.3">
      <c r="A10377" s="198">
        <v>1004999300</v>
      </c>
      <c r="B10377" s="192" t="s">
        <v>6413</v>
      </c>
      <c r="C10377" s="196">
        <v>-193000</v>
      </c>
      <c r="D10377" s="196">
        <v>0</v>
      </c>
      <c r="E10377" s="196">
        <v>0</v>
      </c>
      <c r="F10377" s="196">
        <v>0</v>
      </c>
      <c r="G10377" s="196">
        <v>-193000</v>
      </c>
    </row>
    <row r="10378" spans="1:7" x14ac:dyDescent="0.3">
      <c r="A10378" s="198">
        <v>1036606005</v>
      </c>
      <c r="B10378" s="192" t="s">
        <v>2969</v>
      </c>
      <c r="C10378" s="196">
        <v>-190000</v>
      </c>
      <c r="D10378" s="196">
        <v>0</v>
      </c>
      <c r="E10378" s="196">
        <v>0</v>
      </c>
      <c r="F10378" s="196">
        <v>0</v>
      </c>
      <c r="G10378" s="196">
        <v>-190000</v>
      </c>
    </row>
    <row r="10379" spans="1:7" x14ac:dyDescent="0.3">
      <c r="A10379" s="198">
        <v>71646747</v>
      </c>
      <c r="B10379" s="192" t="s">
        <v>2972</v>
      </c>
      <c r="C10379" s="196">
        <v>-46000</v>
      </c>
      <c r="D10379" s="196">
        <v>0</v>
      </c>
      <c r="E10379" s="196">
        <v>0</v>
      </c>
      <c r="F10379" s="196">
        <v>0</v>
      </c>
      <c r="G10379" s="196">
        <v>-46000</v>
      </c>
    </row>
    <row r="10380" spans="1:7" x14ac:dyDescent="0.3">
      <c r="A10380" s="198">
        <v>1036961922</v>
      </c>
      <c r="B10380" s="192" t="s">
        <v>2975</v>
      </c>
      <c r="C10380" s="196">
        <v>-46000</v>
      </c>
      <c r="D10380" s="196">
        <v>0</v>
      </c>
      <c r="E10380" s="196">
        <v>0</v>
      </c>
      <c r="F10380" s="196">
        <v>0</v>
      </c>
      <c r="G10380" s="196">
        <v>-46000</v>
      </c>
    </row>
    <row r="10381" spans="1:7" x14ac:dyDescent="0.3">
      <c r="A10381" s="198">
        <v>1037620552</v>
      </c>
      <c r="B10381" s="192" t="s">
        <v>7189</v>
      </c>
      <c r="C10381" s="196">
        <v>-73900</v>
      </c>
      <c r="D10381" s="196">
        <v>0</v>
      </c>
      <c r="E10381" s="196">
        <v>0</v>
      </c>
      <c r="F10381" s="196">
        <v>0</v>
      </c>
      <c r="G10381" s="196">
        <v>-73900</v>
      </c>
    </row>
    <row r="10382" spans="1:7" x14ac:dyDescent="0.3">
      <c r="A10382" s="198">
        <v>79791406</v>
      </c>
      <c r="B10382" s="192" t="s">
        <v>384</v>
      </c>
      <c r="C10382" s="196">
        <v>0</v>
      </c>
      <c r="D10382" s="196">
        <v>0</v>
      </c>
      <c r="E10382" s="196">
        <v>46000</v>
      </c>
      <c r="F10382" s="196">
        <v>-46000</v>
      </c>
      <c r="G10382" s="196">
        <v>-46000</v>
      </c>
    </row>
    <row r="10383" spans="1:7" x14ac:dyDescent="0.3">
      <c r="A10383" s="198">
        <v>93405068</v>
      </c>
      <c r="B10383" s="192" t="s">
        <v>2985</v>
      </c>
      <c r="C10383" s="196">
        <v>-125200</v>
      </c>
      <c r="D10383" s="196">
        <v>0</v>
      </c>
      <c r="E10383" s="196">
        <v>0</v>
      </c>
      <c r="F10383" s="196">
        <v>0</v>
      </c>
      <c r="G10383" s="196">
        <v>-125200</v>
      </c>
    </row>
    <row r="10384" spans="1:7" x14ac:dyDescent="0.3">
      <c r="A10384" s="198">
        <v>1039455064</v>
      </c>
      <c r="B10384" s="192" t="s">
        <v>2988</v>
      </c>
      <c r="C10384" s="196">
        <v>-607000</v>
      </c>
      <c r="D10384" s="196">
        <v>0</v>
      </c>
      <c r="E10384" s="196">
        <v>0</v>
      </c>
      <c r="F10384" s="196">
        <v>0</v>
      </c>
      <c r="G10384" s="196">
        <v>-607000</v>
      </c>
    </row>
    <row r="10385" spans="1:7" x14ac:dyDescent="0.3">
      <c r="A10385" s="198">
        <v>98666745</v>
      </c>
      <c r="B10385" s="192" t="s">
        <v>7190</v>
      </c>
      <c r="C10385" s="196">
        <v>-33200</v>
      </c>
      <c r="D10385" s="196">
        <v>0</v>
      </c>
      <c r="E10385" s="196">
        <v>0</v>
      </c>
      <c r="F10385" s="196">
        <v>0</v>
      </c>
      <c r="G10385" s="196">
        <v>-33200</v>
      </c>
    </row>
    <row r="10386" spans="1:7" x14ac:dyDescent="0.3">
      <c r="A10386" s="198">
        <v>71310582</v>
      </c>
      <c r="B10386" s="192" t="s">
        <v>7191</v>
      </c>
      <c r="C10386" s="196">
        <v>-46000</v>
      </c>
      <c r="D10386" s="196">
        <v>0</v>
      </c>
      <c r="E10386" s="196">
        <v>0</v>
      </c>
      <c r="F10386" s="196">
        <v>0</v>
      </c>
      <c r="G10386" s="196">
        <v>-46000</v>
      </c>
    </row>
    <row r="10387" spans="1:7" x14ac:dyDescent="0.3">
      <c r="A10387" s="198">
        <v>1037658564</v>
      </c>
      <c r="B10387" s="192" t="s">
        <v>3000</v>
      </c>
      <c r="C10387" s="196">
        <v>-305000</v>
      </c>
      <c r="D10387" s="196">
        <v>0</v>
      </c>
      <c r="E10387" s="196">
        <v>0</v>
      </c>
      <c r="F10387" s="196">
        <v>0</v>
      </c>
      <c r="G10387" s="196">
        <v>-305000</v>
      </c>
    </row>
    <row r="10388" spans="1:7" x14ac:dyDescent="0.3">
      <c r="A10388" s="198">
        <v>8349450</v>
      </c>
      <c r="B10388" s="192" t="s">
        <v>7192</v>
      </c>
      <c r="C10388" s="196">
        <v>-171200</v>
      </c>
      <c r="D10388" s="196">
        <v>0</v>
      </c>
      <c r="E10388" s="196">
        <v>0</v>
      </c>
      <c r="F10388" s="196">
        <v>0</v>
      </c>
      <c r="G10388" s="196">
        <v>-171200</v>
      </c>
    </row>
    <row r="10389" spans="1:7" x14ac:dyDescent="0.3">
      <c r="A10389" s="198">
        <v>70076810</v>
      </c>
      <c r="B10389" s="192" t="s">
        <v>6417</v>
      </c>
      <c r="C10389" s="196">
        <v>-92200</v>
      </c>
      <c r="D10389" s="196">
        <v>0</v>
      </c>
      <c r="E10389" s="196">
        <v>0</v>
      </c>
      <c r="F10389" s="196">
        <v>0</v>
      </c>
      <c r="G10389" s="196">
        <v>-92200</v>
      </c>
    </row>
    <row r="10390" spans="1:7" x14ac:dyDescent="0.3">
      <c r="A10390" s="198">
        <v>1005604112</v>
      </c>
      <c r="B10390" s="192" t="s">
        <v>3008</v>
      </c>
      <c r="C10390" s="196">
        <v>-347000</v>
      </c>
      <c r="D10390" s="196">
        <v>0</v>
      </c>
      <c r="E10390" s="196">
        <v>0</v>
      </c>
      <c r="F10390" s="196">
        <v>0</v>
      </c>
      <c r="G10390" s="196">
        <v>-347000</v>
      </c>
    </row>
    <row r="10391" spans="1:7" x14ac:dyDescent="0.3">
      <c r="A10391" s="198">
        <v>1035830670</v>
      </c>
      <c r="B10391" s="192" t="s">
        <v>7193</v>
      </c>
      <c r="C10391" s="196">
        <v>-183000</v>
      </c>
      <c r="D10391" s="196">
        <v>0</v>
      </c>
      <c r="E10391" s="196">
        <v>0</v>
      </c>
      <c r="F10391" s="196">
        <v>0</v>
      </c>
      <c r="G10391" s="196">
        <v>-183000</v>
      </c>
    </row>
    <row r="10392" spans="1:7" x14ac:dyDescent="0.3">
      <c r="A10392" s="198">
        <v>15326888</v>
      </c>
      <c r="B10392" s="192" t="s">
        <v>7194</v>
      </c>
      <c r="C10392" s="196">
        <v>-380000</v>
      </c>
      <c r="D10392" s="196">
        <v>0</v>
      </c>
      <c r="E10392" s="196">
        <v>0</v>
      </c>
      <c r="F10392" s="196">
        <v>0</v>
      </c>
      <c r="G10392" s="196">
        <v>-380000</v>
      </c>
    </row>
    <row r="10393" spans="1:7" x14ac:dyDescent="0.3">
      <c r="A10393" s="198">
        <v>71618070</v>
      </c>
      <c r="B10393" s="192" t="s">
        <v>3022</v>
      </c>
      <c r="C10393" s="196">
        <v>-33200</v>
      </c>
      <c r="D10393" s="196">
        <v>0</v>
      </c>
      <c r="E10393" s="196">
        <v>0</v>
      </c>
      <c r="F10393" s="196">
        <v>0</v>
      </c>
      <c r="G10393" s="196">
        <v>-33200</v>
      </c>
    </row>
    <row r="10394" spans="1:7" x14ac:dyDescent="0.3">
      <c r="A10394" s="198">
        <v>25807299</v>
      </c>
      <c r="B10394" s="192" t="s">
        <v>7195</v>
      </c>
      <c r="C10394" s="196">
        <v>-324000</v>
      </c>
      <c r="D10394" s="196">
        <v>0</v>
      </c>
      <c r="E10394" s="196">
        <v>0</v>
      </c>
      <c r="F10394" s="196">
        <v>0</v>
      </c>
      <c r="G10394" s="196">
        <v>-324000</v>
      </c>
    </row>
    <row r="10395" spans="1:7" x14ac:dyDescent="0.3">
      <c r="A10395" s="198">
        <v>42869566</v>
      </c>
      <c r="B10395" s="192" t="s">
        <v>7196</v>
      </c>
      <c r="C10395" s="196">
        <v>-46000</v>
      </c>
      <c r="D10395" s="196">
        <v>0</v>
      </c>
      <c r="E10395" s="196">
        <v>0</v>
      </c>
      <c r="F10395" s="196">
        <v>0</v>
      </c>
      <c r="G10395" s="196">
        <v>-46000</v>
      </c>
    </row>
    <row r="10396" spans="1:7" x14ac:dyDescent="0.3">
      <c r="A10396" s="198">
        <v>21599449</v>
      </c>
      <c r="B10396" s="192" t="s">
        <v>403</v>
      </c>
      <c r="C10396" s="196">
        <v>-285600</v>
      </c>
      <c r="D10396" s="196">
        <v>0</v>
      </c>
      <c r="E10396" s="196">
        <v>0</v>
      </c>
      <c r="F10396" s="196">
        <v>0</v>
      </c>
      <c r="G10396" s="196">
        <v>-285600</v>
      </c>
    </row>
    <row r="10397" spans="1:7" x14ac:dyDescent="0.3">
      <c r="A10397" s="198">
        <v>31134111</v>
      </c>
      <c r="B10397" s="192" t="s">
        <v>404</v>
      </c>
      <c r="C10397" s="196">
        <v>-81200</v>
      </c>
      <c r="D10397" s="196">
        <v>0</v>
      </c>
      <c r="E10397" s="196">
        <v>0</v>
      </c>
      <c r="F10397" s="196">
        <v>0</v>
      </c>
      <c r="G10397" s="196">
        <v>-81200</v>
      </c>
    </row>
    <row r="10398" spans="1:7" x14ac:dyDescent="0.3">
      <c r="A10398" s="198">
        <v>43746229</v>
      </c>
      <c r="B10398" s="192" t="s">
        <v>3041</v>
      </c>
      <c r="C10398" s="196">
        <v>-317800</v>
      </c>
      <c r="D10398" s="196">
        <v>0</v>
      </c>
      <c r="E10398" s="196">
        <v>0</v>
      </c>
      <c r="F10398" s="196">
        <v>0</v>
      </c>
      <c r="G10398" s="196">
        <v>-317800</v>
      </c>
    </row>
    <row r="10399" spans="1:7" x14ac:dyDescent="0.3">
      <c r="A10399" s="198">
        <v>1039455529</v>
      </c>
      <c r="B10399" s="192" t="s">
        <v>407</v>
      </c>
      <c r="C10399" s="196">
        <v>-79200</v>
      </c>
      <c r="D10399" s="196">
        <v>0</v>
      </c>
      <c r="E10399" s="196">
        <v>0</v>
      </c>
      <c r="F10399" s="196">
        <v>0</v>
      </c>
      <c r="G10399" s="196">
        <v>-79200</v>
      </c>
    </row>
    <row r="10400" spans="1:7" x14ac:dyDescent="0.3">
      <c r="A10400" s="198">
        <v>43871375</v>
      </c>
      <c r="B10400" s="192" t="s">
        <v>3043</v>
      </c>
      <c r="C10400" s="196">
        <v>-79300</v>
      </c>
      <c r="D10400" s="196">
        <v>0</v>
      </c>
      <c r="E10400" s="196">
        <v>0</v>
      </c>
      <c r="F10400" s="196">
        <v>0</v>
      </c>
      <c r="G10400" s="196">
        <v>-79300</v>
      </c>
    </row>
    <row r="10401" spans="1:7" x14ac:dyDescent="0.3">
      <c r="A10401" s="198">
        <v>43087378</v>
      </c>
      <c r="B10401" s="192" t="s">
        <v>6429</v>
      </c>
      <c r="C10401" s="196">
        <v>-167000</v>
      </c>
      <c r="D10401" s="196">
        <v>0</v>
      </c>
      <c r="E10401" s="196">
        <v>0</v>
      </c>
      <c r="F10401" s="196">
        <v>0</v>
      </c>
      <c r="G10401" s="196">
        <v>-167000</v>
      </c>
    </row>
    <row r="10402" spans="1:7" x14ac:dyDescent="0.3">
      <c r="A10402" s="198">
        <v>1128279754</v>
      </c>
      <c r="B10402" s="192" t="s">
        <v>7197</v>
      </c>
      <c r="C10402" s="196">
        <v>-147600</v>
      </c>
      <c r="D10402" s="196">
        <v>0</v>
      </c>
      <c r="E10402" s="196">
        <v>0</v>
      </c>
      <c r="F10402" s="196">
        <v>0</v>
      </c>
      <c r="G10402" s="196">
        <v>-147600</v>
      </c>
    </row>
    <row r="10403" spans="1:7" x14ac:dyDescent="0.3">
      <c r="A10403" s="198">
        <v>43974663</v>
      </c>
      <c r="B10403" s="192" t="s">
        <v>3045</v>
      </c>
      <c r="C10403" s="196">
        <v>-86000</v>
      </c>
      <c r="D10403" s="196">
        <v>0</v>
      </c>
      <c r="E10403" s="196">
        <v>0</v>
      </c>
      <c r="F10403" s="196">
        <v>0</v>
      </c>
      <c r="G10403" s="196">
        <v>-86000</v>
      </c>
    </row>
    <row r="10404" spans="1:7" x14ac:dyDescent="0.3">
      <c r="A10404" s="198">
        <v>1128268581</v>
      </c>
      <c r="B10404" s="192" t="s">
        <v>3047</v>
      </c>
      <c r="C10404" s="196">
        <v>-200000</v>
      </c>
      <c r="D10404" s="196">
        <v>0</v>
      </c>
      <c r="E10404" s="196">
        <v>0</v>
      </c>
      <c r="F10404" s="196">
        <v>0</v>
      </c>
      <c r="G10404" s="196">
        <v>-200000</v>
      </c>
    </row>
    <row r="10405" spans="1:7" x14ac:dyDescent="0.3">
      <c r="A10405" s="198">
        <v>13108788</v>
      </c>
      <c r="B10405" s="192" t="s">
        <v>3048</v>
      </c>
      <c r="C10405" s="196">
        <v>-514000</v>
      </c>
      <c r="D10405" s="196">
        <v>0</v>
      </c>
      <c r="E10405" s="196">
        <v>0</v>
      </c>
      <c r="F10405" s="196">
        <v>0</v>
      </c>
      <c r="G10405" s="196">
        <v>-514000</v>
      </c>
    </row>
    <row r="10406" spans="1:7" x14ac:dyDescent="0.3">
      <c r="A10406" s="198">
        <v>43982984</v>
      </c>
      <c r="B10406" s="192" t="s">
        <v>411</v>
      </c>
      <c r="C10406" s="196">
        <v>-33200</v>
      </c>
      <c r="D10406" s="196">
        <v>0</v>
      </c>
      <c r="E10406" s="196">
        <v>0</v>
      </c>
      <c r="F10406" s="196">
        <v>0</v>
      </c>
      <c r="G10406" s="196">
        <v>-33200</v>
      </c>
    </row>
    <row r="10407" spans="1:7" x14ac:dyDescent="0.3">
      <c r="A10407" s="198">
        <v>1042768267</v>
      </c>
      <c r="B10407" s="192" t="s">
        <v>3051</v>
      </c>
      <c r="C10407" s="196">
        <v>-79300</v>
      </c>
      <c r="D10407" s="196">
        <v>0</v>
      </c>
      <c r="E10407" s="196">
        <v>0</v>
      </c>
      <c r="F10407" s="196">
        <v>0</v>
      </c>
      <c r="G10407" s="196">
        <v>-79300</v>
      </c>
    </row>
    <row r="10408" spans="1:7" x14ac:dyDescent="0.3">
      <c r="A10408" s="198">
        <v>1017206692</v>
      </c>
      <c r="B10408" s="192" t="s">
        <v>3053</v>
      </c>
      <c r="C10408" s="196">
        <v>-190000</v>
      </c>
      <c r="D10408" s="196">
        <v>0</v>
      </c>
      <c r="E10408" s="196">
        <v>0</v>
      </c>
      <c r="F10408" s="196">
        <v>0</v>
      </c>
      <c r="G10408" s="196">
        <v>-190000</v>
      </c>
    </row>
    <row r="10409" spans="1:7" x14ac:dyDescent="0.3">
      <c r="A10409" s="198">
        <v>1017185650</v>
      </c>
      <c r="B10409" s="192" t="s">
        <v>7198</v>
      </c>
      <c r="C10409" s="196">
        <v>-158400</v>
      </c>
      <c r="D10409" s="196">
        <v>0</v>
      </c>
      <c r="E10409" s="196">
        <v>0</v>
      </c>
      <c r="F10409" s="196">
        <v>0</v>
      </c>
      <c r="G10409" s="196">
        <v>-158400</v>
      </c>
    </row>
    <row r="10410" spans="1:7" x14ac:dyDescent="0.3">
      <c r="A10410" s="198">
        <v>1128476624</v>
      </c>
      <c r="B10410" s="192" t="s">
        <v>7199</v>
      </c>
      <c r="C10410" s="196">
        <v>-380000</v>
      </c>
      <c r="D10410" s="196">
        <v>0</v>
      </c>
      <c r="E10410" s="196">
        <v>0</v>
      </c>
      <c r="F10410" s="196">
        <v>0</v>
      </c>
      <c r="G10410" s="196">
        <v>-380000</v>
      </c>
    </row>
    <row r="10411" spans="1:7" x14ac:dyDescent="0.3">
      <c r="A10411" s="198">
        <v>43869069</v>
      </c>
      <c r="B10411" s="192" t="s">
        <v>3070</v>
      </c>
      <c r="C10411" s="196">
        <v>-133600</v>
      </c>
      <c r="D10411" s="196">
        <v>0</v>
      </c>
      <c r="E10411" s="196">
        <v>0</v>
      </c>
      <c r="F10411" s="196">
        <v>0</v>
      </c>
      <c r="G10411" s="196">
        <v>-133600</v>
      </c>
    </row>
    <row r="10412" spans="1:7" x14ac:dyDescent="0.3">
      <c r="A10412" s="198">
        <v>1037584671</v>
      </c>
      <c r="B10412" s="192" t="s">
        <v>7200</v>
      </c>
      <c r="C10412" s="196">
        <v>-112500</v>
      </c>
      <c r="D10412" s="196">
        <v>0</v>
      </c>
      <c r="E10412" s="196">
        <v>0</v>
      </c>
      <c r="F10412" s="196">
        <v>0</v>
      </c>
      <c r="G10412" s="196">
        <v>-112500</v>
      </c>
    </row>
    <row r="10413" spans="1:7" x14ac:dyDescent="0.3">
      <c r="A10413" s="198">
        <v>1017201855</v>
      </c>
      <c r="B10413" s="192" t="s">
        <v>3080</v>
      </c>
      <c r="C10413" s="196">
        <v>-727000</v>
      </c>
      <c r="D10413" s="196">
        <v>0</v>
      </c>
      <c r="E10413" s="196">
        <v>0</v>
      </c>
      <c r="F10413" s="196">
        <v>0</v>
      </c>
      <c r="G10413" s="196">
        <v>-727000</v>
      </c>
    </row>
    <row r="10414" spans="1:7" x14ac:dyDescent="0.3">
      <c r="A10414" s="198">
        <v>1035007806</v>
      </c>
      <c r="B10414" s="192" t="s">
        <v>3093</v>
      </c>
      <c r="C10414" s="196">
        <v>-46000</v>
      </c>
      <c r="D10414" s="196">
        <v>0</v>
      </c>
      <c r="E10414" s="196">
        <v>0</v>
      </c>
      <c r="F10414" s="196">
        <v>0</v>
      </c>
      <c r="G10414" s="196">
        <v>-46000</v>
      </c>
    </row>
    <row r="10415" spans="1:7" x14ac:dyDescent="0.3">
      <c r="A10415" s="198">
        <v>64718429</v>
      </c>
      <c r="B10415" s="192" t="s">
        <v>7201</v>
      </c>
      <c r="C10415" s="196">
        <v>-177650</v>
      </c>
      <c r="D10415" s="196">
        <v>0</v>
      </c>
      <c r="E10415" s="196">
        <v>0</v>
      </c>
      <c r="F10415" s="196">
        <v>0</v>
      </c>
      <c r="G10415" s="196">
        <v>-177650</v>
      </c>
    </row>
    <row r="10416" spans="1:7" x14ac:dyDescent="0.3">
      <c r="A10416" s="198">
        <v>71493047</v>
      </c>
      <c r="B10416" s="192" t="s">
        <v>3098</v>
      </c>
      <c r="C10416" s="196">
        <v>-133600</v>
      </c>
      <c r="D10416" s="196">
        <v>0</v>
      </c>
      <c r="E10416" s="196">
        <v>0</v>
      </c>
      <c r="F10416" s="196">
        <v>0</v>
      </c>
      <c r="G10416" s="196">
        <v>-133600</v>
      </c>
    </row>
    <row r="10417" spans="1:7" x14ac:dyDescent="0.3">
      <c r="A10417" s="198">
        <v>79236164</v>
      </c>
      <c r="B10417" s="192" t="s">
        <v>429</v>
      </c>
      <c r="C10417" s="196">
        <v>-121801</v>
      </c>
      <c r="D10417" s="196">
        <v>0</v>
      </c>
      <c r="E10417" s="196">
        <v>0</v>
      </c>
      <c r="F10417" s="196">
        <v>0</v>
      </c>
      <c r="G10417" s="196">
        <v>-121801</v>
      </c>
    </row>
    <row r="10418" spans="1:7" x14ac:dyDescent="0.3">
      <c r="A10418" s="198">
        <v>80231527</v>
      </c>
      <c r="B10418" s="192" t="s">
        <v>3103</v>
      </c>
      <c r="C10418" s="196">
        <v>-96000</v>
      </c>
      <c r="D10418" s="196">
        <v>0</v>
      </c>
      <c r="E10418" s="196">
        <v>0</v>
      </c>
      <c r="F10418" s="196">
        <v>0</v>
      </c>
      <c r="G10418" s="196">
        <v>-96000</v>
      </c>
    </row>
    <row r="10419" spans="1:7" x14ac:dyDescent="0.3">
      <c r="A10419" s="198">
        <v>1098760360</v>
      </c>
      <c r="B10419" s="192" t="s">
        <v>6438</v>
      </c>
      <c r="C10419" s="196">
        <v>-165000</v>
      </c>
      <c r="D10419" s="196">
        <v>0</v>
      </c>
      <c r="E10419" s="196">
        <v>0</v>
      </c>
      <c r="F10419" s="196">
        <v>0</v>
      </c>
      <c r="G10419" s="196">
        <v>-165000</v>
      </c>
    </row>
    <row r="10420" spans="1:7" x14ac:dyDescent="0.3">
      <c r="A10420" s="198">
        <v>1003232501</v>
      </c>
      <c r="B10420" s="192" t="s">
        <v>3105</v>
      </c>
      <c r="C10420" s="196">
        <v>-190000</v>
      </c>
      <c r="D10420" s="196">
        <v>0</v>
      </c>
      <c r="E10420" s="196">
        <v>0</v>
      </c>
      <c r="F10420" s="196">
        <v>0</v>
      </c>
      <c r="G10420" s="196">
        <v>-190000</v>
      </c>
    </row>
    <row r="10421" spans="1:7" x14ac:dyDescent="0.3">
      <c r="A10421" s="198">
        <v>1053773424</v>
      </c>
      <c r="B10421" s="192" t="s">
        <v>3106</v>
      </c>
      <c r="C10421" s="196">
        <v>-190000</v>
      </c>
      <c r="D10421" s="196">
        <v>0</v>
      </c>
      <c r="E10421" s="196">
        <v>0</v>
      </c>
      <c r="F10421" s="196">
        <v>0</v>
      </c>
      <c r="G10421" s="196">
        <v>-190000</v>
      </c>
    </row>
    <row r="10422" spans="1:7" x14ac:dyDescent="0.3">
      <c r="A10422" s="198">
        <v>8140725</v>
      </c>
      <c r="B10422" s="192" t="s">
        <v>3108</v>
      </c>
      <c r="C10422" s="196">
        <v>-507000</v>
      </c>
      <c r="D10422" s="196">
        <v>0</v>
      </c>
      <c r="E10422" s="196">
        <v>0</v>
      </c>
      <c r="F10422" s="196">
        <v>0</v>
      </c>
      <c r="G10422" s="196">
        <v>-507000</v>
      </c>
    </row>
    <row r="10423" spans="1:7" x14ac:dyDescent="0.3">
      <c r="A10423" s="198">
        <v>392653</v>
      </c>
      <c r="B10423" s="192" t="s">
        <v>3109</v>
      </c>
      <c r="C10423" s="196">
        <v>-73800</v>
      </c>
      <c r="D10423" s="196">
        <v>0</v>
      </c>
      <c r="E10423" s="196">
        <v>0</v>
      </c>
      <c r="F10423" s="196">
        <v>0</v>
      </c>
      <c r="G10423" s="196">
        <v>-73800</v>
      </c>
    </row>
    <row r="10424" spans="1:7" x14ac:dyDescent="0.3">
      <c r="A10424" s="192" t="s">
        <v>3111</v>
      </c>
      <c r="B10424" s="192" t="s">
        <v>3112</v>
      </c>
      <c r="C10424" s="196">
        <v>-299000</v>
      </c>
      <c r="D10424" s="196">
        <v>0</v>
      </c>
      <c r="E10424" s="196">
        <v>0</v>
      </c>
      <c r="F10424" s="196">
        <v>0</v>
      </c>
      <c r="G10424" s="196">
        <v>-299000</v>
      </c>
    </row>
    <row r="10425" spans="1:7" x14ac:dyDescent="0.3">
      <c r="A10425" s="198">
        <v>1034988193</v>
      </c>
      <c r="B10425" s="192" t="s">
        <v>434</v>
      </c>
      <c r="C10425" s="196">
        <v>0</v>
      </c>
      <c r="D10425" s="196">
        <v>0</v>
      </c>
      <c r="E10425" s="196">
        <v>79300</v>
      </c>
      <c r="F10425" s="196">
        <v>-79300</v>
      </c>
      <c r="G10425" s="196">
        <v>-79300</v>
      </c>
    </row>
    <row r="10426" spans="1:7" x14ac:dyDescent="0.3">
      <c r="A10426" s="198">
        <v>91201800</v>
      </c>
      <c r="B10426" s="192" t="s">
        <v>3118</v>
      </c>
      <c r="C10426" s="196">
        <v>-419200</v>
      </c>
      <c r="D10426" s="196">
        <v>0</v>
      </c>
      <c r="E10426" s="196">
        <v>0</v>
      </c>
      <c r="F10426" s="196">
        <v>0</v>
      </c>
      <c r="G10426" s="196">
        <v>-419200</v>
      </c>
    </row>
    <row r="10427" spans="1:7" x14ac:dyDescent="0.3">
      <c r="A10427" s="198">
        <v>32493581</v>
      </c>
      <c r="B10427" s="192" t="s">
        <v>3119</v>
      </c>
      <c r="C10427" s="196">
        <v>-43000</v>
      </c>
      <c r="D10427" s="196">
        <v>0</v>
      </c>
      <c r="E10427" s="196">
        <v>0</v>
      </c>
      <c r="F10427" s="196">
        <v>0</v>
      </c>
      <c r="G10427" s="196">
        <v>-43000</v>
      </c>
    </row>
    <row r="10428" spans="1:7" x14ac:dyDescent="0.3">
      <c r="A10428" s="198">
        <v>43667274</v>
      </c>
      <c r="B10428" s="192" t="s">
        <v>439</v>
      </c>
      <c r="C10428" s="196">
        <v>0</v>
      </c>
      <c r="D10428" s="196">
        <v>0</v>
      </c>
      <c r="E10428" s="196">
        <v>112500</v>
      </c>
      <c r="F10428" s="196">
        <v>-112500</v>
      </c>
      <c r="G10428" s="196">
        <v>-112500</v>
      </c>
    </row>
    <row r="10429" spans="1:7" x14ac:dyDescent="0.3">
      <c r="A10429" s="198">
        <v>43511610</v>
      </c>
      <c r="B10429" s="192" t="s">
        <v>7202</v>
      </c>
      <c r="C10429" s="196">
        <v>-40600</v>
      </c>
      <c r="D10429" s="196">
        <v>0</v>
      </c>
      <c r="E10429" s="196">
        <v>0</v>
      </c>
      <c r="F10429" s="196">
        <v>0</v>
      </c>
      <c r="G10429" s="196">
        <v>-40600</v>
      </c>
    </row>
    <row r="10430" spans="1:7" x14ac:dyDescent="0.3">
      <c r="A10430" s="198">
        <v>43045998</v>
      </c>
      <c r="B10430" s="192" t="s">
        <v>3132</v>
      </c>
      <c r="C10430" s="196">
        <v>-92000</v>
      </c>
      <c r="D10430" s="196">
        <v>0</v>
      </c>
      <c r="E10430" s="196">
        <v>0</v>
      </c>
      <c r="F10430" s="196">
        <v>0</v>
      </c>
      <c r="G10430" s="196">
        <v>-92000</v>
      </c>
    </row>
    <row r="10431" spans="1:7" x14ac:dyDescent="0.3">
      <c r="A10431" s="198">
        <v>32351307</v>
      </c>
      <c r="B10431" s="192" t="s">
        <v>442</v>
      </c>
      <c r="C10431" s="196">
        <v>-35300</v>
      </c>
      <c r="D10431" s="196">
        <v>0</v>
      </c>
      <c r="E10431" s="196">
        <v>0</v>
      </c>
      <c r="F10431" s="196">
        <v>0</v>
      </c>
      <c r="G10431" s="196">
        <v>-35300</v>
      </c>
    </row>
    <row r="10432" spans="1:7" x14ac:dyDescent="0.3">
      <c r="A10432" s="198">
        <v>1014214128</v>
      </c>
      <c r="B10432" s="192" t="s">
        <v>3133</v>
      </c>
      <c r="C10432" s="196">
        <v>-299000</v>
      </c>
      <c r="D10432" s="196">
        <v>0</v>
      </c>
      <c r="E10432" s="196">
        <v>0</v>
      </c>
      <c r="F10432" s="196">
        <v>0</v>
      </c>
      <c r="G10432" s="196">
        <v>-299000</v>
      </c>
    </row>
    <row r="10433" spans="1:7" x14ac:dyDescent="0.3">
      <c r="A10433" s="198">
        <v>51719149</v>
      </c>
      <c r="B10433" s="192" t="s">
        <v>3134</v>
      </c>
      <c r="C10433" s="196">
        <v>-46100</v>
      </c>
      <c r="D10433" s="196">
        <v>0</v>
      </c>
      <c r="E10433" s="196">
        <v>0</v>
      </c>
      <c r="F10433" s="196">
        <v>0</v>
      </c>
      <c r="G10433" s="196">
        <v>-46100</v>
      </c>
    </row>
    <row r="10434" spans="1:7" x14ac:dyDescent="0.3">
      <c r="A10434" s="198">
        <v>1020415217</v>
      </c>
      <c r="B10434" s="192" t="s">
        <v>3139</v>
      </c>
      <c r="C10434" s="196">
        <v>-194300</v>
      </c>
      <c r="D10434" s="196">
        <v>0</v>
      </c>
      <c r="E10434" s="196">
        <v>0</v>
      </c>
      <c r="F10434" s="196">
        <v>0</v>
      </c>
      <c r="G10434" s="196">
        <v>-194300</v>
      </c>
    </row>
    <row r="10435" spans="1:7" x14ac:dyDescent="0.3">
      <c r="A10435" s="198">
        <v>31577431</v>
      </c>
      <c r="B10435" s="192" t="s">
        <v>446</v>
      </c>
      <c r="C10435" s="196">
        <v>-38400</v>
      </c>
      <c r="D10435" s="196">
        <v>0</v>
      </c>
      <c r="E10435" s="196">
        <v>76800</v>
      </c>
      <c r="F10435" s="196">
        <v>-76800</v>
      </c>
      <c r="G10435" s="196">
        <v>-115200</v>
      </c>
    </row>
    <row r="10436" spans="1:7" x14ac:dyDescent="0.3">
      <c r="A10436" s="198">
        <v>43623687</v>
      </c>
      <c r="B10436" s="192" t="s">
        <v>3151</v>
      </c>
      <c r="C10436" s="196">
        <v>-79200</v>
      </c>
      <c r="D10436" s="196">
        <v>0</v>
      </c>
      <c r="E10436" s="196">
        <v>0</v>
      </c>
      <c r="F10436" s="196">
        <v>0</v>
      </c>
      <c r="G10436" s="196">
        <v>-79200</v>
      </c>
    </row>
    <row r="10437" spans="1:7" x14ac:dyDescent="0.3">
      <c r="A10437" s="198">
        <v>800106339</v>
      </c>
      <c r="B10437" s="192" t="s">
        <v>454</v>
      </c>
      <c r="C10437" s="196">
        <v>-3613890</v>
      </c>
      <c r="D10437" s="196">
        <v>0</v>
      </c>
      <c r="E10437" s="196">
        <v>0</v>
      </c>
      <c r="F10437" s="196">
        <v>0</v>
      </c>
      <c r="G10437" s="196">
        <v>-3613890</v>
      </c>
    </row>
    <row r="10438" spans="1:7" x14ac:dyDescent="0.3">
      <c r="A10438" s="198">
        <v>860002503</v>
      </c>
      <c r="B10438" s="192" t="s">
        <v>455</v>
      </c>
      <c r="C10438" s="196">
        <v>-3624395</v>
      </c>
      <c r="D10438" s="196">
        <v>764574</v>
      </c>
      <c r="E10438" s="196">
        <v>1566007</v>
      </c>
      <c r="F10438" s="196">
        <v>-801433</v>
      </c>
      <c r="G10438" s="196">
        <v>-4425828</v>
      </c>
    </row>
    <row r="10439" spans="1:7" x14ac:dyDescent="0.3">
      <c r="A10439" s="198">
        <v>15665703</v>
      </c>
      <c r="B10439" s="192" t="s">
        <v>457</v>
      </c>
      <c r="C10439" s="196">
        <v>-78601</v>
      </c>
      <c r="D10439" s="196">
        <v>0</v>
      </c>
      <c r="E10439" s="196">
        <v>0</v>
      </c>
      <c r="F10439" s="196">
        <v>0</v>
      </c>
      <c r="G10439" s="196">
        <v>-78601</v>
      </c>
    </row>
    <row r="10440" spans="1:7" x14ac:dyDescent="0.3">
      <c r="A10440" s="198">
        <v>21366560</v>
      </c>
      <c r="B10440" s="192" t="s">
        <v>460</v>
      </c>
      <c r="C10440" s="196">
        <v>0</v>
      </c>
      <c r="D10440" s="196">
        <v>0</v>
      </c>
      <c r="E10440" s="196">
        <v>357000</v>
      </c>
      <c r="F10440" s="196">
        <v>-357000</v>
      </c>
      <c r="G10440" s="196">
        <v>-357000</v>
      </c>
    </row>
    <row r="10441" spans="1:7" x14ac:dyDescent="0.3">
      <c r="A10441" s="198">
        <v>21459637</v>
      </c>
      <c r="B10441" s="192" t="s">
        <v>7203</v>
      </c>
      <c r="C10441" s="196">
        <v>-357000</v>
      </c>
      <c r="D10441" s="196">
        <v>0</v>
      </c>
      <c r="E10441" s="196">
        <v>0</v>
      </c>
      <c r="F10441" s="196">
        <v>0</v>
      </c>
      <c r="G10441" s="196">
        <v>-357000</v>
      </c>
    </row>
    <row r="10442" spans="1:7" x14ac:dyDescent="0.3">
      <c r="A10442" s="198">
        <v>900451273</v>
      </c>
      <c r="B10442" s="192" t="s">
        <v>3164</v>
      </c>
      <c r="C10442" s="196">
        <v>-258000</v>
      </c>
      <c r="D10442" s="196">
        <v>0</v>
      </c>
      <c r="E10442" s="196">
        <v>0</v>
      </c>
      <c r="F10442" s="196">
        <v>0</v>
      </c>
      <c r="G10442" s="196">
        <v>-258000</v>
      </c>
    </row>
    <row r="10443" spans="1:7" x14ac:dyDescent="0.3">
      <c r="A10443" s="198">
        <v>805009741</v>
      </c>
      <c r="B10443" s="192" t="s">
        <v>461</v>
      </c>
      <c r="C10443" s="196">
        <v>-18218314</v>
      </c>
      <c r="D10443" s="196">
        <v>156323</v>
      </c>
      <c r="E10443" s="196">
        <v>4178235</v>
      </c>
      <c r="F10443" s="196">
        <v>-4021912</v>
      </c>
      <c r="G10443" s="196">
        <v>-22240226</v>
      </c>
    </row>
    <row r="10444" spans="1:7" x14ac:dyDescent="0.3">
      <c r="A10444" s="192" t="s">
        <v>3166</v>
      </c>
      <c r="B10444" s="192" t="s">
        <v>3167</v>
      </c>
      <c r="C10444" s="196">
        <v>-605000</v>
      </c>
      <c r="D10444" s="196">
        <v>0</v>
      </c>
      <c r="E10444" s="196">
        <v>0</v>
      </c>
      <c r="F10444" s="196">
        <v>0</v>
      </c>
      <c r="G10444" s="196">
        <v>-605000</v>
      </c>
    </row>
    <row r="10445" spans="1:7" x14ac:dyDescent="0.3">
      <c r="A10445" s="198">
        <v>1123301841</v>
      </c>
      <c r="B10445" s="192" t="s">
        <v>7204</v>
      </c>
      <c r="C10445" s="196">
        <v>-285600</v>
      </c>
      <c r="D10445" s="196">
        <v>0</v>
      </c>
      <c r="E10445" s="196">
        <v>0</v>
      </c>
      <c r="F10445" s="196">
        <v>0</v>
      </c>
      <c r="G10445" s="196">
        <v>-285600</v>
      </c>
    </row>
    <row r="10446" spans="1:7" x14ac:dyDescent="0.3">
      <c r="A10446" s="198">
        <v>1192467957</v>
      </c>
      <c r="B10446" s="192" t="s">
        <v>7205</v>
      </c>
      <c r="C10446" s="196">
        <v>-193000</v>
      </c>
      <c r="D10446" s="196">
        <v>0</v>
      </c>
      <c r="E10446" s="196">
        <v>0</v>
      </c>
      <c r="F10446" s="196">
        <v>0</v>
      </c>
      <c r="G10446" s="196">
        <v>-193000</v>
      </c>
    </row>
    <row r="10447" spans="1:7" x14ac:dyDescent="0.3">
      <c r="A10447" s="198">
        <v>1053825950</v>
      </c>
      <c r="B10447" s="192" t="s">
        <v>462</v>
      </c>
      <c r="C10447" s="196">
        <v>0</v>
      </c>
      <c r="D10447" s="196">
        <v>115000</v>
      </c>
      <c r="E10447" s="196">
        <v>420000</v>
      </c>
      <c r="F10447" s="196">
        <v>-305000</v>
      </c>
      <c r="G10447" s="196">
        <v>-305000</v>
      </c>
    </row>
    <row r="10448" spans="1:7" x14ac:dyDescent="0.3">
      <c r="A10448" s="198">
        <v>1038809926</v>
      </c>
      <c r="B10448" s="192" t="s">
        <v>3170</v>
      </c>
      <c r="C10448" s="196">
        <v>-347000</v>
      </c>
      <c r="D10448" s="196">
        <v>0</v>
      </c>
      <c r="E10448" s="196">
        <v>0</v>
      </c>
      <c r="F10448" s="196">
        <v>0</v>
      </c>
      <c r="G10448" s="196">
        <v>-347000</v>
      </c>
    </row>
    <row r="10449" spans="1:7" x14ac:dyDescent="0.3">
      <c r="A10449" s="198">
        <v>1125642287</v>
      </c>
      <c r="B10449" s="192" t="s">
        <v>464</v>
      </c>
      <c r="C10449" s="196">
        <v>-193000</v>
      </c>
      <c r="D10449" s="196">
        <v>0</v>
      </c>
      <c r="E10449" s="196">
        <v>0</v>
      </c>
      <c r="F10449" s="196">
        <v>0</v>
      </c>
      <c r="G10449" s="196">
        <v>-193000</v>
      </c>
    </row>
    <row r="10450" spans="1:7" x14ac:dyDescent="0.3">
      <c r="A10450" s="198">
        <v>71228070</v>
      </c>
      <c r="B10450" s="192" t="s">
        <v>467</v>
      </c>
      <c r="C10450" s="196">
        <v>0</v>
      </c>
      <c r="D10450" s="196">
        <v>0</v>
      </c>
      <c r="E10450" s="196">
        <v>33200</v>
      </c>
      <c r="F10450" s="196">
        <v>-33200</v>
      </c>
      <c r="G10450" s="196">
        <v>-33200</v>
      </c>
    </row>
    <row r="10451" spans="1:7" x14ac:dyDescent="0.3">
      <c r="A10451" s="198">
        <v>1152446351</v>
      </c>
      <c r="B10451" s="192" t="s">
        <v>7206</v>
      </c>
      <c r="C10451" s="196">
        <v>-459300</v>
      </c>
      <c r="D10451" s="196">
        <v>0</v>
      </c>
      <c r="E10451" s="196">
        <v>0</v>
      </c>
      <c r="F10451" s="196">
        <v>0</v>
      </c>
      <c r="G10451" s="196">
        <v>-459300</v>
      </c>
    </row>
    <row r="10452" spans="1:7" x14ac:dyDescent="0.3">
      <c r="A10452" s="198">
        <v>39177175</v>
      </c>
      <c r="B10452" s="192" t="s">
        <v>3174</v>
      </c>
      <c r="C10452" s="196">
        <v>-46100</v>
      </c>
      <c r="D10452" s="196">
        <v>0</v>
      </c>
      <c r="E10452" s="196">
        <v>0</v>
      </c>
      <c r="F10452" s="196">
        <v>0</v>
      </c>
      <c r="G10452" s="196">
        <v>-46100</v>
      </c>
    </row>
    <row r="10453" spans="1:7" x14ac:dyDescent="0.3">
      <c r="A10453" s="198">
        <v>39736645</v>
      </c>
      <c r="B10453" s="192" t="s">
        <v>3183</v>
      </c>
      <c r="C10453" s="196">
        <v>-258000</v>
      </c>
      <c r="D10453" s="196">
        <v>0</v>
      </c>
      <c r="E10453" s="196">
        <v>0</v>
      </c>
      <c r="F10453" s="196">
        <v>0</v>
      </c>
      <c r="G10453" s="196">
        <v>-258000</v>
      </c>
    </row>
    <row r="10454" spans="1:7" x14ac:dyDescent="0.3">
      <c r="A10454" s="192" t="s">
        <v>3184</v>
      </c>
      <c r="B10454" s="192" t="s">
        <v>472</v>
      </c>
      <c r="C10454" s="196">
        <v>-299000</v>
      </c>
      <c r="D10454" s="196">
        <v>0</v>
      </c>
      <c r="E10454" s="196">
        <v>0</v>
      </c>
      <c r="F10454" s="196">
        <v>0</v>
      </c>
      <c r="G10454" s="196">
        <v>-299000</v>
      </c>
    </row>
    <row r="10455" spans="1:7" x14ac:dyDescent="0.3">
      <c r="A10455" s="198">
        <v>535719382</v>
      </c>
      <c r="B10455" s="192" t="s">
        <v>472</v>
      </c>
      <c r="C10455" s="196">
        <v>-115000</v>
      </c>
      <c r="D10455" s="196">
        <v>0</v>
      </c>
      <c r="E10455" s="196">
        <v>0</v>
      </c>
      <c r="F10455" s="196">
        <v>0</v>
      </c>
      <c r="G10455" s="196">
        <v>-115000</v>
      </c>
    </row>
    <row r="10456" spans="1:7" x14ac:dyDescent="0.3">
      <c r="A10456" s="198">
        <v>1088271062</v>
      </c>
      <c r="B10456" s="192" t="s">
        <v>473</v>
      </c>
      <c r="C10456" s="196">
        <v>-190000</v>
      </c>
      <c r="D10456" s="196">
        <v>96500</v>
      </c>
      <c r="E10456" s="196">
        <v>289500</v>
      </c>
      <c r="F10456" s="196">
        <v>-193000</v>
      </c>
      <c r="G10456" s="196">
        <v>-383000</v>
      </c>
    </row>
    <row r="10457" spans="1:7" x14ac:dyDescent="0.3">
      <c r="A10457" s="198">
        <v>21448954</v>
      </c>
      <c r="B10457" s="192" t="s">
        <v>7207</v>
      </c>
      <c r="C10457" s="196">
        <v>-158400</v>
      </c>
      <c r="D10457" s="196">
        <v>0</v>
      </c>
      <c r="E10457" s="196">
        <v>0</v>
      </c>
      <c r="F10457" s="196">
        <v>0</v>
      </c>
      <c r="G10457" s="196">
        <v>-158400</v>
      </c>
    </row>
    <row r="10458" spans="1:7" x14ac:dyDescent="0.3">
      <c r="A10458" s="198">
        <v>8253738</v>
      </c>
      <c r="B10458" s="192" t="s">
        <v>3188</v>
      </c>
      <c r="C10458" s="196">
        <v>-324000</v>
      </c>
      <c r="D10458" s="196">
        <v>0</v>
      </c>
      <c r="E10458" s="196">
        <v>0</v>
      </c>
      <c r="F10458" s="196">
        <v>0</v>
      </c>
      <c r="G10458" s="196">
        <v>-324000</v>
      </c>
    </row>
    <row r="10459" spans="1:7" x14ac:dyDescent="0.3">
      <c r="A10459" s="198">
        <v>1069748792</v>
      </c>
      <c r="B10459" s="192" t="s">
        <v>6467</v>
      </c>
      <c r="C10459" s="196">
        <v>-115000</v>
      </c>
      <c r="D10459" s="196">
        <v>0</v>
      </c>
      <c r="E10459" s="196">
        <v>0</v>
      </c>
      <c r="F10459" s="196">
        <v>0</v>
      </c>
      <c r="G10459" s="196">
        <v>-115000</v>
      </c>
    </row>
    <row r="10460" spans="1:7" x14ac:dyDescent="0.3">
      <c r="A10460" s="198">
        <v>71601982</v>
      </c>
      <c r="B10460" s="192" t="s">
        <v>3192</v>
      </c>
      <c r="C10460" s="196">
        <v>-258000</v>
      </c>
      <c r="D10460" s="196">
        <v>0</v>
      </c>
      <c r="E10460" s="196">
        <v>0</v>
      </c>
      <c r="F10460" s="196">
        <v>0</v>
      </c>
      <c r="G10460" s="196">
        <v>-258000</v>
      </c>
    </row>
    <row r="10461" spans="1:7" x14ac:dyDescent="0.3">
      <c r="A10461" s="198">
        <v>1152711894</v>
      </c>
      <c r="B10461" s="192" t="s">
        <v>479</v>
      </c>
      <c r="C10461" s="196">
        <v>0</v>
      </c>
      <c r="D10461" s="196">
        <v>0</v>
      </c>
      <c r="E10461" s="196">
        <v>81200</v>
      </c>
      <c r="F10461" s="196">
        <v>-81200</v>
      </c>
      <c r="G10461" s="196">
        <v>-81200</v>
      </c>
    </row>
    <row r="10462" spans="1:7" x14ac:dyDescent="0.3">
      <c r="A10462" s="198">
        <v>1000162609</v>
      </c>
      <c r="B10462" s="192" t="s">
        <v>6471</v>
      </c>
      <c r="C10462" s="196">
        <v>-175000</v>
      </c>
      <c r="D10462" s="196">
        <v>0</v>
      </c>
      <c r="E10462" s="196">
        <v>0</v>
      </c>
      <c r="F10462" s="196">
        <v>0</v>
      </c>
      <c r="G10462" s="196">
        <v>-175000</v>
      </c>
    </row>
    <row r="10463" spans="1:7" x14ac:dyDescent="0.3">
      <c r="A10463" s="198">
        <v>1036686862</v>
      </c>
      <c r="B10463" s="192" t="s">
        <v>3201</v>
      </c>
      <c r="C10463" s="196">
        <v>-315000</v>
      </c>
      <c r="D10463" s="196">
        <v>0</v>
      </c>
      <c r="E10463" s="196">
        <v>0</v>
      </c>
      <c r="F10463" s="196">
        <v>0</v>
      </c>
      <c r="G10463" s="196">
        <v>-315000</v>
      </c>
    </row>
    <row r="10464" spans="1:7" x14ac:dyDescent="0.3">
      <c r="A10464" s="198">
        <v>1017251839</v>
      </c>
      <c r="B10464" s="192" t="s">
        <v>3211</v>
      </c>
      <c r="C10464" s="196">
        <v>-347000</v>
      </c>
      <c r="D10464" s="196">
        <v>0</v>
      </c>
      <c r="E10464" s="196">
        <v>0</v>
      </c>
      <c r="F10464" s="196">
        <v>0</v>
      </c>
      <c r="G10464" s="196">
        <v>-347000</v>
      </c>
    </row>
    <row r="10465" spans="1:7" x14ac:dyDescent="0.3">
      <c r="A10465" s="198">
        <v>1020448582</v>
      </c>
      <c r="B10465" s="192" t="s">
        <v>483</v>
      </c>
      <c r="C10465" s="196">
        <v>0</v>
      </c>
      <c r="D10465" s="196">
        <v>0</v>
      </c>
      <c r="E10465" s="196">
        <v>125200</v>
      </c>
      <c r="F10465" s="196">
        <v>-125200</v>
      </c>
      <c r="G10465" s="196">
        <v>-125200</v>
      </c>
    </row>
    <row r="10466" spans="1:7" x14ac:dyDescent="0.3">
      <c r="A10466" s="198">
        <v>80183652</v>
      </c>
      <c r="B10466" s="192" t="s">
        <v>3214</v>
      </c>
      <c r="C10466" s="196">
        <v>-188900</v>
      </c>
      <c r="D10466" s="196">
        <v>0</v>
      </c>
      <c r="E10466" s="196">
        <v>0</v>
      </c>
      <c r="F10466" s="196">
        <v>0</v>
      </c>
      <c r="G10466" s="196">
        <v>-188900</v>
      </c>
    </row>
    <row r="10467" spans="1:7" x14ac:dyDescent="0.3">
      <c r="A10467" s="198">
        <v>1036672398</v>
      </c>
      <c r="B10467" s="192" t="s">
        <v>484</v>
      </c>
      <c r="C10467" s="196">
        <v>-500000</v>
      </c>
      <c r="D10467" s="196">
        <v>0</v>
      </c>
      <c r="E10467" s="196">
        <v>0</v>
      </c>
      <c r="F10467" s="196">
        <v>0</v>
      </c>
      <c r="G10467" s="196">
        <v>-500000</v>
      </c>
    </row>
    <row r="10468" spans="1:7" x14ac:dyDescent="0.3">
      <c r="A10468" s="198">
        <v>1017212794</v>
      </c>
      <c r="B10468" s="192" t="s">
        <v>7208</v>
      </c>
      <c r="C10468" s="196">
        <v>-125200</v>
      </c>
      <c r="D10468" s="196">
        <v>0</v>
      </c>
      <c r="E10468" s="196">
        <v>0</v>
      </c>
      <c r="F10468" s="196">
        <v>0</v>
      </c>
      <c r="G10468" s="196">
        <v>-125200</v>
      </c>
    </row>
    <row r="10469" spans="1:7" x14ac:dyDescent="0.3">
      <c r="A10469" s="198">
        <v>1037641568</v>
      </c>
      <c r="B10469" s="192" t="s">
        <v>485</v>
      </c>
      <c r="C10469" s="196">
        <v>-158400</v>
      </c>
      <c r="D10469" s="196">
        <v>0</v>
      </c>
      <c r="E10469" s="196">
        <v>0</v>
      </c>
      <c r="F10469" s="196">
        <v>0</v>
      </c>
      <c r="G10469" s="196">
        <v>-158400</v>
      </c>
    </row>
    <row r="10470" spans="1:7" x14ac:dyDescent="0.3">
      <c r="A10470" s="198">
        <v>1017933542</v>
      </c>
      <c r="B10470" s="192" t="s">
        <v>3216</v>
      </c>
      <c r="C10470" s="196">
        <v>-20300</v>
      </c>
      <c r="D10470" s="196">
        <v>0</v>
      </c>
      <c r="E10470" s="196">
        <v>0</v>
      </c>
      <c r="F10470" s="196">
        <v>0</v>
      </c>
      <c r="G10470" s="196">
        <v>-20300</v>
      </c>
    </row>
    <row r="10471" spans="1:7" x14ac:dyDescent="0.3">
      <c r="A10471" s="198">
        <v>1035304917</v>
      </c>
      <c r="B10471" s="192" t="s">
        <v>6475</v>
      </c>
      <c r="C10471" s="196">
        <v>-96000</v>
      </c>
      <c r="D10471" s="196">
        <v>0</v>
      </c>
      <c r="E10471" s="196">
        <v>0</v>
      </c>
      <c r="F10471" s="196">
        <v>0</v>
      </c>
      <c r="G10471" s="196">
        <v>-96000</v>
      </c>
    </row>
    <row r="10472" spans="1:7" x14ac:dyDescent="0.3">
      <c r="A10472" s="198">
        <v>1082124028</v>
      </c>
      <c r="B10472" s="192" t="s">
        <v>3221</v>
      </c>
      <c r="C10472" s="196">
        <v>-315000</v>
      </c>
      <c r="D10472" s="196">
        <v>0</v>
      </c>
      <c r="E10472" s="196">
        <v>0</v>
      </c>
      <c r="F10472" s="196">
        <v>0</v>
      </c>
      <c r="G10472" s="196">
        <v>-315000</v>
      </c>
    </row>
    <row r="10473" spans="1:7" x14ac:dyDescent="0.3">
      <c r="A10473" s="198">
        <v>1017254699</v>
      </c>
      <c r="B10473" s="192" t="s">
        <v>3233</v>
      </c>
      <c r="C10473" s="196">
        <v>-414000</v>
      </c>
      <c r="D10473" s="196">
        <v>0</v>
      </c>
      <c r="E10473" s="196">
        <v>0</v>
      </c>
      <c r="F10473" s="196">
        <v>0</v>
      </c>
      <c r="G10473" s="196">
        <v>-414000</v>
      </c>
    </row>
    <row r="10474" spans="1:7" x14ac:dyDescent="0.3">
      <c r="A10474" s="198">
        <v>1037601648</v>
      </c>
      <c r="B10474" s="192" t="s">
        <v>3236</v>
      </c>
      <c r="C10474" s="196">
        <v>-315000</v>
      </c>
      <c r="D10474" s="196">
        <v>0</v>
      </c>
      <c r="E10474" s="196">
        <v>0</v>
      </c>
      <c r="F10474" s="196">
        <v>0</v>
      </c>
      <c r="G10474" s="196">
        <v>-315000</v>
      </c>
    </row>
    <row r="10475" spans="1:7" x14ac:dyDescent="0.3">
      <c r="A10475" s="198">
        <v>1040746527</v>
      </c>
      <c r="B10475" s="192" t="s">
        <v>491</v>
      </c>
      <c r="C10475" s="196">
        <v>0</v>
      </c>
      <c r="D10475" s="196">
        <v>96500</v>
      </c>
      <c r="E10475" s="196">
        <v>289500</v>
      </c>
      <c r="F10475" s="196">
        <v>-193000</v>
      </c>
      <c r="G10475" s="196">
        <v>-193000</v>
      </c>
    </row>
    <row r="10476" spans="1:7" x14ac:dyDescent="0.3">
      <c r="A10476" s="198">
        <v>1037660477</v>
      </c>
      <c r="B10476" s="192" t="s">
        <v>3241</v>
      </c>
      <c r="C10476" s="196">
        <v>-84300</v>
      </c>
      <c r="D10476" s="196">
        <v>0</v>
      </c>
      <c r="E10476" s="196">
        <v>0</v>
      </c>
      <c r="F10476" s="196">
        <v>0</v>
      </c>
      <c r="G10476" s="196">
        <v>-84300</v>
      </c>
    </row>
    <row r="10477" spans="1:7" x14ac:dyDescent="0.3">
      <c r="A10477" s="198">
        <v>10214390</v>
      </c>
      <c r="B10477" s="192" t="s">
        <v>3243</v>
      </c>
      <c r="C10477" s="196">
        <v>-153000</v>
      </c>
      <c r="D10477" s="196">
        <v>0</v>
      </c>
      <c r="E10477" s="196">
        <v>0</v>
      </c>
      <c r="F10477" s="196">
        <v>0</v>
      </c>
      <c r="G10477" s="196">
        <v>-153000</v>
      </c>
    </row>
    <row r="10478" spans="1:7" x14ac:dyDescent="0.3">
      <c r="A10478" s="198">
        <v>70548075</v>
      </c>
      <c r="B10478" s="192" t="s">
        <v>3247</v>
      </c>
      <c r="C10478" s="196">
        <v>-98000</v>
      </c>
      <c r="D10478" s="196">
        <v>0</v>
      </c>
      <c r="E10478" s="196">
        <v>0</v>
      </c>
      <c r="F10478" s="196">
        <v>0</v>
      </c>
      <c r="G10478" s="196">
        <v>-98000</v>
      </c>
    </row>
    <row r="10479" spans="1:7" x14ac:dyDescent="0.3">
      <c r="A10479" s="192" t="s">
        <v>3249</v>
      </c>
      <c r="B10479" s="192" t="s">
        <v>3250</v>
      </c>
      <c r="C10479" s="196">
        <v>-535500</v>
      </c>
      <c r="D10479" s="196">
        <v>0</v>
      </c>
      <c r="E10479" s="196">
        <v>0</v>
      </c>
      <c r="F10479" s="196">
        <v>0</v>
      </c>
      <c r="G10479" s="196">
        <v>-535500</v>
      </c>
    </row>
    <row r="10480" spans="1:7" x14ac:dyDescent="0.3">
      <c r="A10480" s="198">
        <v>43161404</v>
      </c>
      <c r="B10480" s="192" t="s">
        <v>493</v>
      </c>
      <c r="C10480" s="196">
        <v>-221200</v>
      </c>
      <c r="D10480" s="196">
        <v>0</v>
      </c>
      <c r="E10480" s="196">
        <v>46000</v>
      </c>
      <c r="F10480" s="196">
        <v>-46000</v>
      </c>
      <c r="G10480" s="196">
        <v>-267200</v>
      </c>
    </row>
    <row r="10481" spans="1:7" x14ac:dyDescent="0.3">
      <c r="A10481" s="198">
        <v>71217211</v>
      </c>
      <c r="B10481" s="192" t="s">
        <v>3256</v>
      </c>
      <c r="C10481" s="196">
        <v>-79200</v>
      </c>
      <c r="D10481" s="196">
        <v>0</v>
      </c>
      <c r="E10481" s="196">
        <v>0</v>
      </c>
      <c r="F10481" s="196">
        <v>0</v>
      </c>
      <c r="G10481" s="196">
        <v>-79200</v>
      </c>
    </row>
    <row r="10482" spans="1:7" x14ac:dyDescent="0.3">
      <c r="A10482" s="192" t="s">
        <v>6489</v>
      </c>
      <c r="B10482" s="192" t="s">
        <v>6490</v>
      </c>
      <c r="C10482" s="196">
        <v>-115000</v>
      </c>
      <c r="D10482" s="196">
        <v>0</v>
      </c>
      <c r="E10482" s="196">
        <v>0</v>
      </c>
      <c r="F10482" s="196">
        <v>0</v>
      </c>
      <c r="G10482" s="196">
        <v>-115000</v>
      </c>
    </row>
    <row r="10483" spans="1:7" x14ac:dyDescent="0.3">
      <c r="A10483" s="198">
        <v>71753215</v>
      </c>
      <c r="B10483" s="192" t="s">
        <v>3258</v>
      </c>
      <c r="C10483" s="196">
        <v>-42900</v>
      </c>
      <c r="D10483" s="196">
        <v>0</v>
      </c>
      <c r="E10483" s="196">
        <v>0</v>
      </c>
      <c r="F10483" s="196">
        <v>0</v>
      </c>
      <c r="G10483" s="196">
        <v>-42900</v>
      </c>
    </row>
    <row r="10484" spans="1:7" x14ac:dyDescent="0.3">
      <c r="A10484" s="198">
        <v>1152442051</v>
      </c>
      <c r="B10484" s="192" t="s">
        <v>6492</v>
      </c>
      <c r="C10484" s="196">
        <v>-490000</v>
      </c>
      <c r="D10484" s="196">
        <v>0</v>
      </c>
      <c r="E10484" s="196">
        <v>0</v>
      </c>
      <c r="F10484" s="196">
        <v>0</v>
      </c>
      <c r="G10484" s="196">
        <v>-490000</v>
      </c>
    </row>
    <row r="10485" spans="1:7" x14ac:dyDescent="0.3">
      <c r="A10485" s="198">
        <v>71291723</v>
      </c>
      <c r="B10485" s="192" t="s">
        <v>499</v>
      </c>
      <c r="C10485" s="196">
        <v>-46000</v>
      </c>
      <c r="D10485" s="196">
        <v>0</v>
      </c>
      <c r="E10485" s="196">
        <v>46000</v>
      </c>
      <c r="F10485" s="196">
        <v>-46000</v>
      </c>
      <c r="G10485" s="196">
        <v>-92000</v>
      </c>
    </row>
    <row r="10486" spans="1:7" x14ac:dyDescent="0.3">
      <c r="A10486" s="198">
        <v>75093578</v>
      </c>
      <c r="B10486" s="192" t="s">
        <v>3267</v>
      </c>
      <c r="C10486" s="196">
        <v>-255000</v>
      </c>
      <c r="D10486" s="196">
        <v>0</v>
      </c>
      <c r="E10486" s="196">
        <v>0</v>
      </c>
      <c r="F10486" s="196">
        <v>0</v>
      </c>
      <c r="G10486" s="196">
        <v>-255000</v>
      </c>
    </row>
    <row r="10487" spans="1:7" x14ac:dyDescent="0.3">
      <c r="A10487" s="198">
        <v>646592280</v>
      </c>
      <c r="B10487" s="192" t="s">
        <v>3268</v>
      </c>
      <c r="C10487" s="196">
        <v>-299000</v>
      </c>
      <c r="D10487" s="196">
        <v>0</v>
      </c>
      <c r="E10487" s="196">
        <v>0</v>
      </c>
      <c r="F10487" s="196">
        <v>0</v>
      </c>
      <c r="G10487" s="196">
        <v>-299000</v>
      </c>
    </row>
    <row r="10488" spans="1:7" x14ac:dyDescent="0.3">
      <c r="A10488" s="198">
        <v>1018235039</v>
      </c>
      <c r="B10488" s="192" t="s">
        <v>7209</v>
      </c>
      <c r="C10488" s="196">
        <v>-183000</v>
      </c>
      <c r="D10488" s="196">
        <v>0</v>
      </c>
      <c r="E10488" s="196">
        <v>0</v>
      </c>
      <c r="F10488" s="196">
        <v>0</v>
      </c>
      <c r="G10488" s="196">
        <v>-183000</v>
      </c>
    </row>
    <row r="10489" spans="1:7" x14ac:dyDescent="0.3">
      <c r="A10489" s="198">
        <v>1152191315</v>
      </c>
      <c r="B10489" s="192" t="s">
        <v>3272</v>
      </c>
      <c r="C10489" s="196">
        <v>-100000</v>
      </c>
      <c r="D10489" s="196">
        <v>0</v>
      </c>
      <c r="E10489" s="196">
        <v>0</v>
      </c>
      <c r="F10489" s="196">
        <v>0</v>
      </c>
      <c r="G10489" s="196">
        <v>-100000</v>
      </c>
    </row>
    <row r="10490" spans="1:7" x14ac:dyDescent="0.3">
      <c r="A10490" s="198">
        <v>1017217227</v>
      </c>
      <c r="B10490" s="192" t="s">
        <v>3273</v>
      </c>
      <c r="C10490" s="196">
        <v>-46000</v>
      </c>
      <c r="D10490" s="196">
        <v>0</v>
      </c>
      <c r="E10490" s="196">
        <v>0</v>
      </c>
      <c r="F10490" s="196">
        <v>0</v>
      </c>
      <c r="G10490" s="196">
        <v>-46000</v>
      </c>
    </row>
    <row r="10491" spans="1:7" x14ac:dyDescent="0.3">
      <c r="A10491" s="198">
        <v>1055833241</v>
      </c>
      <c r="B10491" s="192" t="s">
        <v>3274</v>
      </c>
      <c r="C10491" s="196">
        <v>-347000</v>
      </c>
      <c r="D10491" s="196">
        <v>0</v>
      </c>
      <c r="E10491" s="196">
        <v>0</v>
      </c>
      <c r="F10491" s="196">
        <v>0</v>
      </c>
      <c r="G10491" s="196">
        <v>-347000</v>
      </c>
    </row>
    <row r="10492" spans="1:7" x14ac:dyDescent="0.3">
      <c r="A10492" s="198">
        <v>87131483</v>
      </c>
      <c r="B10492" s="192" t="s">
        <v>3280</v>
      </c>
      <c r="C10492" s="196">
        <v>-514000</v>
      </c>
      <c r="D10492" s="196">
        <v>0</v>
      </c>
      <c r="E10492" s="196">
        <v>0</v>
      </c>
      <c r="F10492" s="196">
        <v>0</v>
      </c>
      <c r="G10492" s="196">
        <v>-514000</v>
      </c>
    </row>
    <row r="10493" spans="1:7" x14ac:dyDescent="0.3">
      <c r="A10493" s="198">
        <v>678413131</v>
      </c>
      <c r="B10493" s="192" t="s">
        <v>3281</v>
      </c>
      <c r="C10493" s="196">
        <v>-347000</v>
      </c>
      <c r="D10493" s="196">
        <v>0</v>
      </c>
      <c r="E10493" s="196">
        <v>0</v>
      </c>
      <c r="F10493" s="196">
        <v>0</v>
      </c>
      <c r="G10493" s="196">
        <v>-347000</v>
      </c>
    </row>
    <row r="10494" spans="1:7" x14ac:dyDescent="0.3">
      <c r="A10494" s="198">
        <v>699248</v>
      </c>
      <c r="B10494" s="192" t="s">
        <v>3283</v>
      </c>
      <c r="C10494" s="196">
        <v>-40000</v>
      </c>
      <c r="D10494" s="196">
        <v>0</v>
      </c>
      <c r="E10494" s="196">
        <v>0</v>
      </c>
      <c r="F10494" s="196">
        <v>0</v>
      </c>
      <c r="G10494" s="196">
        <v>-40000</v>
      </c>
    </row>
    <row r="10495" spans="1:7" x14ac:dyDescent="0.3">
      <c r="A10495" s="198">
        <v>541147936</v>
      </c>
      <c r="B10495" s="192" t="s">
        <v>507</v>
      </c>
      <c r="C10495" s="196">
        <v>-84300</v>
      </c>
      <c r="D10495" s="196">
        <v>0</v>
      </c>
      <c r="E10495" s="196">
        <v>0</v>
      </c>
      <c r="F10495" s="196">
        <v>0</v>
      </c>
      <c r="G10495" s="196">
        <v>-84300</v>
      </c>
    </row>
    <row r="10496" spans="1:7" x14ac:dyDescent="0.3">
      <c r="A10496" s="198">
        <v>1128399982</v>
      </c>
      <c r="B10496" s="192" t="s">
        <v>509</v>
      </c>
      <c r="C10496" s="196">
        <v>0</v>
      </c>
      <c r="D10496" s="196">
        <v>96500</v>
      </c>
      <c r="E10496" s="196">
        <v>289500</v>
      </c>
      <c r="F10496" s="196">
        <v>-193000</v>
      </c>
      <c r="G10496" s="196">
        <v>-193000</v>
      </c>
    </row>
    <row r="10497" spans="1:7" x14ac:dyDescent="0.3">
      <c r="A10497" s="198">
        <v>32299337</v>
      </c>
      <c r="B10497" s="192" t="s">
        <v>3288</v>
      </c>
      <c r="C10497" s="196">
        <v>-46000</v>
      </c>
      <c r="D10497" s="196">
        <v>0</v>
      </c>
      <c r="E10497" s="196">
        <v>0</v>
      </c>
      <c r="F10497" s="196">
        <v>0</v>
      </c>
      <c r="G10497" s="196">
        <v>-46000</v>
      </c>
    </row>
    <row r="10498" spans="1:7" x14ac:dyDescent="0.3">
      <c r="A10498" s="198">
        <v>1035430166</v>
      </c>
      <c r="B10498" s="192" t="s">
        <v>510</v>
      </c>
      <c r="C10498" s="196">
        <v>-190000</v>
      </c>
      <c r="D10498" s="196">
        <v>0</v>
      </c>
      <c r="E10498" s="196">
        <v>0</v>
      </c>
      <c r="F10498" s="196">
        <v>0</v>
      </c>
      <c r="G10498" s="196">
        <v>-190000</v>
      </c>
    </row>
    <row r="10499" spans="1:7" x14ac:dyDescent="0.3">
      <c r="A10499" s="198">
        <v>1036682078</v>
      </c>
      <c r="B10499" s="192" t="s">
        <v>3292</v>
      </c>
      <c r="C10499" s="196">
        <v>-190000</v>
      </c>
      <c r="D10499" s="196">
        <v>0</v>
      </c>
      <c r="E10499" s="196">
        <v>0</v>
      </c>
      <c r="F10499" s="196">
        <v>0</v>
      </c>
      <c r="G10499" s="196">
        <v>-190000</v>
      </c>
    </row>
    <row r="10500" spans="1:7" x14ac:dyDescent="0.3">
      <c r="A10500" s="198">
        <v>3396316</v>
      </c>
      <c r="B10500" s="192" t="s">
        <v>3293</v>
      </c>
      <c r="C10500" s="196">
        <v>-79200</v>
      </c>
      <c r="D10500" s="196">
        <v>0</v>
      </c>
      <c r="E10500" s="196">
        <v>0</v>
      </c>
      <c r="F10500" s="196">
        <v>0</v>
      </c>
      <c r="G10500" s="196">
        <v>-79200</v>
      </c>
    </row>
    <row r="10501" spans="1:7" x14ac:dyDescent="0.3">
      <c r="A10501" s="192" t="s">
        <v>513</v>
      </c>
      <c r="B10501" s="192" t="s">
        <v>514</v>
      </c>
      <c r="C10501" s="196">
        <v>0</v>
      </c>
      <c r="D10501" s="196">
        <v>115000</v>
      </c>
      <c r="E10501" s="196">
        <v>529000</v>
      </c>
      <c r="F10501" s="196">
        <v>-414000</v>
      </c>
      <c r="G10501" s="196">
        <v>-414000</v>
      </c>
    </row>
    <row r="10502" spans="1:7" x14ac:dyDescent="0.3">
      <c r="A10502" s="192" t="s">
        <v>3300</v>
      </c>
      <c r="B10502" s="192" t="s">
        <v>3301</v>
      </c>
      <c r="C10502" s="196">
        <v>-299000</v>
      </c>
      <c r="D10502" s="196">
        <v>0</v>
      </c>
      <c r="E10502" s="196">
        <v>0</v>
      </c>
      <c r="F10502" s="196">
        <v>0</v>
      </c>
      <c r="G10502" s="196">
        <v>-299000</v>
      </c>
    </row>
    <row r="10503" spans="1:7" x14ac:dyDescent="0.3">
      <c r="A10503" s="192" t="s">
        <v>515</v>
      </c>
      <c r="B10503" s="192" t="s">
        <v>516</v>
      </c>
      <c r="C10503" s="196">
        <v>-2</v>
      </c>
      <c r="D10503" s="196">
        <v>0</v>
      </c>
      <c r="E10503" s="196">
        <v>0</v>
      </c>
      <c r="F10503" s="196">
        <v>0</v>
      </c>
      <c r="G10503" s="196">
        <v>-2</v>
      </c>
    </row>
    <row r="10504" spans="1:7" x14ac:dyDescent="0.3">
      <c r="A10504" s="198">
        <v>39268791</v>
      </c>
      <c r="B10504" s="192" t="s">
        <v>3305</v>
      </c>
      <c r="C10504" s="196">
        <v>-46000</v>
      </c>
      <c r="D10504" s="196">
        <v>0</v>
      </c>
      <c r="E10504" s="196">
        <v>0</v>
      </c>
      <c r="F10504" s="196">
        <v>0</v>
      </c>
      <c r="G10504" s="196">
        <v>-46000</v>
      </c>
    </row>
    <row r="10505" spans="1:7" x14ac:dyDescent="0.3">
      <c r="A10505" s="198">
        <v>1149450676</v>
      </c>
      <c r="B10505" s="192" t="s">
        <v>3307</v>
      </c>
      <c r="C10505" s="196">
        <v>-190000</v>
      </c>
      <c r="D10505" s="196">
        <v>0</v>
      </c>
      <c r="E10505" s="196">
        <v>0</v>
      </c>
      <c r="F10505" s="196">
        <v>0</v>
      </c>
      <c r="G10505" s="196">
        <v>-190000</v>
      </c>
    </row>
    <row r="10506" spans="1:7" x14ac:dyDescent="0.3">
      <c r="A10506" s="198">
        <v>31255527</v>
      </c>
      <c r="B10506" s="192" t="s">
        <v>3308</v>
      </c>
      <c r="C10506" s="196">
        <v>-251800</v>
      </c>
      <c r="D10506" s="196">
        <v>0</v>
      </c>
      <c r="E10506" s="196">
        <v>0</v>
      </c>
      <c r="F10506" s="196">
        <v>0</v>
      </c>
      <c r="G10506" s="196">
        <v>-251800</v>
      </c>
    </row>
    <row r="10507" spans="1:7" x14ac:dyDescent="0.3">
      <c r="A10507" s="198">
        <v>1039452861</v>
      </c>
      <c r="B10507" s="192" t="s">
        <v>3310</v>
      </c>
      <c r="C10507" s="196">
        <v>-79200</v>
      </c>
      <c r="D10507" s="196">
        <v>0</v>
      </c>
      <c r="E10507" s="196">
        <v>0</v>
      </c>
      <c r="F10507" s="196">
        <v>0</v>
      </c>
      <c r="G10507" s="196">
        <v>-79200</v>
      </c>
    </row>
    <row r="10508" spans="1:7" x14ac:dyDescent="0.3">
      <c r="A10508" s="198">
        <v>1037572985</v>
      </c>
      <c r="B10508" s="192" t="s">
        <v>3312</v>
      </c>
      <c r="C10508" s="196">
        <v>-79200</v>
      </c>
      <c r="D10508" s="196">
        <v>0</v>
      </c>
      <c r="E10508" s="196">
        <v>0</v>
      </c>
      <c r="F10508" s="196">
        <v>0</v>
      </c>
      <c r="G10508" s="196">
        <v>-79200</v>
      </c>
    </row>
    <row r="10509" spans="1:7" x14ac:dyDescent="0.3">
      <c r="A10509" s="198">
        <v>42893610</v>
      </c>
      <c r="B10509" s="192" t="s">
        <v>3314</v>
      </c>
      <c r="C10509" s="196">
        <v>-46100</v>
      </c>
      <c r="D10509" s="196">
        <v>0</v>
      </c>
      <c r="E10509" s="196">
        <v>0</v>
      </c>
      <c r="F10509" s="196">
        <v>0</v>
      </c>
      <c r="G10509" s="196">
        <v>-46100</v>
      </c>
    </row>
    <row r="10510" spans="1:7" x14ac:dyDescent="0.3">
      <c r="A10510" s="198">
        <v>43604020</v>
      </c>
      <c r="B10510" s="192" t="s">
        <v>519</v>
      </c>
      <c r="C10510" s="196">
        <v>-295300</v>
      </c>
      <c r="D10510" s="196">
        <v>0</v>
      </c>
      <c r="E10510" s="196">
        <v>49000</v>
      </c>
      <c r="F10510" s="196">
        <v>-49000</v>
      </c>
      <c r="G10510" s="196">
        <v>-344300</v>
      </c>
    </row>
    <row r="10511" spans="1:7" x14ac:dyDescent="0.3">
      <c r="A10511" s="198">
        <v>42798737</v>
      </c>
      <c r="B10511" s="192" t="s">
        <v>3317</v>
      </c>
      <c r="C10511" s="196">
        <v>-81200</v>
      </c>
      <c r="D10511" s="196">
        <v>0</v>
      </c>
      <c r="E10511" s="196">
        <v>0</v>
      </c>
      <c r="F10511" s="196">
        <v>0</v>
      </c>
      <c r="G10511" s="196">
        <v>-81200</v>
      </c>
    </row>
    <row r="10512" spans="1:7" x14ac:dyDescent="0.3">
      <c r="A10512" s="198">
        <v>1017153192</v>
      </c>
      <c r="B10512" s="192" t="s">
        <v>522</v>
      </c>
      <c r="C10512" s="196">
        <v>0</v>
      </c>
      <c r="D10512" s="196">
        <v>0</v>
      </c>
      <c r="E10512" s="196">
        <v>92000</v>
      </c>
      <c r="F10512" s="196">
        <v>-92000</v>
      </c>
      <c r="G10512" s="196">
        <v>-92000</v>
      </c>
    </row>
    <row r="10513" spans="1:7" x14ac:dyDescent="0.3">
      <c r="A10513" s="198">
        <v>37270189</v>
      </c>
      <c r="B10513" s="192" t="s">
        <v>7210</v>
      </c>
      <c r="C10513" s="196">
        <v>-33200</v>
      </c>
      <c r="D10513" s="196">
        <v>0</v>
      </c>
      <c r="E10513" s="196">
        <v>0</v>
      </c>
      <c r="F10513" s="196">
        <v>0</v>
      </c>
      <c r="G10513" s="196">
        <v>-33200</v>
      </c>
    </row>
    <row r="10514" spans="1:7" x14ac:dyDescent="0.3">
      <c r="A10514" s="198">
        <v>42791148</v>
      </c>
      <c r="B10514" s="192" t="s">
        <v>3323</v>
      </c>
      <c r="C10514" s="196">
        <v>-308400</v>
      </c>
      <c r="D10514" s="196">
        <v>0</v>
      </c>
      <c r="E10514" s="196">
        <v>0</v>
      </c>
      <c r="F10514" s="196">
        <v>0</v>
      </c>
      <c r="G10514" s="196">
        <v>-308400</v>
      </c>
    </row>
    <row r="10515" spans="1:7" x14ac:dyDescent="0.3">
      <c r="A10515" s="198">
        <v>1083894898</v>
      </c>
      <c r="B10515" s="192" t="s">
        <v>6503</v>
      </c>
      <c r="C10515" s="196">
        <v>-193000</v>
      </c>
      <c r="D10515" s="196">
        <v>0</v>
      </c>
      <c r="E10515" s="196">
        <v>0</v>
      </c>
      <c r="F10515" s="196">
        <v>0</v>
      </c>
      <c r="G10515" s="196">
        <v>-193000</v>
      </c>
    </row>
    <row r="10516" spans="1:7" x14ac:dyDescent="0.3">
      <c r="A10516" s="198">
        <v>50947682</v>
      </c>
      <c r="B10516" s="192" t="s">
        <v>3326</v>
      </c>
      <c r="C10516" s="196">
        <v>-357000</v>
      </c>
      <c r="D10516" s="196">
        <v>0</v>
      </c>
      <c r="E10516" s="196">
        <v>0</v>
      </c>
      <c r="F10516" s="196">
        <v>0</v>
      </c>
      <c r="G10516" s="196">
        <v>-357000</v>
      </c>
    </row>
    <row r="10517" spans="1:7" x14ac:dyDescent="0.3">
      <c r="A10517" s="198">
        <v>1037604751</v>
      </c>
      <c r="B10517" s="192" t="s">
        <v>3327</v>
      </c>
      <c r="C10517" s="196">
        <v>-46000</v>
      </c>
      <c r="D10517" s="196">
        <v>0</v>
      </c>
      <c r="E10517" s="196">
        <v>0</v>
      </c>
      <c r="F10517" s="196">
        <v>0</v>
      </c>
      <c r="G10517" s="196">
        <v>-46000</v>
      </c>
    </row>
    <row r="10518" spans="1:7" x14ac:dyDescent="0.3">
      <c r="A10518" s="198">
        <v>42780670</v>
      </c>
      <c r="B10518" s="192" t="s">
        <v>3329</v>
      </c>
      <c r="C10518" s="196">
        <v>-73900</v>
      </c>
      <c r="D10518" s="196">
        <v>0</v>
      </c>
      <c r="E10518" s="196">
        <v>0</v>
      </c>
      <c r="F10518" s="196">
        <v>0</v>
      </c>
      <c r="G10518" s="196">
        <v>-73900</v>
      </c>
    </row>
    <row r="10519" spans="1:7" x14ac:dyDescent="0.3">
      <c r="A10519" s="198">
        <v>1042768843</v>
      </c>
      <c r="B10519" s="192" t="s">
        <v>528</v>
      </c>
      <c r="C10519" s="196">
        <v>-190001</v>
      </c>
      <c r="D10519" s="196">
        <v>0</v>
      </c>
      <c r="E10519" s="196">
        <v>0</v>
      </c>
      <c r="F10519" s="196">
        <v>0</v>
      </c>
      <c r="G10519" s="196">
        <v>-190001</v>
      </c>
    </row>
    <row r="10520" spans="1:7" x14ac:dyDescent="0.3">
      <c r="A10520" s="198">
        <v>43117801</v>
      </c>
      <c r="B10520" s="192" t="s">
        <v>7211</v>
      </c>
      <c r="C10520" s="196">
        <v>-98000</v>
      </c>
      <c r="D10520" s="196">
        <v>0</v>
      </c>
      <c r="E10520" s="196">
        <v>0</v>
      </c>
      <c r="F10520" s="196">
        <v>0</v>
      </c>
      <c r="G10520" s="196">
        <v>-98000</v>
      </c>
    </row>
    <row r="10521" spans="1:7" x14ac:dyDescent="0.3">
      <c r="A10521" s="198">
        <v>43667469</v>
      </c>
      <c r="B10521" s="192" t="s">
        <v>3336</v>
      </c>
      <c r="C10521" s="196">
        <v>-46100</v>
      </c>
      <c r="D10521" s="196">
        <v>0</v>
      </c>
      <c r="E10521" s="196">
        <v>0</v>
      </c>
      <c r="F10521" s="196">
        <v>0</v>
      </c>
      <c r="G10521" s="196">
        <v>-46100</v>
      </c>
    </row>
    <row r="10522" spans="1:7" x14ac:dyDescent="0.3">
      <c r="A10522" s="198">
        <v>1090401888</v>
      </c>
      <c r="B10522" s="192" t="s">
        <v>3338</v>
      </c>
      <c r="C10522" s="196">
        <v>-94000</v>
      </c>
      <c r="D10522" s="196">
        <v>0</v>
      </c>
      <c r="E10522" s="196">
        <v>0</v>
      </c>
      <c r="F10522" s="196">
        <v>0</v>
      </c>
      <c r="G10522" s="196">
        <v>-94000</v>
      </c>
    </row>
    <row r="10523" spans="1:7" x14ac:dyDescent="0.3">
      <c r="A10523" s="198">
        <v>1034286833</v>
      </c>
      <c r="B10523" s="192" t="s">
        <v>3341</v>
      </c>
      <c r="C10523" s="196">
        <v>-46100</v>
      </c>
      <c r="D10523" s="196">
        <v>0</v>
      </c>
      <c r="E10523" s="196">
        <v>0</v>
      </c>
      <c r="F10523" s="196">
        <v>0</v>
      </c>
      <c r="G10523" s="196">
        <v>-46100</v>
      </c>
    </row>
    <row r="10524" spans="1:7" x14ac:dyDescent="0.3">
      <c r="A10524" s="198">
        <v>71371676</v>
      </c>
      <c r="B10524" s="192" t="s">
        <v>3348</v>
      </c>
      <c r="C10524" s="196">
        <v>-46000</v>
      </c>
      <c r="D10524" s="196">
        <v>0</v>
      </c>
      <c r="E10524" s="196">
        <v>0</v>
      </c>
      <c r="F10524" s="196">
        <v>0</v>
      </c>
      <c r="G10524" s="196">
        <v>-46000</v>
      </c>
    </row>
    <row r="10525" spans="1:7" x14ac:dyDescent="0.3">
      <c r="A10525" s="198">
        <v>1089458130</v>
      </c>
      <c r="B10525" s="192" t="s">
        <v>3350</v>
      </c>
      <c r="C10525" s="196">
        <v>-315000</v>
      </c>
      <c r="D10525" s="196">
        <v>0</v>
      </c>
      <c r="E10525" s="196">
        <v>0</v>
      </c>
      <c r="F10525" s="196">
        <v>0</v>
      </c>
      <c r="G10525" s="196">
        <v>-315000</v>
      </c>
    </row>
    <row r="10526" spans="1:7" x14ac:dyDescent="0.3">
      <c r="A10526" s="198">
        <v>1026586592</v>
      </c>
      <c r="B10526" s="192" t="s">
        <v>3351</v>
      </c>
      <c r="C10526" s="196">
        <v>-315000</v>
      </c>
      <c r="D10526" s="196">
        <v>0</v>
      </c>
      <c r="E10526" s="196">
        <v>0</v>
      </c>
      <c r="F10526" s="196">
        <v>0</v>
      </c>
      <c r="G10526" s="196">
        <v>-315000</v>
      </c>
    </row>
    <row r="10527" spans="1:7" x14ac:dyDescent="0.3">
      <c r="A10527" s="198">
        <v>98541789</v>
      </c>
      <c r="B10527" s="192" t="s">
        <v>3353</v>
      </c>
      <c r="C10527" s="196">
        <v>-46100</v>
      </c>
      <c r="D10527" s="196">
        <v>0</v>
      </c>
      <c r="E10527" s="196">
        <v>0</v>
      </c>
      <c r="F10527" s="196">
        <v>0</v>
      </c>
      <c r="G10527" s="196">
        <v>-46100</v>
      </c>
    </row>
    <row r="10528" spans="1:7" x14ac:dyDescent="0.3">
      <c r="A10528" s="198">
        <v>1098720491</v>
      </c>
      <c r="B10528" s="192" t="s">
        <v>6513</v>
      </c>
      <c r="C10528" s="196">
        <v>-193000</v>
      </c>
      <c r="D10528" s="196">
        <v>0</v>
      </c>
      <c r="E10528" s="196">
        <v>0</v>
      </c>
      <c r="F10528" s="196">
        <v>0</v>
      </c>
      <c r="G10528" s="196">
        <v>-193000</v>
      </c>
    </row>
    <row r="10529" spans="1:7" x14ac:dyDescent="0.3">
      <c r="A10529" s="198">
        <v>98666903</v>
      </c>
      <c r="B10529" s="192" t="s">
        <v>534</v>
      </c>
      <c r="C10529" s="196">
        <v>0</v>
      </c>
      <c r="D10529" s="196">
        <v>0</v>
      </c>
      <c r="E10529" s="196">
        <v>79200</v>
      </c>
      <c r="F10529" s="196">
        <v>-79200</v>
      </c>
      <c r="G10529" s="196">
        <v>-79200</v>
      </c>
    </row>
    <row r="10530" spans="1:7" x14ac:dyDescent="0.3">
      <c r="A10530" s="198">
        <v>70421622</v>
      </c>
      <c r="B10530" s="192" t="s">
        <v>7212</v>
      </c>
      <c r="C10530" s="196">
        <v>-380000</v>
      </c>
      <c r="D10530" s="196">
        <v>0</v>
      </c>
      <c r="E10530" s="196">
        <v>0</v>
      </c>
      <c r="F10530" s="196">
        <v>0</v>
      </c>
      <c r="G10530" s="196">
        <v>-380000</v>
      </c>
    </row>
    <row r="10531" spans="1:7" x14ac:dyDescent="0.3">
      <c r="A10531" s="198">
        <v>43666367</v>
      </c>
      <c r="B10531" s="192" t="s">
        <v>3364</v>
      </c>
      <c r="C10531" s="196">
        <v>-66400</v>
      </c>
      <c r="D10531" s="196">
        <v>0</v>
      </c>
      <c r="E10531" s="196">
        <v>0</v>
      </c>
      <c r="F10531" s="196">
        <v>0</v>
      </c>
      <c r="G10531" s="196">
        <v>-66400</v>
      </c>
    </row>
    <row r="10532" spans="1:7" x14ac:dyDescent="0.3">
      <c r="A10532" s="198">
        <v>32501148</v>
      </c>
      <c r="B10532" s="192" t="s">
        <v>3367</v>
      </c>
      <c r="C10532" s="196">
        <v>-324000</v>
      </c>
      <c r="D10532" s="196">
        <v>0</v>
      </c>
      <c r="E10532" s="196">
        <v>0</v>
      </c>
      <c r="F10532" s="196">
        <v>0</v>
      </c>
      <c r="G10532" s="196">
        <v>-324000</v>
      </c>
    </row>
    <row r="10533" spans="1:7" x14ac:dyDescent="0.3">
      <c r="A10533" s="198">
        <v>22732256</v>
      </c>
      <c r="B10533" s="192" t="s">
        <v>536</v>
      </c>
      <c r="C10533" s="196">
        <v>0</v>
      </c>
      <c r="D10533" s="196">
        <v>0</v>
      </c>
      <c r="E10533" s="196">
        <v>82800</v>
      </c>
      <c r="F10533" s="196">
        <v>-82800</v>
      </c>
      <c r="G10533" s="196">
        <v>-82800</v>
      </c>
    </row>
    <row r="10534" spans="1:7" x14ac:dyDescent="0.3">
      <c r="A10534" s="198">
        <v>42994203</v>
      </c>
      <c r="B10534" s="192" t="s">
        <v>7213</v>
      </c>
      <c r="C10534" s="196">
        <v>-357000</v>
      </c>
      <c r="D10534" s="196">
        <v>0</v>
      </c>
      <c r="E10534" s="196">
        <v>0</v>
      </c>
      <c r="F10534" s="196">
        <v>0</v>
      </c>
      <c r="G10534" s="196">
        <v>-357000</v>
      </c>
    </row>
    <row r="10535" spans="1:7" x14ac:dyDescent="0.3">
      <c r="A10535" s="192" t="s">
        <v>3368</v>
      </c>
      <c r="B10535" s="192" t="s">
        <v>3369</v>
      </c>
      <c r="C10535" s="196">
        <v>-255000</v>
      </c>
      <c r="D10535" s="196">
        <v>0</v>
      </c>
      <c r="E10535" s="196">
        <v>0</v>
      </c>
      <c r="F10535" s="196">
        <v>0</v>
      </c>
      <c r="G10535" s="196">
        <v>-255000</v>
      </c>
    </row>
    <row r="10536" spans="1:7" x14ac:dyDescent="0.3">
      <c r="A10536" s="198">
        <v>21274917</v>
      </c>
      <c r="B10536" s="192" t="s">
        <v>3373</v>
      </c>
      <c r="C10536" s="196">
        <v>-285600</v>
      </c>
      <c r="D10536" s="196">
        <v>0</v>
      </c>
      <c r="E10536" s="196">
        <v>0</v>
      </c>
      <c r="F10536" s="196">
        <v>0</v>
      </c>
      <c r="G10536" s="196">
        <v>-285600</v>
      </c>
    </row>
    <row r="10537" spans="1:7" x14ac:dyDescent="0.3">
      <c r="A10537" s="198">
        <v>43021199</v>
      </c>
      <c r="B10537" s="192" t="s">
        <v>3374</v>
      </c>
      <c r="C10537" s="196">
        <v>-101500</v>
      </c>
      <c r="D10537" s="196">
        <v>0</v>
      </c>
      <c r="E10537" s="196">
        <v>0</v>
      </c>
      <c r="F10537" s="196">
        <v>0</v>
      </c>
      <c r="G10537" s="196">
        <v>-101500</v>
      </c>
    </row>
    <row r="10538" spans="1:7" x14ac:dyDescent="0.3">
      <c r="A10538" s="198">
        <v>42980905</v>
      </c>
      <c r="B10538" s="192" t="s">
        <v>3378</v>
      </c>
      <c r="C10538" s="196">
        <v>-40600</v>
      </c>
      <c r="D10538" s="196">
        <v>0</v>
      </c>
      <c r="E10538" s="196">
        <v>0</v>
      </c>
      <c r="F10538" s="196">
        <v>0</v>
      </c>
      <c r="G10538" s="196">
        <v>-40600</v>
      </c>
    </row>
    <row r="10539" spans="1:7" x14ac:dyDescent="0.3">
      <c r="A10539" s="198">
        <v>21397090</v>
      </c>
      <c r="B10539" s="192" t="s">
        <v>7214</v>
      </c>
      <c r="C10539" s="196">
        <v>-163800</v>
      </c>
      <c r="D10539" s="196">
        <v>0</v>
      </c>
      <c r="E10539" s="196">
        <v>0</v>
      </c>
      <c r="F10539" s="196">
        <v>0</v>
      </c>
      <c r="G10539" s="196">
        <v>-163800</v>
      </c>
    </row>
    <row r="10540" spans="1:7" x14ac:dyDescent="0.3">
      <c r="A10540" s="198">
        <v>42971780</v>
      </c>
      <c r="B10540" s="192" t="s">
        <v>539</v>
      </c>
      <c r="C10540" s="196">
        <v>0</v>
      </c>
      <c r="D10540" s="196">
        <v>0</v>
      </c>
      <c r="E10540" s="196">
        <v>162400</v>
      </c>
      <c r="F10540" s="196">
        <v>-162400</v>
      </c>
      <c r="G10540" s="196">
        <v>-162400</v>
      </c>
    </row>
    <row r="10541" spans="1:7" x14ac:dyDescent="0.3">
      <c r="A10541" s="198">
        <v>43019477</v>
      </c>
      <c r="B10541" s="192" t="s">
        <v>6519</v>
      </c>
      <c r="C10541" s="196">
        <v>-193000</v>
      </c>
      <c r="D10541" s="196">
        <v>0</v>
      </c>
      <c r="E10541" s="196">
        <v>0</v>
      </c>
      <c r="F10541" s="196">
        <v>0</v>
      </c>
      <c r="G10541" s="196">
        <v>-193000</v>
      </c>
    </row>
    <row r="10542" spans="1:7" x14ac:dyDescent="0.3">
      <c r="A10542" s="198">
        <v>42767889</v>
      </c>
      <c r="B10542" s="192" t="s">
        <v>3384</v>
      </c>
      <c r="C10542" s="196">
        <v>-79200</v>
      </c>
      <c r="D10542" s="196">
        <v>0</v>
      </c>
      <c r="E10542" s="196">
        <v>0</v>
      </c>
      <c r="F10542" s="196">
        <v>0</v>
      </c>
      <c r="G10542" s="196">
        <v>-79200</v>
      </c>
    </row>
    <row r="10543" spans="1:7" x14ac:dyDescent="0.3">
      <c r="A10543" s="198">
        <v>98669004</v>
      </c>
      <c r="B10543" s="192" t="s">
        <v>3388</v>
      </c>
      <c r="C10543" s="196">
        <v>-66400</v>
      </c>
      <c r="D10543" s="196">
        <v>0</v>
      </c>
      <c r="E10543" s="196">
        <v>0</v>
      </c>
      <c r="F10543" s="196">
        <v>0</v>
      </c>
      <c r="G10543" s="196">
        <v>-66400</v>
      </c>
    </row>
    <row r="10544" spans="1:7" x14ac:dyDescent="0.3">
      <c r="A10544" s="198">
        <v>43206483</v>
      </c>
      <c r="B10544" s="192" t="s">
        <v>3395</v>
      </c>
      <c r="C10544" s="196">
        <v>-418200</v>
      </c>
      <c r="D10544" s="196">
        <v>0</v>
      </c>
      <c r="E10544" s="196">
        <v>0</v>
      </c>
      <c r="F10544" s="196">
        <v>0</v>
      </c>
      <c r="G10544" s="196">
        <v>-418200</v>
      </c>
    </row>
    <row r="10545" spans="1:7" x14ac:dyDescent="0.3">
      <c r="A10545" s="198">
        <v>43826965</v>
      </c>
      <c r="B10545" s="192" t="s">
        <v>3396</v>
      </c>
      <c r="C10545" s="196">
        <v>-40600</v>
      </c>
      <c r="D10545" s="196">
        <v>0</v>
      </c>
      <c r="E10545" s="196">
        <v>0</v>
      </c>
      <c r="F10545" s="196">
        <v>0</v>
      </c>
      <c r="G10545" s="196">
        <v>-40600</v>
      </c>
    </row>
    <row r="10546" spans="1:7" x14ac:dyDescent="0.3">
      <c r="A10546" s="198">
        <v>42702272</v>
      </c>
      <c r="B10546" s="192" t="s">
        <v>3400</v>
      </c>
      <c r="C10546" s="196">
        <v>-324000</v>
      </c>
      <c r="D10546" s="196">
        <v>0</v>
      </c>
      <c r="E10546" s="196">
        <v>0</v>
      </c>
      <c r="F10546" s="196">
        <v>0</v>
      </c>
      <c r="G10546" s="196">
        <v>-324000</v>
      </c>
    </row>
    <row r="10547" spans="1:7" x14ac:dyDescent="0.3">
      <c r="A10547" s="192" t="s">
        <v>543</v>
      </c>
      <c r="B10547" s="192" t="s">
        <v>544</v>
      </c>
      <c r="C10547" s="196">
        <v>0</v>
      </c>
      <c r="D10547" s="196">
        <v>0</v>
      </c>
      <c r="E10547" s="196">
        <v>357000</v>
      </c>
      <c r="F10547" s="196">
        <v>-357000</v>
      </c>
      <c r="G10547" s="196">
        <v>-357000</v>
      </c>
    </row>
    <row r="10548" spans="1:7" x14ac:dyDescent="0.3">
      <c r="A10548" s="198">
        <v>1093739722</v>
      </c>
      <c r="B10548" s="192" t="s">
        <v>3410</v>
      </c>
      <c r="C10548" s="196">
        <v>-285600</v>
      </c>
      <c r="D10548" s="196">
        <v>0</v>
      </c>
      <c r="E10548" s="196">
        <v>0</v>
      </c>
      <c r="F10548" s="196">
        <v>0</v>
      </c>
      <c r="G10548" s="196">
        <v>-285600</v>
      </c>
    </row>
    <row r="10549" spans="1:7" x14ac:dyDescent="0.3">
      <c r="A10549" s="198">
        <v>32426511</v>
      </c>
      <c r="B10549" s="192" t="s">
        <v>7215</v>
      </c>
      <c r="C10549" s="196">
        <v>-43000</v>
      </c>
      <c r="D10549" s="196">
        <v>0</v>
      </c>
      <c r="E10549" s="196">
        <v>0</v>
      </c>
      <c r="F10549" s="196">
        <v>0</v>
      </c>
      <c r="G10549" s="196">
        <v>-43000</v>
      </c>
    </row>
    <row r="10550" spans="1:7" x14ac:dyDescent="0.3">
      <c r="A10550" s="198">
        <v>70083146</v>
      </c>
      <c r="B10550" s="192" t="s">
        <v>3418</v>
      </c>
      <c r="C10550" s="196">
        <v>-112500</v>
      </c>
      <c r="D10550" s="196">
        <v>0</v>
      </c>
      <c r="E10550" s="196">
        <v>0</v>
      </c>
      <c r="F10550" s="196">
        <v>0</v>
      </c>
      <c r="G10550" s="196">
        <v>-112500</v>
      </c>
    </row>
    <row r="10551" spans="1:7" x14ac:dyDescent="0.3">
      <c r="A10551" s="198">
        <v>70110035</v>
      </c>
      <c r="B10551" s="192" t="s">
        <v>550</v>
      </c>
      <c r="C10551" s="196">
        <v>0</v>
      </c>
      <c r="D10551" s="196">
        <v>0</v>
      </c>
      <c r="E10551" s="196">
        <v>104800</v>
      </c>
      <c r="F10551" s="196">
        <v>-104800</v>
      </c>
      <c r="G10551" s="196">
        <v>-104800</v>
      </c>
    </row>
    <row r="10552" spans="1:7" x14ac:dyDescent="0.3">
      <c r="A10552" s="198">
        <v>14139734</v>
      </c>
      <c r="B10552" s="192" t="s">
        <v>6530</v>
      </c>
      <c r="C10552" s="196">
        <v>-347000</v>
      </c>
      <c r="D10552" s="196">
        <v>0</v>
      </c>
      <c r="E10552" s="196">
        <v>0</v>
      </c>
      <c r="F10552" s="196">
        <v>0</v>
      </c>
      <c r="G10552" s="196">
        <v>-347000</v>
      </c>
    </row>
    <row r="10553" spans="1:7" x14ac:dyDescent="0.3">
      <c r="A10553" s="192" t="s">
        <v>3427</v>
      </c>
      <c r="B10553" s="192" t="s">
        <v>3428</v>
      </c>
      <c r="C10553" s="196">
        <v>-255000</v>
      </c>
      <c r="D10553" s="196">
        <v>0</v>
      </c>
      <c r="E10553" s="196">
        <v>0</v>
      </c>
      <c r="F10553" s="196">
        <v>0</v>
      </c>
      <c r="G10553" s="196">
        <v>-255000</v>
      </c>
    </row>
    <row r="10554" spans="1:7" x14ac:dyDescent="0.3">
      <c r="A10554" s="198">
        <v>648804240</v>
      </c>
      <c r="B10554" s="192" t="s">
        <v>7216</v>
      </c>
      <c r="C10554" s="196">
        <v>-714000</v>
      </c>
      <c r="D10554" s="196">
        <v>0</v>
      </c>
      <c r="E10554" s="196">
        <v>0</v>
      </c>
      <c r="F10554" s="196">
        <v>0</v>
      </c>
      <c r="G10554" s="196">
        <v>-714000</v>
      </c>
    </row>
    <row r="10555" spans="1:7" x14ac:dyDescent="0.3">
      <c r="A10555" s="198">
        <v>592230815</v>
      </c>
      <c r="B10555" s="192" t="s">
        <v>7217</v>
      </c>
      <c r="C10555" s="196">
        <v>-357000</v>
      </c>
      <c r="D10555" s="196">
        <v>0</v>
      </c>
      <c r="E10555" s="196">
        <v>0</v>
      </c>
      <c r="F10555" s="196">
        <v>0</v>
      </c>
      <c r="G10555" s="196">
        <v>-357000</v>
      </c>
    </row>
    <row r="10556" spans="1:7" x14ac:dyDescent="0.3">
      <c r="A10556" s="198">
        <v>21277585</v>
      </c>
      <c r="B10556" s="192" t="s">
        <v>556</v>
      </c>
      <c r="C10556" s="196">
        <v>0</v>
      </c>
      <c r="D10556" s="196">
        <v>0</v>
      </c>
      <c r="E10556" s="196">
        <v>146200</v>
      </c>
      <c r="F10556" s="196">
        <v>-146200</v>
      </c>
      <c r="G10556" s="196">
        <v>-146200</v>
      </c>
    </row>
    <row r="10557" spans="1:7" x14ac:dyDescent="0.3">
      <c r="A10557" s="198">
        <v>1146435778</v>
      </c>
      <c r="B10557" s="192" t="s">
        <v>6532</v>
      </c>
      <c r="C10557" s="196">
        <v>-193000</v>
      </c>
      <c r="D10557" s="196">
        <v>0</v>
      </c>
      <c r="E10557" s="196">
        <v>0</v>
      </c>
      <c r="F10557" s="196">
        <v>0</v>
      </c>
      <c r="G10557" s="196">
        <v>-193000</v>
      </c>
    </row>
    <row r="10558" spans="1:7" x14ac:dyDescent="0.3">
      <c r="A10558" s="198">
        <v>43570820</v>
      </c>
      <c r="B10558" s="192" t="s">
        <v>3447</v>
      </c>
      <c r="C10558" s="196">
        <v>-79200</v>
      </c>
      <c r="D10558" s="196">
        <v>0</v>
      </c>
      <c r="E10558" s="196">
        <v>0</v>
      </c>
      <c r="F10558" s="196">
        <v>0</v>
      </c>
      <c r="G10558" s="196">
        <v>-79200</v>
      </c>
    </row>
    <row r="10559" spans="1:7" x14ac:dyDescent="0.3">
      <c r="A10559" s="198">
        <v>43615148</v>
      </c>
      <c r="B10559" s="192" t="s">
        <v>3449</v>
      </c>
      <c r="C10559" s="196">
        <v>-46000</v>
      </c>
      <c r="D10559" s="196">
        <v>0</v>
      </c>
      <c r="E10559" s="196">
        <v>0</v>
      </c>
      <c r="F10559" s="196">
        <v>0</v>
      </c>
      <c r="G10559" s="196">
        <v>-46000</v>
      </c>
    </row>
    <row r="10560" spans="1:7" x14ac:dyDescent="0.3">
      <c r="A10560" s="198">
        <v>52233560</v>
      </c>
      <c r="B10560" s="192" t="s">
        <v>3450</v>
      </c>
      <c r="C10560" s="196">
        <v>-79200</v>
      </c>
      <c r="D10560" s="196">
        <v>0</v>
      </c>
      <c r="E10560" s="196">
        <v>0</v>
      </c>
      <c r="F10560" s="196">
        <v>0</v>
      </c>
      <c r="G10560" s="196">
        <v>-79200</v>
      </c>
    </row>
    <row r="10561" spans="1:7" x14ac:dyDescent="0.3">
      <c r="A10561" s="198">
        <v>1039459754</v>
      </c>
      <c r="B10561" s="192" t="s">
        <v>561</v>
      </c>
      <c r="C10561" s="196">
        <v>-77800</v>
      </c>
      <c r="D10561" s="196">
        <v>115000</v>
      </c>
      <c r="E10561" s="196">
        <v>230000</v>
      </c>
      <c r="F10561" s="196">
        <v>-115000</v>
      </c>
      <c r="G10561" s="196">
        <v>-192800</v>
      </c>
    </row>
    <row r="10562" spans="1:7" x14ac:dyDescent="0.3">
      <c r="A10562" s="198">
        <v>43108346</v>
      </c>
      <c r="B10562" s="192" t="s">
        <v>7218</v>
      </c>
      <c r="C10562" s="196">
        <v>-110300</v>
      </c>
      <c r="D10562" s="196">
        <v>0</v>
      </c>
      <c r="E10562" s="196">
        <v>0</v>
      </c>
      <c r="F10562" s="196">
        <v>0</v>
      </c>
      <c r="G10562" s="196">
        <v>-110300</v>
      </c>
    </row>
    <row r="10563" spans="1:7" x14ac:dyDescent="0.3">
      <c r="A10563" s="198">
        <v>1037612866</v>
      </c>
      <c r="B10563" s="192" t="s">
        <v>564</v>
      </c>
      <c r="C10563" s="196">
        <v>0</v>
      </c>
      <c r="D10563" s="196">
        <v>0</v>
      </c>
      <c r="E10563" s="196">
        <v>79300</v>
      </c>
      <c r="F10563" s="196">
        <v>-79300</v>
      </c>
      <c r="G10563" s="196">
        <v>-79300</v>
      </c>
    </row>
    <row r="10564" spans="1:7" x14ac:dyDescent="0.3">
      <c r="A10564" s="198">
        <v>1017205089</v>
      </c>
      <c r="B10564" s="192" t="s">
        <v>3457</v>
      </c>
      <c r="C10564" s="196">
        <v>-79200</v>
      </c>
      <c r="D10564" s="196">
        <v>0</v>
      </c>
      <c r="E10564" s="196">
        <v>0</v>
      </c>
      <c r="F10564" s="196">
        <v>0</v>
      </c>
      <c r="G10564" s="196">
        <v>-79200</v>
      </c>
    </row>
    <row r="10565" spans="1:7" x14ac:dyDescent="0.3">
      <c r="A10565" s="198">
        <v>1027887039</v>
      </c>
      <c r="B10565" s="192" t="s">
        <v>6537</v>
      </c>
      <c r="C10565" s="196">
        <v>-115000</v>
      </c>
      <c r="D10565" s="196">
        <v>0</v>
      </c>
      <c r="E10565" s="196">
        <v>0</v>
      </c>
      <c r="F10565" s="196">
        <v>0</v>
      </c>
      <c r="G10565" s="196">
        <v>-115000</v>
      </c>
    </row>
    <row r="10566" spans="1:7" x14ac:dyDescent="0.3">
      <c r="A10566" s="198">
        <v>43869731</v>
      </c>
      <c r="B10566" s="192" t="s">
        <v>7219</v>
      </c>
      <c r="C10566" s="196">
        <v>-33200</v>
      </c>
      <c r="D10566" s="196">
        <v>0</v>
      </c>
      <c r="E10566" s="196">
        <v>0</v>
      </c>
      <c r="F10566" s="196">
        <v>0</v>
      </c>
      <c r="G10566" s="196">
        <v>-33200</v>
      </c>
    </row>
    <row r="10567" spans="1:7" x14ac:dyDescent="0.3">
      <c r="A10567" s="198">
        <v>67040332</v>
      </c>
      <c r="B10567" s="192" t="s">
        <v>3474</v>
      </c>
      <c r="C10567" s="196">
        <v>-79200</v>
      </c>
      <c r="D10567" s="196">
        <v>0</v>
      </c>
      <c r="E10567" s="196">
        <v>0</v>
      </c>
      <c r="F10567" s="196">
        <v>0</v>
      </c>
      <c r="G10567" s="196">
        <v>-79200</v>
      </c>
    </row>
    <row r="10568" spans="1:7" x14ac:dyDescent="0.3">
      <c r="A10568" s="198">
        <v>6161056</v>
      </c>
      <c r="B10568" s="192" t="s">
        <v>3480</v>
      </c>
      <c r="C10568" s="196">
        <v>-315000</v>
      </c>
      <c r="D10568" s="196">
        <v>0</v>
      </c>
      <c r="E10568" s="196">
        <v>0</v>
      </c>
      <c r="F10568" s="196">
        <v>0</v>
      </c>
      <c r="G10568" s="196">
        <v>-315000</v>
      </c>
    </row>
    <row r="10569" spans="1:7" x14ac:dyDescent="0.3">
      <c r="A10569" s="198">
        <v>70220901</v>
      </c>
      <c r="B10569" s="192" t="s">
        <v>3481</v>
      </c>
      <c r="C10569" s="196">
        <v>-33200</v>
      </c>
      <c r="D10569" s="196">
        <v>0</v>
      </c>
      <c r="E10569" s="196">
        <v>0</v>
      </c>
      <c r="F10569" s="196">
        <v>0</v>
      </c>
      <c r="G10569" s="196">
        <v>-33200</v>
      </c>
    </row>
    <row r="10570" spans="1:7" x14ac:dyDescent="0.3">
      <c r="A10570" s="198">
        <v>70696866</v>
      </c>
      <c r="B10570" s="192" t="s">
        <v>3482</v>
      </c>
      <c r="C10570" s="196">
        <v>-98000</v>
      </c>
      <c r="D10570" s="196">
        <v>0</v>
      </c>
      <c r="E10570" s="196">
        <v>0</v>
      </c>
      <c r="F10570" s="196">
        <v>0</v>
      </c>
      <c r="G10570" s="196">
        <v>-98000</v>
      </c>
    </row>
    <row r="10571" spans="1:7" x14ac:dyDescent="0.3">
      <c r="A10571" s="198">
        <v>70067596</v>
      </c>
      <c r="B10571" s="192" t="s">
        <v>569</v>
      </c>
      <c r="C10571" s="196">
        <v>0</v>
      </c>
      <c r="D10571" s="196">
        <v>0</v>
      </c>
      <c r="E10571" s="196">
        <v>33200</v>
      </c>
      <c r="F10571" s="196">
        <v>-33200</v>
      </c>
      <c r="G10571" s="196">
        <v>-33200</v>
      </c>
    </row>
    <row r="10572" spans="1:7" x14ac:dyDescent="0.3">
      <c r="A10572" s="198">
        <v>15509188</v>
      </c>
      <c r="B10572" s="192" t="s">
        <v>3483</v>
      </c>
      <c r="C10572" s="196">
        <v>-226800</v>
      </c>
      <c r="D10572" s="196">
        <v>0</v>
      </c>
      <c r="E10572" s="196">
        <v>0</v>
      </c>
      <c r="F10572" s="196">
        <v>0</v>
      </c>
      <c r="G10572" s="196">
        <v>-226800</v>
      </c>
    </row>
    <row r="10573" spans="1:7" x14ac:dyDescent="0.3">
      <c r="A10573" s="198">
        <v>37804760</v>
      </c>
      <c r="B10573" s="192" t="s">
        <v>3490</v>
      </c>
      <c r="C10573" s="196">
        <v>-33200</v>
      </c>
      <c r="D10573" s="196">
        <v>0</v>
      </c>
      <c r="E10573" s="196">
        <v>0</v>
      </c>
      <c r="F10573" s="196">
        <v>0</v>
      </c>
      <c r="G10573" s="196">
        <v>-33200</v>
      </c>
    </row>
    <row r="10574" spans="1:7" x14ac:dyDescent="0.3">
      <c r="A10574" s="198">
        <v>42886040</v>
      </c>
      <c r="B10574" s="192" t="s">
        <v>3492</v>
      </c>
      <c r="C10574" s="196">
        <v>-158400</v>
      </c>
      <c r="D10574" s="196">
        <v>0</v>
      </c>
      <c r="E10574" s="196">
        <v>0</v>
      </c>
      <c r="F10574" s="196">
        <v>0</v>
      </c>
      <c r="G10574" s="196">
        <v>-158400</v>
      </c>
    </row>
    <row r="10575" spans="1:7" x14ac:dyDescent="0.3">
      <c r="A10575" s="198">
        <v>42750620</v>
      </c>
      <c r="B10575" s="192" t="s">
        <v>575</v>
      </c>
      <c r="C10575" s="196">
        <v>-79200</v>
      </c>
      <c r="D10575" s="196">
        <v>0</v>
      </c>
      <c r="E10575" s="196">
        <v>0</v>
      </c>
      <c r="F10575" s="196">
        <v>0</v>
      </c>
      <c r="G10575" s="196">
        <v>-79200</v>
      </c>
    </row>
    <row r="10576" spans="1:7" x14ac:dyDescent="0.3">
      <c r="A10576" s="198">
        <v>596708557</v>
      </c>
      <c r="B10576" s="192" t="s">
        <v>3495</v>
      </c>
      <c r="C10576" s="196">
        <v>-238655</v>
      </c>
      <c r="D10576" s="196">
        <v>0</v>
      </c>
      <c r="E10576" s="196">
        <v>0</v>
      </c>
      <c r="F10576" s="196">
        <v>0</v>
      </c>
      <c r="G10576" s="196">
        <v>-238655</v>
      </c>
    </row>
    <row r="10577" spans="1:7" x14ac:dyDescent="0.3">
      <c r="A10577" s="198">
        <v>1035013501</v>
      </c>
      <c r="B10577" s="192" t="s">
        <v>576</v>
      </c>
      <c r="C10577" s="196">
        <v>-79200</v>
      </c>
      <c r="D10577" s="196">
        <v>0</v>
      </c>
      <c r="E10577" s="196">
        <v>0</v>
      </c>
      <c r="F10577" s="196">
        <v>0</v>
      </c>
      <c r="G10577" s="196">
        <v>-79200</v>
      </c>
    </row>
    <row r="10578" spans="1:7" x14ac:dyDescent="0.3">
      <c r="A10578" s="198">
        <v>1036458778</v>
      </c>
      <c r="B10578" s="192" t="s">
        <v>6541</v>
      </c>
      <c r="C10578" s="196">
        <v>-193000</v>
      </c>
      <c r="D10578" s="196">
        <v>0</v>
      </c>
      <c r="E10578" s="196">
        <v>0</v>
      </c>
      <c r="F10578" s="196">
        <v>0</v>
      </c>
      <c r="G10578" s="196">
        <v>-193000</v>
      </c>
    </row>
    <row r="10579" spans="1:7" x14ac:dyDescent="0.3">
      <c r="A10579" s="198">
        <v>818611</v>
      </c>
      <c r="B10579" s="192" t="s">
        <v>3503</v>
      </c>
      <c r="C10579" s="196">
        <v>-79200</v>
      </c>
      <c r="D10579" s="196">
        <v>0</v>
      </c>
      <c r="E10579" s="196">
        <v>0</v>
      </c>
      <c r="F10579" s="196">
        <v>0</v>
      </c>
      <c r="G10579" s="196">
        <v>-79200</v>
      </c>
    </row>
    <row r="10580" spans="1:7" x14ac:dyDescent="0.3">
      <c r="A10580" s="198">
        <v>1035003416</v>
      </c>
      <c r="B10580" s="192" t="s">
        <v>3537</v>
      </c>
      <c r="C10580" s="196">
        <v>-82800</v>
      </c>
      <c r="D10580" s="196">
        <v>0</v>
      </c>
      <c r="E10580" s="196">
        <v>0</v>
      </c>
      <c r="F10580" s="196">
        <v>0</v>
      </c>
      <c r="G10580" s="196">
        <v>-82800</v>
      </c>
    </row>
    <row r="10581" spans="1:7" x14ac:dyDescent="0.3">
      <c r="A10581" s="198">
        <v>1039460986</v>
      </c>
      <c r="B10581" s="192" t="s">
        <v>3557</v>
      </c>
      <c r="C10581" s="196">
        <v>-122300</v>
      </c>
      <c r="D10581" s="196">
        <v>0</v>
      </c>
      <c r="E10581" s="196">
        <v>0</v>
      </c>
      <c r="F10581" s="196">
        <v>0</v>
      </c>
      <c r="G10581" s="196">
        <v>-122300</v>
      </c>
    </row>
    <row r="10582" spans="1:7" x14ac:dyDescent="0.3">
      <c r="A10582" s="198">
        <v>1034992919</v>
      </c>
      <c r="B10582" s="192" t="s">
        <v>7220</v>
      </c>
      <c r="C10582" s="196">
        <v>-380000</v>
      </c>
      <c r="D10582" s="196">
        <v>0</v>
      </c>
      <c r="E10582" s="196">
        <v>0</v>
      </c>
      <c r="F10582" s="196">
        <v>0</v>
      </c>
      <c r="G10582" s="196">
        <v>-380000</v>
      </c>
    </row>
    <row r="10583" spans="1:7" x14ac:dyDescent="0.3">
      <c r="A10583" s="198">
        <v>659919602</v>
      </c>
      <c r="B10583" s="192" t="s">
        <v>3561</v>
      </c>
      <c r="C10583" s="196">
        <v>-414000</v>
      </c>
      <c r="D10583" s="196">
        <v>0</v>
      </c>
      <c r="E10583" s="196">
        <v>0</v>
      </c>
      <c r="F10583" s="196">
        <v>0</v>
      </c>
      <c r="G10583" s="196">
        <v>-414000</v>
      </c>
    </row>
    <row r="10584" spans="1:7" x14ac:dyDescent="0.3">
      <c r="A10584" s="198">
        <v>6384531</v>
      </c>
      <c r="B10584" s="192" t="s">
        <v>594</v>
      </c>
      <c r="C10584" s="196">
        <v>0</v>
      </c>
      <c r="D10584" s="196">
        <v>0</v>
      </c>
      <c r="E10584" s="196">
        <v>46000</v>
      </c>
      <c r="F10584" s="196">
        <v>-46000</v>
      </c>
      <c r="G10584" s="196">
        <v>-46000</v>
      </c>
    </row>
    <row r="10585" spans="1:7" x14ac:dyDescent="0.3">
      <c r="A10585" s="198">
        <v>1044504953</v>
      </c>
      <c r="B10585" s="192" t="s">
        <v>595</v>
      </c>
      <c r="C10585" s="196">
        <v>-718501</v>
      </c>
      <c r="D10585" s="196">
        <v>0</v>
      </c>
      <c r="E10585" s="196">
        <v>0</v>
      </c>
      <c r="F10585" s="196">
        <v>0</v>
      </c>
      <c r="G10585" s="196">
        <v>-718501</v>
      </c>
    </row>
    <row r="10586" spans="1:7" x14ac:dyDescent="0.3">
      <c r="A10586" s="198">
        <v>1126644202</v>
      </c>
      <c r="B10586" s="192" t="s">
        <v>596</v>
      </c>
      <c r="C10586" s="196">
        <v>0</v>
      </c>
      <c r="D10586" s="196">
        <v>0</v>
      </c>
      <c r="E10586" s="196">
        <v>46000</v>
      </c>
      <c r="F10586" s="196">
        <v>-46000</v>
      </c>
      <c r="G10586" s="196">
        <v>-46000</v>
      </c>
    </row>
    <row r="10587" spans="1:7" x14ac:dyDescent="0.3">
      <c r="A10587" s="192" t="s">
        <v>3571</v>
      </c>
      <c r="B10587" s="192" t="s">
        <v>3572</v>
      </c>
      <c r="C10587" s="196">
        <v>-258000</v>
      </c>
      <c r="D10587" s="196">
        <v>0</v>
      </c>
      <c r="E10587" s="196">
        <v>0</v>
      </c>
      <c r="F10587" s="196">
        <v>0</v>
      </c>
      <c r="G10587" s="196">
        <v>-258000</v>
      </c>
    </row>
    <row r="10588" spans="1:7" x14ac:dyDescent="0.3">
      <c r="A10588" s="198">
        <v>1110463913</v>
      </c>
      <c r="B10588" s="192" t="s">
        <v>7221</v>
      </c>
      <c r="C10588" s="196">
        <v>-165000</v>
      </c>
      <c r="D10588" s="196">
        <v>0</v>
      </c>
      <c r="E10588" s="196">
        <v>0</v>
      </c>
      <c r="F10588" s="196">
        <v>0</v>
      </c>
      <c r="G10588" s="196">
        <v>-165000</v>
      </c>
    </row>
    <row r="10589" spans="1:7" x14ac:dyDescent="0.3">
      <c r="A10589" s="198">
        <v>1037596910</v>
      </c>
      <c r="B10589" s="192" t="s">
        <v>3576</v>
      </c>
      <c r="C10589" s="196">
        <v>-84300</v>
      </c>
      <c r="D10589" s="196">
        <v>0</v>
      </c>
      <c r="E10589" s="196">
        <v>0</v>
      </c>
      <c r="F10589" s="196">
        <v>0</v>
      </c>
      <c r="G10589" s="196">
        <v>-84300</v>
      </c>
    </row>
    <row r="10590" spans="1:7" x14ac:dyDescent="0.3">
      <c r="A10590" s="198">
        <v>1085932775</v>
      </c>
      <c r="B10590" s="192" t="s">
        <v>3577</v>
      </c>
      <c r="C10590" s="196">
        <v>-200000</v>
      </c>
      <c r="D10590" s="196">
        <v>0</v>
      </c>
      <c r="E10590" s="196">
        <v>0</v>
      </c>
      <c r="F10590" s="196">
        <v>0</v>
      </c>
      <c r="G10590" s="196">
        <v>-200000</v>
      </c>
    </row>
    <row r="10591" spans="1:7" x14ac:dyDescent="0.3">
      <c r="A10591" s="198">
        <v>1017205067</v>
      </c>
      <c r="B10591" s="192" t="s">
        <v>3578</v>
      </c>
      <c r="C10591" s="196">
        <v>-79200</v>
      </c>
      <c r="D10591" s="196">
        <v>0</v>
      </c>
      <c r="E10591" s="196">
        <v>0</v>
      </c>
      <c r="F10591" s="196">
        <v>0</v>
      </c>
      <c r="G10591" s="196">
        <v>-79200</v>
      </c>
    </row>
    <row r="10592" spans="1:7" x14ac:dyDescent="0.3">
      <c r="A10592" s="198">
        <v>1007676061</v>
      </c>
      <c r="B10592" s="192" t="s">
        <v>3580</v>
      </c>
      <c r="C10592" s="196">
        <v>-498000</v>
      </c>
      <c r="D10592" s="196">
        <v>0</v>
      </c>
      <c r="E10592" s="196">
        <v>0</v>
      </c>
      <c r="F10592" s="196">
        <v>0</v>
      </c>
      <c r="G10592" s="196">
        <v>-498000</v>
      </c>
    </row>
    <row r="10593" spans="1:7" x14ac:dyDescent="0.3">
      <c r="A10593" s="192" t="s">
        <v>3582</v>
      </c>
      <c r="B10593" s="192" t="s">
        <v>3583</v>
      </c>
      <c r="C10593" s="196">
        <v>-258000</v>
      </c>
      <c r="D10593" s="196">
        <v>0</v>
      </c>
      <c r="E10593" s="196">
        <v>0</v>
      </c>
      <c r="F10593" s="196">
        <v>0</v>
      </c>
      <c r="G10593" s="196">
        <v>-258000</v>
      </c>
    </row>
    <row r="10594" spans="1:7" x14ac:dyDescent="0.3">
      <c r="A10594" s="198">
        <v>1002878844</v>
      </c>
      <c r="B10594" s="192" t="s">
        <v>3585</v>
      </c>
      <c r="C10594" s="196">
        <v>-190000</v>
      </c>
      <c r="D10594" s="196">
        <v>0</v>
      </c>
      <c r="E10594" s="196">
        <v>0</v>
      </c>
      <c r="F10594" s="196">
        <v>0</v>
      </c>
      <c r="G10594" s="196">
        <v>-190000</v>
      </c>
    </row>
    <row r="10595" spans="1:7" x14ac:dyDescent="0.3">
      <c r="A10595" s="198">
        <v>1037636402</v>
      </c>
      <c r="B10595" s="192" t="s">
        <v>3595</v>
      </c>
      <c r="C10595" s="196">
        <v>-272200</v>
      </c>
      <c r="D10595" s="196">
        <v>0</v>
      </c>
      <c r="E10595" s="196">
        <v>0</v>
      </c>
      <c r="F10595" s="196">
        <v>0</v>
      </c>
      <c r="G10595" s="196">
        <v>-272200</v>
      </c>
    </row>
    <row r="10596" spans="1:7" x14ac:dyDescent="0.3">
      <c r="A10596" s="198">
        <v>1214741564</v>
      </c>
      <c r="B10596" s="192" t="s">
        <v>3599</v>
      </c>
      <c r="C10596" s="196">
        <v>-98000</v>
      </c>
      <c r="D10596" s="196">
        <v>0</v>
      </c>
      <c r="E10596" s="196">
        <v>0</v>
      </c>
      <c r="F10596" s="196">
        <v>0</v>
      </c>
      <c r="G10596" s="196">
        <v>-98000</v>
      </c>
    </row>
    <row r="10597" spans="1:7" x14ac:dyDescent="0.3">
      <c r="A10597" s="198">
        <v>71905003</v>
      </c>
      <c r="B10597" s="192" t="s">
        <v>607</v>
      </c>
      <c r="C10597" s="196">
        <v>0</v>
      </c>
      <c r="D10597" s="196">
        <v>0</v>
      </c>
      <c r="E10597" s="196">
        <v>81200</v>
      </c>
      <c r="F10597" s="196">
        <v>-81200</v>
      </c>
      <c r="G10597" s="196">
        <v>-81200</v>
      </c>
    </row>
    <row r="10598" spans="1:7" x14ac:dyDescent="0.3">
      <c r="A10598" s="198">
        <v>584092732</v>
      </c>
      <c r="B10598" s="192" t="s">
        <v>3613</v>
      </c>
      <c r="C10598" s="196">
        <v>-299000</v>
      </c>
      <c r="D10598" s="196">
        <v>0</v>
      </c>
      <c r="E10598" s="196">
        <v>0</v>
      </c>
      <c r="F10598" s="196">
        <v>0</v>
      </c>
      <c r="G10598" s="196">
        <v>-299000</v>
      </c>
    </row>
    <row r="10599" spans="1:7" x14ac:dyDescent="0.3">
      <c r="A10599" s="198">
        <v>8280141</v>
      </c>
      <c r="B10599" s="192" t="s">
        <v>608</v>
      </c>
      <c r="C10599" s="196">
        <v>-167000</v>
      </c>
      <c r="D10599" s="196">
        <v>0</v>
      </c>
      <c r="E10599" s="196">
        <v>0</v>
      </c>
      <c r="F10599" s="196">
        <v>0</v>
      </c>
      <c r="G10599" s="196">
        <v>-167000</v>
      </c>
    </row>
    <row r="10600" spans="1:7" x14ac:dyDescent="0.3">
      <c r="A10600" s="198">
        <v>1036657796</v>
      </c>
      <c r="B10600" s="192" t="s">
        <v>3614</v>
      </c>
      <c r="C10600" s="196">
        <v>-190000</v>
      </c>
      <c r="D10600" s="196">
        <v>0</v>
      </c>
      <c r="E10600" s="196">
        <v>0</v>
      </c>
      <c r="F10600" s="196">
        <v>0</v>
      </c>
      <c r="G10600" s="196">
        <v>-190000</v>
      </c>
    </row>
    <row r="10601" spans="1:7" x14ac:dyDescent="0.3">
      <c r="A10601" s="198">
        <v>1037613009</v>
      </c>
      <c r="B10601" s="192" t="s">
        <v>6560</v>
      </c>
      <c r="C10601" s="196">
        <v>-490000</v>
      </c>
      <c r="D10601" s="196">
        <v>0</v>
      </c>
      <c r="E10601" s="196">
        <v>0</v>
      </c>
      <c r="F10601" s="196">
        <v>0</v>
      </c>
      <c r="G10601" s="196">
        <v>-490000</v>
      </c>
    </row>
    <row r="10602" spans="1:7" x14ac:dyDescent="0.3">
      <c r="A10602" s="198">
        <v>15442720</v>
      </c>
      <c r="B10602" s="192" t="s">
        <v>609</v>
      </c>
      <c r="C10602" s="196">
        <v>0</v>
      </c>
      <c r="D10602" s="196">
        <v>0</v>
      </c>
      <c r="E10602" s="196">
        <v>79200</v>
      </c>
      <c r="F10602" s="196">
        <v>-79200</v>
      </c>
      <c r="G10602" s="196">
        <v>-79200</v>
      </c>
    </row>
    <row r="10603" spans="1:7" x14ac:dyDescent="0.3">
      <c r="A10603" s="192" t="s">
        <v>611</v>
      </c>
      <c r="B10603" s="192" t="s">
        <v>612</v>
      </c>
      <c r="C10603" s="196">
        <v>-308000</v>
      </c>
      <c r="D10603" s="196">
        <v>0</v>
      </c>
      <c r="E10603" s="196">
        <v>0</v>
      </c>
      <c r="F10603" s="196">
        <v>0</v>
      </c>
      <c r="G10603" s="196">
        <v>-308000</v>
      </c>
    </row>
    <row r="10604" spans="1:7" x14ac:dyDescent="0.3">
      <c r="A10604" s="198">
        <v>1083894021</v>
      </c>
      <c r="B10604" s="192" t="s">
        <v>3637</v>
      </c>
      <c r="C10604" s="196">
        <v>-498000</v>
      </c>
      <c r="D10604" s="196">
        <v>0</v>
      </c>
      <c r="E10604" s="196">
        <v>0</v>
      </c>
      <c r="F10604" s="196">
        <v>0</v>
      </c>
      <c r="G10604" s="196">
        <v>-498000</v>
      </c>
    </row>
    <row r="10605" spans="1:7" x14ac:dyDescent="0.3">
      <c r="A10605" s="198">
        <v>1362925</v>
      </c>
      <c r="B10605" s="192" t="s">
        <v>620</v>
      </c>
      <c r="C10605" s="196">
        <v>-255000</v>
      </c>
      <c r="D10605" s="196">
        <v>0</v>
      </c>
      <c r="E10605" s="196">
        <v>0</v>
      </c>
      <c r="F10605" s="196">
        <v>0</v>
      </c>
      <c r="G10605" s="196">
        <v>-255000</v>
      </c>
    </row>
    <row r="10606" spans="1:7" x14ac:dyDescent="0.3">
      <c r="A10606" s="198">
        <v>71825662</v>
      </c>
      <c r="B10606" s="192" t="s">
        <v>3641</v>
      </c>
      <c r="C10606" s="196">
        <v>-79200</v>
      </c>
      <c r="D10606" s="196">
        <v>0</v>
      </c>
      <c r="E10606" s="196">
        <v>0</v>
      </c>
      <c r="F10606" s="196">
        <v>0</v>
      </c>
      <c r="G10606" s="196">
        <v>-79200</v>
      </c>
    </row>
    <row r="10607" spans="1:7" x14ac:dyDescent="0.3">
      <c r="A10607" s="192" t="s">
        <v>3642</v>
      </c>
      <c r="B10607" s="192" t="s">
        <v>3643</v>
      </c>
      <c r="C10607" s="196">
        <v>-255000</v>
      </c>
      <c r="D10607" s="196">
        <v>0</v>
      </c>
      <c r="E10607" s="196">
        <v>0</v>
      </c>
      <c r="F10607" s="196">
        <v>0</v>
      </c>
      <c r="G10607" s="196">
        <v>-255000</v>
      </c>
    </row>
    <row r="10608" spans="1:7" x14ac:dyDescent="0.3">
      <c r="A10608" s="198">
        <v>79297424</v>
      </c>
      <c r="B10608" s="192" t="s">
        <v>621</v>
      </c>
      <c r="C10608" s="196">
        <v>0</v>
      </c>
      <c r="D10608" s="196">
        <v>0</v>
      </c>
      <c r="E10608" s="196">
        <v>258000</v>
      </c>
      <c r="F10608" s="196">
        <v>-258000</v>
      </c>
      <c r="G10608" s="196">
        <v>-258000</v>
      </c>
    </row>
    <row r="10609" spans="1:7" x14ac:dyDescent="0.3">
      <c r="A10609" s="198">
        <v>900483177</v>
      </c>
      <c r="B10609" s="192" t="s">
        <v>3644</v>
      </c>
      <c r="C10609" s="196">
        <v>-714000</v>
      </c>
      <c r="D10609" s="196">
        <v>0</v>
      </c>
      <c r="E10609" s="196">
        <v>0</v>
      </c>
      <c r="F10609" s="196">
        <v>0</v>
      </c>
      <c r="G10609" s="196">
        <v>-714000</v>
      </c>
    </row>
    <row r="10610" spans="1:7" x14ac:dyDescent="0.3">
      <c r="A10610" s="198">
        <v>8078099</v>
      </c>
      <c r="B10610" s="192" t="s">
        <v>3645</v>
      </c>
      <c r="C10610" s="196">
        <v>-255000</v>
      </c>
      <c r="D10610" s="196">
        <v>0</v>
      </c>
      <c r="E10610" s="196">
        <v>0</v>
      </c>
      <c r="F10610" s="196">
        <v>0</v>
      </c>
      <c r="G10610" s="196">
        <v>-255000</v>
      </c>
    </row>
    <row r="10611" spans="1:7" x14ac:dyDescent="0.3">
      <c r="A10611" s="198">
        <v>1006117174</v>
      </c>
      <c r="B10611" s="192" t="s">
        <v>6566</v>
      </c>
      <c r="C10611" s="196">
        <v>-380000</v>
      </c>
      <c r="D10611" s="196">
        <v>0</v>
      </c>
      <c r="E10611" s="196">
        <v>0</v>
      </c>
      <c r="F10611" s="196">
        <v>0</v>
      </c>
      <c r="G10611" s="196">
        <v>-380000</v>
      </c>
    </row>
    <row r="10612" spans="1:7" x14ac:dyDescent="0.3">
      <c r="A10612" s="198">
        <v>456436</v>
      </c>
      <c r="B10612" s="192" t="s">
        <v>3650</v>
      </c>
      <c r="C10612" s="196">
        <v>-125200</v>
      </c>
      <c r="D10612" s="196">
        <v>0</v>
      </c>
      <c r="E10612" s="196">
        <v>0</v>
      </c>
      <c r="F10612" s="196">
        <v>0</v>
      </c>
      <c r="G10612" s="196">
        <v>-125200</v>
      </c>
    </row>
    <row r="10613" spans="1:7" x14ac:dyDescent="0.3">
      <c r="A10613" s="198">
        <v>70557674</v>
      </c>
      <c r="B10613" s="192" t="s">
        <v>3654</v>
      </c>
      <c r="C10613" s="196">
        <v>-81200</v>
      </c>
      <c r="D10613" s="196">
        <v>0</v>
      </c>
      <c r="E10613" s="196">
        <v>0</v>
      </c>
      <c r="F10613" s="196">
        <v>0</v>
      </c>
      <c r="G10613" s="196">
        <v>-81200</v>
      </c>
    </row>
    <row r="10614" spans="1:7" x14ac:dyDescent="0.3">
      <c r="A10614" s="198">
        <v>71668464</v>
      </c>
      <c r="B10614" s="192" t="s">
        <v>625</v>
      </c>
      <c r="C10614" s="196">
        <v>-20000</v>
      </c>
      <c r="D10614" s="196">
        <v>0</v>
      </c>
      <c r="E10614" s="196">
        <v>0</v>
      </c>
      <c r="F10614" s="196">
        <v>0</v>
      </c>
      <c r="G10614" s="196">
        <v>-20000</v>
      </c>
    </row>
    <row r="10615" spans="1:7" x14ac:dyDescent="0.3">
      <c r="A10615" s="198">
        <v>13883107</v>
      </c>
      <c r="B10615" s="192" t="s">
        <v>3659</v>
      </c>
      <c r="C10615" s="196">
        <v>-40500</v>
      </c>
      <c r="D10615" s="196">
        <v>0</v>
      </c>
      <c r="E10615" s="196">
        <v>0</v>
      </c>
      <c r="F10615" s="196">
        <v>0</v>
      </c>
      <c r="G10615" s="196">
        <v>-40500</v>
      </c>
    </row>
    <row r="10616" spans="1:7" x14ac:dyDescent="0.3">
      <c r="A10616" s="198">
        <v>86043259</v>
      </c>
      <c r="B10616" s="192" t="s">
        <v>3660</v>
      </c>
      <c r="C10616" s="196">
        <v>-255000</v>
      </c>
      <c r="D10616" s="196">
        <v>0</v>
      </c>
      <c r="E10616" s="196">
        <v>0</v>
      </c>
      <c r="F10616" s="196">
        <v>0</v>
      </c>
      <c r="G10616" s="196">
        <v>-255000</v>
      </c>
    </row>
    <row r="10617" spans="1:7" x14ac:dyDescent="0.3">
      <c r="A10617" s="198">
        <v>26707595</v>
      </c>
      <c r="B10617" s="192" t="s">
        <v>119</v>
      </c>
      <c r="C10617" s="196">
        <v>-190000</v>
      </c>
      <c r="D10617" s="196">
        <v>0</v>
      </c>
      <c r="E10617" s="196">
        <v>0</v>
      </c>
      <c r="F10617" s="196">
        <v>0</v>
      </c>
      <c r="G10617" s="196">
        <v>-190000</v>
      </c>
    </row>
    <row r="10618" spans="1:7" x14ac:dyDescent="0.3">
      <c r="A10618" s="198">
        <v>166508208</v>
      </c>
      <c r="B10618" s="192" t="s">
        <v>119</v>
      </c>
      <c r="C10618" s="196">
        <v>-115000</v>
      </c>
      <c r="D10618" s="196">
        <v>0</v>
      </c>
      <c r="E10618" s="196">
        <v>0</v>
      </c>
      <c r="F10618" s="196">
        <v>0</v>
      </c>
      <c r="G10618" s="196">
        <v>-115000</v>
      </c>
    </row>
    <row r="10619" spans="1:7" x14ac:dyDescent="0.3">
      <c r="A10619" s="198">
        <v>11518926</v>
      </c>
      <c r="B10619" s="192" t="s">
        <v>3666</v>
      </c>
      <c r="C10619" s="196">
        <v>-125200</v>
      </c>
      <c r="D10619" s="196">
        <v>0</v>
      </c>
      <c r="E10619" s="196">
        <v>0</v>
      </c>
      <c r="F10619" s="196">
        <v>0</v>
      </c>
      <c r="G10619" s="196">
        <v>-125200</v>
      </c>
    </row>
    <row r="10620" spans="1:7" x14ac:dyDescent="0.3">
      <c r="A10620" s="198">
        <v>70556603</v>
      </c>
      <c r="B10620" s="192" t="s">
        <v>3669</v>
      </c>
      <c r="C10620" s="196">
        <v>-40600</v>
      </c>
      <c r="D10620" s="196">
        <v>0</v>
      </c>
      <c r="E10620" s="196">
        <v>0</v>
      </c>
      <c r="F10620" s="196">
        <v>0</v>
      </c>
      <c r="G10620" s="196">
        <v>-40600</v>
      </c>
    </row>
    <row r="10621" spans="1:7" x14ac:dyDescent="0.3">
      <c r="A10621" s="198">
        <v>42800561</v>
      </c>
      <c r="B10621" s="192" t="s">
        <v>7222</v>
      </c>
      <c r="C10621" s="196">
        <v>-357000</v>
      </c>
      <c r="D10621" s="196">
        <v>0</v>
      </c>
      <c r="E10621" s="196">
        <v>0</v>
      </c>
      <c r="F10621" s="196">
        <v>0</v>
      </c>
      <c r="G10621" s="196">
        <v>-357000</v>
      </c>
    </row>
    <row r="10622" spans="1:7" x14ac:dyDescent="0.3">
      <c r="A10622" s="198">
        <v>11440447</v>
      </c>
      <c r="B10622" s="192" t="s">
        <v>3677</v>
      </c>
      <c r="C10622" s="196">
        <v>-46000</v>
      </c>
      <c r="D10622" s="196">
        <v>0</v>
      </c>
      <c r="E10622" s="196">
        <v>0</v>
      </c>
      <c r="F10622" s="196">
        <v>0</v>
      </c>
      <c r="G10622" s="196">
        <v>-46000</v>
      </c>
    </row>
    <row r="10623" spans="1:7" x14ac:dyDescent="0.3">
      <c r="A10623" s="198">
        <v>79532253</v>
      </c>
      <c r="B10623" s="192" t="s">
        <v>637</v>
      </c>
      <c r="C10623" s="196">
        <v>-258000</v>
      </c>
      <c r="D10623" s="196">
        <v>0</v>
      </c>
      <c r="E10623" s="196">
        <v>0</v>
      </c>
      <c r="F10623" s="196">
        <v>0</v>
      </c>
      <c r="G10623" s="196">
        <v>-258000</v>
      </c>
    </row>
    <row r="10624" spans="1:7" x14ac:dyDescent="0.3">
      <c r="A10624" s="198">
        <v>98546918</v>
      </c>
      <c r="B10624" s="192" t="s">
        <v>640</v>
      </c>
      <c r="C10624" s="196">
        <v>0</v>
      </c>
      <c r="D10624" s="196">
        <v>0</v>
      </c>
      <c r="E10624" s="196">
        <v>46003</v>
      </c>
      <c r="F10624" s="196">
        <v>-46003</v>
      </c>
      <c r="G10624" s="196">
        <v>-46003</v>
      </c>
    </row>
    <row r="10625" spans="1:7" x14ac:dyDescent="0.3">
      <c r="A10625" s="192" t="s">
        <v>3690</v>
      </c>
      <c r="B10625" s="192" t="s">
        <v>3691</v>
      </c>
      <c r="C10625" s="196">
        <v>-259200</v>
      </c>
      <c r="D10625" s="196">
        <v>0</v>
      </c>
      <c r="E10625" s="196">
        <v>0</v>
      </c>
      <c r="F10625" s="196">
        <v>0</v>
      </c>
      <c r="G10625" s="196">
        <v>-259200</v>
      </c>
    </row>
    <row r="10626" spans="1:7" x14ac:dyDescent="0.3">
      <c r="A10626" s="198">
        <v>592632914</v>
      </c>
      <c r="B10626" s="192" t="s">
        <v>3713</v>
      </c>
      <c r="C10626" s="196">
        <v>-305000</v>
      </c>
      <c r="D10626" s="196">
        <v>0</v>
      </c>
      <c r="E10626" s="196">
        <v>0</v>
      </c>
      <c r="F10626" s="196">
        <v>0</v>
      </c>
      <c r="G10626" s="196">
        <v>-305000</v>
      </c>
    </row>
    <row r="10627" spans="1:7" x14ac:dyDescent="0.3">
      <c r="A10627" s="192" t="s">
        <v>3725</v>
      </c>
      <c r="B10627" s="192" t="s">
        <v>3726</v>
      </c>
      <c r="C10627" s="196">
        <v>-299000</v>
      </c>
      <c r="D10627" s="196">
        <v>0</v>
      </c>
      <c r="E10627" s="196">
        <v>0</v>
      </c>
      <c r="F10627" s="196">
        <v>0</v>
      </c>
      <c r="G10627" s="196">
        <v>-299000</v>
      </c>
    </row>
    <row r="10628" spans="1:7" x14ac:dyDescent="0.3">
      <c r="A10628" s="198">
        <v>1142948064</v>
      </c>
      <c r="B10628" s="192" t="s">
        <v>3729</v>
      </c>
      <c r="C10628" s="196">
        <v>-414000</v>
      </c>
      <c r="D10628" s="196">
        <v>0</v>
      </c>
      <c r="E10628" s="196">
        <v>0</v>
      </c>
      <c r="F10628" s="196">
        <v>0</v>
      </c>
      <c r="G10628" s="196">
        <v>-414000</v>
      </c>
    </row>
    <row r="10629" spans="1:7" x14ac:dyDescent="0.3">
      <c r="A10629" s="192" t="s">
        <v>3733</v>
      </c>
      <c r="B10629" s="192" t="s">
        <v>3734</v>
      </c>
      <c r="C10629" s="196">
        <v>-258000</v>
      </c>
      <c r="D10629" s="196">
        <v>0</v>
      </c>
      <c r="E10629" s="196">
        <v>0</v>
      </c>
      <c r="F10629" s="196">
        <v>0</v>
      </c>
      <c r="G10629" s="196">
        <v>-258000</v>
      </c>
    </row>
    <row r="10630" spans="1:7" x14ac:dyDescent="0.3">
      <c r="A10630" s="198">
        <v>1000137044</v>
      </c>
      <c r="B10630" s="192" t="s">
        <v>648</v>
      </c>
      <c r="C10630" s="196">
        <v>-190000</v>
      </c>
      <c r="D10630" s="196">
        <v>211500</v>
      </c>
      <c r="E10630" s="196">
        <v>519500</v>
      </c>
      <c r="F10630" s="196">
        <v>-308000</v>
      </c>
      <c r="G10630" s="196">
        <v>-498000</v>
      </c>
    </row>
    <row r="10631" spans="1:7" x14ac:dyDescent="0.3">
      <c r="A10631" s="198">
        <v>1102874540</v>
      </c>
      <c r="B10631" s="192" t="s">
        <v>3736</v>
      </c>
      <c r="C10631" s="196">
        <v>-305000</v>
      </c>
      <c r="D10631" s="196">
        <v>0</v>
      </c>
      <c r="E10631" s="196">
        <v>0</v>
      </c>
      <c r="F10631" s="196">
        <v>0</v>
      </c>
      <c r="G10631" s="196">
        <v>-305000</v>
      </c>
    </row>
    <row r="10632" spans="1:7" x14ac:dyDescent="0.3">
      <c r="A10632" s="198">
        <v>12962343</v>
      </c>
      <c r="B10632" s="192" t="s">
        <v>649</v>
      </c>
      <c r="C10632" s="196">
        <v>-347000</v>
      </c>
      <c r="D10632" s="196">
        <v>0</v>
      </c>
      <c r="E10632" s="196">
        <v>0</v>
      </c>
      <c r="F10632" s="196">
        <v>0</v>
      </c>
      <c r="G10632" s="196">
        <v>-347000</v>
      </c>
    </row>
    <row r="10633" spans="1:7" x14ac:dyDescent="0.3">
      <c r="A10633" s="198">
        <v>3549932</v>
      </c>
      <c r="B10633" s="192" t="s">
        <v>3740</v>
      </c>
      <c r="C10633" s="196">
        <v>-357000</v>
      </c>
      <c r="D10633" s="196">
        <v>0</v>
      </c>
      <c r="E10633" s="196">
        <v>0</v>
      </c>
      <c r="F10633" s="196">
        <v>0</v>
      </c>
      <c r="G10633" s="196">
        <v>-357000</v>
      </c>
    </row>
    <row r="10634" spans="1:7" x14ac:dyDescent="0.3">
      <c r="A10634" s="198">
        <v>8015194</v>
      </c>
      <c r="B10634" s="192" t="s">
        <v>7223</v>
      </c>
      <c r="C10634" s="196">
        <v>-357000</v>
      </c>
      <c r="D10634" s="196">
        <v>0</v>
      </c>
      <c r="E10634" s="196">
        <v>0</v>
      </c>
      <c r="F10634" s="196">
        <v>0</v>
      </c>
      <c r="G10634" s="196">
        <v>-357000</v>
      </c>
    </row>
    <row r="10635" spans="1:7" x14ac:dyDescent="0.3">
      <c r="A10635" s="198">
        <v>800066123</v>
      </c>
      <c r="B10635" s="192" t="s">
        <v>654</v>
      </c>
      <c r="C10635" s="196">
        <v>0</v>
      </c>
      <c r="D10635" s="196">
        <v>0</v>
      </c>
      <c r="E10635" s="196">
        <v>2550000</v>
      </c>
      <c r="F10635" s="196">
        <v>-2550000</v>
      </c>
      <c r="G10635" s="196">
        <v>-2550000</v>
      </c>
    </row>
    <row r="10636" spans="1:7" x14ac:dyDescent="0.3">
      <c r="A10636" s="198">
        <v>892511</v>
      </c>
      <c r="B10636" s="192" t="s">
        <v>7224</v>
      </c>
      <c r="C10636" s="196">
        <v>-347000</v>
      </c>
      <c r="D10636" s="196">
        <v>0</v>
      </c>
      <c r="E10636" s="196">
        <v>0</v>
      </c>
      <c r="F10636" s="196">
        <v>0</v>
      </c>
      <c r="G10636" s="196">
        <v>-347000</v>
      </c>
    </row>
    <row r="10637" spans="1:7" x14ac:dyDescent="0.3">
      <c r="A10637" s="198">
        <v>70071136</v>
      </c>
      <c r="B10637" s="192" t="s">
        <v>655</v>
      </c>
      <c r="C10637" s="196">
        <v>-35000</v>
      </c>
      <c r="D10637" s="196">
        <v>0</v>
      </c>
      <c r="E10637" s="196">
        <v>0</v>
      </c>
      <c r="F10637" s="196">
        <v>0</v>
      </c>
      <c r="G10637" s="196">
        <v>-35000</v>
      </c>
    </row>
    <row r="10638" spans="1:7" x14ac:dyDescent="0.3">
      <c r="A10638" s="198">
        <v>1037570450</v>
      </c>
      <c r="B10638" s="192" t="s">
        <v>2390</v>
      </c>
      <c r="C10638" s="196">
        <v>-115000</v>
      </c>
      <c r="D10638" s="196">
        <v>0</v>
      </c>
      <c r="E10638" s="196">
        <v>0</v>
      </c>
      <c r="F10638" s="196">
        <v>0</v>
      </c>
      <c r="G10638" s="196">
        <v>-115000</v>
      </c>
    </row>
    <row r="10639" spans="1:7" x14ac:dyDescent="0.3">
      <c r="A10639" s="198">
        <v>93410718</v>
      </c>
      <c r="B10639" s="192" t="s">
        <v>3748</v>
      </c>
      <c r="C10639" s="196">
        <v>-125200</v>
      </c>
      <c r="D10639" s="196">
        <v>0</v>
      </c>
      <c r="E10639" s="196">
        <v>0</v>
      </c>
      <c r="F10639" s="196">
        <v>0</v>
      </c>
      <c r="G10639" s="196">
        <v>-125200</v>
      </c>
    </row>
    <row r="10640" spans="1:7" x14ac:dyDescent="0.3">
      <c r="A10640" s="198">
        <v>21978728</v>
      </c>
      <c r="B10640" s="192" t="s">
        <v>3751</v>
      </c>
      <c r="C10640" s="196">
        <v>-133300</v>
      </c>
      <c r="D10640" s="196">
        <v>0</v>
      </c>
      <c r="E10640" s="196">
        <v>0</v>
      </c>
      <c r="F10640" s="196">
        <v>0</v>
      </c>
      <c r="G10640" s="196">
        <v>-133300</v>
      </c>
    </row>
    <row r="10641" spans="1:7" x14ac:dyDescent="0.3">
      <c r="A10641" s="198">
        <v>24367241</v>
      </c>
      <c r="B10641" s="192" t="s">
        <v>658</v>
      </c>
      <c r="C10641" s="196">
        <v>0</v>
      </c>
      <c r="D10641" s="196">
        <v>0</v>
      </c>
      <c r="E10641" s="196">
        <v>104000</v>
      </c>
      <c r="F10641" s="196">
        <v>-104000</v>
      </c>
      <c r="G10641" s="196">
        <v>-104000</v>
      </c>
    </row>
    <row r="10642" spans="1:7" x14ac:dyDescent="0.3">
      <c r="A10642" s="198">
        <v>65713483</v>
      </c>
      <c r="B10642" s="192" t="s">
        <v>7225</v>
      </c>
      <c r="C10642" s="196">
        <v>-167000</v>
      </c>
      <c r="D10642" s="196">
        <v>0</v>
      </c>
      <c r="E10642" s="196">
        <v>0</v>
      </c>
      <c r="F10642" s="196">
        <v>0</v>
      </c>
      <c r="G10642" s="196">
        <v>-167000</v>
      </c>
    </row>
    <row r="10643" spans="1:7" x14ac:dyDescent="0.3">
      <c r="A10643" s="198">
        <v>21778325</v>
      </c>
      <c r="B10643" s="192" t="s">
        <v>7226</v>
      </c>
      <c r="C10643" s="196">
        <v>-33200</v>
      </c>
      <c r="D10643" s="196">
        <v>0</v>
      </c>
      <c r="E10643" s="196">
        <v>0</v>
      </c>
      <c r="F10643" s="196">
        <v>0</v>
      </c>
      <c r="G10643" s="196">
        <v>-33200</v>
      </c>
    </row>
    <row r="10644" spans="1:7" x14ac:dyDescent="0.3">
      <c r="A10644" s="198">
        <v>42789578</v>
      </c>
      <c r="B10644" s="192" t="s">
        <v>3758</v>
      </c>
      <c r="C10644" s="196">
        <v>-73800</v>
      </c>
      <c r="D10644" s="196">
        <v>0</v>
      </c>
      <c r="E10644" s="196">
        <v>0</v>
      </c>
      <c r="F10644" s="196">
        <v>0</v>
      </c>
      <c r="G10644" s="196">
        <v>-73800</v>
      </c>
    </row>
    <row r="10645" spans="1:7" x14ac:dyDescent="0.3">
      <c r="A10645" s="198">
        <v>42980989</v>
      </c>
      <c r="B10645" s="192" t="s">
        <v>3759</v>
      </c>
      <c r="C10645" s="196">
        <v>-162400</v>
      </c>
      <c r="D10645" s="196">
        <v>0</v>
      </c>
      <c r="E10645" s="196">
        <v>0</v>
      </c>
      <c r="F10645" s="196">
        <v>0</v>
      </c>
      <c r="G10645" s="196">
        <v>-162400</v>
      </c>
    </row>
    <row r="10646" spans="1:7" x14ac:dyDescent="0.3">
      <c r="A10646" s="198">
        <v>32015972</v>
      </c>
      <c r="B10646" s="192" t="s">
        <v>663</v>
      </c>
      <c r="C10646" s="196">
        <v>0</v>
      </c>
      <c r="D10646" s="196">
        <v>0</v>
      </c>
      <c r="E10646" s="196">
        <v>33200</v>
      </c>
      <c r="F10646" s="196">
        <v>-33200</v>
      </c>
      <c r="G10646" s="196">
        <v>-33200</v>
      </c>
    </row>
    <row r="10647" spans="1:7" x14ac:dyDescent="0.3">
      <c r="A10647" s="198">
        <v>43481653</v>
      </c>
      <c r="B10647" s="192" t="s">
        <v>7227</v>
      </c>
      <c r="C10647" s="196">
        <v>-357000</v>
      </c>
      <c r="D10647" s="196">
        <v>0</v>
      </c>
      <c r="E10647" s="196">
        <v>0</v>
      </c>
      <c r="F10647" s="196">
        <v>0</v>
      </c>
      <c r="G10647" s="196">
        <v>-357000</v>
      </c>
    </row>
    <row r="10648" spans="1:7" x14ac:dyDescent="0.3">
      <c r="A10648" s="198">
        <v>43528051</v>
      </c>
      <c r="B10648" s="192" t="s">
        <v>7228</v>
      </c>
      <c r="C10648" s="196">
        <v>-185000</v>
      </c>
      <c r="D10648" s="196">
        <v>0</v>
      </c>
      <c r="E10648" s="196">
        <v>0</v>
      </c>
      <c r="F10648" s="196">
        <v>0</v>
      </c>
      <c r="G10648" s="196">
        <v>-185000</v>
      </c>
    </row>
    <row r="10649" spans="1:7" x14ac:dyDescent="0.3">
      <c r="A10649" s="198">
        <v>21577069</v>
      </c>
      <c r="B10649" s="192" t="s">
        <v>3770</v>
      </c>
      <c r="C10649" s="196">
        <v>-42900</v>
      </c>
      <c r="D10649" s="196">
        <v>0</v>
      </c>
      <c r="E10649" s="196">
        <v>0</v>
      </c>
      <c r="F10649" s="196">
        <v>0</v>
      </c>
      <c r="G10649" s="196">
        <v>-42900</v>
      </c>
    </row>
    <row r="10650" spans="1:7" x14ac:dyDescent="0.3">
      <c r="A10650" s="198">
        <v>37825638</v>
      </c>
      <c r="B10650" s="192" t="s">
        <v>666</v>
      </c>
      <c r="C10650" s="196">
        <v>-89000</v>
      </c>
      <c r="D10650" s="196">
        <v>0</v>
      </c>
      <c r="E10650" s="196">
        <v>0</v>
      </c>
      <c r="F10650" s="196">
        <v>0</v>
      </c>
      <c r="G10650" s="196">
        <v>-89000</v>
      </c>
    </row>
    <row r="10651" spans="1:7" x14ac:dyDescent="0.3">
      <c r="A10651" s="198">
        <v>32075418</v>
      </c>
      <c r="B10651" s="192" t="s">
        <v>3775</v>
      </c>
      <c r="C10651" s="196">
        <v>-46000</v>
      </c>
      <c r="D10651" s="196">
        <v>0</v>
      </c>
      <c r="E10651" s="196">
        <v>0</v>
      </c>
      <c r="F10651" s="196">
        <v>0</v>
      </c>
      <c r="G10651" s="196">
        <v>-46000</v>
      </c>
    </row>
    <row r="10652" spans="1:7" x14ac:dyDescent="0.3">
      <c r="A10652" s="198">
        <v>39268931</v>
      </c>
      <c r="B10652" s="192" t="s">
        <v>667</v>
      </c>
      <c r="C10652" s="196">
        <v>0</v>
      </c>
      <c r="D10652" s="196">
        <v>0</v>
      </c>
      <c r="E10652" s="196">
        <v>112400</v>
      </c>
      <c r="F10652" s="196">
        <v>-112400</v>
      </c>
      <c r="G10652" s="196">
        <v>-112400</v>
      </c>
    </row>
    <row r="10653" spans="1:7" x14ac:dyDescent="0.3">
      <c r="A10653" s="198">
        <v>42865217</v>
      </c>
      <c r="B10653" s="192" t="s">
        <v>670</v>
      </c>
      <c r="C10653" s="196">
        <v>-46100</v>
      </c>
      <c r="D10653" s="196">
        <v>0</v>
      </c>
      <c r="E10653" s="196">
        <v>92200</v>
      </c>
      <c r="F10653" s="196">
        <v>-92200</v>
      </c>
      <c r="G10653" s="196">
        <v>-138300</v>
      </c>
    </row>
    <row r="10654" spans="1:7" x14ac:dyDescent="0.3">
      <c r="A10654" s="198">
        <v>42876811</v>
      </c>
      <c r="B10654" s="192" t="s">
        <v>671</v>
      </c>
      <c r="C10654" s="196">
        <v>-418000</v>
      </c>
      <c r="D10654" s="196">
        <v>0</v>
      </c>
      <c r="E10654" s="196">
        <v>0</v>
      </c>
      <c r="F10654" s="196">
        <v>0</v>
      </c>
      <c r="G10654" s="196">
        <v>-418000</v>
      </c>
    </row>
    <row r="10655" spans="1:7" x14ac:dyDescent="0.3">
      <c r="A10655" s="198">
        <v>43587906</v>
      </c>
      <c r="B10655" s="192" t="s">
        <v>3787</v>
      </c>
      <c r="C10655" s="196">
        <v>-30900</v>
      </c>
      <c r="D10655" s="196">
        <v>0</v>
      </c>
      <c r="E10655" s="196">
        <v>0</v>
      </c>
      <c r="F10655" s="196">
        <v>0</v>
      </c>
      <c r="G10655" s="196">
        <v>-30900</v>
      </c>
    </row>
    <row r="10656" spans="1:7" x14ac:dyDescent="0.3">
      <c r="A10656" s="198">
        <v>43013346</v>
      </c>
      <c r="B10656" s="192" t="s">
        <v>3788</v>
      </c>
      <c r="C10656" s="196">
        <v>-152000</v>
      </c>
      <c r="D10656" s="196">
        <v>0</v>
      </c>
      <c r="E10656" s="196">
        <v>0</v>
      </c>
      <c r="F10656" s="196">
        <v>0</v>
      </c>
      <c r="G10656" s="196">
        <v>-152000</v>
      </c>
    </row>
    <row r="10657" spans="1:7" x14ac:dyDescent="0.3">
      <c r="A10657" s="198">
        <v>43037375</v>
      </c>
      <c r="B10657" s="192" t="s">
        <v>3791</v>
      </c>
      <c r="C10657" s="196">
        <v>-46000</v>
      </c>
      <c r="D10657" s="196">
        <v>0</v>
      </c>
      <c r="E10657" s="196">
        <v>0</v>
      </c>
      <c r="F10657" s="196">
        <v>0</v>
      </c>
      <c r="G10657" s="196">
        <v>-46000</v>
      </c>
    </row>
    <row r="10658" spans="1:7" x14ac:dyDescent="0.3">
      <c r="A10658" s="198">
        <v>651279565</v>
      </c>
      <c r="B10658" s="192" t="s">
        <v>7229</v>
      </c>
      <c r="C10658" s="196">
        <v>-871000</v>
      </c>
      <c r="D10658" s="196">
        <v>0</v>
      </c>
      <c r="E10658" s="196">
        <v>0</v>
      </c>
      <c r="F10658" s="196">
        <v>0</v>
      </c>
      <c r="G10658" s="196">
        <v>-871000</v>
      </c>
    </row>
    <row r="10659" spans="1:7" x14ac:dyDescent="0.3">
      <c r="A10659" s="198">
        <v>120665021</v>
      </c>
      <c r="B10659" s="192" t="s">
        <v>6596</v>
      </c>
      <c r="C10659" s="196">
        <v>-175000</v>
      </c>
      <c r="D10659" s="196">
        <v>0</v>
      </c>
      <c r="E10659" s="196">
        <v>0</v>
      </c>
      <c r="F10659" s="196">
        <v>0</v>
      </c>
      <c r="G10659" s="196">
        <v>-175000</v>
      </c>
    </row>
    <row r="10660" spans="1:7" x14ac:dyDescent="0.3">
      <c r="A10660" s="198">
        <v>1034988192</v>
      </c>
      <c r="B10660" s="192" t="s">
        <v>678</v>
      </c>
      <c r="C10660" s="196">
        <v>0</v>
      </c>
      <c r="D10660" s="196">
        <v>0</v>
      </c>
      <c r="E10660" s="196">
        <v>79300</v>
      </c>
      <c r="F10660" s="196">
        <v>-79300</v>
      </c>
      <c r="G10660" s="196">
        <v>-79300</v>
      </c>
    </row>
    <row r="10661" spans="1:7" x14ac:dyDescent="0.3">
      <c r="A10661" s="198">
        <v>1007409281</v>
      </c>
      <c r="B10661" s="192" t="s">
        <v>3798</v>
      </c>
      <c r="C10661" s="196">
        <v>-305000</v>
      </c>
      <c r="D10661" s="196">
        <v>0</v>
      </c>
      <c r="E10661" s="196">
        <v>0</v>
      </c>
      <c r="F10661" s="196">
        <v>0</v>
      </c>
      <c r="G10661" s="196">
        <v>-305000</v>
      </c>
    </row>
    <row r="10662" spans="1:7" x14ac:dyDescent="0.3">
      <c r="A10662" s="198">
        <v>1035017195</v>
      </c>
      <c r="B10662" s="192" t="s">
        <v>3799</v>
      </c>
      <c r="C10662" s="196">
        <v>-46000</v>
      </c>
      <c r="D10662" s="196">
        <v>0</v>
      </c>
      <c r="E10662" s="196">
        <v>0</v>
      </c>
      <c r="F10662" s="196">
        <v>0</v>
      </c>
      <c r="G10662" s="196">
        <v>-46000</v>
      </c>
    </row>
    <row r="10663" spans="1:7" x14ac:dyDescent="0.3">
      <c r="A10663" s="198">
        <v>3454032</v>
      </c>
      <c r="B10663" s="192" t="s">
        <v>685</v>
      </c>
      <c r="C10663" s="196">
        <v>0</v>
      </c>
      <c r="D10663" s="196">
        <v>0</v>
      </c>
      <c r="E10663" s="196">
        <v>40600</v>
      </c>
      <c r="F10663" s="196">
        <v>-40600</v>
      </c>
      <c r="G10663" s="196">
        <v>-40600</v>
      </c>
    </row>
    <row r="10664" spans="1:7" x14ac:dyDescent="0.3">
      <c r="A10664" s="192" t="s">
        <v>7230</v>
      </c>
      <c r="B10664" s="192" t="s">
        <v>7231</v>
      </c>
      <c r="C10664" s="196">
        <v>-871000</v>
      </c>
      <c r="D10664" s="196">
        <v>0</v>
      </c>
      <c r="E10664" s="196">
        <v>0</v>
      </c>
      <c r="F10664" s="196">
        <v>0</v>
      </c>
      <c r="G10664" s="196">
        <v>-871000</v>
      </c>
    </row>
    <row r="10665" spans="1:7" x14ac:dyDescent="0.3">
      <c r="A10665" s="198">
        <v>15364885</v>
      </c>
      <c r="B10665" s="192" t="s">
        <v>3810</v>
      </c>
      <c r="C10665" s="196">
        <v>-49000</v>
      </c>
      <c r="D10665" s="196">
        <v>0</v>
      </c>
      <c r="E10665" s="196">
        <v>0</v>
      </c>
      <c r="F10665" s="196">
        <v>0</v>
      </c>
      <c r="G10665" s="196">
        <v>-49000</v>
      </c>
    </row>
    <row r="10666" spans="1:7" x14ac:dyDescent="0.3">
      <c r="A10666" s="198">
        <v>15346058</v>
      </c>
      <c r="B10666" s="192" t="s">
        <v>3811</v>
      </c>
      <c r="C10666" s="196">
        <v>-357000</v>
      </c>
      <c r="D10666" s="196">
        <v>0</v>
      </c>
      <c r="E10666" s="196">
        <v>0</v>
      </c>
      <c r="F10666" s="196">
        <v>0</v>
      </c>
      <c r="G10666" s="196">
        <v>-357000</v>
      </c>
    </row>
    <row r="10667" spans="1:7" x14ac:dyDescent="0.3">
      <c r="A10667" s="198">
        <v>94507027</v>
      </c>
      <c r="B10667" s="192" t="s">
        <v>3812</v>
      </c>
      <c r="C10667" s="196">
        <v>-89000</v>
      </c>
      <c r="D10667" s="196">
        <v>0</v>
      </c>
      <c r="E10667" s="196">
        <v>0</v>
      </c>
      <c r="F10667" s="196">
        <v>0</v>
      </c>
      <c r="G10667" s="196">
        <v>-89000</v>
      </c>
    </row>
    <row r="10668" spans="1:7" x14ac:dyDescent="0.3">
      <c r="A10668" s="198">
        <v>98452426</v>
      </c>
      <c r="B10668" s="192" t="s">
        <v>3814</v>
      </c>
      <c r="C10668" s="196">
        <v>-357000</v>
      </c>
      <c r="D10668" s="196">
        <v>0</v>
      </c>
      <c r="E10668" s="196">
        <v>0</v>
      </c>
      <c r="F10668" s="196">
        <v>0</v>
      </c>
      <c r="G10668" s="196">
        <v>-357000</v>
      </c>
    </row>
    <row r="10669" spans="1:7" x14ac:dyDescent="0.3">
      <c r="A10669" s="198">
        <v>98772551</v>
      </c>
      <c r="B10669" s="192" t="s">
        <v>3816</v>
      </c>
      <c r="C10669" s="196">
        <v>-79300</v>
      </c>
      <c r="D10669" s="196">
        <v>0</v>
      </c>
      <c r="E10669" s="196">
        <v>0</v>
      </c>
      <c r="F10669" s="196">
        <v>0</v>
      </c>
      <c r="G10669" s="196">
        <v>-79300</v>
      </c>
    </row>
    <row r="10670" spans="1:7" x14ac:dyDescent="0.3">
      <c r="A10670" s="198">
        <v>3481171</v>
      </c>
      <c r="B10670" s="192" t="s">
        <v>691</v>
      </c>
      <c r="C10670" s="196">
        <v>0</v>
      </c>
      <c r="D10670" s="196">
        <v>0</v>
      </c>
      <c r="E10670" s="196">
        <v>125200</v>
      </c>
      <c r="F10670" s="196">
        <v>-125200</v>
      </c>
      <c r="G10670" s="196">
        <v>-125200</v>
      </c>
    </row>
    <row r="10671" spans="1:7" x14ac:dyDescent="0.3">
      <c r="A10671" s="198">
        <v>98538641</v>
      </c>
      <c r="B10671" s="192" t="s">
        <v>3820</v>
      </c>
      <c r="C10671" s="196">
        <v>-88900</v>
      </c>
      <c r="D10671" s="196">
        <v>0</v>
      </c>
      <c r="E10671" s="196">
        <v>0</v>
      </c>
      <c r="F10671" s="196">
        <v>0</v>
      </c>
      <c r="G10671" s="196">
        <v>-88900</v>
      </c>
    </row>
    <row r="10672" spans="1:7" x14ac:dyDescent="0.3">
      <c r="A10672" s="198">
        <v>565404868</v>
      </c>
      <c r="B10672" s="192" t="s">
        <v>3822</v>
      </c>
      <c r="C10672" s="196">
        <v>-414000</v>
      </c>
      <c r="D10672" s="196">
        <v>0</v>
      </c>
      <c r="E10672" s="196">
        <v>0</v>
      </c>
      <c r="F10672" s="196">
        <v>0</v>
      </c>
      <c r="G10672" s="196">
        <v>-414000</v>
      </c>
    </row>
    <row r="10673" spans="1:7" x14ac:dyDescent="0.3">
      <c r="A10673" s="192" t="s">
        <v>3824</v>
      </c>
      <c r="B10673" s="192" t="s">
        <v>3825</v>
      </c>
      <c r="C10673" s="196">
        <v>-79200</v>
      </c>
      <c r="D10673" s="196">
        <v>0</v>
      </c>
      <c r="E10673" s="196">
        <v>0</v>
      </c>
      <c r="F10673" s="196">
        <v>0</v>
      </c>
      <c r="G10673" s="196">
        <v>-79200</v>
      </c>
    </row>
    <row r="10674" spans="1:7" x14ac:dyDescent="0.3">
      <c r="A10674" s="198">
        <v>1037603999</v>
      </c>
      <c r="B10674" s="192" t="s">
        <v>3833</v>
      </c>
      <c r="C10674" s="196">
        <v>-79300</v>
      </c>
      <c r="D10674" s="196">
        <v>0</v>
      </c>
      <c r="E10674" s="196">
        <v>0</v>
      </c>
      <c r="F10674" s="196">
        <v>0</v>
      </c>
      <c r="G10674" s="196">
        <v>-79300</v>
      </c>
    </row>
    <row r="10675" spans="1:7" x14ac:dyDescent="0.3">
      <c r="A10675" s="192" t="s">
        <v>3834</v>
      </c>
      <c r="B10675" s="192" t="s">
        <v>3835</v>
      </c>
      <c r="C10675" s="196">
        <v>-449000</v>
      </c>
      <c r="D10675" s="196">
        <v>0</v>
      </c>
      <c r="E10675" s="196">
        <v>0</v>
      </c>
      <c r="F10675" s="196">
        <v>0</v>
      </c>
      <c r="G10675" s="196">
        <v>-449000</v>
      </c>
    </row>
    <row r="10676" spans="1:7" x14ac:dyDescent="0.3">
      <c r="A10676" s="198">
        <v>8305031</v>
      </c>
      <c r="B10676" s="192" t="s">
        <v>3840</v>
      </c>
      <c r="C10676" s="196">
        <v>-80000</v>
      </c>
      <c r="D10676" s="196">
        <v>0</v>
      </c>
      <c r="E10676" s="196">
        <v>0</v>
      </c>
      <c r="F10676" s="196">
        <v>0</v>
      </c>
      <c r="G10676" s="196">
        <v>-80000</v>
      </c>
    </row>
    <row r="10677" spans="1:7" x14ac:dyDescent="0.3">
      <c r="A10677" s="198">
        <v>70055687</v>
      </c>
      <c r="B10677" s="192" t="s">
        <v>703</v>
      </c>
      <c r="C10677" s="196">
        <v>0</v>
      </c>
      <c r="D10677" s="196">
        <v>0</v>
      </c>
      <c r="E10677" s="196">
        <v>81200</v>
      </c>
      <c r="F10677" s="196">
        <v>-81200</v>
      </c>
      <c r="G10677" s="196">
        <v>-81200</v>
      </c>
    </row>
    <row r="10678" spans="1:7" x14ac:dyDescent="0.3">
      <c r="A10678" s="198">
        <v>71555436</v>
      </c>
      <c r="B10678" s="192" t="s">
        <v>7232</v>
      </c>
      <c r="C10678" s="196">
        <v>-253300</v>
      </c>
      <c r="D10678" s="196">
        <v>0</v>
      </c>
      <c r="E10678" s="196">
        <v>0</v>
      </c>
      <c r="F10678" s="196">
        <v>0</v>
      </c>
      <c r="G10678" s="196">
        <v>-253300</v>
      </c>
    </row>
    <row r="10679" spans="1:7" x14ac:dyDescent="0.3">
      <c r="A10679" s="198">
        <v>8293924</v>
      </c>
      <c r="B10679" s="192" t="s">
        <v>3842</v>
      </c>
      <c r="C10679" s="196">
        <v>-167000</v>
      </c>
      <c r="D10679" s="196">
        <v>0</v>
      </c>
      <c r="E10679" s="196">
        <v>0</v>
      </c>
      <c r="F10679" s="196">
        <v>0</v>
      </c>
      <c r="G10679" s="196">
        <v>-167000</v>
      </c>
    </row>
    <row r="10680" spans="1:7" x14ac:dyDescent="0.3">
      <c r="A10680" s="198">
        <v>1127356522</v>
      </c>
      <c r="B10680" s="192" t="s">
        <v>706</v>
      </c>
      <c r="C10680" s="196">
        <v>-190000</v>
      </c>
      <c r="D10680" s="196">
        <v>211500</v>
      </c>
      <c r="E10680" s="196">
        <v>519500</v>
      </c>
      <c r="F10680" s="196">
        <v>-308000</v>
      </c>
      <c r="G10680" s="196">
        <v>-498000</v>
      </c>
    </row>
    <row r="10681" spans="1:7" x14ac:dyDescent="0.3">
      <c r="A10681" s="198">
        <v>84073109</v>
      </c>
      <c r="B10681" s="192" t="s">
        <v>3853</v>
      </c>
      <c r="C10681" s="196">
        <v>-125400</v>
      </c>
      <c r="D10681" s="196">
        <v>0</v>
      </c>
      <c r="E10681" s="196">
        <v>0</v>
      </c>
      <c r="F10681" s="196">
        <v>0</v>
      </c>
      <c r="G10681" s="196">
        <v>-125400</v>
      </c>
    </row>
    <row r="10682" spans="1:7" x14ac:dyDescent="0.3">
      <c r="A10682" s="192" t="s">
        <v>709</v>
      </c>
      <c r="B10682" s="192" t="s">
        <v>710</v>
      </c>
      <c r="C10682" s="196">
        <v>-167001</v>
      </c>
      <c r="D10682" s="196">
        <v>0</v>
      </c>
      <c r="E10682" s="196">
        <v>0</v>
      </c>
      <c r="F10682" s="196">
        <v>0</v>
      </c>
      <c r="G10682" s="196">
        <v>-167001</v>
      </c>
    </row>
    <row r="10683" spans="1:7" x14ac:dyDescent="0.3">
      <c r="A10683" s="198">
        <v>26611263</v>
      </c>
      <c r="B10683" s="192" t="s">
        <v>3856</v>
      </c>
      <c r="C10683" s="196">
        <v>-178000</v>
      </c>
      <c r="D10683" s="196">
        <v>0</v>
      </c>
      <c r="E10683" s="196">
        <v>0</v>
      </c>
      <c r="F10683" s="196">
        <v>0</v>
      </c>
      <c r="G10683" s="196">
        <v>-178000</v>
      </c>
    </row>
    <row r="10684" spans="1:7" x14ac:dyDescent="0.3">
      <c r="A10684" s="198">
        <v>24466294</v>
      </c>
      <c r="B10684" s="192" t="s">
        <v>3857</v>
      </c>
      <c r="C10684" s="196">
        <v>-285600</v>
      </c>
      <c r="D10684" s="196">
        <v>0</v>
      </c>
      <c r="E10684" s="196">
        <v>0</v>
      </c>
      <c r="F10684" s="196">
        <v>0</v>
      </c>
      <c r="G10684" s="196">
        <v>-285600</v>
      </c>
    </row>
    <row r="10685" spans="1:7" x14ac:dyDescent="0.3">
      <c r="A10685" s="198">
        <v>71721332</v>
      </c>
      <c r="B10685" s="192" t="s">
        <v>3862</v>
      </c>
      <c r="C10685" s="196">
        <v>-46100</v>
      </c>
      <c r="D10685" s="196">
        <v>0</v>
      </c>
      <c r="E10685" s="196">
        <v>0</v>
      </c>
      <c r="F10685" s="196">
        <v>0</v>
      </c>
      <c r="G10685" s="196">
        <v>-46100</v>
      </c>
    </row>
    <row r="10686" spans="1:7" x14ac:dyDescent="0.3">
      <c r="A10686" s="198">
        <v>70905100</v>
      </c>
      <c r="B10686" s="192" t="s">
        <v>3863</v>
      </c>
      <c r="C10686" s="196">
        <v>-75650</v>
      </c>
      <c r="D10686" s="196">
        <v>0</v>
      </c>
      <c r="E10686" s="196">
        <v>0</v>
      </c>
      <c r="F10686" s="196">
        <v>0</v>
      </c>
      <c r="G10686" s="196">
        <v>-75650</v>
      </c>
    </row>
    <row r="10687" spans="1:7" x14ac:dyDescent="0.3">
      <c r="A10687" s="198">
        <v>1085277857</v>
      </c>
      <c r="B10687" s="192" t="s">
        <v>3869</v>
      </c>
      <c r="C10687" s="196">
        <v>-30900</v>
      </c>
      <c r="D10687" s="196">
        <v>0</v>
      </c>
      <c r="E10687" s="196">
        <v>0</v>
      </c>
      <c r="F10687" s="196">
        <v>0</v>
      </c>
      <c r="G10687" s="196">
        <v>-30900</v>
      </c>
    </row>
    <row r="10688" spans="1:7" x14ac:dyDescent="0.3">
      <c r="A10688" s="198">
        <v>56085805</v>
      </c>
      <c r="B10688" s="192" t="s">
        <v>3879</v>
      </c>
      <c r="C10688" s="196">
        <v>-79200</v>
      </c>
      <c r="D10688" s="196">
        <v>0</v>
      </c>
      <c r="E10688" s="196">
        <v>0</v>
      </c>
      <c r="F10688" s="196">
        <v>0</v>
      </c>
      <c r="G10688" s="196">
        <v>-79200</v>
      </c>
    </row>
    <row r="10689" spans="1:7" x14ac:dyDescent="0.3">
      <c r="A10689" s="192" t="s">
        <v>3881</v>
      </c>
      <c r="B10689" s="192" t="s">
        <v>3882</v>
      </c>
      <c r="C10689" s="196">
        <v>-258000</v>
      </c>
      <c r="D10689" s="196">
        <v>0</v>
      </c>
      <c r="E10689" s="196">
        <v>0</v>
      </c>
      <c r="F10689" s="196">
        <v>0</v>
      </c>
      <c r="G10689" s="196">
        <v>-258000</v>
      </c>
    </row>
    <row r="10690" spans="1:7" x14ac:dyDescent="0.3">
      <c r="A10690" s="192" t="s">
        <v>3883</v>
      </c>
      <c r="B10690" s="192" t="s">
        <v>3884</v>
      </c>
      <c r="C10690" s="196">
        <v>-167000</v>
      </c>
      <c r="D10690" s="196">
        <v>0</v>
      </c>
      <c r="E10690" s="196">
        <v>0</v>
      </c>
      <c r="F10690" s="196">
        <v>0</v>
      </c>
      <c r="G10690" s="196">
        <v>-167000</v>
      </c>
    </row>
    <row r="10691" spans="1:7" x14ac:dyDescent="0.3">
      <c r="A10691" s="198">
        <v>39310209</v>
      </c>
      <c r="B10691" s="192" t="s">
        <v>123</v>
      </c>
      <c r="C10691" s="196">
        <v>-29700</v>
      </c>
      <c r="D10691" s="196">
        <v>0</v>
      </c>
      <c r="E10691" s="196">
        <v>0</v>
      </c>
      <c r="F10691" s="196">
        <v>0</v>
      </c>
      <c r="G10691" s="196">
        <v>-29700</v>
      </c>
    </row>
    <row r="10692" spans="1:7" x14ac:dyDescent="0.3">
      <c r="A10692" s="198">
        <v>40762949</v>
      </c>
      <c r="B10692" s="192" t="s">
        <v>3886</v>
      </c>
      <c r="C10692" s="196">
        <v>-259200</v>
      </c>
      <c r="D10692" s="196">
        <v>0</v>
      </c>
      <c r="E10692" s="196">
        <v>0</v>
      </c>
      <c r="F10692" s="196">
        <v>0</v>
      </c>
      <c r="G10692" s="196">
        <v>-259200</v>
      </c>
    </row>
    <row r="10693" spans="1:7" x14ac:dyDescent="0.3">
      <c r="A10693" s="198">
        <v>21375517</v>
      </c>
      <c r="B10693" s="192" t="s">
        <v>3887</v>
      </c>
      <c r="C10693" s="196">
        <v>-46000</v>
      </c>
      <c r="D10693" s="196">
        <v>0</v>
      </c>
      <c r="E10693" s="196">
        <v>0</v>
      </c>
      <c r="F10693" s="196">
        <v>0</v>
      </c>
      <c r="G10693" s="196">
        <v>-46000</v>
      </c>
    </row>
    <row r="10694" spans="1:7" x14ac:dyDescent="0.3">
      <c r="A10694" s="198">
        <v>42993630</v>
      </c>
      <c r="B10694" s="192" t="s">
        <v>7233</v>
      </c>
      <c r="C10694" s="196">
        <v>-766200</v>
      </c>
      <c r="D10694" s="196">
        <v>0</v>
      </c>
      <c r="E10694" s="196">
        <v>0</v>
      </c>
      <c r="F10694" s="196">
        <v>0</v>
      </c>
      <c r="G10694" s="196">
        <v>-766200</v>
      </c>
    </row>
    <row r="10695" spans="1:7" x14ac:dyDescent="0.3">
      <c r="A10695" s="198">
        <v>901133049</v>
      </c>
      <c r="B10695" s="192" t="s">
        <v>718</v>
      </c>
      <c r="C10695" s="196">
        <v>0</v>
      </c>
      <c r="D10695" s="196">
        <v>0</v>
      </c>
      <c r="E10695" s="196">
        <v>824000</v>
      </c>
      <c r="F10695" s="196">
        <v>-824000</v>
      </c>
      <c r="G10695" s="196">
        <v>-824000</v>
      </c>
    </row>
    <row r="10696" spans="1:7" x14ac:dyDescent="0.3">
      <c r="A10696" s="198">
        <v>8000850</v>
      </c>
      <c r="B10696" s="192" t="s">
        <v>719</v>
      </c>
      <c r="C10696" s="196">
        <v>0</v>
      </c>
      <c r="D10696" s="196">
        <v>0</v>
      </c>
      <c r="E10696" s="196">
        <v>258000</v>
      </c>
      <c r="F10696" s="196">
        <v>-258000</v>
      </c>
      <c r="G10696" s="196">
        <v>-258000</v>
      </c>
    </row>
    <row r="10697" spans="1:7" x14ac:dyDescent="0.3">
      <c r="A10697" s="198">
        <v>36693584</v>
      </c>
      <c r="B10697" s="192" t="s">
        <v>3889</v>
      </c>
      <c r="C10697" s="196">
        <v>-125200</v>
      </c>
      <c r="D10697" s="196">
        <v>0</v>
      </c>
      <c r="E10697" s="196">
        <v>0</v>
      </c>
      <c r="F10697" s="196">
        <v>0</v>
      </c>
      <c r="G10697" s="196">
        <v>-125200</v>
      </c>
    </row>
    <row r="10698" spans="1:7" x14ac:dyDescent="0.3">
      <c r="A10698" s="198">
        <v>39676051</v>
      </c>
      <c r="B10698" s="192" t="s">
        <v>720</v>
      </c>
      <c r="C10698" s="196">
        <v>0</v>
      </c>
      <c r="D10698" s="196">
        <v>0</v>
      </c>
      <c r="E10698" s="196">
        <v>754000</v>
      </c>
      <c r="F10698" s="196">
        <v>-754000</v>
      </c>
      <c r="G10698" s="196">
        <v>-754000</v>
      </c>
    </row>
    <row r="10699" spans="1:7" x14ac:dyDescent="0.3">
      <c r="A10699" s="198">
        <v>32754871</v>
      </c>
      <c r="B10699" s="192" t="s">
        <v>721</v>
      </c>
      <c r="C10699" s="196">
        <v>-543601</v>
      </c>
      <c r="D10699" s="196">
        <v>0</v>
      </c>
      <c r="E10699" s="196">
        <v>183000</v>
      </c>
      <c r="F10699" s="196">
        <v>-183000</v>
      </c>
      <c r="G10699" s="196">
        <v>-726601</v>
      </c>
    </row>
    <row r="10700" spans="1:7" x14ac:dyDescent="0.3">
      <c r="A10700" s="198">
        <v>1030573381</v>
      </c>
      <c r="B10700" s="192" t="s">
        <v>3890</v>
      </c>
      <c r="C10700" s="196">
        <v>-40500</v>
      </c>
      <c r="D10700" s="196">
        <v>0</v>
      </c>
      <c r="E10700" s="196">
        <v>0</v>
      </c>
      <c r="F10700" s="196">
        <v>0</v>
      </c>
      <c r="G10700" s="196">
        <v>-40500</v>
      </c>
    </row>
    <row r="10701" spans="1:7" x14ac:dyDescent="0.3">
      <c r="A10701" s="198">
        <v>890981217</v>
      </c>
      <c r="B10701" s="192" t="s">
        <v>3891</v>
      </c>
      <c r="C10701" s="196">
        <v>-285600</v>
      </c>
      <c r="D10701" s="196">
        <v>0</v>
      </c>
      <c r="E10701" s="196">
        <v>0</v>
      </c>
      <c r="F10701" s="196">
        <v>0</v>
      </c>
      <c r="G10701" s="196">
        <v>-285600</v>
      </c>
    </row>
    <row r="10702" spans="1:7" x14ac:dyDescent="0.3">
      <c r="A10702" s="198">
        <v>32447962</v>
      </c>
      <c r="B10702" s="192" t="s">
        <v>727</v>
      </c>
      <c r="C10702" s="196">
        <v>0</v>
      </c>
      <c r="D10702" s="196">
        <v>0</v>
      </c>
      <c r="E10702" s="196">
        <v>33200</v>
      </c>
      <c r="F10702" s="196">
        <v>-33200</v>
      </c>
      <c r="G10702" s="196">
        <v>-33200</v>
      </c>
    </row>
    <row r="10703" spans="1:7" x14ac:dyDescent="0.3">
      <c r="A10703" s="198">
        <v>43879462</v>
      </c>
      <c r="B10703" s="192" t="s">
        <v>3912</v>
      </c>
      <c r="C10703" s="196">
        <v>-116700</v>
      </c>
      <c r="D10703" s="196">
        <v>0</v>
      </c>
      <c r="E10703" s="196">
        <v>0</v>
      </c>
      <c r="F10703" s="196">
        <v>0</v>
      </c>
      <c r="G10703" s="196">
        <v>-116700</v>
      </c>
    </row>
    <row r="10704" spans="1:7" x14ac:dyDescent="0.3">
      <c r="A10704" s="198">
        <v>1036626437</v>
      </c>
      <c r="B10704" s="192" t="s">
        <v>3916</v>
      </c>
      <c r="C10704" s="196">
        <v>-112500</v>
      </c>
      <c r="D10704" s="196">
        <v>0</v>
      </c>
      <c r="E10704" s="196">
        <v>0</v>
      </c>
      <c r="F10704" s="196">
        <v>0</v>
      </c>
      <c r="G10704" s="196">
        <v>-112500</v>
      </c>
    </row>
    <row r="10705" spans="1:7" x14ac:dyDescent="0.3">
      <c r="A10705" s="198">
        <v>43151848</v>
      </c>
      <c r="B10705" s="192" t="s">
        <v>3917</v>
      </c>
      <c r="C10705" s="196">
        <v>-42900</v>
      </c>
      <c r="D10705" s="196">
        <v>0</v>
      </c>
      <c r="E10705" s="196">
        <v>0</v>
      </c>
      <c r="F10705" s="196">
        <v>0</v>
      </c>
      <c r="G10705" s="196">
        <v>-42900</v>
      </c>
    </row>
    <row r="10706" spans="1:7" x14ac:dyDescent="0.3">
      <c r="A10706" s="198">
        <v>1001367191</v>
      </c>
      <c r="B10706" s="192" t="s">
        <v>3919</v>
      </c>
      <c r="C10706" s="196">
        <v>-315000</v>
      </c>
      <c r="D10706" s="196">
        <v>0</v>
      </c>
      <c r="E10706" s="196">
        <v>0</v>
      </c>
      <c r="F10706" s="196">
        <v>0</v>
      </c>
      <c r="G10706" s="196">
        <v>-315000</v>
      </c>
    </row>
    <row r="10707" spans="1:7" x14ac:dyDescent="0.3">
      <c r="A10707" s="198">
        <v>41406418</v>
      </c>
      <c r="B10707" s="192" t="s">
        <v>732</v>
      </c>
      <c r="C10707" s="196">
        <v>0</v>
      </c>
      <c r="D10707" s="196">
        <v>0</v>
      </c>
      <c r="E10707" s="196">
        <v>121800</v>
      </c>
      <c r="F10707" s="196">
        <v>-121800</v>
      </c>
      <c r="G10707" s="196">
        <v>-121800</v>
      </c>
    </row>
    <row r="10708" spans="1:7" x14ac:dyDescent="0.3">
      <c r="A10708" s="198">
        <v>1017922830</v>
      </c>
      <c r="B10708" s="192" t="s">
        <v>6611</v>
      </c>
      <c r="C10708" s="196">
        <v>-115000</v>
      </c>
      <c r="D10708" s="196">
        <v>0</v>
      </c>
      <c r="E10708" s="196">
        <v>0</v>
      </c>
      <c r="F10708" s="196">
        <v>0</v>
      </c>
      <c r="G10708" s="196">
        <v>-115000</v>
      </c>
    </row>
    <row r="10709" spans="1:7" x14ac:dyDescent="0.3">
      <c r="A10709" s="198">
        <v>1001016812</v>
      </c>
      <c r="B10709" s="192" t="s">
        <v>740</v>
      </c>
      <c r="C10709" s="196">
        <v>-498000</v>
      </c>
      <c r="D10709" s="196">
        <v>0</v>
      </c>
      <c r="E10709" s="196">
        <v>0</v>
      </c>
      <c r="F10709" s="196">
        <v>0</v>
      </c>
      <c r="G10709" s="196">
        <v>-498000</v>
      </c>
    </row>
    <row r="10710" spans="1:7" x14ac:dyDescent="0.3">
      <c r="A10710" s="198">
        <v>1141721217</v>
      </c>
      <c r="B10710" s="192" t="s">
        <v>3942</v>
      </c>
      <c r="C10710" s="196">
        <v>-33200</v>
      </c>
      <c r="D10710" s="196">
        <v>0</v>
      </c>
      <c r="E10710" s="196">
        <v>0</v>
      </c>
      <c r="F10710" s="196">
        <v>0</v>
      </c>
      <c r="G10710" s="196">
        <v>-33200</v>
      </c>
    </row>
    <row r="10711" spans="1:7" x14ac:dyDescent="0.3">
      <c r="A10711" s="198">
        <v>39284839</v>
      </c>
      <c r="B10711" s="192" t="s">
        <v>7234</v>
      </c>
      <c r="C10711" s="196">
        <v>-357000</v>
      </c>
      <c r="D10711" s="196">
        <v>0</v>
      </c>
      <c r="E10711" s="196">
        <v>0</v>
      </c>
      <c r="F10711" s="196">
        <v>0</v>
      </c>
      <c r="G10711" s="196">
        <v>-357000</v>
      </c>
    </row>
    <row r="10712" spans="1:7" x14ac:dyDescent="0.3">
      <c r="A10712" s="198">
        <v>1025766107</v>
      </c>
      <c r="B10712" s="192" t="s">
        <v>745</v>
      </c>
      <c r="C10712" s="196">
        <v>-347000</v>
      </c>
      <c r="D10712" s="196">
        <v>0</v>
      </c>
      <c r="E10712" s="196">
        <v>0</v>
      </c>
      <c r="F10712" s="196">
        <v>0</v>
      </c>
      <c r="G10712" s="196">
        <v>-347000</v>
      </c>
    </row>
    <row r="10713" spans="1:7" x14ac:dyDescent="0.3">
      <c r="A10713" s="198">
        <v>581953444</v>
      </c>
      <c r="B10713" s="192" t="s">
        <v>3955</v>
      </c>
      <c r="C10713" s="196">
        <v>-357000</v>
      </c>
      <c r="D10713" s="196">
        <v>0</v>
      </c>
      <c r="E10713" s="196">
        <v>0</v>
      </c>
      <c r="F10713" s="196">
        <v>0</v>
      </c>
      <c r="G10713" s="196">
        <v>-357000</v>
      </c>
    </row>
    <row r="10714" spans="1:7" x14ac:dyDescent="0.3">
      <c r="A10714" s="192" t="s">
        <v>3969</v>
      </c>
      <c r="B10714" s="192" t="s">
        <v>3970</v>
      </c>
      <c r="C10714" s="196">
        <v>-414000</v>
      </c>
      <c r="D10714" s="196">
        <v>0</v>
      </c>
      <c r="E10714" s="196">
        <v>0</v>
      </c>
      <c r="F10714" s="196">
        <v>0</v>
      </c>
      <c r="G10714" s="196">
        <v>-414000</v>
      </c>
    </row>
    <row r="10715" spans="1:7" x14ac:dyDescent="0.3">
      <c r="A10715" s="198">
        <v>43083608</v>
      </c>
      <c r="B10715" s="192" t="s">
        <v>751</v>
      </c>
      <c r="C10715" s="196">
        <v>-79300</v>
      </c>
      <c r="D10715" s="196">
        <v>0</v>
      </c>
      <c r="E10715" s="196">
        <v>0</v>
      </c>
      <c r="F10715" s="196">
        <v>0</v>
      </c>
      <c r="G10715" s="196">
        <v>-79300</v>
      </c>
    </row>
    <row r="10716" spans="1:7" x14ac:dyDescent="0.3">
      <c r="A10716" s="198">
        <v>7771800</v>
      </c>
      <c r="B10716" s="192" t="s">
        <v>752</v>
      </c>
      <c r="C10716" s="196">
        <v>-414000</v>
      </c>
      <c r="D10716" s="196">
        <v>0</v>
      </c>
      <c r="E10716" s="196">
        <v>0</v>
      </c>
      <c r="F10716" s="196">
        <v>0</v>
      </c>
      <c r="G10716" s="196">
        <v>-414000</v>
      </c>
    </row>
    <row r="10717" spans="1:7" x14ac:dyDescent="0.3">
      <c r="A10717" s="198">
        <v>70072052</v>
      </c>
      <c r="B10717" s="192" t="s">
        <v>7235</v>
      </c>
      <c r="C10717" s="196">
        <v>-493000</v>
      </c>
      <c r="D10717" s="196">
        <v>0</v>
      </c>
      <c r="E10717" s="196">
        <v>0</v>
      </c>
      <c r="F10717" s="196">
        <v>0</v>
      </c>
      <c r="G10717" s="196">
        <v>-493000</v>
      </c>
    </row>
    <row r="10718" spans="1:7" x14ac:dyDescent="0.3">
      <c r="A10718" s="198">
        <v>98522416</v>
      </c>
      <c r="B10718" s="192" t="s">
        <v>3988</v>
      </c>
      <c r="C10718" s="196">
        <v>-49000</v>
      </c>
      <c r="D10718" s="196">
        <v>0</v>
      </c>
      <c r="E10718" s="196">
        <v>0</v>
      </c>
      <c r="F10718" s="196">
        <v>0</v>
      </c>
      <c r="G10718" s="196">
        <v>-49000</v>
      </c>
    </row>
    <row r="10719" spans="1:7" x14ac:dyDescent="0.3">
      <c r="A10719" s="198">
        <v>71593323</v>
      </c>
      <c r="B10719" s="192" t="s">
        <v>3989</v>
      </c>
      <c r="C10719" s="196">
        <v>-81200</v>
      </c>
      <c r="D10719" s="196">
        <v>0</v>
      </c>
      <c r="E10719" s="196">
        <v>0</v>
      </c>
      <c r="F10719" s="196">
        <v>0</v>
      </c>
      <c r="G10719" s="196">
        <v>-81200</v>
      </c>
    </row>
    <row r="10720" spans="1:7" x14ac:dyDescent="0.3">
      <c r="A10720" s="198">
        <v>8357147</v>
      </c>
      <c r="B10720" s="192" t="s">
        <v>3990</v>
      </c>
      <c r="C10720" s="196">
        <v>-46100</v>
      </c>
      <c r="D10720" s="196">
        <v>0</v>
      </c>
      <c r="E10720" s="196">
        <v>0</v>
      </c>
      <c r="F10720" s="196">
        <v>0</v>
      </c>
      <c r="G10720" s="196">
        <v>-46100</v>
      </c>
    </row>
    <row r="10721" spans="1:7" x14ac:dyDescent="0.3">
      <c r="A10721" s="198">
        <v>98645117</v>
      </c>
      <c r="B10721" s="192" t="s">
        <v>7236</v>
      </c>
      <c r="C10721" s="196">
        <v>-347000</v>
      </c>
      <c r="D10721" s="196">
        <v>0</v>
      </c>
      <c r="E10721" s="196">
        <v>0</v>
      </c>
      <c r="F10721" s="196">
        <v>0</v>
      </c>
      <c r="G10721" s="196">
        <v>-347000</v>
      </c>
    </row>
    <row r="10722" spans="1:7" x14ac:dyDescent="0.3">
      <c r="A10722" s="198">
        <v>8177596</v>
      </c>
      <c r="B10722" s="192" t="s">
        <v>3996</v>
      </c>
      <c r="C10722" s="196">
        <v>-115000</v>
      </c>
      <c r="D10722" s="196">
        <v>0</v>
      </c>
      <c r="E10722" s="196">
        <v>0</v>
      </c>
      <c r="F10722" s="196">
        <v>0</v>
      </c>
      <c r="G10722" s="196">
        <v>-115000</v>
      </c>
    </row>
    <row r="10723" spans="1:7" x14ac:dyDescent="0.3">
      <c r="A10723" s="198">
        <v>70557668</v>
      </c>
      <c r="B10723" s="192" t="s">
        <v>3997</v>
      </c>
      <c r="C10723" s="196">
        <v>-285600</v>
      </c>
      <c r="D10723" s="196">
        <v>0</v>
      </c>
      <c r="E10723" s="196">
        <v>0</v>
      </c>
      <c r="F10723" s="196">
        <v>0</v>
      </c>
      <c r="G10723" s="196">
        <v>-285600</v>
      </c>
    </row>
    <row r="10724" spans="1:7" x14ac:dyDescent="0.3">
      <c r="A10724" s="198">
        <v>392250</v>
      </c>
      <c r="B10724" s="192" t="s">
        <v>3998</v>
      </c>
      <c r="C10724" s="196">
        <v>-258000</v>
      </c>
      <c r="D10724" s="196">
        <v>0</v>
      </c>
      <c r="E10724" s="196">
        <v>0</v>
      </c>
      <c r="F10724" s="196">
        <v>0</v>
      </c>
      <c r="G10724" s="196">
        <v>-258000</v>
      </c>
    </row>
    <row r="10725" spans="1:7" x14ac:dyDescent="0.3">
      <c r="A10725" s="198">
        <v>98487264</v>
      </c>
      <c r="B10725" s="192" t="s">
        <v>760</v>
      </c>
      <c r="C10725" s="196">
        <v>0</v>
      </c>
      <c r="D10725" s="196">
        <v>0</v>
      </c>
      <c r="E10725" s="196">
        <v>285600</v>
      </c>
      <c r="F10725" s="196">
        <v>-285600</v>
      </c>
      <c r="G10725" s="196">
        <v>-285600</v>
      </c>
    </row>
    <row r="10726" spans="1:7" x14ac:dyDescent="0.3">
      <c r="A10726" s="192" t="s">
        <v>4015</v>
      </c>
      <c r="B10726" s="192" t="s">
        <v>4016</v>
      </c>
      <c r="C10726" s="196">
        <v>-258000</v>
      </c>
      <c r="D10726" s="196">
        <v>0</v>
      </c>
      <c r="E10726" s="196">
        <v>0</v>
      </c>
      <c r="F10726" s="196">
        <v>0</v>
      </c>
      <c r="G10726" s="196">
        <v>-258000</v>
      </c>
    </row>
    <row r="10727" spans="1:7" x14ac:dyDescent="0.3">
      <c r="A10727" s="198">
        <v>642778167</v>
      </c>
      <c r="B10727" s="192" t="s">
        <v>4017</v>
      </c>
      <c r="C10727" s="196">
        <v>-112500</v>
      </c>
      <c r="D10727" s="196">
        <v>0</v>
      </c>
      <c r="E10727" s="196">
        <v>0</v>
      </c>
      <c r="F10727" s="196">
        <v>0</v>
      </c>
      <c r="G10727" s="196">
        <v>-112500</v>
      </c>
    </row>
    <row r="10728" spans="1:7" x14ac:dyDescent="0.3">
      <c r="A10728" s="192" t="s">
        <v>4018</v>
      </c>
      <c r="B10728" s="192" t="s">
        <v>4019</v>
      </c>
      <c r="C10728" s="196">
        <v>-414000</v>
      </c>
      <c r="D10728" s="196">
        <v>0</v>
      </c>
      <c r="E10728" s="196">
        <v>0</v>
      </c>
      <c r="F10728" s="196">
        <v>0</v>
      </c>
      <c r="G10728" s="196">
        <v>-414000</v>
      </c>
    </row>
    <row r="10729" spans="1:7" x14ac:dyDescent="0.3">
      <c r="A10729" s="198">
        <v>669553276</v>
      </c>
      <c r="B10729" s="192" t="s">
        <v>764</v>
      </c>
      <c r="C10729" s="196">
        <v>0</v>
      </c>
      <c r="D10729" s="196">
        <v>115000</v>
      </c>
      <c r="E10729" s="196">
        <v>529000</v>
      </c>
      <c r="F10729" s="196">
        <v>-414000</v>
      </c>
      <c r="G10729" s="196">
        <v>-414000</v>
      </c>
    </row>
    <row r="10730" spans="1:7" x14ac:dyDescent="0.3">
      <c r="A10730" s="198">
        <v>572373478</v>
      </c>
      <c r="B10730" s="192" t="s">
        <v>6628</v>
      </c>
      <c r="C10730" s="196">
        <v>-193000</v>
      </c>
      <c r="D10730" s="196">
        <v>0</v>
      </c>
      <c r="E10730" s="196">
        <v>0</v>
      </c>
      <c r="F10730" s="196">
        <v>0</v>
      </c>
      <c r="G10730" s="196">
        <v>-193000</v>
      </c>
    </row>
    <row r="10731" spans="1:7" x14ac:dyDescent="0.3">
      <c r="A10731" s="198">
        <v>69015895</v>
      </c>
      <c r="B10731" s="192" t="s">
        <v>765</v>
      </c>
      <c r="C10731" s="196">
        <v>0</v>
      </c>
      <c r="D10731" s="196">
        <v>0</v>
      </c>
      <c r="E10731" s="196">
        <v>147000</v>
      </c>
      <c r="F10731" s="196">
        <v>-147000</v>
      </c>
      <c r="G10731" s="196">
        <v>-147000</v>
      </c>
    </row>
    <row r="10732" spans="1:7" x14ac:dyDescent="0.3">
      <c r="A10732" s="198">
        <v>9868462</v>
      </c>
      <c r="B10732" s="192" t="s">
        <v>766</v>
      </c>
      <c r="C10732" s="196">
        <v>0</v>
      </c>
      <c r="D10732" s="196">
        <v>0</v>
      </c>
      <c r="E10732" s="196">
        <v>50000</v>
      </c>
      <c r="F10732" s="196">
        <v>-50000</v>
      </c>
      <c r="G10732" s="196">
        <v>-50000</v>
      </c>
    </row>
    <row r="10733" spans="1:7" x14ac:dyDescent="0.3">
      <c r="A10733" s="198">
        <v>92523425</v>
      </c>
      <c r="B10733" s="192" t="s">
        <v>4023</v>
      </c>
      <c r="C10733" s="196">
        <v>-46100</v>
      </c>
      <c r="D10733" s="196">
        <v>0</v>
      </c>
      <c r="E10733" s="196">
        <v>0</v>
      </c>
      <c r="F10733" s="196">
        <v>0</v>
      </c>
      <c r="G10733" s="196">
        <v>-46100</v>
      </c>
    </row>
    <row r="10734" spans="1:7" x14ac:dyDescent="0.3">
      <c r="A10734" s="198">
        <v>1152463488</v>
      </c>
      <c r="B10734" s="192" t="s">
        <v>4024</v>
      </c>
      <c r="C10734" s="196">
        <v>-535500</v>
      </c>
      <c r="D10734" s="196">
        <v>0</v>
      </c>
      <c r="E10734" s="196">
        <v>0</v>
      </c>
      <c r="F10734" s="196">
        <v>0</v>
      </c>
      <c r="G10734" s="196">
        <v>-535500</v>
      </c>
    </row>
    <row r="10735" spans="1:7" x14ac:dyDescent="0.3">
      <c r="A10735" s="198">
        <v>98622435</v>
      </c>
      <c r="B10735" s="192" t="s">
        <v>4025</v>
      </c>
      <c r="C10735" s="196">
        <v>-121800</v>
      </c>
      <c r="D10735" s="196">
        <v>0</v>
      </c>
      <c r="E10735" s="196">
        <v>0</v>
      </c>
      <c r="F10735" s="196">
        <v>0</v>
      </c>
      <c r="G10735" s="196">
        <v>-121800</v>
      </c>
    </row>
    <row r="10736" spans="1:7" x14ac:dyDescent="0.3">
      <c r="A10736" s="198">
        <v>435620</v>
      </c>
      <c r="B10736" s="192" t="s">
        <v>767</v>
      </c>
      <c r="C10736" s="196">
        <v>0</v>
      </c>
      <c r="D10736" s="196">
        <v>0</v>
      </c>
      <c r="E10736" s="196">
        <v>46000</v>
      </c>
      <c r="F10736" s="196">
        <v>-46000</v>
      </c>
      <c r="G10736" s="196">
        <v>-46000</v>
      </c>
    </row>
    <row r="10737" spans="1:7" x14ac:dyDescent="0.3">
      <c r="A10737" s="198">
        <v>572995231</v>
      </c>
      <c r="B10737" s="192" t="s">
        <v>4028</v>
      </c>
      <c r="C10737" s="196">
        <v>-255000</v>
      </c>
      <c r="D10737" s="196">
        <v>0</v>
      </c>
      <c r="E10737" s="196">
        <v>0</v>
      </c>
      <c r="F10737" s="196">
        <v>0</v>
      </c>
      <c r="G10737" s="196">
        <v>-255000</v>
      </c>
    </row>
    <row r="10738" spans="1:7" x14ac:dyDescent="0.3">
      <c r="A10738" s="198">
        <v>3314013</v>
      </c>
      <c r="B10738" s="192" t="s">
        <v>4029</v>
      </c>
      <c r="C10738" s="196">
        <v>-46000</v>
      </c>
      <c r="D10738" s="196">
        <v>0</v>
      </c>
      <c r="E10738" s="196">
        <v>0</v>
      </c>
      <c r="F10738" s="196">
        <v>0</v>
      </c>
      <c r="G10738" s="196">
        <v>-46000</v>
      </c>
    </row>
    <row r="10739" spans="1:7" x14ac:dyDescent="0.3">
      <c r="A10739" s="198">
        <v>9871060</v>
      </c>
      <c r="B10739" s="192" t="s">
        <v>4031</v>
      </c>
      <c r="C10739" s="196">
        <v>-49000</v>
      </c>
      <c r="D10739" s="196">
        <v>0</v>
      </c>
      <c r="E10739" s="196">
        <v>0</v>
      </c>
      <c r="F10739" s="196">
        <v>0</v>
      </c>
      <c r="G10739" s="196">
        <v>-49000</v>
      </c>
    </row>
    <row r="10740" spans="1:7" x14ac:dyDescent="0.3">
      <c r="A10740" s="198">
        <v>1000310739</v>
      </c>
      <c r="B10740" s="192" t="s">
        <v>768</v>
      </c>
      <c r="C10740" s="196">
        <v>0</v>
      </c>
      <c r="D10740" s="196">
        <v>646999</v>
      </c>
      <c r="E10740" s="196">
        <v>994000</v>
      </c>
      <c r="F10740" s="196">
        <v>-347001</v>
      </c>
      <c r="G10740" s="196">
        <v>-347001</v>
      </c>
    </row>
    <row r="10741" spans="1:7" x14ac:dyDescent="0.3">
      <c r="A10741" s="198">
        <v>1074187632</v>
      </c>
      <c r="B10741" s="192" t="s">
        <v>771</v>
      </c>
      <c r="C10741" s="196">
        <v>-193000</v>
      </c>
      <c r="D10741" s="196">
        <v>0</v>
      </c>
      <c r="E10741" s="196">
        <v>0</v>
      </c>
      <c r="F10741" s="196">
        <v>0</v>
      </c>
      <c r="G10741" s="196">
        <v>-193000</v>
      </c>
    </row>
    <row r="10742" spans="1:7" x14ac:dyDescent="0.3">
      <c r="A10742" s="198">
        <v>32256839</v>
      </c>
      <c r="B10742" s="192" t="s">
        <v>772</v>
      </c>
      <c r="C10742" s="196">
        <v>-153600</v>
      </c>
      <c r="D10742" s="196">
        <v>0</v>
      </c>
      <c r="E10742" s="196">
        <v>0</v>
      </c>
      <c r="F10742" s="196">
        <v>0</v>
      </c>
      <c r="G10742" s="196">
        <v>-153600</v>
      </c>
    </row>
    <row r="10743" spans="1:7" x14ac:dyDescent="0.3">
      <c r="A10743" s="192" t="s">
        <v>4040</v>
      </c>
      <c r="B10743" s="192" t="s">
        <v>4041</v>
      </c>
      <c r="C10743" s="196">
        <v>-259200</v>
      </c>
      <c r="D10743" s="196">
        <v>0</v>
      </c>
      <c r="E10743" s="196">
        <v>0</v>
      </c>
      <c r="F10743" s="196">
        <v>0</v>
      </c>
      <c r="G10743" s="196">
        <v>-259200</v>
      </c>
    </row>
    <row r="10744" spans="1:7" x14ac:dyDescent="0.3">
      <c r="A10744" s="198">
        <v>1032377803</v>
      </c>
      <c r="B10744" s="192" t="s">
        <v>4044</v>
      </c>
      <c r="C10744" s="196">
        <v>-40600</v>
      </c>
      <c r="D10744" s="196">
        <v>0</v>
      </c>
      <c r="E10744" s="196">
        <v>0</v>
      </c>
      <c r="F10744" s="196">
        <v>0</v>
      </c>
      <c r="G10744" s="196">
        <v>-40600</v>
      </c>
    </row>
    <row r="10745" spans="1:7" x14ac:dyDescent="0.3">
      <c r="A10745" s="198">
        <v>42680782</v>
      </c>
      <c r="B10745" s="192" t="s">
        <v>774</v>
      </c>
      <c r="C10745" s="196">
        <v>-46101</v>
      </c>
      <c r="D10745" s="196">
        <v>0</v>
      </c>
      <c r="E10745" s="196">
        <v>0</v>
      </c>
      <c r="F10745" s="196">
        <v>0</v>
      </c>
      <c r="G10745" s="196">
        <v>-46101</v>
      </c>
    </row>
    <row r="10746" spans="1:7" x14ac:dyDescent="0.3">
      <c r="A10746" s="198">
        <v>1048019016</v>
      </c>
      <c r="B10746" s="192" t="s">
        <v>6641</v>
      </c>
      <c r="C10746" s="196">
        <v>-308000</v>
      </c>
      <c r="D10746" s="196">
        <v>0</v>
      </c>
      <c r="E10746" s="196">
        <v>0</v>
      </c>
      <c r="F10746" s="196">
        <v>0</v>
      </c>
      <c r="G10746" s="196">
        <v>-308000</v>
      </c>
    </row>
    <row r="10747" spans="1:7" x14ac:dyDescent="0.3">
      <c r="A10747" s="198">
        <v>1017246777</v>
      </c>
      <c r="B10747" s="192" t="s">
        <v>6642</v>
      </c>
      <c r="C10747" s="196">
        <v>-380000</v>
      </c>
      <c r="D10747" s="196">
        <v>0</v>
      </c>
      <c r="E10747" s="196">
        <v>0</v>
      </c>
      <c r="F10747" s="196">
        <v>0</v>
      </c>
      <c r="G10747" s="196">
        <v>-380000</v>
      </c>
    </row>
    <row r="10748" spans="1:7" x14ac:dyDescent="0.3">
      <c r="A10748" s="198">
        <v>561959414</v>
      </c>
      <c r="B10748" s="192" t="s">
        <v>776</v>
      </c>
      <c r="C10748" s="196">
        <v>0</v>
      </c>
      <c r="D10748" s="196">
        <v>0</v>
      </c>
      <c r="E10748" s="196">
        <v>79300</v>
      </c>
      <c r="F10748" s="196">
        <v>-79300</v>
      </c>
      <c r="G10748" s="196">
        <v>-79300</v>
      </c>
    </row>
    <row r="10749" spans="1:7" x14ac:dyDescent="0.3">
      <c r="A10749" s="198">
        <v>1032012363</v>
      </c>
      <c r="B10749" s="192" t="s">
        <v>6643</v>
      </c>
      <c r="C10749" s="196">
        <v>-193000</v>
      </c>
      <c r="D10749" s="196">
        <v>0</v>
      </c>
      <c r="E10749" s="196">
        <v>0</v>
      </c>
      <c r="F10749" s="196">
        <v>0</v>
      </c>
      <c r="G10749" s="196">
        <v>-193000</v>
      </c>
    </row>
    <row r="10750" spans="1:7" x14ac:dyDescent="0.3">
      <c r="A10750" s="198">
        <v>1092524677</v>
      </c>
      <c r="B10750" s="192" t="s">
        <v>785</v>
      </c>
      <c r="C10750" s="196">
        <v>0</v>
      </c>
      <c r="D10750" s="196">
        <v>347000</v>
      </c>
      <c r="E10750" s="196">
        <v>694000</v>
      </c>
      <c r="F10750" s="196">
        <v>-347000</v>
      </c>
      <c r="G10750" s="196">
        <v>-347000</v>
      </c>
    </row>
    <row r="10751" spans="1:7" x14ac:dyDescent="0.3">
      <c r="A10751" s="198">
        <v>569764221</v>
      </c>
      <c r="B10751" s="192" t="s">
        <v>786</v>
      </c>
      <c r="C10751" s="196">
        <v>0</v>
      </c>
      <c r="D10751" s="196">
        <v>0</v>
      </c>
      <c r="E10751" s="196">
        <v>258000</v>
      </c>
      <c r="F10751" s="196">
        <v>-258000</v>
      </c>
      <c r="G10751" s="196">
        <v>-258000</v>
      </c>
    </row>
    <row r="10752" spans="1:7" x14ac:dyDescent="0.3">
      <c r="A10752" s="198">
        <v>1037642122</v>
      </c>
      <c r="B10752" s="192" t="s">
        <v>4061</v>
      </c>
      <c r="C10752" s="196">
        <v>-508000</v>
      </c>
      <c r="D10752" s="196">
        <v>0</v>
      </c>
      <c r="E10752" s="196">
        <v>0</v>
      </c>
      <c r="F10752" s="196">
        <v>0</v>
      </c>
      <c r="G10752" s="196">
        <v>-508000</v>
      </c>
    </row>
    <row r="10753" spans="1:7" x14ac:dyDescent="0.3">
      <c r="A10753" s="198">
        <v>1037622341</v>
      </c>
      <c r="B10753" s="192" t="s">
        <v>787</v>
      </c>
      <c r="C10753" s="196">
        <v>-138000</v>
      </c>
      <c r="D10753" s="196">
        <v>0</v>
      </c>
      <c r="E10753" s="196">
        <v>46000</v>
      </c>
      <c r="F10753" s="196">
        <v>-46000</v>
      </c>
      <c r="G10753" s="196">
        <v>-184000</v>
      </c>
    </row>
    <row r="10754" spans="1:7" x14ac:dyDescent="0.3">
      <c r="A10754" s="198">
        <v>1046912131</v>
      </c>
      <c r="B10754" s="192" t="s">
        <v>789</v>
      </c>
      <c r="C10754" s="196">
        <v>-347000</v>
      </c>
      <c r="D10754" s="196">
        <v>0</v>
      </c>
      <c r="E10754" s="196">
        <v>267750</v>
      </c>
      <c r="F10754" s="196">
        <v>-267750</v>
      </c>
      <c r="G10754" s="196">
        <v>-614750</v>
      </c>
    </row>
    <row r="10755" spans="1:7" x14ac:dyDescent="0.3">
      <c r="A10755" s="198">
        <v>1036668034</v>
      </c>
      <c r="B10755" s="192" t="s">
        <v>4067</v>
      </c>
      <c r="C10755" s="196">
        <v>-315000</v>
      </c>
      <c r="D10755" s="196">
        <v>0</v>
      </c>
      <c r="E10755" s="196">
        <v>0</v>
      </c>
      <c r="F10755" s="196">
        <v>0</v>
      </c>
      <c r="G10755" s="196">
        <v>-315000</v>
      </c>
    </row>
    <row r="10756" spans="1:7" x14ac:dyDescent="0.3">
      <c r="A10756" s="198">
        <v>71905166</v>
      </c>
      <c r="B10756" s="192" t="s">
        <v>4070</v>
      </c>
      <c r="C10756" s="196">
        <v>-40500</v>
      </c>
      <c r="D10756" s="196">
        <v>0</v>
      </c>
      <c r="E10756" s="196">
        <v>0</v>
      </c>
      <c r="F10756" s="196">
        <v>0</v>
      </c>
      <c r="G10756" s="196">
        <v>-40500</v>
      </c>
    </row>
    <row r="10757" spans="1:7" x14ac:dyDescent="0.3">
      <c r="A10757" s="198">
        <v>15256346</v>
      </c>
      <c r="B10757" s="192" t="s">
        <v>794</v>
      </c>
      <c r="C10757" s="196">
        <v>0</v>
      </c>
      <c r="D10757" s="196">
        <v>0</v>
      </c>
      <c r="E10757" s="196">
        <v>89000</v>
      </c>
      <c r="F10757" s="196">
        <v>-89000</v>
      </c>
      <c r="G10757" s="196">
        <v>-89000</v>
      </c>
    </row>
    <row r="10758" spans="1:7" x14ac:dyDescent="0.3">
      <c r="A10758" s="198">
        <v>3524420</v>
      </c>
      <c r="B10758" s="192" t="s">
        <v>795</v>
      </c>
      <c r="C10758" s="196">
        <v>0</v>
      </c>
      <c r="D10758" s="196">
        <v>0</v>
      </c>
      <c r="E10758" s="196">
        <v>361250</v>
      </c>
      <c r="F10758" s="196">
        <v>-361250</v>
      </c>
      <c r="G10758" s="196">
        <v>-361250</v>
      </c>
    </row>
    <row r="10759" spans="1:7" x14ac:dyDescent="0.3">
      <c r="A10759" s="198">
        <v>1020470509</v>
      </c>
      <c r="B10759" s="192" t="s">
        <v>4072</v>
      </c>
      <c r="C10759" s="196">
        <v>-392300</v>
      </c>
      <c r="D10759" s="196">
        <v>0</v>
      </c>
      <c r="E10759" s="196">
        <v>0</v>
      </c>
      <c r="F10759" s="196">
        <v>0</v>
      </c>
      <c r="G10759" s="196">
        <v>-392300</v>
      </c>
    </row>
    <row r="10760" spans="1:7" x14ac:dyDescent="0.3">
      <c r="A10760" s="198">
        <v>1007368692</v>
      </c>
      <c r="B10760" s="192" t="s">
        <v>4074</v>
      </c>
      <c r="C10760" s="196">
        <v>-79200</v>
      </c>
      <c r="D10760" s="196">
        <v>0</v>
      </c>
      <c r="E10760" s="196">
        <v>0</v>
      </c>
      <c r="F10760" s="196">
        <v>0</v>
      </c>
      <c r="G10760" s="196">
        <v>-79200</v>
      </c>
    </row>
    <row r="10761" spans="1:7" x14ac:dyDescent="0.3">
      <c r="A10761" s="198">
        <v>1040758816</v>
      </c>
      <c r="B10761" s="192" t="s">
        <v>4077</v>
      </c>
      <c r="C10761" s="196">
        <v>-193000</v>
      </c>
      <c r="D10761" s="196">
        <v>0</v>
      </c>
      <c r="E10761" s="196">
        <v>0</v>
      </c>
      <c r="F10761" s="196">
        <v>0</v>
      </c>
      <c r="G10761" s="196">
        <v>-193000</v>
      </c>
    </row>
    <row r="10762" spans="1:7" x14ac:dyDescent="0.3">
      <c r="A10762" s="198">
        <v>1037628837</v>
      </c>
      <c r="B10762" s="192" t="s">
        <v>4078</v>
      </c>
      <c r="C10762" s="196">
        <v>-105000</v>
      </c>
      <c r="D10762" s="196">
        <v>0</v>
      </c>
      <c r="E10762" s="196">
        <v>0</v>
      </c>
      <c r="F10762" s="196">
        <v>0</v>
      </c>
      <c r="G10762" s="196">
        <v>-105000</v>
      </c>
    </row>
    <row r="10763" spans="1:7" x14ac:dyDescent="0.3">
      <c r="A10763" s="198">
        <v>1128453783</v>
      </c>
      <c r="B10763" s="192" t="s">
        <v>6654</v>
      </c>
      <c r="C10763" s="196">
        <v>-193000</v>
      </c>
      <c r="D10763" s="196">
        <v>0</v>
      </c>
      <c r="E10763" s="196">
        <v>0</v>
      </c>
      <c r="F10763" s="196">
        <v>0</v>
      </c>
      <c r="G10763" s="196">
        <v>-193000</v>
      </c>
    </row>
    <row r="10764" spans="1:7" x14ac:dyDescent="0.3">
      <c r="A10764" s="198">
        <v>11705730</v>
      </c>
      <c r="B10764" s="192" t="s">
        <v>798</v>
      </c>
      <c r="C10764" s="196">
        <v>0</v>
      </c>
      <c r="D10764" s="196">
        <v>0</v>
      </c>
      <c r="E10764" s="196">
        <v>766200</v>
      </c>
      <c r="F10764" s="196">
        <v>-766200</v>
      </c>
      <c r="G10764" s="196">
        <v>-766200</v>
      </c>
    </row>
    <row r="10765" spans="1:7" x14ac:dyDescent="0.3">
      <c r="A10765" s="198">
        <v>8046150</v>
      </c>
      <c r="B10765" s="192" t="s">
        <v>4083</v>
      </c>
      <c r="C10765" s="196">
        <v>-38400</v>
      </c>
      <c r="D10765" s="196">
        <v>0</v>
      </c>
      <c r="E10765" s="196">
        <v>0</v>
      </c>
      <c r="F10765" s="196">
        <v>0</v>
      </c>
      <c r="G10765" s="196">
        <v>-38400</v>
      </c>
    </row>
    <row r="10766" spans="1:7" x14ac:dyDescent="0.3">
      <c r="A10766" s="198">
        <v>3474155</v>
      </c>
      <c r="B10766" s="192" t="s">
        <v>4087</v>
      </c>
      <c r="C10766" s="196">
        <v>-40600</v>
      </c>
      <c r="D10766" s="196">
        <v>0</v>
      </c>
      <c r="E10766" s="196">
        <v>0</v>
      </c>
      <c r="F10766" s="196">
        <v>0</v>
      </c>
      <c r="G10766" s="196">
        <v>-40600</v>
      </c>
    </row>
    <row r="10767" spans="1:7" x14ac:dyDescent="0.3">
      <c r="A10767" s="198">
        <v>1026148449</v>
      </c>
      <c r="B10767" s="192" t="s">
        <v>800</v>
      </c>
      <c r="C10767" s="196">
        <v>0</v>
      </c>
      <c r="D10767" s="196">
        <v>115000</v>
      </c>
      <c r="E10767" s="196">
        <v>420000</v>
      </c>
      <c r="F10767" s="196">
        <v>-305000</v>
      </c>
      <c r="G10767" s="196">
        <v>-305000</v>
      </c>
    </row>
    <row r="10768" spans="1:7" x14ac:dyDescent="0.3">
      <c r="A10768" s="198">
        <v>1003949523</v>
      </c>
      <c r="B10768" s="192" t="s">
        <v>801</v>
      </c>
      <c r="C10768" s="196">
        <v>0</v>
      </c>
      <c r="D10768" s="196">
        <v>0</v>
      </c>
      <c r="E10768" s="196">
        <v>190000</v>
      </c>
      <c r="F10768" s="196">
        <v>-190000</v>
      </c>
      <c r="G10768" s="196">
        <v>-190000</v>
      </c>
    </row>
    <row r="10769" spans="1:7" x14ac:dyDescent="0.3">
      <c r="A10769" s="198">
        <v>7418660</v>
      </c>
      <c r="B10769" s="192" t="s">
        <v>4093</v>
      </c>
      <c r="C10769" s="196">
        <v>-258000</v>
      </c>
      <c r="D10769" s="196">
        <v>0</v>
      </c>
      <c r="E10769" s="196">
        <v>0</v>
      </c>
      <c r="F10769" s="196">
        <v>0</v>
      </c>
      <c r="G10769" s="196">
        <v>-258000</v>
      </c>
    </row>
    <row r="10770" spans="1:7" x14ac:dyDescent="0.3">
      <c r="A10770" s="198">
        <v>1001010657</v>
      </c>
      <c r="B10770" s="192" t="s">
        <v>4096</v>
      </c>
      <c r="C10770" s="196">
        <v>-190000</v>
      </c>
      <c r="D10770" s="196">
        <v>0</v>
      </c>
      <c r="E10770" s="196">
        <v>0</v>
      </c>
      <c r="F10770" s="196">
        <v>0</v>
      </c>
      <c r="G10770" s="196">
        <v>-190000</v>
      </c>
    </row>
    <row r="10771" spans="1:7" x14ac:dyDescent="0.3">
      <c r="A10771" s="198">
        <v>8407101</v>
      </c>
      <c r="B10771" s="192" t="s">
        <v>4100</v>
      </c>
      <c r="C10771" s="196">
        <v>-209000</v>
      </c>
      <c r="D10771" s="196">
        <v>0</v>
      </c>
      <c r="E10771" s="196">
        <v>0</v>
      </c>
      <c r="F10771" s="196">
        <v>0</v>
      </c>
      <c r="G10771" s="196">
        <v>-209000</v>
      </c>
    </row>
    <row r="10772" spans="1:7" x14ac:dyDescent="0.3">
      <c r="A10772" s="198">
        <v>1128264741</v>
      </c>
      <c r="B10772" s="192" t="s">
        <v>4110</v>
      </c>
      <c r="C10772" s="196">
        <v>-248400</v>
      </c>
      <c r="D10772" s="196">
        <v>0</v>
      </c>
      <c r="E10772" s="196">
        <v>0</v>
      </c>
      <c r="F10772" s="196">
        <v>0</v>
      </c>
      <c r="G10772" s="196">
        <v>-248400</v>
      </c>
    </row>
    <row r="10773" spans="1:7" x14ac:dyDescent="0.3">
      <c r="A10773" s="198">
        <v>1000206037</v>
      </c>
      <c r="B10773" s="192" t="s">
        <v>4112</v>
      </c>
      <c r="C10773" s="196">
        <v>-441300</v>
      </c>
      <c r="D10773" s="196">
        <v>0</v>
      </c>
      <c r="E10773" s="196">
        <v>0</v>
      </c>
      <c r="F10773" s="196">
        <v>0</v>
      </c>
      <c r="G10773" s="196">
        <v>-441300</v>
      </c>
    </row>
    <row r="10774" spans="1:7" x14ac:dyDescent="0.3">
      <c r="A10774" s="198">
        <v>1036635480</v>
      </c>
      <c r="B10774" s="192" t="s">
        <v>1686</v>
      </c>
      <c r="C10774" s="196">
        <v>-194200</v>
      </c>
      <c r="D10774" s="196">
        <v>0</v>
      </c>
      <c r="E10774" s="196">
        <v>0</v>
      </c>
      <c r="F10774" s="196">
        <v>0</v>
      </c>
      <c r="G10774" s="196">
        <v>-194200</v>
      </c>
    </row>
    <row r="10775" spans="1:7" x14ac:dyDescent="0.3">
      <c r="A10775" s="198">
        <v>1053866021</v>
      </c>
      <c r="B10775" s="192" t="s">
        <v>6666</v>
      </c>
      <c r="C10775" s="196">
        <v>-347000</v>
      </c>
      <c r="D10775" s="196">
        <v>0</v>
      </c>
      <c r="E10775" s="196">
        <v>0</v>
      </c>
      <c r="F10775" s="196">
        <v>0</v>
      </c>
      <c r="G10775" s="196">
        <v>-347000</v>
      </c>
    </row>
    <row r="10776" spans="1:7" x14ac:dyDescent="0.3">
      <c r="A10776" s="198">
        <v>661249721</v>
      </c>
      <c r="B10776" s="192" t="s">
        <v>809</v>
      </c>
      <c r="C10776" s="196">
        <v>-414000</v>
      </c>
      <c r="D10776" s="196">
        <v>0</v>
      </c>
      <c r="E10776" s="196">
        <v>0</v>
      </c>
      <c r="F10776" s="196">
        <v>0</v>
      </c>
      <c r="G10776" s="196">
        <v>-414000</v>
      </c>
    </row>
    <row r="10777" spans="1:7" x14ac:dyDescent="0.3">
      <c r="A10777" s="198">
        <v>1039050184</v>
      </c>
      <c r="B10777" s="192" t="s">
        <v>6670</v>
      </c>
      <c r="C10777" s="196">
        <v>-193000</v>
      </c>
      <c r="D10777" s="196">
        <v>0</v>
      </c>
      <c r="E10777" s="196">
        <v>0</v>
      </c>
      <c r="F10777" s="196">
        <v>0</v>
      </c>
      <c r="G10777" s="196">
        <v>-193000</v>
      </c>
    </row>
    <row r="10778" spans="1:7" x14ac:dyDescent="0.3">
      <c r="A10778" s="198">
        <v>75094029</v>
      </c>
      <c r="B10778" s="192" t="s">
        <v>812</v>
      </c>
      <c r="C10778" s="196">
        <v>0</v>
      </c>
      <c r="D10778" s="196">
        <v>0</v>
      </c>
      <c r="E10778" s="196">
        <v>538600</v>
      </c>
      <c r="F10778" s="196">
        <v>-538600</v>
      </c>
      <c r="G10778" s="196">
        <v>-538600</v>
      </c>
    </row>
    <row r="10779" spans="1:7" x14ac:dyDescent="0.3">
      <c r="A10779" s="198">
        <v>71781676</v>
      </c>
      <c r="B10779" s="192" t="s">
        <v>7237</v>
      </c>
      <c r="C10779" s="196">
        <v>-79200</v>
      </c>
      <c r="D10779" s="196">
        <v>0</v>
      </c>
      <c r="E10779" s="196">
        <v>0</v>
      </c>
      <c r="F10779" s="196">
        <v>0</v>
      </c>
      <c r="G10779" s="196">
        <v>-79200</v>
      </c>
    </row>
    <row r="10780" spans="1:7" x14ac:dyDescent="0.3">
      <c r="A10780" s="198">
        <v>3438721</v>
      </c>
      <c r="B10780" s="192" t="s">
        <v>813</v>
      </c>
      <c r="C10780" s="196">
        <v>0</v>
      </c>
      <c r="D10780" s="196">
        <v>0</v>
      </c>
      <c r="E10780" s="196">
        <v>46000</v>
      </c>
      <c r="F10780" s="196">
        <v>-46000</v>
      </c>
      <c r="G10780" s="196">
        <v>-46000</v>
      </c>
    </row>
    <row r="10781" spans="1:7" x14ac:dyDescent="0.3">
      <c r="A10781" s="198">
        <v>8457415</v>
      </c>
      <c r="B10781" s="192" t="s">
        <v>814</v>
      </c>
      <c r="C10781" s="196">
        <v>0</v>
      </c>
      <c r="D10781" s="196">
        <v>0</v>
      </c>
      <c r="E10781" s="196">
        <v>121800</v>
      </c>
      <c r="F10781" s="196">
        <v>-121800</v>
      </c>
      <c r="G10781" s="196">
        <v>-121800</v>
      </c>
    </row>
    <row r="10782" spans="1:7" x14ac:dyDescent="0.3">
      <c r="A10782" s="198">
        <v>888626</v>
      </c>
      <c r="B10782" s="192" t="s">
        <v>4132</v>
      </c>
      <c r="C10782" s="196">
        <v>-681000</v>
      </c>
      <c r="D10782" s="196">
        <v>0</v>
      </c>
      <c r="E10782" s="196">
        <v>0</v>
      </c>
      <c r="F10782" s="196">
        <v>0</v>
      </c>
      <c r="G10782" s="196">
        <v>-681000</v>
      </c>
    </row>
    <row r="10783" spans="1:7" x14ac:dyDescent="0.3">
      <c r="A10783" s="198">
        <v>71384505</v>
      </c>
      <c r="B10783" s="192" t="s">
        <v>7238</v>
      </c>
      <c r="C10783" s="196">
        <v>-300000</v>
      </c>
      <c r="D10783" s="196">
        <v>0</v>
      </c>
      <c r="E10783" s="196">
        <v>0</v>
      </c>
      <c r="F10783" s="196">
        <v>0</v>
      </c>
      <c r="G10783" s="196">
        <v>-300000</v>
      </c>
    </row>
    <row r="10784" spans="1:7" x14ac:dyDescent="0.3">
      <c r="A10784" s="198">
        <v>45764892</v>
      </c>
      <c r="B10784" s="192" t="s">
        <v>815</v>
      </c>
      <c r="C10784" s="196">
        <v>-258000</v>
      </c>
      <c r="D10784" s="196">
        <v>0</v>
      </c>
      <c r="E10784" s="196">
        <v>0</v>
      </c>
      <c r="F10784" s="196">
        <v>0</v>
      </c>
      <c r="G10784" s="196">
        <v>-258000</v>
      </c>
    </row>
    <row r="10785" spans="1:7" x14ac:dyDescent="0.3">
      <c r="A10785" s="198">
        <v>71527531</v>
      </c>
      <c r="B10785" s="192" t="s">
        <v>124</v>
      </c>
      <c r="C10785" s="196">
        <v>-38930003</v>
      </c>
      <c r="D10785" s="196">
        <v>3708499</v>
      </c>
      <c r="E10785" s="196">
        <v>10814500</v>
      </c>
      <c r="F10785" s="196">
        <v>-7106001</v>
      </c>
      <c r="G10785" s="196">
        <v>-46036004</v>
      </c>
    </row>
    <row r="10786" spans="1:7" x14ac:dyDescent="0.3">
      <c r="A10786" s="198">
        <v>56298506</v>
      </c>
      <c r="B10786" s="192" t="s">
        <v>7239</v>
      </c>
      <c r="C10786" s="196">
        <v>-467000</v>
      </c>
      <c r="D10786" s="196">
        <v>0</v>
      </c>
      <c r="E10786" s="196">
        <v>0</v>
      </c>
      <c r="F10786" s="196">
        <v>0</v>
      </c>
      <c r="G10786" s="196">
        <v>-467000</v>
      </c>
    </row>
    <row r="10787" spans="1:7" x14ac:dyDescent="0.3">
      <c r="A10787" s="198">
        <v>8161598</v>
      </c>
      <c r="B10787" s="192" t="s">
        <v>4137</v>
      </c>
      <c r="C10787" s="196">
        <v>-50000</v>
      </c>
      <c r="D10787" s="196">
        <v>0</v>
      </c>
      <c r="E10787" s="196">
        <v>0</v>
      </c>
      <c r="F10787" s="196">
        <v>0</v>
      </c>
      <c r="G10787" s="196">
        <v>-50000</v>
      </c>
    </row>
    <row r="10788" spans="1:7" x14ac:dyDescent="0.3">
      <c r="A10788" s="198">
        <v>70950311</v>
      </c>
      <c r="B10788" s="192" t="s">
        <v>4139</v>
      </c>
      <c r="C10788" s="196">
        <v>-46000</v>
      </c>
      <c r="D10788" s="196">
        <v>0</v>
      </c>
      <c r="E10788" s="196">
        <v>0</v>
      </c>
      <c r="F10788" s="196">
        <v>0</v>
      </c>
      <c r="G10788" s="196">
        <v>-46000</v>
      </c>
    </row>
    <row r="10789" spans="1:7" x14ac:dyDescent="0.3">
      <c r="A10789" s="198">
        <v>98551478</v>
      </c>
      <c r="B10789" s="192" t="s">
        <v>820</v>
      </c>
      <c r="C10789" s="196">
        <v>-40600</v>
      </c>
      <c r="D10789" s="196">
        <v>0</v>
      </c>
      <c r="E10789" s="196">
        <v>0</v>
      </c>
      <c r="F10789" s="196">
        <v>0</v>
      </c>
      <c r="G10789" s="196">
        <v>-40600</v>
      </c>
    </row>
    <row r="10790" spans="1:7" x14ac:dyDescent="0.3">
      <c r="A10790" s="198">
        <v>1017157925</v>
      </c>
      <c r="B10790" s="192" t="s">
        <v>821</v>
      </c>
      <c r="C10790" s="196">
        <v>0</v>
      </c>
      <c r="D10790" s="196">
        <v>96500</v>
      </c>
      <c r="E10790" s="196">
        <v>289500</v>
      </c>
      <c r="F10790" s="196">
        <v>-193000</v>
      </c>
      <c r="G10790" s="196">
        <v>-193000</v>
      </c>
    </row>
    <row r="10791" spans="1:7" x14ac:dyDescent="0.3">
      <c r="A10791" s="198">
        <v>79436372</v>
      </c>
      <c r="B10791" s="192" t="s">
        <v>7240</v>
      </c>
      <c r="C10791" s="196">
        <v>-167000</v>
      </c>
      <c r="D10791" s="196">
        <v>0</v>
      </c>
      <c r="E10791" s="196">
        <v>0</v>
      </c>
      <c r="F10791" s="196">
        <v>0</v>
      </c>
      <c r="G10791" s="196">
        <v>-167000</v>
      </c>
    </row>
    <row r="10792" spans="1:7" x14ac:dyDescent="0.3">
      <c r="A10792" s="198">
        <v>71611277</v>
      </c>
      <c r="B10792" s="192" t="s">
        <v>7241</v>
      </c>
      <c r="C10792" s="196">
        <v>-158600</v>
      </c>
      <c r="D10792" s="196">
        <v>0</v>
      </c>
      <c r="E10792" s="196">
        <v>0</v>
      </c>
      <c r="F10792" s="196">
        <v>0</v>
      </c>
      <c r="G10792" s="196">
        <v>-158600</v>
      </c>
    </row>
    <row r="10793" spans="1:7" x14ac:dyDescent="0.3">
      <c r="A10793" s="198">
        <v>9991574</v>
      </c>
      <c r="B10793" s="192" t="s">
        <v>7242</v>
      </c>
      <c r="C10793" s="196">
        <v>-79200</v>
      </c>
      <c r="D10793" s="196">
        <v>0</v>
      </c>
      <c r="E10793" s="196">
        <v>0</v>
      </c>
      <c r="F10793" s="196">
        <v>0</v>
      </c>
      <c r="G10793" s="196">
        <v>-79200</v>
      </c>
    </row>
    <row r="10794" spans="1:7" x14ac:dyDescent="0.3">
      <c r="A10794" s="198">
        <v>71758337</v>
      </c>
      <c r="B10794" s="192" t="s">
        <v>825</v>
      </c>
      <c r="C10794" s="196">
        <v>-133300</v>
      </c>
      <c r="D10794" s="196">
        <v>0</v>
      </c>
      <c r="E10794" s="196">
        <v>0</v>
      </c>
      <c r="F10794" s="196">
        <v>0</v>
      </c>
      <c r="G10794" s="196">
        <v>-133300</v>
      </c>
    </row>
    <row r="10795" spans="1:7" x14ac:dyDescent="0.3">
      <c r="A10795" s="198">
        <v>19066248</v>
      </c>
      <c r="B10795" s="192" t="s">
        <v>826</v>
      </c>
      <c r="C10795" s="196">
        <v>-46000</v>
      </c>
      <c r="D10795" s="196">
        <v>0</v>
      </c>
      <c r="E10795" s="196">
        <v>224800</v>
      </c>
      <c r="F10795" s="196">
        <v>-224800</v>
      </c>
      <c r="G10795" s="196">
        <v>-270800</v>
      </c>
    </row>
    <row r="10796" spans="1:7" x14ac:dyDescent="0.3">
      <c r="A10796" s="198">
        <v>71530063</v>
      </c>
      <c r="B10796" s="192" t="s">
        <v>7243</v>
      </c>
      <c r="C10796" s="196">
        <v>-46000</v>
      </c>
      <c r="D10796" s="196">
        <v>0</v>
      </c>
      <c r="E10796" s="196">
        <v>0</v>
      </c>
      <c r="F10796" s="196">
        <v>0</v>
      </c>
      <c r="G10796" s="196">
        <v>-46000</v>
      </c>
    </row>
    <row r="10797" spans="1:7" x14ac:dyDescent="0.3">
      <c r="A10797" s="198">
        <v>70003018</v>
      </c>
      <c r="B10797" s="192" t="s">
        <v>4161</v>
      </c>
      <c r="C10797" s="196">
        <v>-258000</v>
      </c>
      <c r="D10797" s="196">
        <v>0</v>
      </c>
      <c r="E10797" s="196">
        <v>0</v>
      </c>
      <c r="F10797" s="196">
        <v>0</v>
      </c>
      <c r="G10797" s="196">
        <v>-258000</v>
      </c>
    </row>
    <row r="10798" spans="1:7" x14ac:dyDescent="0.3">
      <c r="A10798" s="198">
        <v>1062398663</v>
      </c>
      <c r="B10798" s="192" t="s">
        <v>6683</v>
      </c>
      <c r="C10798" s="196">
        <v>-272300</v>
      </c>
      <c r="D10798" s="196">
        <v>0</v>
      </c>
      <c r="E10798" s="196">
        <v>0</v>
      </c>
      <c r="F10798" s="196">
        <v>0</v>
      </c>
      <c r="G10798" s="196">
        <v>-272300</v>
      </c>
    </row>
    <row r="10799" spans="1:7" x14ac:dyDescent="0.3">
      <c r="A10799" s="198">
        <v>9021310</v>
      </c>
      <c r="B10799" s="192" t="s">
        <v>4165</v>
      </c>
      <c r="C10799" s="196">
        <v>-255000</v>
      </c>
      <c r="D10799" s="196">
        <v>0</v>
      </c>
      <c r="E10799" s="196">
        <v>0</v>
      </c>
      <c r="F10799" s="196">
        <v>0</v>
      </c>
      <c r="G10799" s="196">
        <v>-255000</v>
      </c>
    </row>
    <row r="10800" spans="1:7" x14ac:dyDescent="0.3">
      <c r="A10800" s="198">
        <v>98561258</v>
      </c>
      <c r="B10800" s="192" t="s">
        <v>833</v>
      </c>
      <c r="C10800" s="196">
        <v>0</v>
      </c>
      <c r="D10800" s="196">
        <v>0</v>
      </c>
      <c r="E10800" s="196">
        <v>871000</v>
      </c>
      <c r="F10800" s="196">
        <v>-871000</v>
      </c>
      <c r="G10800" s="196">
        <v>-871000</v>
      </c>
    </row>
    <row r="10801" spans="1:7" x14ac:dyDescent="0.3">
      <c r="A10801" s="198">
        <v>71598023</v>
      </c>
      <c r="B10801" s="192" t="s">
        <v>4167</v>
      </c>
      <c r="C10801" s="196">
        <v>-79200</v>
      </c>
      <c r="D10801" s="196">
        <v>0</v>
      </c>
      <c r="E10801" s="196">
        <v>0</v>
      </c>
      <c r="F10801" s="196">
        <v>0</v>
      </c>
      <c r="G10801" s="196">
        <v>-79200</v>
      </c>
    </row>
    <row r="10802" spans="1:7" x14ac:dyDescent="0.3">
      <c r="A10802" s="198">
        <v>70062506</v>
      </c>
      <c r="B10802" s="192" t="s">
        <v>834</v>
      </c>
      <c r="C10802" s="196">
        <v>0</v>
      </c>
      <c r="D10802" s="196">
        <v>0</v>
      </c>
      <c r="E10802" s="196">
        <v>40600</v>
      </c>
      <c r="F10802" s="196">
        <v>-40600</v>
      </c>
      <c r="G10802" s="196">
        <v>-40600</v>
      </c>
    </row>
    <row r="10803" spans="1:7" x14ac:dyDescent="0.3">
      <c r="A10803" s="198">
        <v>80089901</v>
      </c>
      <c r="B10803" s="192" t="s">
        <v>835</v>
      </c>
      <c r="C10803" s="196">
        <v>0</v>
      </c>
      <c r="D10803" s="196">
        <v>0</v>
      </c>
      <c r="E10803" s="196">
        <v>98000</v>
      </c>
      <c r="F10803" s="196">
        <v>-98000</v>
      </c>
      <c r="G10803" s="196">
        <v>-98000</v>
      </c>
    </row>
    <row r="10804" spans="1:7" x14ac:dyDescent="0.3">
      <c r="A10804" s="198">
        <v>70070748</v>
      </c>
      <c r="B10804" s="192" t="s">
        <v>7244</v>
      </c>
      <c r="C10804" s="196">
        <v>-285600</v>
      </c>
      <c r="D10804" s="196">
        <v>0</v>
      </c>
      <c r="E10804" s="196">
        <v>0</v>
      </c>
      <c r="F10804" s="196">
        <v>0</v>
      </c>
      <c r="G10804" s="196">
        <v>-285600</v>
      </c>
    </row>
    <row r="10805" spans="1:7" x14ac:dyDescent="0.3">
      <c r="A10805" s="198">
        <v>77031360</v>
      </c>
      <c r="B10805" s="192" t="s">
        <v>7245</v>
      </c>
      <c r="C10805" s="196">
        <v>-172200</v>
      </c>
      <c r="D10805" s="196">
        <v>0</v>
      </c>
      <c r="E10805" s="196">
        <v>0</v>
      </c>
      <c r="F10805" s="196">
        <v>0</v>
      </c>
      <c r="G10805" s="196">
        <v>-172200</v>
      </c>
    </row>
    <row r="10806" spans="1:7" x14ac:dyDescent="0.3">
      <c r="A10806" s="198">
        <v>98630401</v>
      </c>
      <c r="B10806" s="192" t="s">
        <v>4175</v>
      </c>
      <c r="C10806" s="196">
        <v>-40600</v>
      </c>
      <c r="D10806" s="196">
        <v>0</v>
      </c>
      <c r="E10806" s="196">
        <v>0</v>
      </c>
      <c r="F10806" s="196">
        <v>0</v>
      </c>
      <c r="G10806" s="196">
        <v>-40600</v>
      </c>
    </row>
    <row r="10807" spans="1:7" x14ac:dyDescent="0.3">
      <c r="A10807" s="198">
        <v>98701757</v>
      </c>
      <c r="B10807" s="192" t="s">
        <v>4176</v>
      </c>
      <c r="C10807" s="196">
        <v>-33200</v>
      </c>
      <c r="D10807" s="196">
        <v>0</v>
      </c>
      <c r="E10807" s="196">
        <v>0</v>
      </c>
      <c r="F10807" s="196">
        <v>0</v>
      </c>
      <c r="G10807" s="196">
        <v>-33200</v>
      </c>
    </row>
    <row r="10808" spans="1:7" x14ac:dyDescent="0.3">
      <c r="A10808" s="198">
        <v>2782877</v>
      </c>
      <c r="B10808" s="192" t="s">
        <v>4179</v>
      </c>
      <c r="C10808" s="196">
        <v>-177650</v>
      </c>
      <c r="D10808" s="196">
        <v>0</v>
      </c>
      <c r="E10808" s="196">
        <v>0</v>
      </c>
      <c r="F10808" s="196">
        <v>0</v>
      </c>
      <c r="G10808" s="196">
        <v>-177650</v>
      </c>
    </row>
    <row r="10809" spans="1:7" x14ac:dyDescent="0.3">
      <c r="A10809" s="198">
        <v>516250</v>
      </c>
      <c r="B10809" s="192" t="s">
        <v>4182</v>
      </c>
      <c r="C10809" s="196">
        <v>-46000</v>
      </c>
      <c r="D10809" s="196">
        <v>0</v>
      </c>
      <c r="E10809" s="196">
        <v>0</v>
      </c>
      <c r="F10809" s="196">
        <v>0</v>
      </c>
      <c r="G10809" s="196">
        <v>-46000</v>
      </c>
    </row>
    <row r="10810" spans="1:7" x14ac:dyDescent="0.3">
      <c r="A10810" s="198">
        <v>10010559</v>
      </c>
      <c r="B10810" s="192" t="s">
        <v>7246</v>
      </c>
      <c r="C10810" s="196">
        <v>-415400</v>
      </c>
      <c r="D10810" s="196">
        <v>0</v>
      </c>
      <c r="E10810" s="196">
        <v>0</v>
      </c>
      <c r="F10810" s="196">
        <v>0</v>
      </c>
      <c r="G10810" s="196">
        <v>-415400</v>
      </c>
    </row>
    <row r="10811" spans="1:7" x14ac:dyDescent="0.3">
      <c r="A10811" s="198">
        <v>1038111545</v>
      </c>
      <c r="B10811" s="192" t="s">
        <v>7247</v>
      </c>
      <c r="C10811" s="196">
        <v>-357000</v>
      </c>
      <c r="D10811" s="196">
        <v>0</v>
      </c>
      <c r="E10811" s="196">
        <v>0</v>
      </c>
      <c r="F10811" s="196">
        <v>0</v>
      </c>
      <c r="G10811" s="196">
        <v>-357000</v>
      </c>
    </row>
    <row r="10812" spans="1:7" x14ac:dyDescent="0.3">
      <c r="A10812" s="198">
        <v>1001446350</v>
      </c>
      <c r="B10812" s="192" t="s">
        <v>4184</v>
      </c>
      <c r="C10812" s="196">
        <v>-305000</v>
      </c>
      <c r="D10812" s="196">
        <v>0</v>
      </c>
      <c r="E10812" s="196">
        <v>0</v>
      </c>
      <c r="F10812" s="196">
        <v>0</v>
      </c>
      <c r="G10812" s="196">
        <v>-305000</v>
      </c>
    </row>
    <row r="10813" spans="1:7" x14ac:dyDescent="0.3">
      <c r="A10813" s="198">
        <v>72021350</v>
      </c>
      <c r="B10813" s="192" t="s">
        <v>4188</v>
      </c>
      <c r="C10813" s="196">
        <v>-46000</v>
      </c>
      <c r="D10813" s="196">
        <v>0</v>
      </c>
      <c r="E10813" s="196">
        <v>0</v>
      </c>
      <c r="F10813" s="196">
        <v>0</v>
      </c>
      <c r="G10813" s="196">
        <v>-46000</v>
      </c>
    </row>
    <row r="10814" spans="1:7" x14ac:dyDescent="0.3">
      <c r="A10814" s="198">
        <v>71875120</v>
      </c>
      <c r="B10814" s="192" t="s">
        <v>841</v>
      </c>
      <c r="C10814" s="196">
        <v>0</v>
      </c>
      <c r="D10814" s="196">
        <v>0</v>
      </c>
      <c r="E10814" s="196">
        <v>203000</v>
      </c>
      <c r="F10814" s="196">
        <v>-203000</v>
      </c>
      <c r="G10814" s="196">
        <v>-203000</v>
      </c>
    </row>
    <row r="10815" spans="1:7" x14ac:dyDescent="0.3">
      <c r="A10815" s="198">
        <v>98546208</v>
      </c>
      <c r="B10815" s="192" t="s">
        <v>4195</v>
      </c>
      <c r="C10815" s="196">
        <v>-73000</v>
      </c>
      <c r="D10815" s="196">
        <v>0</v>
      </c>
      <c r="E10815" s="196">
        <v>0</v>
      </c>
      <c r="F10815" s="196">
        <v>0</v>
      </c>
      <c r="G10815" s="196">
        <v>-73000</v>
      </c>
    </row>
    <row r="10816" spans="1:7" x14ac:dyDescent="0.3">
      <c r="A10816" s="198">
        <v>8255669</v>
      </c>
      <c r="B10816" s="192" t="s">
        <v>4199</v>
      </c>
      <c r="C10816" s="196">
        <v>-92200</v>
      </c>
      <c r="D10816" s="196">
        <v>0</v>
      </c>
      <c r="E10816" s="196">
        <v>0</v>
      </c>
      <c r="F10816" s="196">
        <v>0</v>
      </c>
      <c r="G10816" s="196">
        <v>-92200</v>
      </c>
    </row>
    <row r="10817" spans="1:7" x14ac:dyDescent="0.3">
      <c r="A10817" s="198">
        <v>71774088</v>
      </c>
      <c r="B10817" s="192" t="s">
        <v>4200</v>
      </c>
      <c r="C10817" s="196">
        <v>-514000</v>
      </c>
      <c r="D10817" s="196">
        <v>0</v>
      </c>
      <c r="E10817" s="196">
        <v>0</v>
      </c>
      <c r="F10817" s="196">
        <v>0</v>
      </c>
      <c r="G10817" s="196">
        <v>-514000</v>
      </c>
    </row>
    <row r="10818" spans="1:7" x14ac:dyDescent="0.3">
      <c r="A10818" s="198">
        <v>654392486</v>
      </c>
      <c r="B10818" s="192" t="s">
        <v>4204</v>
      </c>
      <c r="C10818" s="196">
        <v>-299000</v>
      </c>
      <c r="D10818" s="196">
        <v>0</v>
      </c>
      <c r="E10818" s="196">
        <v>0</v>
      </c>
      <c r="F10818" s="196">
        <v>0</v>
      </c>
      <c r="G10818" s="196">
        <v>-299000</v>
      </c>
    </row>
    <row r="10819" spans="1:7" x14ac:dyDescent="0.3">
      <c r="A10819" s="198">
        <v>1152223373</v>
      </c>
      <c r="B10819" s="192" t="s">
        <v>844</v>
      </c>
      <c r="C10819" s="196">
        <v>0</v>
      </c>
      <c r="D10819" s="196">
        <v>0</v>
      </c>
      <c r="E10819" s="196">
        <v>79300</v>
      </c>
      <c r="F10819" s="196">
        <v>-79300</v>
      </c>
      <c r="G10819" s="196">
        <v>-79300</v>
      </c>
    </row>
    <row r="10820" spans="1:7" x14ac:dyDescent="0.3">
      <c r="A10820" s="198">
        <v>98476086</v>
      </c>
      <c r="B10820" s="192" t="s">
        <v>845</v>
      </c>
      <c r="C10820" s="196">
        <v>-89000</v>
      </c>
      <c r="D10820" s="196">
        <v>0</v>
      </c>
      <c r="E10820" s="196">
        <v>0</v>
      </c>
      <c r="F10820" s="196">
        <v>0</v>
      </c>
      <c r="G10820" s="196">
        <v>-89000</v>
      </c>
    </row>
    <row r="10821" spans="1:7" x14ac:dyDescent="0.3">
      <c r="A10821" s="198">
        <v>15251516</v>
      </c>
      <c r="B10821" s="192" t="s">
        <v>4212</v>
      </c>
      <c r="C10821" s="196">
        <v>-127200</v>
      </c>
      <c r="D10821" s="196">
        <v>0</v>
      </c>
      <c r="E10821" s="196">
        <v>0</v>
      </c>
      <c r="F10821" s="196">
        <v>0</v>
      </c>
      <c r="G10821" s="196">
        <v>-127200</v>
      </c>
    </row>
    <row r="10822" spans="1:7" x14ac:dyDescent="0.3">
      <c r="A10822" s="198">
        <v>1017123671</v>
      </c>
      <c r="B10822" s="192" t="s">
        <v>4214</v>
      </c>
      <c r="C10822" s="196">
        <v>-285600</v>
      </c>
      <c r="D10822" s="196">
        <v>0</v>
      </c>
      <c r="E10822" s="196">
        <v>0</v>
      </c>
      <c r="F10822" s="196">
        <v>0</v>
      </c>
      <c r="G10822" s="196">
        <v>-285600</v>
      </c>
    </row>
    <row r="10823" spans="1:7" x14ac:dyDescent="0.3">
      <c r="A10823" s="198">
        <v>509470</v>
      </c>
      <c r="B10823" s="192" t="s">
        <v>7248</v>
      </c>
      <c r="C10823" s="196">
        <v>-871000</v>
      </c>
      <c r="D10823" s="196">
        <v>0</v>
      </c>
      <c r="E10823" s="196">
        <v>0</v>
      </c>
      <c r="F10823" s="196">
        <v>0</v>
      </c>
      <c r="G10823" s="196">
        <v>-871000</v>
      </c>
    </row>
    <row r="10824" spans="1:7" x14ac:dyDescent="0.3">
      <c r="A10824" s="198">
        <v>1036450668</v>
      </c>
      <c r="B10824" s="192" t="s">
        <v>4224</v>
      </c>
      <c r="C10824" s="196">
        <v>-115000</v>
      </c>
      <c r="D10824" s="196">
        <v>0</v>
      </c>
      <c r="E10824" s="196">
        <v>0</v>
      </c>
      <c r="F10824" s="196">
        <v>0</v>
      </c>
      <c r="G10824" s="196">
        <v>-115000</v>
      </c>
    </row>
    <row r="10825" spans="1:7" x14ac:dyDescent="0.3">
      <c r="A10825" s="198">
        <v>1000416832</v>
      </c>
      <c r="B10825" s="192" t="s">
        <v>4225</v>
      </c>
      <c r="C10825" s="196">
        <v>-498000</v>
      </c>
      <c r="D10825" s="196">
        <v>0</v>
      </c>
      <c r="E10825" s="196">
        <v>0</v>
      </c>
      <c r="F10825" s="196">
        <v>0</v>
      </c>
      <c r="G10825" s="196">
        <v>-498000</v>
      </c>
    </row>
    <row r="10826" spans="1:7" x14ac:dyDescent="0.3">
      <c r="A10826" s="198">
        <v>10169539</v>
      </c>
      <c r="B10826" s="192" t="s">
        <v>4226</v>
      </c>
      <c r="C10826" s="196">
        <v>-121800</v>
      </c>
      <c r="D10826" s="196">
        <v>0</v>
      </c>
      <c r="E10826" s="196">
        <v>0</v>
      </c>
      <c r="F10826" s="196">
        <v>0</v>
      </c>
      <c r="G10826" s="196">
        <v>-121800</v>
      </c>
    </row>
    <row r="10827" spans="1:7" x14ac:dyDescent="0.3">
      <c r="A10827" s="192" t="s">
        <v>4233</v>
      </c>
      <c r="B10827" s="192" t="s">
        <v>4234</v>
      </c>
      <c r="C10827" s="196">
        <v>-357000</v>
      </c>
      <c r="D10827" s="196">
        <v>0</v>
      </c>
      <c r="E10827" s="196">
        <v>0</v>
      </c>
      <c r="F10827" s="196">
        <v>0</v>
      </c>
      <c r="G10827" s="196">
        <v>-357000</v>
      </c>
    </row>
    <row r="10828" spans="1:7" x14ac:dyDescent="0.3">
      <c r="A10828" s="198">
        <v>70140695</v>
      </c>
      <c r="B10828" s="192" t="s">
        <v>4238</v>
      </c>
      <c r="C10828" s="196">
        <v>-33200</v>
      </c>
      <c r="D10828" s="196">
        <v>0</v>
      </c>
      <c r="E10828" s="196">
        <v>0</v>
      </c>
      <c r="F10828" s="196">
        <v>0</v>
      </c>
      <c r="G10828" s="196">
        <v>-33200</v>
      </c>
    </row>
    <row r="10829" spans="1:7" x14ac:dyDescent="0.3">
      <c r="A10829" s="198">
        <v>1125791567</v>
      </c>
      <c r="B10829" s="192" t="s">
        <v>4241</v>
      </c>
      <c r="C10829" s="196">
        <v>-498000</v>
      </c>
      <c r="D10829" s="196">
        <v>0</v>
      </c>
      <c r="E10829" s="196">
        <v>0</v>
      </c>
      <c r="F10829" s="196">
        <v>0</v>
      </c>
      <c r="G10829" s="196">
        <v>-498000</v>
      </c>
    </row>
    <row r="10830" spans="1:7" x14ac:dyDescent="0.3">
      <c r="A10830" s="198">
        <v>7806748</v>
      </c>
      <c r="B10830" s="192" t="s">
        <v>4242</v>
      </c>
      <c r="C10830" s="196">
        <v>-258000</v>
      </c>
      <c r="D10830" s="196">
        <v>0</v>
      </c>
      <c r="E10830" s="196">
        <v>0</v>
      </c>
      <c r="F10830" s="196">
        <v>0</v>
      </c>
      <c r="G10830" s="196">
        <v>-258000</v>
      </c>
    </row>
    <row r="10831" spans="1:7" x14ac:dyDescent="0.3">
      <c r="A10831" s="198">
        <v>1127229104</v>
      </c>
      <c r="B10831" s="192" t="s">
        <v>4244</v>
      </c>
      <c r="C10831" s="196">
        <v>-30900</v>
      </c>
      <c r="D10831" s="196">
        <v>0</v>
      </c>
      <c r="E10831" s="196">
        <v>0</v>
      </c>
      <c r="F10831" s="196">
        <v>0</v>
      </c>
      <c r="G10831" s="196">
        <v>-30900</v>
      </c>
    </row>
    <row r="10832" spans="1:7" x14ac:dyDescent="0.3">
      <c r="A10832" s="198">
        <v>1000833023</v>
      </c>
      <c r="B10832" s="192" t="s">
        <v>4246</v>
      </c>
      <c r="C10832" s="196">
        <v>-315000</v>
      </c>
      <c r="D10832" s="196">
        <v>0</v>
      </c>
      <c r="E10832" s="196">
        <v>0</v>
      </c>
      <c r="F10832" s="196">
        <v>0</v>
      </c>
      <c r="G10832" s="196">
        <v>-315000</v>
      </c>
    </row>
    <row r="10833" spans="1:7" x14ac:dyDescent="0.3">
      <c r="A10833" s="198">
        <v>1039446422</v>
      </c>
      <c r="B10833" s="192" t="s">
        <v>4248</v>
      </c>
      <c r="C10833" s="196">
        <v>-540000</v>
      </c>
      <c r="D10833" s="196">
        <v>0</v>
      </c>
      <c r="E10833" s="196">
        <v>0</v>
      </c>
      <c r="F10833" s="196">
        <v>0</v>
      </c>
      <c r="G10833" s="196">
        <v>-540000</v>
      </c>
    </row>
    <row r="10834" spans="1:7" x14ac:dyDescent="0.3">
      <c r="A10834" s="198">
        <v>3474198</v>
      </c>
      <c r="B10834" s="192" t="s">
        <v>4254</v>
      </c>
      <c r="C10834" s="196">
        <v>-81200</v>
      </c>
      <c r="D10834" s="196">
        <v>0</v>
      </c>
      <c r="E10834" s="196">
        <v>0</v>
      </c>
      <c r="F10834" s="196">
        <v>0</v>
      </c>
      <c r="G10834" s="196">
        <v>-81200</v>
      </c>
    </row>
    <row r="10835" spans="1:7" x14ac:dyDescent="0.3">
      <c r="A10835" s="198">
        <v>1045502206</v>
      </c>
      <c r="B10835" s="192" t="s">
        <v>4255</v>
      </c>
      <c r="C10835" s="196">
        <v>-357000</v>
      </c>
      <c r="D10835" s="196">
        <v>0</v>
      </c>
      <c r="E10835" s="196">
        <v>0</v>
      </c>
      <c r="F10835" s="196">
        <v>0</v>
      </c>
      <c r="G10835" s="196">
        <v>-357000</v>
      </c>
    </row>
    <row r="10836" spans="1:7" x14ac:dyDescent="0.3">
      <c r="A10836" s="198">
        <v>98694743</v>
      </c>
      <c r="B10836" s="192" t="s">
        <v>7249</v>
      </c>
      <c r="C10836" s="196">
        <v>-380000</v>
      </c>
      <c r="D10836" s="196">
        <v>0</v>
      </c>
      <c r="E10836" s="196">
        <v>0</v>
      </c>
      <c r="F10836" s="196">
        <v>0</v>
      </c>
      <c r="G10836" s="196">
        <v>-380000</v>
      </c>
    </row>
    <row r="10837" spans="1:7" x14ac:dyDescent="0.3">
      <c r="A10837" s="198">
        <v>79391633</v>
      </c>
      <c r="B10837" s="192" t="s">
        <v>6702</v>
      </c>
      <c r="C10837" s="196">
        <v>-1292000</v>
      </c>
      <c r="D10837" s="196">
        <v>0</v>
      </c>
      <c r="E10837" s="196">
        <v>0</v>
      </c>
      <c r="F10837" s="196">
        <v>0</v>
      </c>
      <c r="G10837" s="196">
        <v>-1292000</v>
      </c>
    </row>
    <row r="10838" spans="1:7" x14ac:dyDescent="0.3">
      <c r="A10838" s="198">
        <v>15667346</v>
      </c>
      <c r="B10838" s="192" t="s">
        <v>853</v>
      </c>
      <c r="C10838" s="196">
        <v>0</v>
      </c>
      <c r="D10838" s="196">
        <v>0</v>
      </c>
      <c r="E10838" s="196">
        <v>125200</v>
      </c>
      <c r="F10838" s="196">
        <v>-125200</v>
      </c>
      <c r="G10838" s="196">
        <v>-125200</v>
      </c>
    </row>
    <row r="10839" spans="1:7" x14ac:dyDescent="0.3">
      <c r="A10839" s="198">
        <v>1128264965</v>
      </c>
      <c r="B10839" s="192" t="s">
        <v>125</v>
      </c>
      <c r="C10839" s="196">
        <v>-165000</v>
      </c>
      <c r="D10839" s="196">
        <v>0</v>
      </c>
      <c r="E10839" s="196">
        <v>0</v>
      </c>
      <c r="F10839" s="196">
        <v>0</v>
      </c>
      <c r="G10839" s="196">
        <v>-165000</v>
      </c>
    </row>
    <row r="10840" spans="1:7" x14ac:dyDescent="0.3">
      <c r="A10840" s="198">
        <v>1017189586</v>
      </c>
      <c r="B10840" s="192" t="s">
        <v>4263</v>
      </c>
      <c r="C10840" s="196">
        <v>-194200</v>
      </c>
      <c r="D10840" s="196">
        <v>0</v>
      </c>
      <c r="E10840" s="196">
        <v>0</v>
      </c>
      <c r="F10840" s="196">
        <v>0</v>
      </c>
      <c r="G10840" s="196">
        <v>-194200</v>
      </c>
    </row>
    <row r="10841" spans="1:7" x14ac:dyDescent="0.3">
      <c r="A10841" s="198">
        <v>1039446434</v>
      </c>
      <c r="B10841" s="192" t="s">
        <v>7250</v>
      </c>
      <c r="C10841" s="196">
        <v>-459200</v>
      </c>
      <c r="D10841" s="196">
        <v>0</v>
      </c>
      <c r="E10841" s="196">
        <v>0</v>
      </c>
      <c r="F10841" s="196">
        <v>0</v>
      </c>
      <c r="G10841" s="196">
        <v>-459200</v>
      </c>
    </row>
    <row r="10842" spans="1:7" x14ac:dyDescent="0.3">
      <c r="A10842" s="198">
        <v>71765183</v>
      </c>
      <c r="B10842" s="192" t="s">
        <v>4269</v>
      </c>
      <c r="C10842" s="196">
        <v>-79200</v>
      </c>
      <c r="D10842" s="196">
        <v>0</v>
      </c>
      <c r="E10842" s="196">
        <v>0</v>
      </c>
      <c r="F10842" s="196">
        <v>0</v>
      </c>
      <c r="G10842" s="196">
        <v>-79200</v>
      </c>
    </row>
    <row r="10843" spans="1:7" x14ac:dyDescent="0.3">
      <c r="A10843" s="198">
        <v>8028105</v>
      </c>
      <c r="B10843" s="192" t="s">
        <v>7251</v>
      </c>
      <c r="C10843" s="196">
        <v>-133300</v>
      </c>
      <c r="D10843" s="196">
        <v>0</v>
      </c>
      <c r="E10843" s="196">
        <v>0</v>
      </c>
      <c r="F10843" s="196">
        <v>0</v>
      </c>
      <c r="G10843" s="196">
        <v>-133300</v>
      </c>
    </row>
    <row r="10844" spans="1:7" x14ac:dyDescent="0.3">
      <c r="A10844" s="198">
        <v>79939546</v>
      </c>
      <c r="B10844" s="192" t="s">
        <v>4273</v>
      </c>
      <c r="C10844" s="196">
        <v>-46000</v>
      </c>
      <c r="D10844" s="196">
        <v>0</v>
      </c>
      <c r="E10844" s="196">
        <v>0</v>
      </c>
      <c r="F10844" s="196">
        <v>0</v>
      </c>
      <c r="G10844" s="196">
        <v>-46000</v>
      </c>
    </row>
    <row r="10845" spans="1:7" x14ac:dyDescent="0.3">
      <c r="A10845" s="198">
        <v>92550598</v>
      </c>
      <c r="B10845" s="192" t="s">
        <v>7252</v>
      </c>
      <c r="C10845" s="196">
        <v>-357000</v>
      </c>
      <c r="D10845" s="196">
        <v>0</v>
      </c>
      <c r="E10845" s="196">
        <v>0</v>
      </c>
      <c r="F10845" s="196">
        <v>0</v>
      </c>
      <c r="G10845" s="196">
        <v>-357000</v>
      </c>
    </row>
    <row r="10846" spans="1:7" x14ac:dyDescent="0.3">
      <c r="A10846" s="198">
        <v>98563455</v>
      </c>
      <c r="B10846" s="192" t="s">
        <v>866</v>
      </c>
      <c r="C10846" s="196">
        <v>0</v>
      </c>
      <c r="D10846" s="196">
        <v>0</v>
      </c>
      <c r="E10846" s="196">
        <v>33200</v>
      </c>
      <c r="F10846" s="196">
        <v>-33200</v>
      </c>
      <c r="G10846" s="196">
        <v>-33200</v>
      </c>
    </row>
    <row r="10847" spans="1:7" x14ac:dyDescent="0.3">
      <c r="A10847" s="198">
        <v>98567711</v>
      </c>
      <c r="B10847" s="192" t="s">
        <v>4286</v>
      </c>
      <c r="C10847" s="196">
        <v>-258000</v>
      </c>
      <c r="D10847" s="196">
        <v>0</v>
      </c>
      <c r="E10847" s="196">
        <v>0</v>
      </c>
      <c r="F10847" s="196">
        <v>0</v>
      </c>
      <c r="G10847" s="196">
        <v>-258000</v>
      </c>
    </row>
    <row r="10848" spans="1:7" x14ac:dyDescent="0.3">
      <c r="A10848" s="198">
        <v>1035911057</v>
      </c>
      <c r="B10848" s="192" t="s">
        <v>869</v>
      </c>
      <c r="C10848" s="196">
        <v>-89000</v>
      </c>
      <c r="D10848" s="196">
        <v>0</v>
      </c>
      <c r="E10848" s="196">
        <v>0</v>
      </c>
      <c r="F10848" s="196">
        <v>0</v>
      </c>
      <c r="G10848" s="196">
        <v>-89000</v>
      </c>
    </row>
    <row r="10849" spans="1:7" x14ac:dyDescent="0.3">
      <c r="A10849" s="198">
        <v>1029720332</v>
      </c>
      <c r="B10849" s="192" t="s">
        <v>6707</v>
      </c>
      <c r="C10849" s="196">
        <v>-96000</v>
      </c>
      <c r="D10849" s="196">
        <v>0</v>
      </c>
      <c r="E10849" s="196">
        <v>0</v>
      </c>
      <c r="F10849" s="196">
        <v>0</v>
      </c>
      <c r="G10849" s="196">
        <v>-96000</v>
      </c>
    </row>
    <row r="10850" spans="1:7" x14ac:dyDescent="0.3">
      <c r="A10850" s="198">
        <v>98630127</v>
      </c>
      <c r="B10850" s="192" t="s">
        <v>7253</v>
      </c>
      <c r="C10850" s="196">
        <v>-436600</v>
      </c>
      <c r="D10850" s="196">
        <v>0</v>
      </c>
      <c r="E10850" s="196">
        <v>0</v>
      </c>
      <c r="F10850" s="196">
        <v>0</v>
      </c>
      <c r="G10850" s="196">
        <v>-436600</v>
      </c>
    </row>
    <row r="10851" spans="1:7" x14ac:dyDescent="0.3">
      <c r="A10851" s="198">
        <v>1037667077</v>
      </c>
      <c r="B10851" s="192" t="s">
        <v>870</v>
      </c>
      <c r="C10851" s="196">
        <v>0</v>
      </c>
      <c r="D10851" s="196">
        <v>0</v>
      </c>
      <c r="E10851" s="196">
        <v>46100</v>
      </c>
      <c r="F10851" s="196">
        <v>-46100</v>
      </c>
      <c r="G10851" s="196">
        <v>-46100</v>
      </c>
    </row>
    <row r="10852" spans="1:7" x14ac:dyDescent="0.3">
      <c r="A10852" s="198">
        <v>8027853</v>
      </c>
      <c r="B10852" s="192" t="s">
        <v>4295</v>
      </c>
      <c r="C10852" s="196">
        <v>-81200</v>
      </c>
      <c r="D10852" s="196">
        <v>0</v>
      </c>
      <c r="E10852" s="196">
        <v>0</v>
      </c>
      <c r="F10852" s="196">
        <v>0</v>
      </c>
      <c r="G10852" s="196">
        <v>-81200</v>
      </c>
    </row>
    <row r="10853" spans="1:7" x14ac:dyDescent="0.3">
      <c r="A10853" s="198">
        <v>71786783</v>
      </c>
      <c r="B10853" s="192" t="s">
        <v>4299</v>
      </c>
      <c r="C10853" s="196">
        <v>-33200</v>
      </c>
      <c r="D10853" s="196">
        <v>0</v>
      </c>
      <c r="E10853" s="196">
        <v>0</v>
      </c>
      <c r="F10853" s="196">
        <v>0</v>
      </c>
      <c r="G10853" s="196">
        <v>-33200</v>
      </c>
    </row>
    <row r="10854" spans="1:7" x14ac:dyDescent="0.3">
      <c r="A10854" s="198">
        <v>3664264</v>
      </c>
      <c r="B10854" s="192" t="s">
        <v>874</v>
      </c>
      <c r="C10854" s="196">
        <v>-33200</v>
      </c>
      <c r="D10854" s="196">
        <v>0</v>
      </c>
      <c r="E10854" s="196">
        <v>0</v>
      </c>
      <c r="F10854" s="196">
        <v>0</v>
      </c>
      <c r="G10854" s="196">
        <v>-33200</v>
      </c>
    </row>
    <row r="10855" spans="1:7" x14ac:dyDescent="0.3">
      <c r="A10855" s="198">
        <v>70055470</v>
      </c>
      <c r="B10855" s="192" t="s">
        <v>4303</v>
      </c>
      <c r="C10855" s="196">
        <v>-60900</v>
      </c>
      <c r="D10855" s="196">
        <v>0</v>
      </c>
      <c r="E10855" s="196">
        <v>0</v>
      </c>
      <c r="F10855" s="196">
        <v>0</v>
      </c>
      <c r="G10855" s="196">
        <v>-60900</v>
      </c>
    </row>
    <row r="10856" spans="1:7" x14ac:dyDescent="0.3">
      <c r="A10856" s="198">
        <v>70093451</v>
      </c>
      <c r="B10856" s="192" t="s">
        <v>7254</v>
      </c>
      <c r="C10856" s="196">
        <v>-357000</v>
      </c>
      <c r="D10856" s="196">
        <v>0</v>
      </c>
      <c r="E10856" s="196">
        <v>0</v>
      </c>
      <c r="F10856" s="196">
        <v>0</v>
      </c>
      <c r="G10856" s="196">
        <v>-357000</v>
      </c>
    </row>
    <row r="10857" spans="1:7" x14ac:dyDescent="0.3">
      <c r="A10857" s="198">
        <v>8301519</v>
      </c>
      <c r="B10857" s="192" t="s">
        <v>877</v>
      </c>
      <c r="C10857" s="196">
        <v>-46100</v>
      </c>
      <c r="D10857" s="196">
        <v>0</v>
      </c>
      <c r="E10857" s="196">
        <v>0</v>
      </c>
      <c r="F10857" s="196">
        <v>0</v>
      </c>
      <c r="G10857" s="196">
        <v>-46100</v>
      </c>
    </row>
    <row r="10858" spans="1:7" x14ac:dyDescent="0.3">
      <c r="A10858" s="198">
        <v>71652505</v>
      </c>
      <c r="B10858" s="192" t="s">
        <v>7255</v>
      </c>
      <c r="C10858" s="196">
        <v>-46100</v>
      </c>
      <c r="D10858" s="196">
        <v>0</v>
      </c>
      <c r="E10858" s="196">
        <v>0</v>
      </c>
      <c r="F10858" s="196">
        <v>0</v>
      </c>
      <c r="G10858" s="196">
        <v>-46100</v>
      </c>
    </row>
    <row r="10859" spans="1:7" x14ac:dyDescent="0.3">
      <c r="A10859" s="198">
        <v>1017237134</v>
      </c>
      <c r="B10859" s="192" t="s">
        <v>4314</v>
      </c>
      <c r="C10859" s="196">
        <v>-79200</v>
      </c>
      <c r="D10859" s="196">
        <v>0</v>
      </c>
      <c r="E10859" s="196">
        <v>0</v>
      </c>
      <c r="F10859" s="196">
        <v>0</v>
      </c>
      <c r="G10859" s="196">
        <v>-79200</v>
      </c>
    </row>
    <row r="10860" spans="1:7" x14ac:dyDescent="0.3">
      <c r="A10860" s="198">
        <v>1037593984</v>
      </c>
      <c r="B10860" s="192" t="s">
        <v>888</v>
      </c>
      <c r="C10860" s="196">
        <v>0</v>
      </c>
      <c r="D10860" s="196">
        <v>0</v>
      </c>
      <c r="E10860" s="196">
        <v>79200</v>
      </c>
      <c r="F10860" s="196">
        <v>-79200</v>
      </c>
      <c r="G10860" s="196">
        <v>-79200</v>
      </c>
    </row>
    <row r="10861" spans="1:7" x14ac:dyDescent="0.3">
      <c r="A10861" s="198">
        <v>1000884717</v>
      </c>
      <c r="B10861" s="192" t="s">
        <v>4320</v>
      </c>
      <c r="C10861" s="196">
        <v>-73900</v>
      </c>
      <c r="D10861" s="196">
        <v>0</v>
      </c>
      <c r="E10861" s="196">
        <v>0</v>
      </c>
      <c r="F10861" s="196">
        <v>0</v>
      </c>
      <c r="G10861" s="196">
        <v>-73900</v>
      </c>
    </row>
    <row r="10862" spans="1:7" x14ac:dyDescent="0.3">
      <c r="A10862" s="198">
        <v>1088300941</v>
      </c>
      <c r="B10862" s="192" t="s">
        <v>889</v>
      </c>
      <c r="C10862" s="196">
        <v>0</v>
      </c>
      <c r="D10862" s="196">
        <v>0</v>
      </c>
      <c r="E10862" s="196">
        <v>125200</v>
      </c>
      <c r="F10862" s="196">
        <v>-125200</v>
      </c>
      <c r="G10862" s="196">
        <v>-125200</v>
      </c>
    </row>
    <row r="10863" spans="1:7" x14ac:dyDescent="0.3">
      <c r="A10863" s="198">
        <v>70563049</v>
      </c>
      <c r="B10863" s="192" t="s">
        <v>890</v>
      </c>
      <c r="C10863" s="196">
        <v>0</v>
      </c>
      <c r="D10863" s="196">
        <v>0</v>
      </c>
      <c r="E10863" s="196">
        <v>40600</v>
      </c>
      <c r="F10863" s="196">
        <v>-40600</v>
      </c>
      <c r="G10863" s="196">
        <v>-40600</v>
      </c>
    </row>
    <row r="10864" spans="1:7" x14ac:dyDescent="0.3">
      <c r="A10864" s="198">
        <v>79157148</v>
      </c>
      <c r="B10864" s="192" t="s">
        <v>4323</v>
      </c>
      <c r="C10864" s="196">
        <v>-87800</v>
      </c>
      <c r="D10864" s="196">
        <v>0</v>
      </c>
      <c r="E10864" s="196">
        <v>0</v>
      </c>
      <c r="F10864" s="196">
        <v>0</v>
      </c>
      <c r="G10864" s="196">
        <v>-87800</v>
      </c>
    </row>
    <row r="10865" spans="1:7" x14ac:dyDescent="0.3">
      <c r="A10865" s="198">
        <v>1037605392</v>
      </c>
      <c r="B10865" s="192" t="s">
        <v>4324</v>
      </c>
      <c r="C10865" s="196">
        <v>-200000</v>
      </c>
      <c r="D10865" s="196">
        <v>0</v>
      </c>
      <c r="E10865" s="196">
        <v>0</v>
      </c>
      <c r="F10865" s="196">
        <v>0</v>
      </c>
      <c r="G10865" s="196">
        <v>-200000</v>
      </c>
    </row>
    <row r="10866" spans="1:7" x14ac:dyDescent="0.3">
      <c r="A10866" s="198">
        <v>1000655265</v>
      </c>
      <c r="B10866" s="192" t="s">
        <v>4325</v>
      </c>
      <c r="C10866" s="196">
        <v>-115000</v>
      </c>
      <c r="D10866" s="196">
        <v>0</v>
      </c>
      <c r="E10866" s="196">
        <v>0</v>
      </c>
      <c r="F10866" s="196">
        <v>0</v>
      </c>
      <c r="G10866" s="196">
        <v>-115000</v>
      </c>
    </row>
    <row r="10867" spans="1:7" x14ac:dyDescent="0.3">
      <c r="A10867" s="198">
        <v>1005091312</v>
      </c>
      <c r="B10867" s="192" t="s">
        <v>4328</v>
      </c>
      <c r="C10867" s="196">
        <v>-357000</v>
      </c>
      <c r="D10867" s="196">
        <v>0</v>
      </c>
      <c r="E10867" s="196">
        <v>0</v>
      </c>
      <c r="F10867" s="196">
        <v>0</v>
      </c>
      <c r="G10867" s="196">
        <v>-357000</v>
      </c>
    </row>
    <row r="10868" spans="1:7" x14ac:dyDescent="0.3">
      <c r="A10868" s="198">
        <v>1037624353</v>
      </c>
      <c r="B10868" s="192" t="s">
        <v>893</v>
      </c>
      <c r="C10868" s="196">
        <v>-79200</v>
      </c>
      <c r="D10868" s="196">
        <v>0</v>
      </c>
      <c r="E10868" s="196">
        <v>0</v>
      </c>
      <c r="F10868" s="196">
        <v>0</v>
      </c>
      <c r="G10868" s="196">
        <v>-79200</v>
      </c>
    </row>
    <row r="10869" spans="1:7" x14ac:dyDescent="0.3">
      <c r="A10869" s="198">
        <v>1020107225</v>
      </c>
      <c r="B10869" s="192" t="s">
        <v>4330</v>
      </c>
      <c r="C10869" s="196">
        <v>-305000</v>
      </c>
      <c r="D10869" s="196">
        <v>0</v>
      </c>
      <c r="E10869" s="196">
        <v>0</v>
      </c>
      <c r="F10869" s="196">
        <v>0</v>
      </c>
      <c r="G10869" s="196">
        <v>-305000</v>
      </c>
    </row>
    <row r="10870" spans="1:7" x14ac:dyDescent="0.3">
      <c r="A10870" s="198">
        <v>71581674</v>
      </c>
      <c r="B10870" s="192" t="s">
        <v>4333</v>
      </c>
      <c r="C10870" s="196">
        <v>-46000</v>
      </c>
      <c r="D10870" s="196">
        <v>0</v>
      </c>
      <c r="E10870" s="196">
        <v>0</v>
      </c>
      <c r="F10870" s="196">
        <v>0</v>
      </c>
      <c r="G10870" s="196">
        <v>-46000</v>
      </c>
    </row>
    <row r="10871" spans="1:7" x14ac:dyDescent="0.3">
      <c r="A10871" s="198">
        <v>1035007471</v>
      </c>
      <c r="B10871" s="192" t="s">
        <v>4343</v>
      </c>
      <c r="C10871" s="196">
        <v>-81200</v>
      </c>
      <c r="D10871" s="196">
        <v>0</v>
      </c>
      <c r="E10871" s="196">
        <v>0</v>
      </c>
      <c r="F10871" s="196">
        <v>0</v>
      </c>
      <c r="G10871" s="196">
        <v>-81200</v>
      </c>
    </row>
    <row r="10872" spans="1:7" x14ac:dyDescent="0.3">
      <c r="A10872" s="198">
        <v>1021923042</v>
      </c>
      <c r="B10872" s="192" t="s">
        <v>896</v>
      </c>
      <c r="C10872" s="196">
        <v>-79200</v>
      </c>
      <c r="D10872" s="196">
        <v>115000</v>
      </c>
      <c r="E10872" s="196">
        <v>230000</v>
      </c>
      <c r="F10872" s="196">
        <v>-115000</v>
      </c>
      <c r="G10872" s="196">
        <v>-194200</v>
      </c>
    </row>
    <row r="10873" spans="1:7" x14ac:dyDescent="0.3">
      <c r="A10873" s="198">
        <v>1017240359</v>
      </c>
      <c r="B10873" s="192" t="s">
        <v>4350</v>
      </c>
      <c r="C10873" s="196">
        <v>-305000</v>
      </c>
      <c r="D10873" s="196">
        <v>0</v>
      </c>
      <c r="E10873" s="196">
        <v>0</v>
      </c>
      <c r="F10873" s="196">
        <v>0</v>
      </c>
      <c r="G10873" s="196">
        <v>-305000</v>
      </c>
    </row>
    <row r="10874" spans="1:7" x14ac:dyDescent="0.3">
      <c r="A10874" s="198">
        <v>1039886853</v>
      </c>
      <c r="B10874" s="192" t="s">
        <v>6722</v>
      </c>
      <c r="C10874" s="196">
        <v>-193000</v>
      </c>
      <c r="D10874" s="196">
        <v>0</v>
      </c>
      <c r="E10874" s="196">
        <v>0</v>
      </c>
      <c r="F10874" s="196">
        <v>0</v>
      </c>
      <c r="G10874" s="196">
        <v>-193000</v>
      </c>
    </row>
    <row r="10875" spans="1:7" x14ac:dyDescent="0.3">
      <c r="A10875" s="198">
        <v>70500849</v>
      </c>
      <c r="B10875" s="192" t="s">
        <v>902</v>
      </c>
      <c r="C10875" s="196">
        <v>0</v>
      </c>
      <c r="D10875" s="196">
        <v>0</v>
      </c>
      <c r="E10875" s="196">
        <v>257000</v>
      </c>
      <c r="F10875" s="196">
        <v>-257000</v>
      </c>
      <c r="G10875" s="196">
        <v>-257000</v>
      </c>
    </row>
    <row r="10876" spans="1:7" x14ac:dyDescent="0.3">
      <c r="A10876" s="198">
        <v>8282249</v>
      </c>
      <c r="B10876" s="192" t="s">
        <v>4357</v>
      </c>
      <c r="C10876" s="196">
        <v>-357000</v>
      </c>
      <c r="D10876" s="196">
        <v>0</v>
      </c>
      <c r="E10876" s="196">
        <v>0</v>
      </c>
      <c r="F10876" s="196">
        <v>0</v>
      </c>
      <c r="G10876" s="196">
        <v>-357000</v>
      </c>
    </row>
    <row r="10877" spans="1:7" x14ac:dyDescent="0.3">
      <c r="A10877" s="198">
        <v>1017239548</v>
      </c>
      <c r="B10877" s="192" t="s">
        <v>6726</v>
      </c>
      <c r="C10877" s="196">
        <v>-193000</v>
      </c>
      <c r="D10877" s="196">
        <v>0</v>
      </c>
      <c r="E10877" s="196">
        <v>0</v>
      </c>
      <c r="F10877" s="196">
        <v>0</v>
      </c>
      <c r="G10877" s="196">
        <v>-193000</v>
      </c>
    </row>
    <row r="10878" spans="1:7" x14ac:dyDescent="0.3">
      <c r="A10878" s="198">
        <v>15515377</v>
      </c>
      <c r="B10878" s="192" t="s">
        <v>907</v>
      </c>
      <c r="C10878" s="196">
        <v>0</v>
      </c>
      <c r="D10878" s="196">
        <v>0</v>
      </c>
      <c r="E10878" s="196">
        <v>46000</v>
      </c>
      <c r="F10878" s="196">
        <v>-46000</v>
      </c>
      <c r="G10878" s="196">
        <v>-46000</v>
      </c>
    </row>
    <row r="10879" spans="1:7" x14ac:dyDescent="0.3">
      <c r="A10879" s="198">
        <v>1214730002</v>
      </c>
      <c r="B10879" s="192" t="s">
        <v>4360</v>
      </c>
      <c r="C10879" s="196">
        <v>-42900</v>
      </c>
      <c r="D10879" s="196">
        <v>0</v>
      </c>
      <c r="E10879" s="196">
        <v>0</v>
      </c>
      <c r="F10879" s="196">
        <v>0</v>
      </c>
      <c r="G10879" s="196">
        <v>-42900</v>
      </c>
    </row>
    <row r="10880" spans="1:7" x14ac:dyDescent="0.3">
      <c r="A10880" s="198">
        <v>1034989219</v>
      </c>
      <c r="B10880" s="192" t="s">
        <v>909</v>
      </c>
      <c r="C10880" s="196">
        <v>-150000</v>
      </c>
      <c r="D10880" s="196">
        <v>0</v>
      </c>
      <c r="E10880" s="196">
        <v>0</v>
      </c>
      <c r="F10880" s="196">
        <v>0</v>
      </c>
      <c r="G10880" s="196">
        <v>-150000</v>
      </c>
    </row>
    <row r="10881" spans="1:7" x14ac:dyDescent="0.3">
      <c r="A10881" s="198">
        <v>1020303434</v>
      </c>
      <c r="B10881" s="192" t="s">
        <v>4375</v>
      </c>
      <c r="C10881" s="196">
        <v>-112500</v>
      </c>
      <c r="D10881" s="196">
        <v>0</v>
      </c>
      <c r="E10881" s="196">
        <v>0</v>
      </c>
      <c r="F10881" s="196">
        <v>0</v>
      </c>
      <c r="G10881" s="196">
        <v>-112500</v>
      </c>
    </row>
    <row r="10882" spans="1:7" x14ac:dyDescent="0.3">
      <c r="A10882" s="198">
        <v>1045675691</v>
      </c>
      <c r="B10882" s="192" t="s">
        <v>913</v>
      </c>
      <c r="C10882" s="196">
        <v>-125400</v>
      </c>
      <c r="D10882" s="196">
        <v>0</v>
      </c>
      <c r="E10882" s="196">
        <v>0</v>
      </c>
      <c r="F10882" s="196">
        <v>0</v>
      </c>
      <c r="G10882" s="196">
        <v>-125400</v>
      </c>
    </row>
    <row r="10883" spans="1:7" x14ac:dyDescent="0.3">
      <c r="A10883" s="198">
        <v>39712952</v>
      </c>
      <c r="B10883" s="192" t="s">
        <v>7256</v>
      </c>
      <c r="C10883" s="196">
        <v>-116700</v>
      </c>
      <c r="D10883" s="196">
        <v>0</v>
      </c>
      <c r="E10883" s="196">
        <v>0</v>
      </c>
      <c r="F10883" s="196">
        <v>0</v>
      </c>
      <c r="G10883" s="196">
        <v>-116700</v>
      </c>
    </row>
    <row r="10884" spans="1:7" x14ac:dyDescent="0.3">
      <c r="A10884" s="198">
        <v>1001505667</v>
      </c>
      <c r="B10884" s="192" t="s">
        <v>7257</v>
      </c>
      <c r="C10884" s="196">
        <v>-183000</v>
      </c>
      <c r="D10884" s="196">
        <v>0</v>
      </c>
      <c r="E10884" s="196">
        <v>0</v>
      </c>
      <c r="F10884" s="196">
        <v>0</v>
      </c>
      <c r="G10884" s="196">
        <v>-183000</v>
      </c>
    </row>
    <row r="10885" spans="1:7" x14ac:dyDescent="0.3">
      <c r="A10885" s="198">
        <v>1193280850</v>
      </c>
      <c r="B10885" s="192" t="s">
        <v>4382</v>
      </c>
      <c r="C10885" s="196">
        <v>-315000</v>
      </c>
      <c r="D10885" s="196">
        <v>0</v>
      </c>
      <c r="E10885" s="196">
        <v>0</v>
      </c>
      <c r="F10885" s="196">
        <v>0</v>
      </c>
      <c r="G10885" s="196">
        <v>-315000</v>
      </c>
    </row>
    <row r="10886" spans="1:7" x14ac:dyDescent="0.3">
      <c r="A10886" s="198">
        <v>1037629496</v>
      </c>
      <c r="B10886" s="192" t="s">
        <v>4383</v>
      </c>
      <c r="C10886" s="196">
        <v>-200000</v>
      </c>
      <c r="D10886" s="196">
        <v>0</v>
      </c>
      <c r="E10886" s="196">
        <v>0</v>
      </c>
      <c r="F10886" s="196">
        <v>0</v>
      </c>
      <c r="G10886" s="196">
        <v>-200000</v>
      </c>
    </row>
    <row r="10887" spans="1:7" x14ac:dyDescent="0.3">
      <c r="A10887" s="198">
        <v>91513201</v>
      </c>
      <c r="B10887" s="192" t="s">
        <v>4388</v>
      </c>
      <c r="C10887" s="196">
        <v>-112400</v>
      </c>
      <c r="D10887" s="196">
        <v>0</v>
      </c>
      <c r="E10887" s="196">
        <v>0</v>
      </c>
      <c r="F10887" s="196">
        <v>0</v>
      </c>
      <c r="G10887" s="196">
        <v>-112400</v>
      </c>
    </row>
    <row r="10888" spans="1:7" x14ac:dyDescent="0.3">
      <c r="A10888" s="198">
        <v>1026147862</v>
      </c>
      <c r="B10888" s="192" t="s">
        <v>4389</v>
      </c>
      <c r="C10888" s="196">
        <v>-115000</v>
      </c>
      <c r="D10888" s="196">
        <v>0</v>
      </c>
      <c r="E10888" s="196">
        <v>0</v>
      </c>
      <c r="F10888" s="196">
        <v>0</v>
      </c>
      <c r="G10888" s="196">
        <v>-115000</v>
      </c>
    </row>
    <row r="10889" spans="1:7" x14ac:dyDescent="0.3">
      <c r="A10889" s="198">
        <v>8164601</v>
      </c>
      <c r="B10889" s="192" t="s">
        <v>4391</v>
      </c>
      <c r="C10889" s="196">
        <v>-46000</v>
      </c>
      <c r="D10889" s="196">
        <v>0</v>
      </c>
      <c r="E10889" s="196">
        <v>0</v>
      </c>
      <c r="F10889" s="196">
        <v>0</v>
      </c>
      <c r="G10889" s="196">
        <v>-46000</v>
      </c>
    </row>
    <row r="10890" spans="1:7" x14ac:dyDescent="0.3">
      <c r="A10890" s="198">
        <v>79434697</v>
      </c>
      <c r="B10890" s="192" t="s">
        <v>4392</v>
      </c>
      <c r="C10890" s="196">
        <v>-766200</v>
      </c>
      <c r="D10890" s="196">
        <v>0</v>
      </c>
      <c r="E10890" s="196">
        <v>0</v>
      </c>
      <c r="F10890" s="196">
        <v>0</v>
      </c>
      <c r="G10890" s="196">
        <v>-766200</v>
      </c>
    </row>
    <row r="10891" spans="1:7" x14ac:dyDescent="0.3">
      <c r="A10891" s="198">
        <v>10099270</v>
      </c>
      <c r="B10891" s="192" t="s">
        <v>4395</v>
      </c>
      <c r="C10891" s="196">
        <v>-133600</v>
      </c>
      <c r="D10891" s="196">
        <v>0</v>
      </c>
      <c r="E10891" s="196">
        <v>0</v>
      </c>
      <c r="F10891" s="196">
        <v>0</v>
      </c>
      <c r="G10891" s="196">
        <v>-133600</v>
      </c>
    </row>
    <row r="10892" spans="1:7" x14ac:dyDescent="0.3">
      <c r="A10892" s="198">
        <v>1020459254</v>
      </c>
      <c r="B10892" s="192" t="s">
        <v>6733</v>
      </c>
      <c r="C10892" s="196">
        <v>-175000</v>
      </c>
      <c r="D10892" s="196">
        <v>0</v>
      </c>
      <c r="E10892" s="196">
        <v>0</v>
      </c>
      <c r="F10892" s="196">
        <v>0</v>
      </c>
      <c r="G10892" s="196">
        <v>-175000</v>
      </c>
    </row>
    <row r="10893" spans="1:7" x14ac:dyDescent="0.3">
      <c r="A10893" s="198">
        <v>1053819537</v>
      </c>
      <c r="B10893" s="192" t="s">
        <v>4400</v>
      </c>
      <c r="C10893" s="196">
        <v>-920000</v>
      </c>
      <c r="D10893" s="196">
        <v>0</v>
      </c>
      <c r="E10893" s="196">
        <v>0</v>
      </c>
      <c r="F10893" s="196">
        <v>0</v>
      </c>
      <c r="G10893" s="196">
        <v>-920000</v>
      </c>
    </row>
    <row r="10894" spans="1:7" x14ac:dyDescent="0.3">
      <c r="A10894" s="198">
        <v>1094920930</v>
      </c>
      <c r="B10894" s="192" t="s">
        <v>4401</v>
      </c>
      <c r="C10894" s="196">
        <v>-315000</v>
      </c>
      <c r="D10894" s="196">
        <v>0</v>
      </c>
      <c r="E10894" s="196">
        <v>0</v>
      </c>
      <c r="F10894" s="196">
        <v>0</v>
      </c>
      <c r="G10894" s="196">
        <v>-315000</v>
      </c>
    </row>
    <row r="10895" spans="1:7" x14ac:dyDescent="0.3">
      <c r="A10895" s="198">
        <v>43976061</v>
      </c>
      <c r="B10895" s="192" t="s">
        <v>4409</v>
      </c>
      <c r="C10895" s="196">
        <v>-35300</v>
      </c>
      <c r="D10895" s="196">
        <v>0</v>
      </c>
      <c r="E10895" s="196">
        <v>0</v>
      </c>
      <c r="F10895" s="196">
        <v>0</v>
      </c>
      <c r="G10895" s="196">
        <v>-35300</v>
      </c>
    </row>
    <row r="10896" spans="1:7" x14ac:dyDescent="0.3">
      <c r="A10896" s="198">
        <v>43848104</v>
      </c>
      <c r="B10896" s="192" t="s">
        <v>4413</v>
      </c>
      <c r="C10896" s="196">
        <v>-92000</v>
      </c>
      <c r="D10896" s="196">
        <v>0</v>
      </c>
      <c r="E10896" s="196">
        <v>0</v>
      </c>
      <c r="F10896" s="196">
        <v>0</v>
      </c>
      <c r="G10896" s="196">
        <v>-92000</v>
      </c>
    </row>
    <row r="10897" spans="1:7" x14ac:dyDescent="0.3">
      <c r="A10897" s="192" t="s">
        <v>4427</v>
      </c>
      <c r="B10897" s="192" t="s">
        <v>4428</v>
      </c>
      <c r="C10897" s="196">
        <v>-258000</v>
      </c>
      <c r="D10897" s="196">
        <v>0</v>
      </c>
      <c r="E10897" s="196">
        <v>0</v>
      </c>
      <c r="F10897" s="196">
        <v>0</v>
      </c>
      <c r="G10897" s="196">
        <v>-258000</v>
      </c>
    </row>
    <row r="10898" spans="1:7" x14ac:dyDescent="0.3">
      <c r="A10898" s="198">
        <v>71626064</v>
      </c>
      <c r="B10898" s="192" t="s">
        <v>931</v>
      </c>
      <c r="C10898" s="196">
        <v>-357000</v>
      </c>
      <c r="D10898" s="196">
        <v>0</v>
      </c>
      <c r="E10898" s="196">
        <v>0</v>
      </c>
      <c r="F10898" s="196">
        <v>0</v>
      </c>
      <c r="G10898" s="196">
        <v>-357000</v>
      </c>
    </row>
    <row r="10899" spans="1:7" x14ac:dyDescent="0.3">
      <c r="A10899" s="198">
        <v>1049650488</v>
      </c>
      <c r="B10899" s="192" t="s">
        <v>4430</v>
      </c>
      <c r="C10899" s="196">
        <v>-290000</v>
      </c>
      <c r="D10899" s="196">
        <v>0</v>
      </c>
      <c r="E10899" s="196">
        <v>0</v>
      </c>
      <c r="F10899" s="196">
        <v>0</v>
      </c>
      <c r="G10899" s="196">
        <v>-290000</v>
      </c>
    </row>
    <row r="10900" spans="1:7" x14ac:dyDescent="0.3">
      <c r="A10900" s="198">
        <v>1128430234</v>
      </c>
      <c r="B10900" s="192" t="s">
        <v>4431</v>
      </c>
      <c r="C10900" s="196">
        <v>-81200</v>
      </c>
      <c r="D10900" s="196">
        <v>0</v>
      </c>
      <c r="E10900" s="196">
        <v>0</v>
      </c>
      <c r="F10900" s="196">
        <v>0</v>
      </c>
      <c r="G10900" s="196">
        <v>-81200</v>
      </c>
    </row>
    <row r="10901" spans="1:7" x14ac:dyDescent="0.3">
      <c r="A10901" s="198">
        <v>98526014</v>
      </c>
      <c r="B10901" s="192" t="s">
        <v>4432</v>
      </c>
      <c r="C10901" s="196">
        <v>-46100</v>
      </c>
      <c r="D10901" s="196">
        <v>0</v>
      </c>
      <c r="E10901" s="196">
        <v>0</v>
      </c>
      <c r="F10901" s="196">
        <v>0</v>
      </c>
      <c r="G10901" s="196">
        <v>-46100</v>
      </c>
    </row>
    <row r="10902" spans="1:7" x14ac:dyDescent="0.3">
      <c r="A10902" s="198">
        <v>87731167</v>
      </c>
      <c r="B10902" s="192" t="s">
        <v>4434</v>
      </c>
      <c r="C10902" s="196">
        <v>-347000</v>
      </c>
      <c r="D10902" s="196">
        <v>0</v>
      </c>
      <c r="E10902" s="196">
        <v>0</v>
      </c>
      <c r="F10902" s="196">
        <v>0</v>
      </c>
      <c r="G10902" s="196">
        <v>-347000</v>
      </c>
    </row>
    <row r="10903" spans="1:7" x14ac:dyDescent="0.3">
      <c r="A10903" s="198">
        <v>1005259265</v>
      </c>
      <c r="B10903" s="192" t="s">
        <v>4436</v>
      </c>
      <c r="C10903" s="196">
        <v>-315000</v>
      </c>
      <c r="D10903" s="196">
        <v>0</v>
      </c>
      <c r="E10903" s="196">
        <v>0</v>
      </c>
      <c r="F10903" s="196">
        <v>0</v>
      </c>
      <c r="G10903" s="196">
        <v>-315000</v>
      </c>
    </row>
    <row r="10904" spans="1:7" x14ac:dyDescent="0.3">
      <c r="A10904" s="192" t="s">
        <v>6741</v>
      </c>
      <c r="B10904" s="192" t="s">
        <v>6742</v>
      </c>
      <c r="C10904" s="196">
        <v>-357000</v>
      </c>
      <c r="D10904" s="196">
        <v>0</v>
      </c>
      <c r="E10904" s="196">
        <v>0</v>
      </c>
      <c r="F10904" s="196">
        <v>0</v>
      </c>
      <c r="G10904" s="196">
        <v>-357000</v>
      </c>
    </row>
    <row r="10905" spans="1:7" x14ac:dyDescent="0.3">
      <c r="A10905" s="192" t="s">
        <v>4440</v>
      </c>
      <c r="B10905" s="192" t="s">
        <v>4441</v>
      </c>
      <c r="C10905" s="196">
        <v>-258000</v>
      </c>
      <c r="D10905" s="196">
        <v>0</v>
      </c>
      <c r="E10905" s="196">
        <v>0</v>
      </c>
      <c r="F10905" s="196">
        <v>0</v>
      </c>
      <c r="G10905" s="196">
        <v>-258000</v>
      </c>
    </row>
    <row r="10906" spans="1:7" x14ac:dyDescent="0.3">
      <c r="A10906" s="198">
        <v>1128454357</v>
      </c>
      <c r="B10906" s="192" t="s">
        <v>4442</v>
      </c>
      <c r="C10906" s="196">
        <v>-79200</v>
      </c>
      <c r="D10906" s="196">
        <v>0</v>
      </c>
      <c r="E10906" s="196">
        <v>0</v>
      </c>
      <c r="F10906" s="196">
        <v>0</v>
      </c>
      <c r="G10906" s="196">
        <v>-79200</v>
      </c>
    </row>
    <row r="10907" spans="1:7" x14ac:dyDescent="0.3">
      <c r="A10907" s="198">
        <v>566012150</v>
      </c>
      <c r="B10907" s="192" t="s">
        <v>933</v>
      </c>
      <c r="C10907" s="196">
        <v>0</v>
      </c>
      <c r="D10907" s="196">
        <v>0</v>
      </c>
      <c r="E10907" s="196">
        <v>299000</v>
      </c>
      <c r="F10907" s="196">
        <v>-299000</v>
      </c>
      <c r="G10907" s="196">
        <v>-299000</v>
      </c>
    </row>
    <row r="10908" spans="1:7" x14ac:dyDescent="0.3">
      <c r="A10908" s="198">
        <v>1125781185</v>
      </c>
      <c r="B10908" s="192" t="s">
        <v>4448</v>
      </c>
      <c r="C10908" s="196">
        <v>-490000</v>
      </c>
      <c r="D10908" s="196">
        <v>0</v>
      </c>
      <c r="E10908" s="196">
        <v>0</v>
      </c>
      <c r="F10908" s="196">
        <v>0</v>
      </c>
      <c r="G10908" s="196">
        <v>-490000</v>
      </c>
    </row>
    <row r="10909" spans="1:7" x14ac:dyDescent="0.3">
      <c r="A10909" s="198">
        <v>1006733587</v>
      </c>
      <c r="B10909" s="192" t="s">
        <v>4452</v>
      </c>
      <c r="C10909" s="196">
        <v>-305000</v>
      </c>
      <c r="D10909" s="196">
        <v>0</v>
      </c>
      <c r="E10909" s="196">
        <v>0</v>
      </c>
      <c r="F10909" s="196">
        <v>0</v>
      </c>
      <c r="G10909" s="196">
        <v>-305000</v>
      </c>
    </row>
    <row r="10910" spans="1:7" x14ac:dyDescent="0.3">
      <c r="A10910" s="198">
        <v>1006171087</v>
      </c>
      <c r="B10910" s="192" t="s">
        <v>7258</v>
      </c>
      <c r="C10910" s="196">
        <v>-315000</v>
      </c>
      <c r="D10910" s="196">
        <v>0</v>
      </c>
      <c r="E10910" s="196">
        <v>0</v>
      </c>
      <c r="F10910" s="196">
        <v>0</v>
      </c>
      <c r="G10910" s="196">
        <v>-315000</v>
      </c>
    </row>
    <row r="10911" spans="1:7" x14ac:dyDescent="0.3">
      <c r="A10911" s="198">
        <v>1152211608</v>
      </c>
      <c r="B10911" s="192" t="s">
        <v>4459</v>
      </c>
      <c r="C10911" s="196">
        <v>-79200</v>
      </c>
      <c r="D10911" s="196">
        <v>0</v>
      </c>
      <c r="E10911" s="196">
        <v>0</v>
      </c>
      <c r="F10911" s="196">
        <v>0</v>
      </c>
      <c r="G10911" s="196">
        <v>-79200</v>
      </c>
    </row>
    <row r="10912" spans="1:7" x14ac:dyDescent="0.3">
      <c r="A10912" s="198">
        <v>1003851364</v>
      </c>
      <c r="B10912" s="192" t="s">
        <v>4470</v>
      </c>
      <c r="C10912" s="196">
        <v>-190000</v>
      </c>
      <c r="D10912" s="196">
        <v>0</v>
      </c>
      <c r="E10912" s="196">
        <v>0</v>
      </c>
      <c r="F10912" s="196">
        <v>0</v>
      </c>
      <c r="G10912" s="196">
        <v>-190000</v>
      </c>
    </row>
    <row r="10913" spans="1:7" x14ac:dyDescent="0.3">
      <c r="A10913" s="198">
        <v>1000535831</v>
      </c>
      <c r="B10913" s="192" t="s">
        <v>4471</v>
      </c>
      <c r="C10913" s="196">
        <v>-315000</v>
      </c>
      <c r="D10913" s="196">
        <v>0</v>
      </c>
      <c r="E10913" s="196">
        <v>0</v>
      </c>
      <c r="F10913" s="196">
        <v>0</v>
      </c>
      <c r="G10913" s="196">
        <v>-315000</v>
      </c>
    </row>
    <row r="10914" spans="1:7" x14ac:dyDescent="0.3">
      <c r="A10914" s="198">
        <v>581486756</v>
      </c>
      <c r="B10914" s="192" t="s">
        <v>4473</v>
      </c>
      <c r="C10914" s="196">
        <v>-258000</v>
      </c>
      <c r="D10914" s="196">
        <v>0</v>
      </c>
      <c r="E10914" s="196">
        <v>0</v>
      </c>
      <c r="F10914" s="196">
        <v>0</v>
      </c>
      <c r="G10914" s="196">
        <v>-258000</v>
      </c>
    </row>
    <row r="10915" spans="1:7" x14ac:dyDescent="0.3">
      <c r="A10915" s="198">
        <v>1144052747</v>
      </c>
      <c r="B10915" s="192" t="s">
        <v>7259</v>
      </c>
      <c r="C10915" s="196">
        <v>-347000</v>
      </c>
      <c r="D10915" s="196">
        <v>0</v>
      </c>
      <c r="E10915" s="196">
        <v>0</v>
      </c>
      <c r="F10915" s="196">
        <v>0</v>
      </c>
      <c r="G10915" s="196">
        <v>-347000</v>
      </c>
    </row>
    <row r="10916" spans="1:7" x14ac:dyDescent="0.3">
      <c r="A10916" s="198">
        <v>43188457</v>
      </c>
      <c r="B10916" s="192" t="s">
        <v>4478</v>
      </c>
      <c r="C10916" s="196">
        <v>-209000</v>
      </c>
      <c r="D10916" s="196">
        <v>0</v>
      </c>
      <c r="E10916" s="196">
        <v>0</v>
      </c>
      <c r="F10916" s="196">
        <v>0</v>
      </c>
      <c r="G10916" s="196">
        <v>-209000</v>
      </c>
    </row>
    <row r="10917" spans="1:7" x14ac:dyDescent="0.3">
      <c r="A10917" s="192" t="s">
        <v>4479</v>
      </c>
      <c r="B10917" s="192" t="s">
        <v>4480</v>
      </c>
      <c r="C10917" s="196">
        <v>-30900</v>
      </c>
      <c r="D10917" s="196">
        <v>0</v>
      </c>
      <c r="E10917" s="196">
        <v>0</v>
      </c>
      <c r="F10917" s="196">
        <v>0</v>
      </c>
      <c r="G10917" s="196">
        <v>-30900</v>
      </c>
    </row>
    <row r="10918" spans="1:7" x14ac:dyDescent="0.3">
      <c r="A10918" s="192" t="s">
        <v>945</v>
      </c>
      <c r="B10918" s="192" t="s">
        <v>946</v>
      </c>
      <c r="C10918" s="196">
        <v>0</v>
      </c>
      <c r="D10918" s="196">
        <v>115000</v>
      </c>
      <c r="E10918" s="196">
        <v>577000</v>
      </c>
      <c r="F10918" s="196">
        <v>-462000</v>
      </c>
      <c r="G10918" s="196">
        <v>-462000</v>
      </c>
    </row>
    <row r="10919" spans="1:7" x14ac:dyDescent="0.3">
      <c r="A10919" s="198">
        <v>43187858</v>
      </c>
      <c r="B10919" s="192" t="s">
        <v>947</v>
      </c>
      <c r="C10919" s="196">
        <v>0</v>
      </c>
      <c r="D10919" s="196">
        <v>115000</v>
      </c>
      <c r="E10919" s="196">
        <v>420000</v>
      </c>
      <c r="F10919" s="196">
        <v>-305000</v>
      </c>
      <c r="G10919" s="196">
        <v>-305000</v>
      </c>
    </row>
    <row r="10920" spans="1:7" x14ac:dyDescent="0.3">
      <c r="A10920" s="198">
        <v>43188900</v>
      </c>
      <c r="B10920" s="192" t="s">
        <v>949</v>
      </c>
      <c r="C10920" s="196">
        <v>0</v>
      </c>
      <c r="D10920" s="196">
        <v>0</v>
      </c>
      <c r="E10920" s="196">
        <v>46000</v>
      </c>
      <c r="F10920" s="196">
        <v>-46000</v>
      </c>
      <c r="G10920" s="196">
        <v>-46000</v>
      </c>
    </row>
    <row r="10921" spans="1:7" x14ac:dyDescent="0.3">
      <c r="A10921" s="192" t="s">
        <v>4485</v>
      </c>
      <c r="B10921" s="192" t="s">
        <v>4486</v>
      </c>
      <c r="C10921" s="196">
        <v>-315000</v>
      </c>
      <c r="D10921" s="196">
        <v>0</v>
      </c>
      <c r="E10921" s="196">
        <v>0</v>
      </c>
      <c r="F10921" s="196">
        <v>0</v>
      </c>
      <c r="G10921" s="196">
        <v>-315000</v>
      </c>
    </row>
    <row r="10922" spans="1:7" x14ac:dyDescent="0.3">
      <c r="A10922" s="198">
        <v>1035970625</v>
      </c>
      <c r="B10922" s="192" t="s">
        <v>4491</v>
      </c>
      <c r="C10922" s="196">
        <v>-193000</v>
      </c>
      <c r="D10922" s="196">
        <v>0</v>
      </c>
      <c r="E10922" s="196">
        <v>0</v>
      </c>
      <c r="F10922" s="196">
        <v>0</v>
      </c>
      <c r="G10922" s="196">
        <v>-193000</v>
      </c>
    </row>
    <row r="10923" spans="1:7" x14ac:dyDescent="0.3">
      <c r="A10923" s="198">
        <v>1020764995</v>
      </c>
      <c r="B10923" s="192" t="s">
        <v>4493</v>
      </c>
      <c r="C10923" s="196">
        <v>-685000</v>
      </c>
      <c r="D10923" s="196">
        <v>0</v>
      </c>
      <c r="E10923" s="196">
        <v>0</v>
      </c>
      <c r="F10923" s="196">
        <v>0</v>
      </c>
      <c r="G10923" s="196">
        <v>-685000</v>
      </c>
    </row>
    <row r="10924" spans="1:7" x14ac:dyDescent="0.3">
      <c r="A10924" s="198">
        <v>43021999</v>
      </c>
      <c r="B10924" s="192" t="s">
        <v>4499</v>
      </c>
      <c r="C10924" s="196">
        <v>-79200</v>
      </c>
      <c r="D10924" s="196">
        <v>0</v>
      </c>
      <c r="E10924" s="196">
        <v>0</v>
      </c>
      <c r="F10924" s="196">
        <v>0</v>
      </c>
      <c r="G10924" s="196">
        <v>-79200</v>
      </c>
    </row>
    <row r="10925" spans="1:7" x14ac:dyDescent="0.3">
      <c r="A10925" s="198">
        <v>7838230</v>
      </c>
      <c r="B10925" s="192" t="s">
        <v>4501</v>
      </c>
      <c r="C10925" s="196">
        <v>-310000</v>
      </c>
      <c r="D10925" s="196">
        <v>0</v>
      </c>
      <c r="E10925" s="196">
        <v>0</v>
      </c>
      <c r="F10925" s="196">
        <v>0</v>
      </c>
      <c r="G10925" s="196">
        <v>-310000</v>
      </c>
    </row>
    <row r="10926" spans="1:7" x14ac:dyDescent="0.3">
      <c r="A10926" s="198">
        <v>1039462343</v>
      </c>
      <c r="B10926" s="192" t="s">
        <v>6780</v>
      </c>
      <c r="C10926" s="196">
        <v>-380000</v>
      </c>
      <c r="D10926" s="196">
        <v>0</v>
      </c>
      <c r="E10926" s="196">
        <v>0</v>
      </c>
      <c r="F10926" s="196">
        <v>0</v>
      </c>
      <c r="G10926" s="196">
        <v>-380000</v>
      </c>
    </row>
    <row r="10927" spans="1:7" x14ac:dyDescent="0.3">
      <c r="A10927" s="198">
        <v>1000565710</v>
      </c>
      <c r="B10927" s="192" t="s">
        <v>4513</v>
      </c>
      <c r="C10927" s="196">
        <v>-305000</v>
      </c>
      <c r="D10927" s="196">
        <v>0</v>
      </c>
      <c r="E10927" s="196">
        <v>0</v>
      </c>
      <c r="F10927" s="196">
        <v>0</v>
      </c>
      <c r="G10927" s="196">
        <v>-305000</v>
      </c>
    </row>
    <row r="10928" spans="1:7" x14ac:dyDescent="0.3">
      <c r="A10928" s="198">
        <v>1128400800</v>
      </c>
      <c r="B10928" s="192" t="s">
        <v>4514</v>
      </c>
      <c r="C10928" s="196">
        <v>-347000</v>
      </c>
      <c r="D10928" s="196">
        <v>0</v>
      </c>
      <c r="E10928" s="196">
        <v>0</v>
      </c>
      <c r="F10928" s="196">
        <v>0</v>
      </c>
      <c r="G10928" s="196">
        <v>-347000</v>
      </c>
    </row>
    <row r="10929" spans="1:7" x14ac:dyDescent="0.3">
      <c r="A10929" s="198">
        <v>1017247768</v>
      </c>
      <c r="B10929" s="192" t="s">
        <v>4517</v>
      </c>
      <c r="C10929" s="196">
        <v>-414000</v>
      </c>
      <c r="D10929" s="196">
        <v>0</v>
      </c>
      <c r="E10929" s="196">
        <v>0</v>
      </c>
      <c r="F10929" s="196">
        <v>0</v>
      </c>
      <c r="G10929" s="196">
        <v>-414000</v>
      </c>
    </row>
    <row r="10930" spans="1:7" x14ac:dyDescent="0.3">
      <c r="A10930" s="198">
        <v>1035429156</v>
      </c>
      <c r="B10930" s="192" t="s">
        <v>4520</v>
      </c>
      <c r="C10930" s="196">
        <v>-84300</v>
      </c>
      <c r="D10930" s="196">
        <v>0</v>
      </c>
      <c r="E10930" s="196">
        <v>0</v>
      </c>
      <c r="F10930" s="196">
        <v>0</v>
      </c>
      <c r="G10930" s="196">
        <v>-84300</v>
      </c>
    </row>
    <row r="10931" spans="1:7" x14ac:dyDescent="0.3">
      <c r="A10931" s="198">
        <v>597850455</v>
      </c>
      <c r="B10931" s="192" t="s">
        <v>4525</v>
      </c>
      <c r="C10931" s="196">
        <v>-258000</v>
      </c>
      <c r="D10931" s="196">
        <v>0</v>
      </c>
      <c r="E10931" s="196">
        <v>0</v>
      </c>
      <c r="F10931" s="196">
        <v>0</v>
      </c>
      <c r="G10931" s="196">
        <v>-258000</v>
      </c>
    </row>
    <row r="10932" spans="1:7" x14ac:dyDescent="0.3">
      <c r="A10932" s="198">
        <v>1037448423</v>
      </c>
      <c r="B10932" s="192" t="s">
        <v>4537</v>
      </c>
      <c r="C10932" s="196">
        <v>-383000</v>
      </c>
      <c r="D10932" s="196">
        <v>0</v>
      </c>
      <c r="E10932" s="196">
        <v>0</v>
      </c>
      <c r="F10932" s="196">
        <v>0</v>
      </c>
      <c r="G10932" s="196">
        <v>-383000</v>
      </c>
    </row>
    <row r="10933" spans="1:7" x14ac:dyDescent="0.3">
      <c r="A10933" s="198">
        <v>1128434873</v>
      </c>
      <c r="B10933" s="192" t="s">
        <v>4538</v>
      </c>
      <c r="C10933" s="196">
        <v>-42900</v>
      </c>
      <c r="D10933" s="196">
        <v>0</v>
      </c>
      <c r="E10933" s="196">
        <v>0</v>
      </c>
      <c r="F10933" s="196">
        <v>0</v>
      </c>
      <c r="G10933" s="196">
        <v>-42900</v>
      </c>
    </row>
    <row r="10934" spans="1:7" x14ac:dyDescent="0.3">
      <c r="A10934" s="198">
        <v>1007722025</v>
      </c>
      <c r="B10934" s="192" t="s">
        <v>4540</v>
      </c>
      <c r="C10934" s="196">
        <v>-190000</v>
      </c>
      <c r="D10934" s="196">
        <v>0</v>
      </c>
      <c r="E10934" s="196">
        <v>0</v>
      </c>
      <c r="F10934" s="196">
        <v>0</v>
      </c>
      <c r="G10934" s="196">
        <v>-190000</v>
      </c>
    </row>
    <row r="10935" spans="1:7" x14ac:dyDescent="0.3">
      <c r="A10935" s="198">
        <v>1044505380</v>
      </c>
      <c r="B10935" s="192" t="s">
        <v>6789</v>
      </c>
      <c r="C10935" s="196">
        <v>-193000</v>
      </c>
      <c r="D10935" s="196">
        <v>0</v>
      </c>
      <c r="E10935" s="196">
        <v>0</v>
      </c>
      <c r="F10935" s="196">
        <v>0</v>
      </c>
      <c r="G10935" s="196">
        <v>-193000</v>
      </c>
    </row>
    <row r="10936" spans="1:7" x14ac:dyDescent="0.3">
      <c r="A10936" s="198">
        <v>1152456259</v>
      </c>
      <c r="B10936" s="192" t="s">
        <v>966</v>
      </c>
      <c r="C10936" s="196">
        <v>0</v>
      </c>
      <c r="D10936" s="196">
        <v>443500</v>
      </c>
      <c r="E10936" s="196">
        <v>983500</v>
      </c>
      <c r="F10936" s="196">
        <v>-540000</v>
      </c>
      <c r="G10936" s="196">
        <v>-540000</v>
      </c>
    </row>
    <row r="10937" spans="1:7" x14ac:dyDescent="0.3">
      <c r="A10937" s="198">
        <v>1094887145</v>
      </c>
      <c r="B10937" s="192" t="s">
        <v>968</v>
      </c>
      <c r="C10937" s="196">
        <v>0</v>
      </c>
      <c r="D10937" s="196">
        <v>0</v>
      </c>
      <c r="E10937" s="196">
        <v>190000</v>
      </c>
      <c r="F10937" s="196">
        <v>-190000</v>
      </c>
      <c r="G10937" s="196">
        <v>-190000</v>
      </c>
    </row>
    <row r="10938" spans="1:7" x14ac:dyDescent="0.3">
      <c r="A10938" s="198">
        <v>1057757636</v>
      </c>
      <c r="B10938" s="192" t="s">
        <v>6791</v>
      </c>
      <c r="C10938" s="196">
        <v>-193000</v>
      </c>
      <c r="D10938" s="196">
        <v>0</v>
      </c>
      <c r="E10938" s="196">
        <v>0</v>
      </c>
      <c r="F10938" s="196">
        <v>0</v>
      </c>
      <c r="G10938" s="196">
        <v>-193000</v>
      </c>
    </row>
    <row r="10939" spans="1:7" x14ac:dyDescent="0.3">
      <c r="A10939" s="198">
        <v>1128445015</v>
      </c>
      <c r="B10939" s="192" t="s">
        <v>970</v>
      </c>
      <c r="C10939" s="196">
        <v>-1</v>
      </c>
      <c r="D10939" s="196">
        <v>0</v>
      </c>
      <c r="E10939" s="196">
        <v>0</v>
      </c>
      <c r="F10939" s="196">
        <v>0</v>
      </c>
      <c r="G10939" s="196">
        <v>-1</v>
      </c>
    </row>
    <row r="10940" spans="1:7" x14ac:dyDescent="0.3">
      <c r="A10940" s="198">
        <v>1036645865</v>
      </c>
      <c r="B10940" s="192" t="s">
        <v>4550</v>
      </c>
      <c r="C10940" s="196">
        <v>-79300</v>
      </c>
      <c r="D10940" s="196">
        <v>0</v>
      </c>
      <c r="E10940" s="196">
        <v>0</v>
      </c>
      <c r="F10940" s="196">
        <v>0</v>
      </c>
      <c r="G10940" s="196">
        <v>-79300</v>
      </c>
    </row>
    <row r="10941" spans="1:7" x14ac:dyDescent="0.3">
      <c r="A10941" s="198">
        <v>1002755173</v>
      </c>
      <c r="B10941" s="192" t="s">
        <v>971</v>
      </c>
      <c r="C10941" s="196">
        <v>-1</v>
      </c>
      <c r="D10941" s="196">
        <v>0</v>
      </c>
      <c r="E10941" s="196">
        <v>0</v>
      </c>
      <c r="F10941" s="196">
        <v>0</v>
      </c>
      <c r="G10941" s="196">
        <v>-1</v>
      </c>
    </row>
    <row r="10942" spans="1:7" x14ac:dyDescent="0.3">
      <c r="A10942" s="192" t="s">
        <v>4554</v>
      </c>
      <c r="B10942" s="192" t="s">
        <v>4555</v>
      </c>
      <c r="C10942" s="196">
        <v>-607000</v>
      </c>
      <c r="D10942" s="196">
        <v>0</v>
      </c>
      <c r="E10942" s="196">
        <v>0</v>
      </c>
      <c r="F10942" s="196">
        <v>0</v>
      </c>
      <c r="G10942" s="196">
        <v>-607000</v>
      </c>
    </row>
    <row r="10943" spans="1:7" x14ac:dyDescent="0.3">
      <c r="A10943" s="198">
        <v>71673068</v>
      </c>
      <c r="B10943" s="192" t="s">
        <v>7260</v>
      </c>
      <c r="C10943" s="196">
        <v>-524000</v>
      </c>
      <c r="D10943" s="196">
        <v>0</v>
      </c>
      <c r="E10943" s="196">
        <v>0</v>
      </c>
      <c r="F10943" s="196">
        <v>0</v>
      </c>
      <c r="G10943" s="196">
        <v>-524000</v>
      </c>
    </row>
    <row r="10944" spans="1:7" x14ac:dyDescent="0.3">
      <c r="A10944" s="198">
        <v>71171242</v>
      </c>
      <c r="B10944" s="192" t="s">
        <v>4557</v>
      </c>
      <c r="C10944" s="196">
        <v>-40500</v>
      </c>
      <c r="D10944" s="196">
        <v>0</v>
      </c>
      <c r="E10944" s="196">
        <v>0</v>
      </c>
      <c r="F10944" s="196">
        <v>0</v>
      </c>
      <c r="G10944" s="196">
        <v>-40500</v>
      </c>
    </row>
    <row r="10945" spans="1:7" x14ac:dyDescent="0.3">
      <c r="A10945" s="198">
        <v>1020395957</v>
      </c>
      <c r="B10945" s="192" t="s">
        <v>975</v>
      </c>
      <c r="C10945" s="196">
        <v>0</v>
      </c>
      <c r="D10945" s="196">
        <v>115000</v>
      </c>
      <c r="E10945" s="196">
        <v>309200</v>
      </c>
      <c r="F10945" s="196">
        <v>-194200</v>
      </c>
      <c r="G10945" s="196">
        <v>-194200</v>
      </c>
    </row>
    <row r="10946" spans="1:7" x14ac:dyDescent="0.3">
      <c r="A10946" s="198">
        <v>32424769</v>
      </c>
      <c r="B10946" s="192" t="s">
        <v>7261</v>
      </c>
      <c r="C10946" s="196">
        <v>-486000</v>
      </c>
      <c r="D10946" s="196">
        <v>0</v>
      </c>
      <c r="E10946" s="196">
        <v>0</v>
      </c>
      <c r="F10946" s="196">
        <v>0</v>
      </c>
      <c r="G10946" s="196">
        <v>-486000</v>
      </c>
    </row>
    <row r="10947" spans="1:7" x14ac:dyDescent="0.3">
      <c r="A10947" s="198">
        <v>1216720273</v>
      </c>
      <c r="B10947" s="192" t="s">
        <v>4570</v>
      </c>
      <c r="C10947" s="196">
        <v>-190000</v>
      </c>
      <c r="D10947" s="196">
        <v>0</v>
      </c>
      <c r="E10947" s="196">
        <v>0</v>
      </c>
      <c r="F10947" s="196">
        <v>0</v>
      </c>
      <c r="G10947" s="196">
        <v>-190000</v>
      </c>
    </row>
    <row r="10948" spans="1:7" x14ac:dyDescent="0.3">
      <c r="A10948" s="198">
        <v>1220477632</v>
      </c>
      <c r="B10948" s="192" t="s">
        <v>977</v>
      </c>
      <c r="C10948" s="196">
        <v>-305000</v>
      </c>
      <c r="D10948" s="196">
        <v>0</v>
      </c>
      <c r="E10948" s="196">
        <v>0</v>
      </c>
      <c r="F10948" s="196">
        <v>0</v>
      </c>
      <c r="G10948" s="196">
        <v>-305000</v>
      </c>
    </row>
    <row r="10949" spans="1:7" x14ac:dyDescent="0.3">
      <c r="A10949" s="198">
        <v>8373071</v>
      </c>
      <c r="B10949" s="192" t="s">
        <v>4574</v>
      </c>
      <c r="C10949" s="196">
        <v>-419200</v>
      </c>
      <c r="D10949" s="196">
        <v>0</v>
      </c>
      <c r="E10949" s="196">
        <v>0</v>
      </c>
      <c r="F10949" s="196">
        <v>0</v>
      </c>
      <c r="G10949" s="196">
        <v>-419200</v>
      </c>
    </row>
    <row r="10950" spans="1:7" x14ac:dyDescent="0.3">
      <c r="A10950" s="198">
        <v>3581995</v>
      </c>
      <c r="B10950" s="192" t="s">
        <v>978</v>
      </c>
      <c r="C10950" s="196">
        <v>0</v>
      </c>
      <c r="D10950" s="196">
        <v>0</v>
      </c>
      <c r="E10950" s="196">
        <v>357000</v>
      </c>
      <c r="F10950" s="196">
        <v>-357000</v>
      </c>
      <c r="G10950" s="196">
        <v>-357000</v>
      </c>
    </row>
    <row r="10951" spans="1:7" x14ac:dyDescent="0.3">
      <c r="A10951" s="198">
        <v>21718632</v>
      </c>
      <c r="B10951" s="192" t="s">
        <v>4575</v>
      </c>
      <c r="C10951" s="196">
        <v>-81200</v>
      </c>
      <c r="D10951" s="196">
        <v>0</v>
      </c>
      <c r="E10951" s="196">
        <v>0</v>
      </c>
      <c r="F10951" s="196">
        <v>0</v>
      </c>
      <c r="G10951" s="196">
        <v>-81200</v>
      </c>
    </row>
    <row r="10952" spans="1:7" x14ac:dyDescent="0.3">
      <c r="A10952" s="198">
        <v>1087991695</v>
      </c>
      <c r="B10952" s="192" t="s">
        <v>4578</v>
      </c>
      <c r="C10952" s="196">
        <v>-46000</v>
      </c>
      <c r="D10952" s="196">
        <v>0</v>
      </c>
      <c r="E10952" s="196">
        <v>0</v>
      </c>
      <c r="F10952" s="196">
        <v>0</v>
      </c>
      <c r="G10952" s="196">
        <v>-46000</v>
      </c>
    </row>
    <row r="10953" spans="1:7" x14ac:dyDescent="0.3">
      <c r="A10953" s="198">
        <v>21586778</v>
      </c>
      <c r="B10953" s="192" t="s">
        <v>4581</v>
      </c>
      <c r="C10953" s="196">
        <v>-259200</v>
      </c>
      <c r="D10953" s="196">
        <v>0</v>
      </c>
      <c r="E10953" s="196">
        <v>0</v>
      </c>
      <c r="F10953" s="196">
        <v>0</v>
      </c>
      <c r="G10953" s="196">
        <v>-259200</v>
      </c>
    </row>
    <row r="10954" spans="1:7" x14ac:dyDescent="0.3">
      <c r="A10954" s="198">
        <v>22052666</v>
      </c>
      <c r="B10954" s="192" t="s">
        <v>7262</v>
      </c>
      <c r="C10954" s="196">
        <v>-40600</v>
      </c>
      <c r="D10954" s="196">
        <v>0</v>
      </c>
      <c r="E10954" s="196">
        <v>0</v>
      </c>
      <c r="F10954" s="196">
        <v>0</v>
      </c>
      <c r="G10954" s="196">
        <v>-40600</v>
      </c>
    </row>
    <row r="10955" spans="1:7" x14ac:dyDescent="0.3">
      <c r="A10955" s="198">
        <v>22101647</v>
      </c>
      <c r="B10955" s="192" t="s">
        <v>7263</v>
      </c>
      <c r="C10955" s="196">
        <v>-357000</v>
      </c>
      <c r="D10955" s="196">
        <v>0</v>
      </c>
      <c r="E10955" s="196">
        <v>0</v>
      </c>
      <c r="F10955" s="196">
        <v>0</v>
      </c>
      <c r="G10955" s="196">
        <v>-357000</v>
      </c>
    </row>
    <row r="10956" spans="1:7" x14ac:dyDescent="0.3">
      <c r="A10956" s="198">
        <v>43744401</v>
      </c>
      <c r="B10956" s="192" t="s">
        <v>4585</v>
      </c>
      <c r="C10956" s="196">
        <v>-79300</v>
      </c>
      <c r="D10956" s="196">
        <v>0</v>
      </c>
      <c r="E10956" s="196">
        <v>0</v>
      </c>
      <c r="F10956" s="196">
        <v>0</v>
      </c>
      <c r="G10956" s="196">
        <v>-79300</v>
      </c>
    </row>
    <row r="10957" spans="1:7" x14ac:dyDescent="0.3">
      <c r="A10957" s="198">
        <v>1001760505</v>
      </c>
      <c r="B10957" s="192" t="s">
        <v>6805</v>
      </c>
      <c r="C10957" s="196">
        <v>-380000</v>
      </c>
      <c r="D10957" s="196">
        <v>0</v>
      </c>
      <c r="E10957" s="196">
        <v>0</v>
      </c>
      <c r="F10957" s="196">
        <v>0</v>
      </c>
      <c r="G10957" s="196">
        <v>-380000</v>
      </c>
    </row>
    <row r="10958" spans="1:7" x14ac:dyDescent="0.3">
      <c r="A10958" s="198">
        <v>42896842</v>
      </c>
      <c r="B10958" s="192" t="s">
        <v>4592</v>
      </c>
      <c r="C10958" s="196">
        <v>-226800</v>
      </c>
      <c r="D10958" s="196">
        <v>0</v>
      </c>
      <c r="E10958" s="196">
        <v>0</v>
      </c>
      <c r="F10958" s="196">
        <v>0</v>
      </c>
      <c r="G10958" s="196">
        <v>-226800</v>
      </c>
    </row>
    <row r="10959" spans="1:7" x14ac:dyDescent="0.3">
      <c r="A10959" s="198">
        <v>22025720</v>
      </c>
      <c r="B10959" s="192" t="s">
        <v>987</v>
      </c>
      <c r="C10959" s="196">
        <v>0</v>
      </c>
      <c r="D10959" s="196">
        <v>96500</v>
      </c>
      <c r="E10959" s="196">
        <v>335500</v>
      </c>
      <c r="F10959" s="196">
        <v>-239000</v>
      </c>
      <c r="G10959" s="196">
        <v>-239000</v>
      </c>
    </row>
    <row r="10960" spans="1:7" x14ac:dyDescent="0.3">
      <c r="A10960" s="198">
        <v>43636012</v>
      </c>
      <c r="B10960" s="192" t="s">
        <v>4595</v>
      </c>
      <c r="C10960" s="196">
        <v>-40600</v>
      </c>
      <c r="D10960" s="196">
        <v>0</v>
      </c>
      <c r="E10960" s="196">
        <v>0</v>
      </c>
      <c r="F10960" s="196">
        <v>0</v>
      </c>
      <c r="G10960" s="196">
        <v>-40600</v>
      </c>
    </row>
    <row r="10961" spans="1:7" x14ac:dyDescent="0.3">
      <c r="A10961" s="198">
        <v>43731887</v>
      </c>
      <c r="B10961" s="192" t="s">
        <v>4596</v>
      </c>
      <c r="C10961" s="196">
        <v>-86000</v>
      </c>
      <c r="D10961" s="196">
        <v>0</v>
      </c>
      <c r="E10961" s="196">
        <v>0</v>
      </c>
      <c r="F10961" s="196">
        <v>0</v>
      </c>
      <c r="G10961" s="196">
        <v>-86000</v>
      </c>
    </row>
    <row r="10962" spans="1:7" x14ac:dyDescent="0.3">
      <c r="A10962" s="198">
        <v>1020402594</v>
      </c>
      <c r="B10962" s="192" t="s">
        <v>4597</v>
      </c>
      <c r="C10962" s="196">
        <v>-605000</v>
      </c>
      <c r="D10962" s="196">
        <v>0</v>
      </c>
      <c r="E10962" s="196">
        <v>0</v>
      </c>
      <c r="F10962" s="196">
        <v>0</v>
      </c>
      <c r="G10962" s="196">
        <v>-605000</v>
      </c>
    </row>
    <row r="10963" spans="1:7" x14ac:dyDescent="0.3">
      <c r="A10963" s="198">
        <v>43635963</v>
      </c>
      <c r="B10963" s="192" t="s">
        <v>988</v>
      </c>
      <c r="C10963" s="196">
        <v>0</v>
      </c>
      <c r="D10963" s="196">
        <v>0</v>
      </c>
      <c r="E10963" s="196">
        <v>79200</v>
      </c>
      <c r="F10963" s="196">
        <v>-79200</v>
      </c>
      <c r="G10963" s="196">
        <v>-79200</v>
      </c>
    </row>
    <row r="10964" spans="1:7" x14ac:dyDescent="0.3">
      <c r="A10964" s="198">
        <v>43780954</v>
      </c>
      <c r="B10964" s="192" t="s">
        <v>4603</v>
      </c>
      <c r="C10964" s="196">
        <v>-40600</v>
      </c>
      <c r="D10964" s="196">
        <v>0</v>
      </c>
      <c r="E10964" s="196">
        <v>0</v>
      </c>
      <c r="F10964" s="196">
        <v>0</v>
      </c>
      <c r="G10964" s="196">
        <v>-40600</v>
      </c>
    </row>
    <row r="10965" spans="1:7" x14ac:dyDescent="0.3">
      <c r="A10965" s="198">
        <v>43727157</v>
      </c>
      <c r="B10965" s="192" t="s">
        <v>7264</v>
      </c>
      <c r="C10965" s="196">
        <v>-133600</v>
      </c>
      <c r="D10965" s="196">
        <v>0</v>
      </c>
      <c r="E10965" s="196">
        <v>0</v>
      </c>
      <c r="F10965" s="196">
        <v>0</v>
      </c>
      <c r="G10965" s="196">
        <v>-133600</v>
      </c>
    </row>
    <row r="10966" spans="1:7" x14ac:dyDescent="0.3">
      <c r="A10966" s="198">
        <v>1128455563</v>
      </c>
      <c r="B10966" s="192" t="s">
        <v>992</v>
      </c>
      <c r="C10966" s="196">
        <v>0</v>
      </c>
      <c r="D10966" s="196">
        <v>0</v>
      </c>
      <c r="E10966" s="196">
        <v>190000</v>
      </c>
      <c r="F10966" s="196">
        <v>-190000</v>
      </c>
      <c r="G10966" s="196">
        <v>-190000</v>
      </c>
    </row>
    <row r="10967" spans="1:7" x14ac:dyDescent="0.3">
      <c r="A10967" s="198">
        <v>1045049480</v>
      </c>
      <c r="B10967" s="192" t="s">
        <v>4613</v>
      </c>
      <c r="C10967" s="196">
        <v>-315000</v>
      </c>
      <c r="D10967" s="196">
        <v>0</v>
      </c>
      <c r="E10967" s="196">
        <v>0</v>
      </c>
      <c r="F10967" s="196">
        <v>0</v>
      </c>
      <c r="G10967" s="196">
        <v>-315000</v>
      </c>
    </row>
    <row r="10968" spans="1:7" x14ac:dyDescent="0.3">
      <c r="A10968" s="198">
        <v>1037586860</v>
      </c>
      <c r="B10968" s="192" t="s">
        <v>6815</v>
      </c>
      <c r="C10968" s="196">
        <v>-193000</v>
      </c>
      <c r="D10968" s="196">
        <v>0</v>
      </c>
      <c r="E10968" s="196">
        <v>0</v>
      </c>
      <c r="F10968" s="196">
        <v>0</v>
      </c>
      <c r="G10968" s="196">
        <v>-193000</v>
      </c>
    </row>
    <row r="10969" spans="1:7" x14ac:dyDescent="0.3">
      <c r="A10969" s="198">
        <v>123162033</v>
      </c>
      <c r="B10969" s="192" t="s">
        <v>4617</v>
      </c>
      <c r="C10969" s="196">
        <v>-255000</v>
      </c>
      <c r="D10969" s="196">
        <v>0</v>
      </c>
      <c r="E10969" s="196">
        <v>0</v>
      </c>
      <c r="F10969" s="196">
        <v>0</v>
      </c>
      <c r="G10969" s="196">
        <v>-255000</v>
      </c>
    </row>
    <row r="10970" spans="1:7" x14ac:dyDescent="0.3">
      <c r="A10970" s="198">
        <v>42799886</v>
      </c>
      <c r="B10970" s="192" t="s">
        <v>999</v>
      </c>
      <c r="C10970" s="196">
        <v>0</v>
      </c>
      <c r="D10970" s="196">
        <v>0</v>
      </c>
      <c r="E10970" s="196">
        <v>190000</v>
      </c>
      <c r="F10970" s="196">
        <v>-190000</v>
      </c>
      <c r="G10970" s="196">
        <v>-190000</v>
      </c>
    </row>
    <row r="10971" spans="1:7" x14ac:dyDescent="0.3">
      <c r="A10971" s="198">
        <v>1037614498</v>
      </c>
      <c r="B10971" s="192" t="s">
        <v>4621</v>
      </c>
      <c r="C10971" s="196">
        <v>-45000</v>
      </c>
      <c r="D10971" s="196">
        <v>0</v>
      </c>
      <c r="E10971" s="196">
        <v>0</v>
      </c>
      <c r="F10971" s="196">
        <v>0</v>
      </c>
      <c r="G10971" s="196">
        <v>-45000</v>
      </c>
    </row>
    <row r="10972" spans="1:7" x14ac:dyDescent="0.3">
      <c r="A10972" s="198">
        <v>43281632</v>
      </c>
      <c r="B10972" s="192" t="s">
        <v>4622</v>
      </c>
      <c r="C10972" s="196">
        <v>-78600</v>
      </c>
      <c r="D10972" s="196">
        <v>0</v>
      </c>
      <c r="E10972" s="196">
        <v>0</v>
      </c>
      <c r="F10972" s="196">
        <v>0</v>
      </c>
      <c r="G10972" s="196">
        <v>-78600</v>
      </c>
    </row>
    <row r="10973" spans="1:7" x14ac:dyDescent="0.3">
      <c r="A10973" s="198">
        <v>1034997193</v>
      </c>
      <c r="B10973" s="192" t="s">
        <v>4627</v>
      </c>
      <c r="C10973" s="196">
        <v>-46100</v>
      </c>
      <c r="D10973" s="196">
        <v>0</v>
      </c>
      <c r="E10973" s="196">
        <v>0</v>
      </c>
      <c r="F10973" s="196">
        <v>0</v>
      </c>
      <c r="G10973" s="196">
        <v>-46100</v>
      </c>
    </row>
    <row r="10974" spans="1:7" x14ac:dyDescent="0.3">
      <c r="A10974" s="198">
        <v>1059785009</v>
      </c>
      <c r="B10974" s="192" t="s">
        <v>1005</v>
      </c>
      <c r="C10974" s="196">
        <v>0</v>
      </c>
      <c r="D10974" s="196">
        <v>0</v>
      </c>
      <c r="E10974" s="196">
        <v>46000</v>
      </c>
      <c r="F10974" s="196">
        <v>-46000</v>
      </c>
      <c r="G10974" s="196">
        <v>-46000</v>
      </c>
    </row>
    <row r="10975" spans="1:7" x14ac:dyDescent="0.3">
      <c r="A10975" s="198">
        <v>21463718</v>
      </c>
      <c r="B10975" s="192" t="s">
        <v>4650</v>
      </c>
      <c r="C10975" s="196">
        <v>-38400</v>
      </c>
      <c r="D10975" s="196">
        <v>0</v>
      </c>
      <c r="E10975" s="196">
        <v>0</v>
      </c>
      <c r="F10975" s="196">
        <v>0</v>
      </c>
      <c r="G10975" s="196">
        <v>-38400</v>
      </c>
    </row>
    <row r="10976" spans="1:7" x14ac:dyDescent="0.3">
      <c r="A10976" s="198">
        <v>1003233130</v>
      </c>
      <c r="B10976" s="192" t="s">
        <v>1007</v>
      </c>
      <c r="C10976" s="196">
        <v>0</v>
      </c>
      <c r="D10976" s="196">
        <v>0</v>
      </c>
      <c r="E10976" s="196">
        <v>587000</v>
      </c>
      <c r="F10976" s="196">
        <v>-587000</v>
      </c>
      <c r="G10976" s="196">
        <v>-587000</v>
      </c>
    </row>
    <row r="10977" spans="1:7" x14ac:dyDescent="0.3">
      <c r="A10977" s="198">
        <v>42756091</v>
      </c>
      <c r="B10977" s="192" t="s">
        <v>7265</v>
      </c>
      <c r="C10977" s="196">
        <v>-524000</v>
      </c>
      <c r="D10977" s="196">
        <v>0</v>
      </c>
      <c r="E10977" s="196">
        <v>0</v>
      </c>
      <c r="F10977" s="196">
        <v>0</v>
      </c>
      <c r="G10977" s="196">
        <v>-524000</v>
      </c>
    </row>
    <row r="10978" spans="1:7" x14ac:dyDescent="0.3">
      <c r="A10978" s="198">
        <v>1037610024</v>
      </c>
      <c r="B10978" s="192" t="s">
        <v>4653</v>
      </c>
      <c r="C10978" s="196">
        <v>-285600</v>
      </c>
      <c r="D10978" s="196">
        <v>0</v>
      </c>
      <c r="E10978" s="196">
        <v>0</v>
      </c>
      <c r="F10978" s="196">
        <v>0</v>
      </c>
      <c r="G10978" s="196">
        <v>-285600</v>
      </c>
    </row>
    <row r="10979" spans="1:7" x14ac:dyDescent="0.3">
      <c r="A10979" s="198">
        <v>43081517</v>
      </c>
      <c r="B10979" s="192" t="s">
        <v>6820</v>
      </c>
      <c r="C10979" s="196">
        <v>-96000</v>
      </c>
      <c r="D10979" s="196">
        <v>0</v>
      </c>
      <c r="E10979" s="196">
        <v>0</v>
      </c>
      <c r="F10979" s="196">
        <v>0</v>
      </c>
      <c r="G10979" s="196">
        <v>-96000</v>
      </c>
    </row>
    <row r="10980" spans="1:7" x14ac:dyDescent="0.3">
      <c r="A10980" s="198">
        <v>43160506</v>
      </c>
      <c r="B10980" s="192" t="s">
        <v>4666</v>
      </c>
      <c r="C10980" s="196">
        <v>-125200</v>
      </c>
      <c r="D10980" s="196">
        <v>0</v>
      </c>
      <c r="E10980" s="196">
        <v>0</v>
      </c>
      <c r="F10980" s="196">
        <v>0</v>
      </c>
      <c r="G10980" s="196">
        <v>-125200</v>
      </c>
    </row>
    <row r="10981" spans="1:7" x14ac:dyDescent="0.3">
      <c r="A10981" s="198">
        <v>32425925</v>
      </c>
      <c r="B10981" s="192" t="s">
        <v>4681</v>
      </c>
      <c r="C10981" s="196">
        <v>-340000</v>
      </c>
      <c r="D10981" s="196">
        <v>0</v>
      </c>
      <c r="E10981" s="196">
        <v>0</v>
      </c>
      <c r="F10981" s="196">
        <v>0</v>
      </c>
      <c r="G10981" s="196">
        <v>-340000</v>
      </c>
    </row>
    <row r="10982" spans="1:7" x14ac:dyDescent="0.3">
      <c r="A10982" s="198">
        <v>27956261</v>
      </c>
      <c r="B10982" s="192" t="s">
        <v>4687</v>
      </c>
      <c r="C10982" s="196">
        <v>-535500</v>
      </c>
      <c r="D10982" s="196">
        <v>0</v>
      </c>
      <c r="E10982" s="196">
        <v>0</v>
      </c>
      <c r="F10982" s="196">
        <v>0</v>
      </c>
      <c r="G10982" s="196">
        <v>-535500</v>
      </c>
    </row>
    <row r="10983" spans="1:7" x14ac:dyDescent="0.3">
      <c r="A10983" s="198">
        <v>34544897</v>
      </c>
      <c r="B10983" s="192" t="s">
        <v>1017</v>
      </c>
      <c r="C10983" s="196">
        <v>0</v>
      </c>
      <c r="D10983" s="196">
        <v>0</v>
      </c>
      <c r="E10983" s="196">
        <v>357000</v>
      </c>
      <c r="F10983" s="196">
        <v>-357000</v>
      </c>
      <c r="G10983" s="196">
        <v>-357000</v>
      </c>
    </row>
    <row r="10984" spans="1:7" x14ac:dyDescent="0.3">
      <c r="A10984" s="192" t="s">
        <v>4691</v>
      </c>
      <c r="B10984" s="192" t="s">
        <v>4692</v>
      </c>
      <c r="C10984" s="196">
        <v>-535500</v>
      </c>
      <c r="D10984" s="196">
        <v>0</v>
      </c>
      <c r="E10984" s="196">
        <v>0</v>
      </c>
      <c r="F10984" s="196">
        <v>0</v>
      </c>
      <c r="G10984" s="196">
        <v>-535500</v>
      </c>
    </row>
    <row r="10985" spans="1:7" x14ac:dyDescent="0.3">
      <c r="A10985" s="198">
        <v>10265145</v>
      </c>
      <c r="B10985" s="192" t="s">
        <v>4693</v>
      </c>
      <c r="C10985" s="196">
        <v>-390000</v>
      </c>
      <c r="D10985" s="196">
        <v>0</v>
      </c>
      <c r="E10985" s="196">
        <v>0</v>
      </c>
      <c r="F10985" s="196">
        <v>0</v>
      </c>
      <c r="G10985" s="196">
        <v>-390000</v>
      </c>
    </row>
    <row r="10986" spans="1:7" x14ac:dyDescent="0.3">
      <c r="A10986" s="198">
        <v>15422938</v>
      </c>
      <c r="B10986" s="192" t="s">
        <v>4694</v>
      </c>
      <c r="C10986" s="196">
        <v>-33200</v>
      </c>
      <c r="D10986" s="196">
        <v>0</v>
      </c>
      <c r="E10986" s="196">
        <v>0</v>
      </c>
      <c r="F10986" s="196">
        <v>0</v>
      </c>
      <c r="G10986" s="196">
        <v>-33200</v>
      </c>
    </row>
    <row r="10987" spans="1:7" x14ac:dyDescent="0.3">
      <c r="A10987" s="198">
        <v>71587351</v>
      </c>
      <c r="B10987" s="192" t="s">
        <v>7266</v>
      </c>
      <c r="C10987" s="196">
        <v>-33200</v>
      </c>
      <c r="D10987" s="196">
        <v>0</v>
      </c>
      <c r="E10987" s="196">
        <v>0</v>
      </c>
      <c r="F10987" s="196">
        <v>0</v>
      </c>
      <c r="G10987" s="196">
        <v>-33200</v>
      </c>
    </row>
    <row r="10988" spans="1:7" x14ac:dyDescent="0.3">
      <c r="A10988" s="198">
        <v>71605520</v>
      </c>
      <c r="B10988" s="192" t="s">
        <v>4703</v>
      </c>
      <c r="C10988" s="196">
        <v>-152000</v>
      </c>
      <c r="D10988" s="196">
        <v>0</v>
      </c>
      <c r="E10988" s="196">
        <v>0</v>
      </c>
      <c r="F10988" s="196">
        <v>0</v>
      </c>
      <c r="G10988" s="196">
        <v>-152000</v>
      </c>
    </row>
    <row r="10989" spans="1:7" x14ac:dyDescent="0.3">
      <c r="A10989" s="198">
        <v>8417045</v>
      </c>
      <c r="B10989" s="192" t="s">
        <v>4706</v>
      </c>
      <c r="C10989" s="196">
        <v>-357000</v>
      </c>
      <c r="D10989" s="196">
        <v>0</v>
      </c>
      <c r="E10989" s="196">
        <v>0</v>
      </c>
      <c r="F10989" s="196">
        <v>0</v>
      </c>
      <c r="G10989" s="196">
        <v>-357000</v>
      </c>
    </row>
    <row r="10990" spans="1:7" x14ac:dyDescent="0.3">
      <c r="A10990" s="198">
        <v>8401360</v>
      </c>
      <c r="B10990" s="192" t="s">
        <v>4707</v>
      </c>
      <c r="C10990" s="196">
        <v>-361250</v>
      </c>
      <c r="D10990" s="196">
        <v>0</v>
      </c>
      <c r="E10990" s="196">
        <v>0</v>
      </c>
      <c r="F10990" s="196">
        <v>0</v>
      </c>
      <c r="G10990" s="196">
        <v>-361250</v>
      </c>
    </row>
    <row r="10991" spans="1:7" x14ac:dyDescent="0.3">
      <c r="A10991" s="198">
        <v>72186793</v>
      </c>
      <c r="B10991" s="192" t="s">
        <v>2411</v>
      </c>
      <c r="C10991" s="196">
        <v>-121800</v>
      </c>
      <c r="D10991" s="196">
        <v>0</v>
      </c>
      <c r="E10991" s="196">
        <v>0</v>
      </c>
      <c r="F10991" s="196">
        <v>0</v>
      </c>
      <c r="G10991" s="196">
        <v>-121800</v>
      </c>
    </row>
    <row r="10992" spans="1:7" x14ac:dyDescent="0.3">
      <c r="A10992" s="198">
        <v>681076175</v>
      </c>
      <c r="B10992" s="192" t="s">
        <v>7267</v>
      </c>
      <c r="C10992" s="196">
        <v>-315000</v>
      </c>
      <c r="D10992" s="196">
        <v>0</v>
      </c>
      <c r="E10992" s="196">
        <v>0</v>
      </c>
      <c r="F10992" s="196">
        <v>0</v>
      </c>
      <c r="G10992" s="196">
        <v>-315000</v>
      </c>
    </row>
    <row r="10993" spans="1:7" x14ac:dyDescent="0.3">
      <c r="A10993" s="198">
        <v>70563535</v>
      </c>
      <c r="B10993" s="192" t="s">
        <v>4710</v>
      </c>
      <c r="C10993" s="196">
        <v>-33200</v>
      </c>
      <c r="D10993" s="196">
        <v>0</v>
      </c>
      <c r="E10993" s="196">
        <v>0</v>
      </c>
      <c r="F10993" s="196">
        <v>0</v>
      </c>
      <c r="G10993" s="196">
        <v>-33200</v>
      </c>
    </row>
    <row r="10994" spans="1:7" x14ac:dyDescent="0.3">
      <c r="A10994" s="198">
        <v>1017240218</v>
      </c>
      <c r="B10994" s="192" t="s">
        <v>4711</v>
      </c>
      <c r="C10994" s="196">
        <v>-84000</v>
      </c>
      <c r="D10994" s="196">
        <v>0</v>
      </c>
      <c r="E10994" s="196">
        <v>0</v>
      </c>
      <c r="F10994" s="196">
        <v>0</v>
      </c>
      <c r="G10994" s="196">
        <v>-84000</v>
      </c>
    </row>
    <row r="10995" spans="1:7" x14ac:dyDescent="0.3">
      <c r="A10995" s="198">
        <v>1040870902</v>
      </c>
      <c r="B10995" s="192" t="s">
        <v>4712</v>
      </c>
      <c r="C10995" s="196">
        <v>-305000</v>
      </c>
      <c r="D10995" s="196">
        <v>0</v>
      </c>
      <c r="E10995" s="196">
        <v>0</v>
      </c>
      <c r="F10995" s="196">
        <v>0</v>
      </c>
      <c r="G10995" s="196">
        <v>-305000</v>
      </c>
    </row>
    <row r="10996" spans="1:7" x14ac:dyDescent="0.3">
      <c r="A10996" s="198">
        <v>98551899</v>
      </c>
      <c r="B10996" s="192" t="s">
        <v>4716</v>
      </c>
      <c r="C10996" s="196">
        <v>-46000</v>
      </c>
      <c r="D10996" s="196">
        <v>0</v>
      </c>
      <c r="E10996" s="196">
        <v>0</v>
      </c>
      <c r="F10996" s="196">
        <v>0</v>
      </c>
      <c r="G10996" s="196">
        <v>-46000</v>
      </c>
    </row>
    <row r="10997" spans="1:7" x14ac:dyDescent="0.3">
      <c r="A10997" s="198">
        <v>73008411</v>
      </c>
      <c r="B10997" s="192" t="s">
        <v>4717</v>
      </c>
      <c r="C10997" s="196">
        <v>-175000</v>
      </c>
      <c r="D10997" s="196">
        <v>0</v>
      </c>
      <c r="E10997" s="196">
        <v>0</v>
      </c>
      <c r="F10997" s="196">
        <v>0</v>
      </c>
      <c r="G10997" s="196">
        <v>-175000</v>
      </c>
    </row>
    <row r="10998" spans="1:7" x14ac:dyDescent="0.3">
      <c r="A10998" s="198">
        <v>1037828242</v>
      </c>
      <c r="B10998" s="192" t="s">
        <v>1025</v>
      </c>
      <c r="C10998" s="196">
        <v>-96000</v>
      </c>
      <c r="D10998" s="196">
        <v>0</v>
      </c>
      <c r="E10998" s="196">
        <v>0</v>
      </c>
      <c r="F10998" s="196">
        <v>0</v>
      </c>
      <c r="G10998" s="196">
        <v>-96000</v>
      </c>
    </row>
    <row r="10999" spans="1:7" x14ac:dyDescent="0.3">
      <c r="A10999" s="198">
        <v>1151949658</v>
      </c>
      <c r="B10999" s="192" t="s">
        <v>4721</v>
      </c>
      <c r="C10999" s="196">
        <v>-79200</v>
      </c>
      <c r="D10999" s="196">
        <v>0</v>
      </c>
      <c r="E10999" s="196">
        <v>0</v>
      </c>
      <c r="F10999" s="196">
        <v>0</v>
      </c>
      <c r="G10999" s="196">
        <v>-79200</v>
      </c>
    </row>
    <row r="11000" spans="1:7" x14ac:dyDescent="0.3">
      <c r="A11000" s="198">
        <v>98591742</v>
      </c>
      <c r="B11000" s="192" t="s">
        <v>1026</v>
      </c>
      <c r="C11000" s="196">
        <v>-121800</v>
      </c>
      <c r="D11000" s="196">
        <v>0</v>
      </c>
      <c r="E11000" s="196">
        <v>0</v>
      </c>
      <c r="F11000" s="196">
        <v>0</v>
      </c>
      <c r="G11000" s="196">
        <v>-121800</v>
      </c>
    </row>
    <row r="11001" spans="1:7" x14ac:dyDescent="0.3">
      <c r="A11001" s="198">
        <v>98546376</v>
      </c>
      <c r="B11001" s="192" t="s">
        <v>4724</v>
      </c>
      <c r="C11001" s="196">
        <v>-258000</v>
      </c>
      <c r="D11001" s="196">
        <v>0</v>
      </c>
      <c r="E11001" s="196">
        <v>0</v>
      </c>
      <c r="F11001" s="196">
        <v>0</v>
      </c>
      <c r="G11001" s="196">
        <v>-258000</v>
      </c>
    </row>
    <row r="11002" spans="1:7" x14ac:dyDescent="0.3">
      <c r="A11002" s="198">
        <v>71747420</v>
      </c>
      <c r="B11002" s="192" t="s">
        <v>1027</v>
      </c>
      <c r="C11002" s="196">
        <v>-40600</v>
      </c>
      <c r="D11002" s="196">
        <v>0</v>
      </c>
      <c r="E11002" s="196">
        <v>0</v>
      </c>
      <c r="F11002" s="196">
        <v>0</v>
      </c>
      <c r="G11002" s="196">
        <v>-40600</v>
      </c>
    </row>
    <row r="11003" spans="1:7" x14ac:dyDescent="0.3">
      <c r="A11003" s="198">
        <v>1115062935</v>
      </c>
      <c r="B11003" s="192" t="s">
        <v>4732</v>
      </c>
      <c r="C11003" s="196">
        <v>-305000</v>
      </c>
      <c r="D11003" s="196">
        <v>0</v>
      </c>
      <c r="E11003" s="196">
        <v>0</v>
      </c>
      <c r="F11003" s="196">
        <v>0</v>
      </c>
      <c r="G11003" s="196">
        <v>-305000</v>
      </c>
    </row>
    <row r="11004" spans="1:7" x14ac:dyDescent="0.3">
      <c r="A11004" s="198">
        <v>9311983</v>
      </c>
      <c r="B11004" s="192" t="s">
        <v>4735</v>
      </c>
      <c r="C11004" s="196">
        <v>-162400</v>
      </c>
      <c r="D11004" s="196">
        <v>0</v>
      </c>
      <c r="E11004" s="196">
        <v>0</v>
      </c>
      <c r="F11004" s="196">
        <v>0</v>
      </c>
      <c r="G11004" s="196">
        <v>-162400</v>
      </c>
    </row>
    <row r="11005" spans="1:7" x14ac:dyDescent="0.3">
      <c r="A11005" s="198">
        <v>15241338</v>
      </c>
      <c r="B11005" s="192" t="s">
        <v>4737</v>
      </c>
      <c r="C11005" s="196">
        <v>-121800</v>
      </c>
      <c r="D11005" s="196">
        <v>0</v>
      </c>
      <c r="E11005" s="196">
        <v>0</v>
      </c>
      <c r="F11005" s="196">
        <v>0</v>
      </c>
      <c r="G11005" s="196">
        <v>-121800</v>
      </c>
    </row>
    <row r="11006" spans="1:7" x14ac:dyDescent="0.3">
      <c r="A11006" s="198">
        <v>12973190</v>
      </c>
      <c r="B11006" s="192" t="s">
        <v>1029</v>
      </c>
      <c r="C11006" s="196">
        <v>-46000</v>
      </c>
      <c r="D11006" s="196">
        <v>0</v>
      </c>
      <c r="E11006" s="196">
        <v>0</v>
      </c>
      <c r="F11006" s="196">
        <v>0</v>
      </c>
      <c r="G11006" s="196">
        <v>-46000</v>
      </c>
    </row>
    <row r="11007" spans="1:7" x14ac:dyDescent="0.3">
      <c r="A11007" s="198">
        <v>1036253358</v>
      </c>
      <c r="B11007" s="192" t="s">
        <v>4741</v>
      </c>
      <c r="C11007" s="196">
        <v>-112400</v>
      </c>
      <c r="D11007" s="196">
        <v>0</v>
      </c>
      <c r="E11007" s="196">
        <v>0</v>
      </c>
      <c r="F11007" s="196">
        <v>0</v>
      </c>
      <c r="G11007" s="196">
        <v>-112400</v>
      </c>
    </row>
    <row r="11008" spans="1:7" x14ac:dyDescent="0.3">
      <c r="A11008" s="198">
        <v>1021923067</v>
      </c>
      <c r="B11008" s="192" t="s">
        <v>4744</v>
      </c>
      <c r="C11008" s="196">
        <v>-200000</v>
      </c>
      <c r="D11008" s="196">
        <v>0</v>
      </c>
      <c r="E11008" s="196">
        <v>0</v>
      </c>
      <c r="F11008" s="196">
        <v>0</v>
      </c>
      <c r="G11008" s="196">
        <v>-200000</v>
      </c>
    </row>
    <row r="11009" spans="1:7" x14ac:dyDescent="0.3">
      <c r="A11009" s="198">
        <v>1017224559</v>
      </c>
      <c r="B11009" s="192" t="s">
        <v>4750</v>
      </c>
      <c r="C11009" s="196">
        <v>-315000</v>
      </c>
      <c r="D11009" s="196">
        <v>0</v>
      </c>
      <c r="E11009" s="196">
        <v>0</v>
      </c>
      <c r="F11009" s="196">
        <v>0</v>
      </c>
      <c r="G11009" s="196">
        <v>-315000</v>
      </c>
    </row>
    <row r="11010" spans="1:7" x14ac:dyDescent="0.3">
      <c r="A11010" s="198">
        <v>1017259596</v>
      </c>
      <c r="B11010" s="192" t="s">
        <v>4753</v>
      </c>
      <c r="C11010" s="196">
        <v>-79200</v>
      </c>
      <c r="D11010" s="196">
        <v>0</v>
      </c>
      <c r="E11010" s="196">
        <v>0</v>
      </c>
      <c r="F11010" s="196">
        <v>0</v>
      </c>
      <c r="G11010" s="196">
        <v>-79200</v>
      </c>
    </row>
    <row r="11011" spans="1:7" x14ac:dyDescent="0.3">
      <c r="A11011" s="198">
        <v>1037524504</v>
      </c>
      <c r="B11011" s="192" t="s">
        <v>6833</v>
      </c>
      <c r="C11011" s="196">
        <v>-193000</v>
      </c>
      <c r="D11011" s="196">
        <v>0</v>
      </c>
      <c r="E11011" s="196">
        <v>0</v>
      </c>
      <c r="F11011" s="196">
        <v>0</v>
      </c>
      <c r="G11011" s="196">
        <v>-193000</v>
      </c>
    </row>
    <row r="11012" spans="1:7" x14ac:dyDescent="0.3">
      <c r="A11012" s="198">
        <v>1036664669</v>
      </c>
      <c r="B11012" s="192" t="s">
        <v>4755</v>
      </c>
      <c r="C11012" s="196">
        <v>-79200</v>
      </c>
      <c r="D11012" s="196">
        <v>0</v>
      </c>
      <c r="E11012" s="196">
        <v>0</v>
      </c>
      <c r="F11012" s="196">
        <v>0</v>
      </c>
      <c r="G11012" s="196">
        <v>-79200</v>
      </c>
    </row>
    <row r="11013" spans="1:7" x14ac:dyDescent="0.3">
      <c r="A11013" s="198">
        <v>52387024</v>
      </c>
      <c r="B11013" s="192" t="s">
        <v>4758</v>
      </c>
      <c r="C11013" s="196">
        <v>-285600</v>
      </c>
      <c r="D11013" s="196">
        <v>0</v>
      </c>
      <c r="E11013" s="196">
        <v>0</v>
      </c>
      <c r="F11013" s="196">
        <v>0</v>
      </c>
      <c r="G11013" s="196">
        <v>-285600</v>
      </c>
    </row>
    <row r="11014" spans="1:7" x14ac:dyDescent="0.3">
      <c r="A11014" s="198">
        <v>43749093</v>
      </c>
      <c r="B11014" s="192" t="s">
        <v>4760</v>
      </c>
      <c r="C11014" s="196">
        <v>-357000</v>
      </c>
      <c r="D11014" s="196">
        <v>0</v>
      </c>
      <c r="E11014" s="196">
        <v>0</v>
      </c>
      <c r="F11014" s="196">
        <v>0</v>
      </c>
      <c r="G11014" s="196">
        <v>-357000</v>
      </c>
    </row>
    <row r="11015" spans="1:7" x14ac:dyDescent="0.3">
      <c r="A11015" s="198">
        <v>1152212413</v>
      </c>
      <c r="B11015" s="192" t="s">
        <v>6836</v>
      </c>
      <c r="C11015" s="196">
        <v>-193000</v>
      </c>
      <c r="D11015" s="196">
        <v>0</v>
      </c>
      <c r="E11015" s="196">
        <v>0</v>
      </c>
      <c r="F11015" s="196">
        <v>0</v>
      </c>
      <c r="G11015" s="196">
        <v>-193000</v>
      </c>
    </row>
    <row r="11016" spans="1:7" x14ac:dyDescent="0.3">
      <c r="A11016" s="198">
        <v>1061698686</v>
      </c>
      <c r="B11016" s="192" t="s">
        <v>1038</v>
      </c>
      <c r="C11016" s="196">
        <v>0</v>
      </c>
      <c r="D11016" s="196">
        <v>96500</v>
      </c>
      <c r="E11016" s="196">
        <v>289500</v>
      </c>
      <c r="F11016" s="196">
        <v>-193000</v>
      </c>
      <c r="G11016" s="196">
        <v>-193000</v>
      </c>
    </row>
    <row r="11017" spans="1:7" x14ac:dyDescent="0.3">
      <c r="A11017" s="198">
        <v>1037502739</v>
      </c>
      <c r="B11017" s="192" t="s">
        <v>4762</v>
      </c>
      <c r="C11017" s="196">
        <v>-125200</v>
      </c>
      <c r="D11017" s="196">
        <v>0</v>
      </c>
      <c r="E11017" s="196">
        <v>0</v>
      </c>
      <c r="F11017" s="196">
        <v>0</v>
      </c>
      <c r="G11017" s="196">
        <v>-125200</v>
      </c>
    </row>
    <row r="11018" spans="1:7" x14ac:dyDescent="0.3">
      <c r="A11018" s="198">
        <v>1026140853</v>
      </c>
      <c r="B11018" s="192" t="s">
        <v>1039</v>
      </c>
      <c r="C11018" s="196">
        <v>0</v>
      </c>
      <c r="D11018" s="196">
        <v>0</v>
      </c>
      <c r="E11018" s="196">
        <v>190000</v>
      </c>
      <c r="F11018" s="196">
        <v>-190000</v>
      </c>
      <c r="G11018" s="196">
        <v>-190000</v>
      </c>
    </row>
    <row r="11019" spans="1:7" x14ac:dyDescent="0.3">
      <c r="A11019" s="198">
        <v>665927691</v>
      </c>
      <c r="B11019" s="192" t="s">
        <v>4769</v>
      </c>
      <c r="C11019" s="196">
        <v>-347000</v>
      </c>
      <c r="D11019" s="196">
        <v>0</v>
      </c>
      <c r="E11019" s="196">
        <v>0</v>
      </c>
      <c r="F11019" s="196">
        <v>0</v>
      </c>
      <c r="G11019" s="196">
        <v>-347000</v>
      </c>
    </row>
    <row r="11020" spans="1:7" x14ac:dyDescent="0.3">
      <c r="A11020" s="198">
        <v>43726648</v>
      </c>
      <c r="B11020" s="192" t="s">
        <v>7268</v>
      </c>
      <c r="C11020" s="196">
        <v>-524000</v>
      </c>
      <c r="D11020" s="196">
        <v>0</v>
      </c>
      <c r="E11020" s="196">
        <v>0</v>
      </c>
      <c r="F11020" s="196">
        <v>0</v>
      </c>
      <c r="G11020" s="196">
        <v>-524000</v>
      </c>
    </row>
    <row r="11021" spans="1:7" x14ac:dyDescent="0.3">
      <c r="A11021" s="198">
        <v>21853492</v>
      </c>
      <c r="B11021" s="192" t="s">
        <v>6843</v>
      </c>
      <c r="C11021" s="196">
        <v>-40600</v>
      </c>
      <c r="D11021" s="196">
        <v>0</v>
      </c>
      <c r="E11021" s="196">
        <v>0</v>
      </c>
      <c r="F11021" s="196">
        <v>0</v>
      </c>
      <c r="G11021" s="196">
        <v>-40600</v>
      </c>
    </row>
    <row r="11022" spans="1:7" x14ac:dyDescent="0.3">
      <c r="A11022" s="198">
        <v>57423123</v>
      </c>
      <c r="B11022" s="192" t="s">
        <v>1041</v>
      </c>
      <c r="C11022" s="196">
        <v>0</v>
      </c>
      <c r="D11022" s="196">
        <v>0</v>
      </c>
      <c r="E11022" s="196">
        <v>81200</v>
      </c>
      <c r="F11022" s="196">
        <v>-81200</v>
      </c>
      <c r="G11022" s="196">
        <v>-81200</v>
      </c>
    </row>
    <row r="11023" spans="1:7" x14ac:dyDescent="0.3">
      <c r="A11023" s="198">
        <v>1040518695</v>
      </c>
      <c r="B11023" s="192" t="s">
        <v>4778</v>
      </c>
      <c r="C11023" s="196">
        <v>-305000</v>
      </c>
      <c r="D11023" s="196">
        <v>0</v>
      </c>
      <c r="E11023" s="196">
        <v>0</v>
      </c>
      <c r="F11023" s="196">
        <v>0</v>
      </c>
      <c r="G11023" s="196">
        <v>-305000</v>
      </c>
    </row>
    <row r="11024" spans="1:7" x14ac:dyDescent="0.3">
      <c r="A11024" s="198">
        <v>43094703</v>
      </c>
      <c r="B11024" s="192" t="s">
        <v>1044</v>
      </c>
      <c r="C11024" s="196">
        <v>0</v>
      </c>
      <c r="D11024" s="196">
        <v>0</v>
      </c>
      <c r="E11024" s="196">
        <v>357000</v>
      </c>
      <c r="F11024" s="196">
        <v>-357000</v>
      </c>
      <c r="G11024" s="196">
        <v>-357000</v>
      </c>
    </row>
    <row r="11025" spans="1:7" x14ac:dyDescent="0.3">
      <c r="A11025" s="198">
        <v>21862113</v>
      </c>
      <c r="B11025" s="192" t="s">
        <v>7269</v>
      </c>
      <c r="C11025" s="196">
        <v>-641550</v>
      </c>
      <c r="D11025" s="196">
        <v>0</v>
      </c>
      <c r="E11025" s="196">
        <v>0</v>
      </c>
      <c r="F11025" s="196">
        <v>0</v>
      </c>
      <c r="G11025" s="196">
        <v>-641550</v>
      </c>
    </row>
    <row r="11026" spans="1:7" x14ac:dyDescent="0.3">
      <c r="A11026" s="198">
        <v>39164680</v>
      </c>
      <c r="B11026" s="192" t="s">
        <v>1046</v>
      </c>
      <c r="C11026" s="196">
        <v>-40600</v>
      </c>
      <c r="D11026" s="196">
        <v>0</v>
      </c>
      <c r="E11026" s="196">
        <v>0</v>
      </c>
      <c r="F11026" s="196">
        <v>0</v>
      </c>
      <c r="G11026" s="196">
        <v>-40600</v>
      </c>
    </row>
    <row r="11027" spans="1:7" x14ac:dyDescent="0.3">
      <c r="A11027" s="198">
        <v>1036404478</v>
      </c>
      <c r="B11027" s="192" t="s">
        <v>1047</v>
      </c>
      <c r="C11027" s="196">
        <v>-193000</v>
      </c>
      <c r="D11027" s="196">
        <v>192999</v>
      </c>
      <c r="E11027" s="196">
        <v>0</v>
      </c>
      <c r="F11027" s="196">
        <v>192999</v>
      </c>
      <c r="G11027" s="196">
        <v>-1</v>
      </c>
    </row>
    <row r="11028" spans="1:7" x14ac:dyDescent="0.3">
      <c r="A11028" s="198">
        <v>30563567</v>
      </c>
      <c r="B11028" s="192" t="s">
        <v>4787</v>
      </c>
      <c r="C11028" s="196">
        <v>-285600</v>
      </c>
      <c r="D11028" s="196">
        <v>0</v>
      </c>
      <c r="E11028" s="196">
        <v>0</v>
      </c>
      <c r="F11028" s="196">
        <v>0</v>
      </c>
      <c r="G11028" s="196">
        <v>-285600</v>
      </c>
    </row>
    <row r="11029" spans="1:7" x14ac:dyDescent="0.3">
      <c r="A11029" s="198">
        <v>43529555</v>
      </c>
      <c r="B11029" s="192" t="s">
        <v>4788</v>
      </c>
      <c r="C11029" s="196">
        <v>-46000</v>
      </c>
      <c r="D11029" s="196">
        <v>0</v>
      </c>
      <c r="E11029" s="196">
        <v>0</v>
      </c>
      <c r="F11029" s="196">
        <v>0</v>
      </c>
      <c r="G11029" s="196">
        <v>-46000</v>
      </c>
    </row>
    <row r="11030" spans="1:7" x14ac:dyDescent="0.3">
      <c r="A11030" s="198">
        <v>42869883</v>
      </c>
      <c r="B11030" s="192" t="s">
        <v>4791</v>
      </c>
      <c r="C11030" s="196">
        <v>-81200</v>
      </c>
      <c r="D11030" s="196">
        <v>0</v>
      </c>
      <c r="E11030" s="196">
        <v>0</v>
      </c>
      <c r="F11030" s="196">
        <v>0</v>
      </c>
      <c r="G11030" s="196">
        <v>-81200</v>
      </c>
    </row>
    <row r="11031" spans="1:7" x14ac:dyDescent="0.3">
      <c r="A11031" s="198">
        <v>30389399</v>
      </c>
      <c r="B11031" s="192" t="s">
        <v>6846</v>
      </c>
      <c r="C11031" s="196">
        <v>-347000</v>
      </c>
      <c r="D11031" s="196">
        <v>0</v>
      </c>
      <c r="E11031" s="196">
        <v>0</v>
      </c>
      <c r="F11031" s="196">
        <v>0</v>
      </c>
      <c r="G11031" s="196">
        <v>-347000</v>
      </c>
    </row>
    <row r="11032" spans="1:7" x14ac:dyDescent="0.3">
      <c r="A11032" s="198">
        <v>32503400</v>
      </c>
      <c r="B11032" s="192" t="s">
        <v>4801</v>
      </c>
      <c r="C11032" s="196">
        <v>-514000</v>
      </c>
      <c r="D11032" s="196">
        <v>0</v>
      </c>
      <c r="E11032" s="196">
        <v>0</v>
      </c>
      <c r="F11032" s="196">
        <v>0</v>
      </c>
      <c r="G11032" s="196">
        <v>-514000</v>
      </c>
    </row>
    <row r="11033" spans="1:7" x14ac:dyDescent="0.3">
      <c r="A11033" s="198">
        <v>42872043</v>
      </c>
      <c r="B11033" s="192" t="s">
        <v>7270</v>
      </c>
      <c r="C11033" s="196">
        <v>-80000</v>
      </c>
      <c r="D11033" s="196">
        <v>0</v>
      </c>
      <c r="E11033" s="196">
        <v>0</v>
      </c>
      <c r="F11033" s="196">
        <v>0</v>
      </c>
      <c r="G11033" s="196">
        <v>-80000</v>
      </c>
    </row>
    <row r="11034" spans="1:7" x14ac:dyDescent="0.3">
      <c r="A11034" s="198">
        <v>32451719</v>
      </c>
      <c r="B11034" s="192" t="s">
        <v>4808</v>
      </c>
      <c r="C11034" s="196">
        <v>-46000</v>
      </c>
      <c r="D11034" s="196">
        <v>0</v>
      </c>
      <c r="E11034" s="196">
        <v>0</v>
      </c>
      <c r="F11034" s="196">
        <v>0</v>
      </c>
      <c r="G11034" s="196">
        <v>-46000</v>
      </c>
    </row>
    <row r="11035" spans="1:7" x14ac:dyDescent="0.3">
      <c r="A11035" s="198">
        <v>32461055</v>
      </c>
      <c r="B11035" s="192" t="s">
        <v>1055</v>
      </c>
      <c r="C11035" s="196">
        <v>-49000</v>
      </c>
      <c r="D11035" s="196">
        <v>0</v>
      </c>
      <c r="E11035" s="196">
        <v>0</v>
      </c>
      <c r="F11035" s="196">
        <v>0</v>
      </c>
      <c r="G11035" s="196">
        <v>-49000</v>
      </c>
    </row>
    <row r="11036" spans="1:7" x14ac:dyDescent="0.3">
      <c r="A11036" s="198">
        <v>32430224</v>
      </c>
      <c r="B11036" s="192" t="s">
        <v>1056</v>
      </c>
      <c r="C11036" s="196">
        <v>-88000</v>
      </c>
      <c r="D11036" s="196">
        <v>0</v>
      </c>
      <c r="E11036" s="196">
        <v>258000</v>
      </c>
      <c r="F11036" s="196">
        <v>-258000</v>
      </c>
      <c r="G11036" s="196">
        <v>-346000</v>
      </c>
    </row>
    <row r="11037" spans="1:7" x14ac:dyDescent="0.3">
      <c r="A11037" s="198">
        <v>32528211</v>
      </c>
      <c r="B11037" s="192" t="s">
        <v>7271</v>
      </c>
      <c r="C11037" s="196">
        <v>-98000</v>
      </c>
      <c r="D11037" s="196">
        <v>0</v>
      </c>
      <c r="E11037" s="196">
        <v>0</v>
      </c>
      <c r="F11037" s="196">
        <v>0</v>
      </c>
      <c r="G11037" s="196">
        <v>-98000</v>
      </c>
    </row>
    <row r="11038" spans="1:7" x14ac:dyDescent="0.3">
      <c r="A11038" s="198">
        <v>42749728</v>
      </c>
      <c r="B11038" s="192" t="s">
        <v>7272</v>
      </c>
      <c r="C11038" s="196">
        <v>-357000</v>
      </c>
      <c r="D11038" s="196">
        <v>0</v>
      </c>
      <c r="E11038" s="196">
        <v>0</v>
      </c>
      <c r="F11038" s="196">
        <v>0</v>
      </c>
      <c r="G11038" s="196">
        <v>-357000</v>
      </c>
    </row>
    <row r="11039" spans="1:7" x14ac:dyDescent="0.3">
      <c r="A11039" s="198">
        <v>32346675</v>
      </c>
      <c r="B11039" s="192" t="s">
        <v>4811</v>
      </c>
      <c r="C11039" s="196">
        <v>-357000</v>
      </c>
      <c r="D11039" s="196">
        <v>0</v>
      </c>
      <c r="E11039" s="196">
        <v>0</v>
      </c>
      <c r="F11039" s="196">
        <v>0</v>
      </c>
      <c r="G11039" s="196">
        <v>-357000</v>
      </c>
    </row>
    <row r="11040" spans="1:7" x14ac:dyDescent="0.3">
      <c r="A11040" s="198">
        <v>21356788</v>
      </c>
      <c r="B11040" s="192" t="s">
        <v>7273</v>
      </c>
      <c r="C11040" s="196">
        <v>-46000</v>
      </c>
      <c r="D11040" s="196">
        <v>0</v>
      </c>
      <c r="E11040" s="196">
        <v>0</v>
      </c>
      <c r="F11040" s="196">
        <v>0</v>
      </c>
      <c r="G11040" s="196">
        <v>-46000</v>
      </c>
    </row>
    <row r="11041" spans="1:7" x14ac:dyDescent="0.3">
      <c r="A11041" s="198">
        <v>43507216</v>
      </c>
      <c r="B11041" s="192" t="s">
        <v>1058</v>
      </c>
      <c r="C11041" s="196">
        <v>0</v>
      </c>
      <c r="D11041" s="196">
        <v>0</v>
      </c>
      <c r="E11041" s="196">
        <v>50900</v>
      </c>
      <c r="F11041" s="196">
        <v>-50900</v>
      </c>
      <c r="G11041" s="196">
        <v>-50900</v>
      </c>
    </row>
    <row r="11042" spans="1:7" x14ac:dyDescent="0.3">
      <c r="A11042" s="198">
        <v>21823352</v>
      </c>
      <c r="B11042" s="192" t="s">
        <v>7274</v>
      </c>
      <c r="C11042" s="196">
        <v>-357000</v>
      </c>
      <c r="D11042" s="196">
        <v>0</v>
      </c>
      <c r="E11042" s="196">
        <v>0</v>
      </c>
      <c r="F11042" s="196">
        <v>0</v>
      </c>
      <c r="G11042" s="196">
        <v>-357000</v>
      </c>
    </row>
    <row r="11043" spans="1:7" x14ac:dyDescent="0.3">
      <c r="A11043" s="198">
        <v>1067863207</v>
      </c>
      <c r="B11043" s="192" t="s">
        <v>7275</v>
      </c>
      <c r="C11043" s="196">
        <v>-175000</v>
      </c>
      <c r="D11043" s="196">
        <v>0</v>
      </c>
      <c r="E11043" s="196">
        <v>0</v>
      </c>
      <c r="F11043" s="196">
        <v>0</v>
      </c>
      <c r="G11043" s="196">
        <v>-175000</v>
      </c>
    </row>
    <row r="11044" spans="1:7" x14ac:dyDescent="0.3">
      <c r="A11044" s="198">
        <v>42750545</v>
      </c>
      <c r="B11044" s="192" t="s">
        <v>4815</v>
      </c>
      <c r="C11044" s="196">
        <v>-104700</v>
      </c>
      <c r="D11044" s="196">
        <v>0</v>
      </c>
      <c r="E11044" s="196">
        <v>0</v>
      </c>
      <c r="F11044" s="196">
        <v>0</v>
      </c>
      <c r="G11044" s="196">
        <v>-104700</v>
      </c>
    </row>
    <row r="11045" spans="1:7" x14ac:dyDescent="0.3">
      <c r="A11045" s="198">
        <v>22154243</v>
      </c>
      <c r="B11045" s="192" t="s">
        <v>4817</v>
      </c>
      <c r="C11045" s="196">
        <v>-49000</v>
      </c>
      <c r="D11045" s="196">
        <v>0</v>
      </c>
      <c r="E11045" s="196">
        <v>0</v>
      </c>
      <c r="F11045" s="196">
        <v>0</v>
      </c>
      <c r="G11045" s="196">
        <v>-49000</v>
      </c>
    </row>
    <row r="11046" spans="1:7" x14ac:dyDescent="0.3">
      <c r="A11046" s="198">
        <v>42748761</v>
      </c>
      <c r="B11046" s="192" t="s">
        <v>1061</v>
      </c>
      <c r="C11046" s="196">
        <v>0</v>
      </c>
      <c r="D11046" s="196">
        <v>0</v>
      </c>
      <c r="E11046" s="196">
        <v>30000</v>
      </c>
      <c r="F11046" s="196">
        <v>-30000</v>
      </c>
      <c r="G11046" s="196">
        <v>-30000</v>
      </c>
    </row>
    <row r="11047" spans="1:7" x14ac:dyDescent="0.3">
      <c r="A11047" s="198">
        <v>24568350</v>
      </c>
      <c r="B11047" s="192" t="s">
        <v>4819</v>
      </c>
      <c r="C11047" s="196">
        <v>-383000</v>
      </c>
      <c r="D11047" s="196">
        <v>0</v>
      </c>
      <c r="E11047" s="196">
        <v>0</v>
      </c>
      <c r="F11047" s="196">
        <v>0</v>
      </c>
      <c r="G11047" s="196">
        <v>-383000</v>
      </c>
    </row>
    <row r="11048" spans="1:7" x14ac:dyDescent="0.3">
      <c r="A11048" s="198">
        <v>39773437</v>
      </c>
      <c r="B11048" s="192" t="s">
        <v>7276</v>
      </c>
      <c r="C11048" s="196">
        <v>-35300</v>
      </c>
      <c r="D11048" s="196">
        <v>0</v>
      </c>
      <c r="E11048" s="196">
        <v>0</v>
      </c>
      <c r="F11048" s="196">
        <v>0</v>
      </c>
      <c r="G11048" s="196">
        <v>-35300</v>
      </c>
    </row>
    <row r="11049" spans="1:7" x14ac:dyDescent="0.3">
      <c r="A11049" s="198">
        <v>1045748648</v>
      </c>
      <c r="B11049" s="192" t="s">
        <v>1062</v>
      </c>
      <c r="C11049" s="196">
        <v>0</v>
      </c>
      <c r="D11049" s="196">
        <v>0</v>
      </c>
      <c r="E11049" s="196">
        <v>79200</v>
      </c>
      <c r="F11049" s="196">
        <v>-79200</v>
      </c>
      <c r="G11049" s="196">
        <v>-79200</v>
      </c>
    </row>
    <row r="11050" spans="1:7" x14ac:dyDescent="0.3">
      <c r="A11050" s="198">
        <v>1000654854</v>
      </c>
      <c r="B11050" s="192" t="s">
        <v>4831</v>
      </c>
      <c r="C11050" s="196">
        <v>-315000</v>
      </c>
      <c r="D11050" s="196">
        <v>0</v>
      </c>
      <c r="E11050" s="196">
        <v>0</v>
      </c>
      <c r="F11050" s="196">
        <v>0</v>
      </c>
      <c r="G11050" s="196">
        <v>-315000</v>
      </c>
    </row>
    <row r="11051" spans="1:7" x14ac:dyDescent="0.3">
      <c r="A11051" s="192" t="s">
        <v>4838</v>
      </c>
      <c r="B11051" s="192" t="s">
        <v>4839</v>
      </c>
      <c r="C11051" s="196">
        <v>-305000</v>
      </c>
      <c r="D11051" s="196">
        <v>0</v>
      </c>
      <c r="E11051" s="196">
        <v>0</v>
      </c>
      <c r="F11051" s="196">
        <v>0</v>
      </c>
      <c r="G11051" s="196">
        <v>-305000</v>
      </c>
    </row>
    <row r="11052" spans="1:7" x14ac:dyDescent="0.3">
      <c r="A11052" s="198">
        <v>42901095</v>
      </c>
      <c r="B11052" s="192" t="s">
        <v>1069</v>
      </c>
      <c r="C11052" s="196">
        <v>-33200</v>
      </c>
      <c r="D11052" s="196">
        <v>0</v>
      </c>
      <c r="E11052" s="196">
        <v>0</v>
      </c>
      <c r="F11052" s="196">
        <v>0</v>
      </c>
      <c r="G11052" s="196">
        <v>-33200</v>
      </c>
    </row>
    <row r="11053" spans="1:7" x14ac:dyDescent="0.3">
      <c r="A11053" s="198">
        <v>1115448418</v>
      </c>
      <c r="B11053" s="192" t="s">
        <v>4845</v>
      </c>
      <c r="C11053" s="196">
        <v>-203000</v>
      </c>
      <c r="D11053" s="196">
        <v>0</v>
      </c>
      <c r="E11053" s="196">
        <v>0</v>
      </c>
      <c r="F11053" s="196">
        <v>0</v>
      </c>
      <c r="G11053" s="196">
        <v>-203000</v>
      </c>
    </row>
    <row r="11054" spans="1:7" x14ac:dyDescent="0.3">
      <c r="A11054" s="198">
        <v>91472962</v>
      </c>
      <c r="B11054" s="192" t="s">
        <v>4852</v>
      </c>
      <c r="C11054" s="196">
        <v>-92000</v>
      </c>
      <c r="D11054" s="196">
        <v>0</v>
      </c>
      <c r="E11054" s="196">
        <v>0</v>
      </c>
      <c r="F11054" s="196">
        <v>0</v>
      </c>
      <c r="G11054" s="196">
        <v>-92000</v>
      </c>
    </row>
    <row r="11055" spans="1:7" x14ac:dyDescent="0.3">
      <c r="A11055" s="198">
        <v>1000549403</v>
      </c>
      <c r="B11055" s="192" t="s">
        <v>1073</v>
      </c>
      <c r="C11055" s="196">
        <v>0</v>
      </c>
      <c r="D11055" s="196">
        <v>347000</v>
      </c>
      <c r="E11055" s="196">
        <v>694000</v>
      </c>
      <c r="F11055" s="196">
        <v>-347000</v>
      </c>
      <c r="G11055" s="196">
        <v>-347000</v>
      </c>
    </row>
    <row r="11056" spans="1:7" x14ac:dyDescent="0.3">
      <c r="A11056" s="198">
        <v>1038540158</v>
      </c>
      <c r="B11056" s="192" t="s">
        <v>1074</v>
      </c>
      <c r="C11056" s="196">
        <v>-305000</v>
      </c>
      <c r="D11056" s="196">
        <v>0</v>
      </c>
      <c r="E11056" s="196">
        <v>0</v>
      </c>
      <c r="F11056" s="196">
        <v>0</v>
      </c>
      <c r="G11056" s="196">
        <v>-305000</v>
      </c>
    </row>
    <row r="11057" spans="1:7" x14ac:dyDescent="0.3">
      <c r="A11057" s="198">
        <v>1152212517</v>
      </c>
      <c r="B11057" s="192" t="s">
        <v>4863</v>
      </c>
      <c r="C11057" s="196">
        <v>-46100</v>
      </c>
      <c r="D11057" s="196">
        <v>0</v>
      </c>
      <c r="E11057" s="196">
        <v>0</v>
      </c>
      <c r="F11057" s="196">
        <v>0</v>
      </c>
      <c r="G11057" s="196">
        <v>-46100</v>
      </c>
    </row>
    <row r="11058" spans="1:7" x14ac:dyDescent="0.3">
      <c r="A11058" s="198">
        <v>43867582</v>
      </c>
      <c r="B11058" s="192" t="s">
        <v>2417</v>
      </c>
      <c r="C11058" s="196">
        <v>-43000</v>
      </c>
      <c r="D11058" s="196">
        <v>0</v>
      </c>
      <c r="E11058" s="196">
        <v>0</v>
      </c>
      <c r="F11058" s="196">
        <v>0</v>
      </c>
      <c r="G11058" s="196">
        <v>-43000</v>
      </c>
    </row>
    <row r="11059" spans="1:7" x14ac:dyDescent="0.3">
      <c r="A11059" s="198">
        <v>1037585869</v>
      </c>
      <c r="B11059" s="192" t="s">
        <v>4868</v>
      </c>
      <c r="C11059" s="196">
        <v>-79300</v>
      </c>
      <c r="D11059" s="196">
        <v>0</v>
      </c>
      <c r="E11059" s="196">
        <v>0</v>
      </c>
      <c r="F11059" s="196">
        <v>0</v>
      </c>
      <c r="G11059" s="196">
        <v>-79300</v>
      </c>
    </row>
    <row r="11060" spans="1:7" x14ac:dyDescent="0.3">
      <c r="A11060" s="198">
        <v>1020478617</v>
      </c>
      <c r="B11060" s="192" t="s">
        <v>1078</v>
      </c>
      <c r="C11060" s="196">
        <v>-1</v>
      </c>
      <c r="D11060" s="196">
        <v>0</v>
      </c>
      <c r="E11060" s="196">
        <v>0</v>
      </c>
      <c r="F11060" s="196">
        <v>0</v>
      </c>
      <c r="G11060" s="196">
        <v>-1</v>
      </c>
    </row>
    <row r="11061" spans="1:7" x14ac:dyDescent="0.3">
      <c r="A11061" s="198">
        <v>1034990623</v>
      </c>
      <c r="B11061" s="192" t="s">
        <v>4873</v>
      </c>
      <c r="C11061" s="196">
        <v>-79200</v>
      </c>
      <c r="D11061" s="196">
        <v>0</v>
      </c>
      <c r="E11061" s="196">
        <v>0</v>
      </c>
      <c r="F11061" s="196">
        <v>0</v>
      </c>
      <c r="G11061" s="196">
        <v>-79200</v>
      </c>
    </row>
    <row r="11062" spans="1:7" x14ac:dyDescent="0.3">
      <c r="A11062" s="198">
        <v>1036667015</v>
      </c>
      <c r="B11062" s="192" t="s">
        <v>1079</v>
      </c>
      <c r="C11062" s="196">
        <v>0</v>
      </c>
      <c r="D11062" s="196">
        <v>0</v>
      </c>
      <c r="E11062" s="196">
        <v>380000</v>
      </c>
      <c r="F11062" s="196">
        <v>-380000</v>
      </c>
      <c r="G11062" s="196">
        <v>-380000</v>
      </c>
    </row>
    <row r="11063" spans="1:7" x14ac:dyDescent="0.3">
      <c r="A11063" s="198">
        <v>50903912</v>
      </c>
      <c r="B11063" s="192" t="s">
        <v>4881</v>
      </c>
      <c r="C11063" s="196">
        <v>-79300</v>
      </c>
      <c r="D11063" s="196">
        <v>0</v>
      </c>
      <c r="E11063" s="196">
        <v>0</v>
      </c>
      <c r="F11063" s="196">
        <v>0</v>
      </c>
      <c r="G11063" s="196">
        <v>-79300</v>
      </c>
    </row>
    <row r="11064" spans="1:7" x14ac:dyDescent="0.3">
      <c r="A11064" s="198">
        <v>32108229</v>
      </c>
      <c r="B11064" s="192" t="s">
        <v>4883</v>
      </c>
      <c r="C11064" s="196">
        <v>-79300</v>
      </c>
      <c r="D11064" s="196">
        <v>0</v>
      </c>
      <c r="E11064" s="196">
        <v>0</v>
      </c>
      <c r="F11064" s="196">
        <v>0</v>
      </c>
      <c r="G11064" s="196">
        <v>-79300</v>
      </c>
    </row>
    <row r="11065" spans="1:7" x14ac:dyDescent="0.3">
      <c r="A11065" s="198">
        <v>43811637</v>
      </c>
      <c r="B11065" s="192" t="s">
        <v>4884</v>
      </c>
      <c r="C11065" s="196">
        <v>-79300</v>
      </c>
      <c r="D11065" s="196">
        <v>0</v>
      </c>
      <c r="E11065" s="196">
        <v>0</v>
      </c>
      <c r="F11065" s="196">
        <v>0</v>
      </c>
      <c r="G11065" s="196">
        <v>-79300</v>
      </c>
    </row>
    <row r="11066" spans="1:7" x14ac:dyDescent="0.3">
      <c r="A11066" s="198">
        <v>42896151</v>
      </c>
      <c r="B11066" s="192" t="s">
        <v>7277</v>
      </c>
      <c r="C11066" s="196">
        <v>-46100</v>
      </c>
      <c r="D11066" s="196">
        <v>0</v>
      </c>
      <c r="E11066" s="196">
        <v>0</v>
      </c>
      <c r="F11066" s="196">
        <v>0</v>
      </c>
      <c r="G11066" s="196">
        <v>-46100</v>
      </c>
    </row>
    <row r="11067" spans="1:7" x14ac:dyDescent="0.3">
      <c r="A11067" s="198">
        <v>1128268826</v>
      </c>
      <c r="B11067" s="192" t="s">
        <v>1082</v>
      </c>
      <c r="C11067" s="196">
        <v>0</v>
      </c>
      <c r="D11067" s="196">
        <v>0</v>
      </c>
      <c r="E11067" s="196">
        <v>79300</v>
      </c>
      <c r="F11067" s="196">
        <v>-79300</v>
      </c>
      <c r="G11067" s="196">
        <v>-79300</v>
      </c>
    </row>
    <row r="11068" spans="1:7" x14ac:dyDescent="0.3">
      <c r="A11068" s="198">
        <v>43987234</v>
      </c>
      <c r="B11068" s="192" t="s">
        <v>4886</v>
      </c>
      <c r="C11068" s="196">
        <v>-46100</v>
      </c>
      <c r="D11068" s="196">
        <v>0</v>
      </c>
      <c r="E11068" s="196">
        <v>0</v>
      </c>
      <c r="F11068" s="196">
        <v>0</v>
      </c>
      <c r="G11068" s="196">
        <v>-46100</v>
      </c>
    </row>
    <row r="11069" spans="1:7" x14ac:dyDescent="0.3">
      <c r="A11069" s="198">
        <v>1128275209</v>
      </c>
      <c r="B11069" s="192" t="s">
        <v>4888</v>
      </c>
      <c r="C11069" s="196">
        <v>-46100</v>
      </c>
      <c r="D11069" s="196">
        <v>0</v>
      </c>
      <c r="E11069" s="196">
        <v>0</v>
      </c>
      <c r="F11069" s="196">
        <v>0</v>
      </c>
      <c r="G11069" s="196">
        <v>-46100</v>
      </c>
    </row>
    <row r="11070" spans="1:7" x14ac:dyDescent="0.3">
      <c r="A11070" s="198">
        <v>1039452953</v>
      </c>
      <c r="B11070" s="192" t="s">
        <v>4889</v>
      </c>
      <c r="C11070" s="196">
        <v>-46000</v>
      </c>
      <c r="D11070" s="196">
        <v>0</v>
      </c>
      <c r="E11070" s="196">
        <v>0</v>
      </c>
      <c r="F11070" s="196">
        <v>0</v>
      </c>
      <c r="G11070" s="196">
        <v>-46000</v>
      </c>
    </row>
    <row r="11071" spans="1:7" x14ac:dyDescent="0.3">
      <c r="A11071" s="198">
        <v>1036644422</v>
      </c>
      <c r="B11071" s="192" t="s">
        <v>1083</v>
      </c>
      <c r="C11071" s="196">
        <v>0</v>
      </c>
      <c r="D11071" s="196">
        <v>0</v>
      </c>
      <c r="E11071" s="196">
        <v>190000</v>
      </c>
      <c r="F11071" s="196">
        <v>-190000</v>
      </c>
      <c r="G11071" s="196">
        <v>-190000</v>
      </c>
    </row>
    <row r="11072" spans="1:7" x14ac:dyDescent="0.3">
      <c r="A11072" s="198">
        <v>1000922587</v>
      </c>
      <c r="B11072" s="192" t="s">
        <v>4895</v>
      </c>
      <c r="C11072" s="196">
        <v>-315000</v>
      </c>
      <c r="D11072" s="196">
        <v>0</v>
      </c>
      <c r="E11072" s="196">
        <v>0</v>
      </c>
      <c r="F11072" s="196">
        <v>0</v>
      </c>
      <c r="G11072" s="196">
        <v>-315000</v>
      </c>
    </row>
    <row r="11073" spans="1:7" x14ac:dyDescent="0.3">
      <c r="A11073" s="198">
        <v>43978628</v>
      </c>
      <c r="B11073" s="192" t="s">
        <v>7278</v>
      </c>
      <c r="C11073" s="196">
        <v>-42900</v>
      </c>
      <c r="D11073" s="196">
        <v>0</v>
      </c>
      <c r="E11073" s="196">
        <v>0</v>
      </c>
      <c r="F11073" s="196">
        <v>0</v>
      </c>
      <c r="G11073" s="196">
        <v>-42900</v>
      </c>
    </row>
    <row r="11074" spans="1:7" x14ac:dyDescent="0.3">
      <c r="A11074" s="198">
        <v>22189003</v>
      </c>
      <c r="B11074" s="192" t="s">
        <v>1084</v>
      </c>
      <c r="C11074" s="196">
        <v>0</v>
      </c>
      <c r="D11074" s="196">
        <v>0</v>
      </c>
      <c r="E11074" s="196">
        <v>79300</v>
      </c>
      <c r="F11074" s="196">
        <v>-79300</v>
      </c>
      <c r="G11074" s="196">
        <v>-79300</v>
      </c>
    </row>
    <row r="11075" spans="1:7" x14ac:dyDescent="0.3">
      <c r="A11075" s="192" t="s">
        <v>4902</v>
      </c>
      <c r="B11075" s="192" t="s">
        <v>4903</v>
      </c>
      <c r="C11075" s="196">
        <v>-147600</v>
      </c>
      <c r="D11075" s="196">
        <v>0</v>
      </c>
      <c r="E11075" s="196">
        <v>0</v>
      </c>
      <c r="F11075" s="196">
        <v>0</v>
      </c>
      <c r="G11075" s="196">
        <v>-147600</v>
      </c>
    </row>
    <row r="11076" spans="1:7" x14ac:dyDescent="0.3">
      <c r="A11076" s="198">
        <v>37787002</v>
      </c>
      <c r="B11076" s="192" t="s">
        <v>4905</v>
      </c>
      <c r="C11076" s="196">
        <v>-987000</v>
      </c>
      <c r="D11076" s="196">
        <v>0</v>
      </c>
      <c r="E11076" s="196">
        <v>0</v>
      </c>
      <c r="F11076" s="196">
        <v>0</v>
      </c>
      <c r="G11076" s="196">
        <v>-987000</v>
      </c>
    </row>
    <row r="11077" spans="1:7" x14ac:dyDescent="0.3">
      <c r="A11077" s="198">
        <v>42962076</v>
      </c>
      <c r="B11077" s="192" t="s">
        <v>7279</v>
      </c>
      <c r="C11077" s="196">
        <v>-33200</v>
      </c>
      <c r="D11077" s="196">
        <v>0</v>
      </c>
      <c r="E11077" s="196">
        <v>0</v>
      </c>
      <c r="F11077" s="196">
        <v>0</v>
      </c>
      <c r="G11077" s="196">
        <v>-33200</v>
      </c>
    </row>
    <row r="11078" spans="1:7" x14ac:dyDescent="0.3">
      <c r="A11078" s="198">
        <v>43018068</v>
      </c>
      <c r="B11078" s="192" t="s">
        <v>4907</v>
      </c>
      <c r="C11078" s="196">
        <v>-81200</v>
      </c>
      <c r="D11078" s="196">
        <v>0</v>
      </c>
      <c r="E11078" s="196">
        <v>0</v>
      </c>
      <c r="F11078" s="196">
        <v>0</v>
      </c>
      <c r="G11078" s="196">
        <v>-81200</v>
      </c>
    </row>
    <row r="11079" spans="1:7" x14ac:dyDescent="0.3">
      <c r="A11079" s="198">
        <v>43976372</v>
      </c>
      <c r="B11079" s="192" t="s">
        <v>4910</v>
      </c>
      <c r="C11079" s="196">
        <v>-46000</v>
      </c>
      <c r="D11079" s="196">
        <v>0</v>
      </c>
      <c r="E11079" s="196">
        <v>0</v>
      </c>
      <c r="F11079" s="196">
        <v>0</v>
      </c>
      <c r="G11079" s="196">
        <v>-46000</v>
      </c>
    </row>
    <row r="11080" spans="1:7" x14ac:dyDescent="0.3">
      <c r="A11080" s="198">
        <v>42890624</v>
      </c>
      <c r="B11080" s="192" t="s">
        <v>4913</v>
      </c>
      <c r="C11080" s="196">
        <v>-158600</v>
      </c>
      <c r="D11080" s="196">
        <v>0</v>
      </c>
      <c r="E11080" s="196">
        <v>0</v>
      </c>
      <c r="F11080" s="196">
        <v>0</v>
      </c>
      <c r="G11080" s="196">
        <v>-158600</v>
      </c>
    </row>
    <row r="11081" spans="1:7" x14ac:dyDescent="0.3">
      <c r="A11081" s="198">
        <v>39433286</v>
      </c>
      <c r="B11081" s="192" t="s">
        <v>4914</v>
      </c>
      <c r="C11081" s="196">
        <v>-46100</v>
      </c>
      <c r="D11081" s="196">
        <v>0</v>
      </c>
      <c r="E11081" s="196">
        <v>0</v>
      </c>
      <c r="F11081" s="196">
        <v>0</v>
      </c>
      <c r="G11081" s="196">
        <v>-46100</v>
      </c>
    </row>
    <row r="11082" spans="1:7" x14ac:dyDescent="0.3">
      <c r="A11082" s="198">
        <v>43007446</v>
      </c>
      <c r="B11082" s="192" t="s">
        <v>1095</v>
      </c>
      <c r="C11082" s="196">
        <v>0</v>
      </c>
      <c r="D11082" s="196">
        <v>50899</v>
      </c>
      <c r="E11082" s="196">
        <v>84100</v>
      </c>
      <c r="F11082" s="196">
        <v>-33201</v>
      </c>
      <c r="G11082" s="196">
        <v>-33201</v>
      </c>
    </row>
    <row r="11083" spans="1:7" x14ac:dyDescent="0.3">
      <c r="A11083" s="198">
        <v>1152456652</v>
      </c>
      <c r="B11083" s="192" t="s">
        <v>7280</v>
      </c>
      <c r="C11083" s="196">
        <v>-190000</v>
      </c>
      <c r="D11083" s="196">
        <v>0</v>
      </c>
      <c r="E11083" s="196">
        <v>0</v>
      </c>
      <c r="F11083" s="196">
        <v>0</v>
      </c>
      <c r="G11083" s="196">
        <v>-190000</v>
      </c>
    </row>
    <row r="11084" spans="1:7" x14ac:dyDescent="0.3">
      <c r="A11084" s="198">
        <v>39352856</v>
      </c>
      <c r="B11084" s="192" t="s">
        <v>7281</v>
      </c>
      <c r="C11084" s="196">
        <v>-324000</v>
      </c>
      <c r="D11084" s="196">
        <v>0</v>
      </c>
      <c r="E11084" s="196">
        <v>0</v>
      </c>
      <c r="F11084" s="196">
        <v>0</v>
      </c>
      <c r="G11084" s="196">
        <v>-324000</v>
      </c>
    </row>
    <row r="11085" spans="1:7" x14ac:dyDescent="0.3">
      <c r="A11085" s="198">
        <v>32015494</v>
      </c>
      <c r="B11085" s="192" t="s">
        <v>7282</v>
      </c>
      <c r="C11085" s="196">
        <v>-96000</v>
      </c>
      <c r="D11085" s="196">
        <v>0</v>
      </c>
      <c r="E11085" s="196">
        <v>0</v>
      </c>
      <c r="F11085" s="196">
        <v>0</v>
      </c>
      <c r="G11085" s="196">
        <v>-96000</v>
      </c>
    </row>
    <row r="11086" spans="1:7" x14ac:dyDescent="0.3">
      <c r="A11086" s="198">
        <v>21823524</v>
      </c>
      <c r="B11086" s="192" t="s">
        <v>2419</v>
      </c>
      <c r="C11086" s="196">
        <v>-40600</v>
      </c>
      <c r="D11086" s="196">
        <v>0</v>
      </c>
      <c r="E11086" s="196">
        <v>0</v>
      </c>
      <c r="F11086" s="196">
        <v>0</v>
      </c>
      <c r="G11086" s="196">
        <v>-40600</v>
      </c>
    </row>
    <row r="11087" spans="1:7" x14ac:dyDescent="0.3">
      <c r="A11087" s="198">
        <v>1037572728</v>
      </c>
      <c r="B11087" s="192" t="s">
        <v>1104</v>
      </c>
      <c r="C11087" s="196">
        <v>0</v>
      </c>
      <c r="D11087" s="196">
        <v>0</v>
      </c>
      <c r="E11087" s="196">
        <v>46000</v>
      </c>
      <c r="F11087" s="196">
        <v>-46000</v>
      </c>
      <c r="G11087" s="196">
        <v>-46000</v>
      </c>
    </row>
    <row r="11088" spans="1:7" x14ac:dyDescent="0.3">
      <c r="A11088" s="198">
        <v>1023975356</v>
      </c>
      <c r="B11088" s="192" t="s">
        <v>7283</v>
      </c>
      <c r="C11088" s="196">
        <v>-380000</v>
      </c>
      <c r="D11088" s="196">
        <v>0</v>
      </c>
      <c r="E11088" s="196">
        <v>0</v>
      </c>
      <c r="F11088" s="196">
        <v>0</v>
      </c>
      <c r="G11088" s="196">
        <v>-380000</v>
      </c>
    </row>
    <row r="11089" spans="1:7" x14ac:dyDescent="0.3">
      <c r="A11089" s="198">
        <v>1040747206</v>
      </c>
      <c r="B11089" s="192" t="s">
        <v>1687</v>
      </c>
      <c r="C11089" s="196">
        <v>-193000</v>
      </c>
      <c r="D11089" s="196">
        <v>0</v>
      </c>
      <c r="E11089" s="196">
        <v>0</v>
      </c>
      <c r="F11089" s="196">
        <v>0</v>
      </c>
      <c r="G11089" s="196">
        <v>-193000</v>
      </c>
    </row>
    <row r="11090" spans="1:7" x14ac:dyDescent="0.3">
      <c r="A11090" s="198">
        <v>1001013998</v>
      </c>
      <c r="B11090" s="192" t="s">
        <v>4937</v>
      </c>
      <c r="C11090" s="196">
        <v>-190000</v>
      </c>
      <c r="D11090" s="196">
        <v>0</v>
      </c>
      <c r="E11090" s="196">
        <v>0</v>
      </c>
      <c r="F11090" s="196">
        <v>0</v>
      </c>
      <c r="G11090" s="196">
        <v>-190000</v>
      </c>
    </row>
    <row r="11091" spans="1:7" x14ac:dyDescent="0.3">
      <c r="A11091" s="198">
        <v>43702249</v>
      </c>
      <c r="B11091" s="192" t="s">
        <v>4938</v>
      </c>
      <c r="C11091" s="196">
        <v>-253300</v>
      </c>
      <c r="D11091" s="196">
        <v>0</v>
      </c>
      <c r="E11091" s="196">
        <v>0</v>
      </c>
      <c r="F11091" s="196">
        <v>0</v>
      </c>
      <c r="G11091" s="196">
        <v>-253300</v>
      </c>
    </row>
    <row r="11092" spans="1:7" x14ac:dyDescent="0.3">
      <c r="A11092" s="198">
        <v>43738583</v>
      </c>
      <c r="B11092" s="192" t="s">
        <v>4939</v>
      </c>
      <c r="C11092" s="196">
        <v>-389600</v>
      </c>
      <c r="D11092" s="196">
        <v>0</v>
      </c>
      <c r="E11092" s="196">
        <v>0</v>
      </c>
      <c r="F11092" s="196">
        <v>0</v>
      </c>
      <c r="G11092" s="196">
        <v>-389600</v>
      </c>
    </row>
    <row r="11093" spans="1:7" x14ac:dyDescent="0.3">
      <c r="A11093" s="198">
        <v>21638029</v>
      </c>
      <c r="B11093" s="192" t="s">
        <v>4940</v>
      </c>
      <c r="C11093" s="196">
        <v>-79200</v>
      </c>
      <c r="D11093" s="196">
        <v>0</v>
      </c>
      <c r="E11093" s="196">
        <v>0</v>
      </c>
      <c r="F11093" s="196">
        <v>0</v>
      </c>
      <c r="G11093" s="196">
        <v>-79200</v>
      </c>
    </row>
    <row r="11094" spans="1:7" x14ac:dyDescent="0.3">
      <c r="A11094" s="198">
        <v>22023025</v>
      </c>
      <c r="B11094" s="192" t="s">
        <v>4941</v>
      </c>
      <c r="C11094" s="196">
        <v>-357000</v>
      </c>
      <c r="D11094" s="196">
        <v>0</v>
      </c>
      <c r="E11094" s="196">
        <v>0</v>
      </c>
      <c r="F11094" s="196">
        <v>0</v>
      </c>
      <c r="G11094" s="196">
        <v>-357000</v>
      </c>
    </row>
    <row r="11095" spans="1:7" x14ac:dyDescent="0.3">
      <c r="A11095" s="198">
        <v>1222703013</v>
      </c>
      <c r="B11095" s="192" t="s">
        <v>4942</v>
      </c>
      <c r="C11095" s="196">
        <v>-125200</v>
      </c>
      <c r="D11095" s="196">
        <v>0</v>
      </c>
      <c r="E11095" s="196">
        <v>0</v>
      </c>
      <c r="F11095" s="196">
        <v>0</v>
      </c>
      <c r="G11095" s="196">
        <v>-125200</v>
      </c>
    </row>
    <row r="11096" spans="1:7" x14ac:dyDescent="0.3">
      <c r="A11096" s="192" t="s">
        <v>1110</v>
      </c>
      <c r="B11096" s="192" t="s">
        <v>1111</v>
      </c>
      <c r="C11096" s="196">
        <v>0</v>
      </c>
      <c r="D11096" s="196">
        <v>0</v>
      </c>
      <c r="E11096" s="196">
        <v>258000</v>
      </c>
      <c r="F11096" s="196">
        <v>-258000</v>
      </c>
      <c r="G11096" s="196">
        <v>-258000</v>
      </c>
    </row>
    <row r="11097" spans="1:7" x14ac:dyDescent="0.3">
      <c r="A11097" s="198">
        <v>37880106</v>
      </c>
      <c r="B11097" s="192" t="s">
        <v>4956</v>
      </c>
      <c r="C11097" s="196">
        <v>-324000</v>
      </c>
      <c r="D11097" s="196">
        <v>0</v>
      </c>
      <c r="E11097" s="196">
        <v>0</v>
      </c>
      <c r="F11097" s="196">
        <v>0</v>
      </c>
      <c r="G11097" s="196">
        <v>-324000</v>
      </c>
    </row>
    <row r="11098" spans="1:7" x14ac:dyDescent="0.3">
      <c r="A11098" s="198">
        <v>21823038</v>
      </c>
      <c r="B11098" s="192" t="s">
        <v>1112</v>
      </c>
      <c r="C11098" s="196">
        <v>-20300</v>
      </c>
      <c r="D11098" s="196">
        <v>0</v>
      </c>
      <c r="E11098" s="196">
        <v>0</v>
      </c>
      <c r="F11098" s="196">
        <v>0</v>
      </c>
      <c r="G11098" s="196">
        <v>-20300</v>
      </c>
    </row>
    <row r="11099" spans="1:7" x14ac:dyDescent="0.3">
      <c r="A11099" s="198">
        <v>21513873</v>
      </c>
      <c r="B11099" s="192" t="s">
        <v>4961</v>
      </c>
      <c r="C11099" s="196">
        <v>-133600</v>
      </c>
      <c r="D11099" s="196">
        <v>0</v>
      </c>
      <c r="E11099" s="196">
        <v>0</v>
      </c>
      <c r="F11099" s="196">
        <v>0</v>
      </c>
      <c r="G11099" s="196">
        <v>-133600</v>
      </c>
    </row>
    <row r="11100" spans="1:7" x14ac:dyDescent="0.3">
      <c r="A11100" s="198">
        <v>1036674220</v>
      </c>
      <c r="B11100" s="192" t="s">
        <v>7284</v>
      </c>
      <c r="C11100" s="196">
        <v>-87000</v>
      </c>
      <c r="D11100" s="196">
        <v>0</v>
      </c>
      <c r="E11100" s="196">
        <v>0</v>
      </c>
      <c r="F11100" s="196">
        <v>0</v>
      </c>
      <c r="G11100" s="196">
        <v>-87000</v>
      </c>
    </row>
    <row r="11101" spans="1:7" x14ac:dyDescent="0.3">
      <c r="A11101" s="198">
        <v>1001420013</v>
      </c>
      <c r="B11101" s="192" t="s">
        <v>1116</v>
      </c>
      <c r="C11101" s="196">
        <v>-255000</v>
      </c>
      <c r="D11101" s="196">
        <v>0</v>
      </c>
      <c r="E11101" s="196">
        <v>0</v>
      </c>
      <c r="F11101" s="196">
        <v>0</v>
      </c>
      <c r="G11101" s="196">
        <v>-255000</v>
      </c>
    </row>
    <row r="11102" spans="1:7" x14ac:dyDescent="0.3">
      <c r="A11102" s="198">
        <v>1152458605</v>
      </c>
      <c r="B11102" s="192" t="s">
        <v>4969</v>
      </c>
      <c r="C11102" s="196">
        <v>-112500</v>
      </c>
      <c r="D11102" s="196">
        <v>0</v>
      </c>
      <c r="E11102" s="196">
        <v>0</v>
      </c>
      <c r="F11102" s="196">
        <v>0</v>
      </c>
      <c r="G11102" s="196">
        <v>-112500</v>
      </c>
    </row>
    <row r="11103" spans="1:7" x14ac:dyDescent="0.3">
      <c r="A11103" s="198">
        <v>43209723</v>
      </c>
      <c r="B11103" s="192" t="s">
        <v>1117</v>
      </c>
      <c r="C11103" s="196">
        <v>0</v>
      </c>
      <c r="D11103" s="196">
        <v>0</v>
      </c>
      <c r="E11103" s="196">
        <v>46100</v>
      </c>
      <c r="F11103" s="196">
        <v>-46100</v>
      </c>
      <c r="G11103" s="196">
        <v>-46100</v>
      </c>
    </row>
    <row r="11104" spans="1:7" x14ac:dyDescent="0.3">
      <c r="A11104" s="198">
        <v>1000570109</v>
      </c>
      <c r="B11104" s="192" t="s">
        <v>4973</v>
      </c>
      <c r="C11104" s="196">
        <v>-42900</v>
      </c>
      <c r="D11104" s="196">
        <v>0</v>
      </c>
      <c r="E11104" s="196">
        <v>0</v>
      </c>
      <c r="F11104" s="196">
        <v>0</v>
      </c>
      <c r="G11104" s="196">
        <v>-42900</v>
      </c>
    </row>
    <row r="11105" spans="1:7" x14ac:dyDescent="0.3">
      <c r="A11105" s="198">
        <v>1098731315</v>
      </c>
      <c r="B11105" s="192" t="s">
        <v>4975</v>
      </c>
      <c r="C11105" s="196">
        <v>-315000</v>
      </c>
      <c r="D11105" s="196">
        <v>0</v>
      </c>
      <c r="E11105" s="196">
        <v>0</v>
      </c>
      <c r="F11105" s="196">
        <v>0</v>
      </c>
      <c r="G11105" s="196">
        <v>-315000</v>
      </c>
    </row>
    <row r="11106" spans="1:7" x14ac:dyDescent="0.3">
      <c r="A11106" s="198">
        <v>32469653</v>
      </c>
      <c r="B11106" s="192" t="s">
        <v>4986</v>
      </c>
      <c r="C11106" s="196">
        <v>-46100</v>
      </c>
      <c r="D11106" s="196">
        <v>0</v>
      </c>
      <c r="E11106" s="196">
        <v>0</v>
      </c>
      <c r="F11106" s="196">
        <v>0</v>
      </c>
      <c r="G11106" s="196">
        <v>-46100</v>
      </c>
    </row>
    <row r="11107" spans="1:7" x14ac:dyDescent="0.3">
      <c r="A11107" s="198">
        <v>1152205930</v>
      </c>
      <c r="B11107" s="192" t="s">
        <v>4998</v>
      </c>
      <c r="C11107" s="196">
        <v>-547000</v>
      </c>
      <c r="D11107" s="196">
        <v>0</v>
      </c>
      <c r="E11107" s="196">
        <v>0</v>
      </c>
      <c r="F11107" s="196">
        <v>0</v>
      </c>
      <c r="G11107" s="196">
        <v>-547000</v>
      </c>
    </row>
    <row r="11108" spans="1:7" x14ac:dyDescent="0.3">
      <c r="A11108" s="198">
        <v>42866598</v>
      </c>
      <c r="B11108" s="192" t="s">
        <v>5000</v>
      </c>
      <c r="C11108" s="196">
        <v>-33200</v>
      </c>
      <c r="D11108" s="196">
        <v>0</v>
      </c>
      <c r="E11108" s="196">
        <v>0</v>
      </c>
      <c r="F11108" s="196">
        <v>0</v>
      </c>
      <c r="G11108" s="196">
        <v>-33200</v>
      </c>
    </row>
    <row r="11109" spans="1:7" x14ac:dyDescent="0.3">
      <c r="A11109" s="198">
        <v>39438531</v>
      </c>
      <c r="B11109" s="192" t="s">
        <v>7285</v>
      </c>
      <c r="C11109" s="196">
        <v>-524000</v>
      </c>
      <c r="D11109" s="196">
        <v>0</v>
      </c>
      <c r="E11109" s="196">
        <v>0</v>
      </c>
      <c r="F11109" s="196">
        <v>0</v>
      </c>
      <c r="G11109" s="196">
        <v>-524000</v>
      </c>
    </row>
    <row r="11110" spans="1:7" x14ac:dyDescent="0.3">
      <c r="A11110" s="198">
        <v>23196136</v>
      </c>
      <c r="B11110" s="192" t="s">
        <v>1128</v>
      </c>
      <c r="C11110" s="196">
        <v>-177650</v>
      </c>
      <c r="D11110" s="196">
        <v>0</v>
      </c>
      <c r="E11110" s="196">
        <v>177650</v>
      </c>
      <c r="F11110" s="196">
        <v>-177650</v>
      </c>
      <c r="G11110" s="196">
        <v>-355300</v>
      </c>
    </row>
    <row r="11111" spans="1:7" x14ac:dyDescent="0.3">
      <c r="A11111" s="198">
        <v>32468608</v>
      </c>
      <c r="B11111" s="192" t="s">
        <v>1129</v>
      </c>
      <c r="C11111" s="196">
        <v>0</v>
      </c>
      <c r="D11111" s="196">
        <v>0</v>
      </c>
      <c r="E11111" s="196">
        <v>285600</v>
      </c>
      <c r="F11111" s="196">
        <v>-285600</v>
      </c>
      <c r="G11111" s="196">
        <v>-285600</v>
      </c>
    </row>
    <row r="11112" spans="1:7" x14ac:dyDescent="0.3">
      <c r="A11112" s="198">
        <v>43515848</v>
      </c>
      <c r="B11112" s="192" t="s">
        <v>5011</v>
      </c>
      <c r="C11112" s="196">
        <v>-46100</v>
      </c>
      <c r="D11112" s="196">
        <v>0</v>
      </c>
      <c r="E11112" s="196">
        <v>0</v>
      </c>
      <c r="F11112" s="196">
        <v>0</v>
      </c>
      <c r="G11112" s="196">
        <v>-46100</v>
      </c>
    </row>
    <row r="11113" spans="1:7" x14ac:dyDescent="0.3">
      <c r="A11113" s="198">
        <v>24805738</v>
      </c>
      <c r="B11113" s="192" t="s">
        <v>5017</v>
      </c>
      <c r="C11113" s="196">
        <v>-38400</v>
      </c>
      <c r="D11113" s="196">
        <v>0</v>
      </c>
      <c r="E11113" s="196">
        <v>0</v>
      </c>
      <c r="F11113" s="196">
        <v>0</v>
      </c>
      <c r="G11113" s="196">
        <v>-38400</v>
      </c>
    </row>
    <row r="11114" spans="1:7" x14ac:dyDescent="0.3">
      <c r="A11114" s="198">
        <v>21394327</v>
      </c>
      <c r="B11114" s="192" t="s">
        <v>5018</v>
      </c>
      <c r="C11114" s="196">
        <v>-285600</v>
      </c>
      <c r="D11114" s="196">
        <v>0</v>
      </c>
      <c r="E11114" s="196">
        <v>0</v>
      </c>
      <c r="F11114" s="196">
        <v>0</v>
      </c>
      <c r="G11114" s="196">
        <v>-285600</v>
      </c>
    </row>
    <row r="11115" spans="1:7" x14ac:dyDescent="0.3">
      <c r="A11115" s="198">
        <v>38958393</v>
      </c>
      <c r="B11115" s="192" t="s">
        <v>1133</v>
      </c>
      <c r="C11115" s="196">
        <v>-357000</v>
      </c>
      <c r="D11115" s="196">
        <v>0</v>
      </c>
      <c r="E11115" s="196">
        <v>0</v>
      </c>
      <c r="F11115" s="196">
        <v>0</v>
      </c>
      <c r="G11115" s="196">
        <v>-357000</v>
      </c>
    </row>
    <row r="11116" spans="1:7" x14ac:dyDescent="0.3">
      <c r="A11116" s="198">
        <v>22056651</v>
      </c>
      <c r="B11116" s="192" t="s">
        <v>5019</v>
      </c>
      <c r="C11116" s="196">
        <v>-285600</v>
      </c>
      <c r="D11116" s="196">
        <v>0</v>
      </c>
      <c r="E11116" s="196">
        <v>0</v>
      </c>
      <c r="F11116" s="196">
        <v>0</v>
      </c>
      <c r="G11116" s="196">
        <v>-285600</v>
      </c>
    </row>
    <row r="11117" spans="1:7" x14ac:dyDescent="0.3">
      <c r="A11117" s="198">
        <v>35499965</v>
      </c>
      <c r="B11117" s="192" t="s">
        <v>5022</v>
      </c>
      <c r="C11117" s="196">
        <v>-20300</v>
      </c>
      <c r="D11117" s="196">
        <v>0</v>
      </c>
      <c r="E11117" s="196">
        <v>0</v>
      </c>
      <c r="F11117" s="196">
        <v>0</v>
      </c>
      <c r="G11117" s="196">
        <v>-20300</v>
      </c>
    </row>
    <row r="11118" spans="1:7" x14ac:dyDescent="0.3">
      <c r="A11118" s="198">
        <v>21297170</v>
      </c>
      <c r="B11118" s="192" t="s">
        <v>5029</v>
      </c>
      <c r="C11118" s="196">
        <v>-46100</v>
      </c>
      <c r="D11118" s="196">
        <v>0</v>
      </c>
      <c r="E11118" s="196">
        <v>0</v>
      </c>
      <c r="F11118" s="196">
        <v>0</v>
      </c>
      <c r="G11118" s="196">
        <v>-46100</v>
      </c>
    </row>
    <row r="11119" spans="1:7" x14ac:dyDescent="0.3">
      <c r="A11119" s="198">
        <v>21398734</v>
      </c>
      <c r="B11119" s="192" t="s">
        <v>5030</v>
      </c>
      <c r="C11119" s="196">
        <v>-357000</v>
      </c>
      <c r="D11119" s="196">
        <v>0</v>
      </c>
      <c r="E11119" s="196">
        <v>0</v>
      </c>
      <c r="F11119" s="196">
        <v>0</v>
      </c>
      <c r="G11119" s="196">
        <v>-357000</v>
      </c>
    </row>
    <row r="11120" spans="1:7" x14ac:dyDescent="0.3">
      <c r="A11120" s="198">
        <v>39327519</v>
      </c>
      <c r="B11120" s="192" t="s">
        <v>5031</v>
      </c>
      <c r="C11120" s="196">
        <v>-258000</v>
      </c>
      <c r="D11120" s="196">
        <v>0</v>
      </c>
      <c r="E11120" s="196">
        <v>0</v>
      </c>
      <c r="F11120" s="196">
        <v>0</v>
      </c>
      <c r="G11120" s="196">
        <v>-258000</v>
      </c>
    </row>
    <row r="11121" spans="1:7" x14ac:dyDescent="0.3">
      <c r="A11121" s="198">
        <v>43807604</v>
      </c>
      <c r="B11121" s="192" t="s">
        <v>1142</v>
      </c>
      <c r="C11121" s="196">
        <v>0</v>
      </c>
      <c r="D11121" s="196">
        <v>0</v>
      </c>
      <c r="E11121" s="196">
        <v>92000</v>
      </c>
      <c r="F11121" s="196">
        <v>-92000</v>
      </c>
      <c r="G11121" s="196">
        <v>-92000</v>
      </c>
    </row>
    <row r="11122" spans="1:7" x14ac:dyDescent="0.3">
      <c r="A11122" s="198">
        <v>38865813</v>
      </c>
      <c r="B11122" s="192" t="s">
        <v>5035</v>
      </c>
      <c r="C11122" s="196">
        <v>-695800</v>
      </c>
      <c r="D11122" s="196">
        <v>0</v>
      </c>
      <c r="E11122" s="196">
        <v>0</v>
      </c>
      <c r="F11122" s="196">
        <v>0</v>
      </c>
      <c r="G11122" s="196">
        <v>-695800</v>
      </c>
    </row>
    <row r="11123" spans="1:7" x14ac:dyDescent="0.3">
      <c r="A11123" s="198">
        <v>42964556</v>
      </c>
      <c r="B11123" s="192" t="s">
        <v>5036</v>
      </c>
      <c r="C11123" s="196">
        <v>-40600</v>
      </c>
      <c r="D11123" s="196">
        <v>0</v>
      </c>
      <c r="E11123" s="196">
        <v>0</v>
      </c>
      <c r="F11123" s="196">
        <v>0</v>
      </c>
      <c r="G11123" s="196">
        <v>-40600</v>
      </c>
    </row>
    <row r="11124" spans="1:7" x14ac:dyDescent="0.3">
      <c r="A11124" s="198">
        <v>32018034</v>
      </c>
      <c r="B11124" s="192" t="s">
        <v>5037</v>
      </c>
      <c r="C11124" s="196">
        <v>-79200</v>
      </c>
      <c r="D11124" s="196">
        <v>0</v>
      </c>
      <c r="E11124" s="196">
        <v>0</v>
      </c>
      <c r="F11124" s="196">
        <v>0</v>
      </c>
      <c r="G11124" s="196">
        <v>-79200</v>
      </c>
    </row>
    <row r="11125" spans="1:7" x14ac:dyDescent="0.3">
      <c r="A11125" s="198">
        <v>1020118252</v>
      </c>
      <c r="B11125" s="192" t="s">
        <v>5040</v>
      </c>
      <c r="C11125" s="196">
        <v>-112400</v>
      </c>
      <c r="D11125" s="196">
        <v>0</v>
      </c>
      <c r="E11125" s="196">
        <v>0</v>
      </c>
      <c r="F11125" s="196">
        <v>0</v>
      </c>
      <c r="G11125" s="196">
        <v>-112400</v>
      </c>
    </row>
    <row r="11126" spans="1:7" x14ac:dyDescent="0.3">
      <c r="A11126" s="198">
        <v>1004921666</v>
      </c>
      <c r="B11126" s="192" t="s">
        <v>1145</v>
      </c>
      <c r="C11126" s="196">
        <v>0</v>
      </c>
      <c r="D11126" s="196">
        <v>0</v>
      </c>
      <c r="E11126" s="196">
        <v>46100</v>
      </c>
      <c r="F11126" s="196">
        <v>-46100</v>
      </c>
      <c r="G11126" s="196">
        <v>-46100</v>
      </c>
    </row>
    <row r="11127" spans="1:7" x14ac:dyDescent="0.3">
      <c r="A11127" s="198">
        <v>1017187023</v>
      </c>
      <c r="B11127" s="192" t="s">
        <v>1148</v>
      </c>
      <c r="C11127" s="196">
        <v>0</v>
      </c>
      <c r="D11127" s="196">
        <v>0</v>
      </c>
      <c r="E11127" s="196">
        <v>46000</v>
      </c>
      <c r="F11127" s="196">
        <v>-46000</v>
      </c>
      <c r="G11127" s="196">
        <v>-46000</v>
      </c>
    </row>
    <row r="11128" spans="1:7" x14ac:dyDescent="0.3">
      <c r="A11128" s="198">
        <v>1000654223</v>
      </c>
      <c r="B11128" s="192" t="s">
        <v>5047</v>
      </c>
      <c r="C11128" s="196">
        <v>-79300</v>
      </c>
      <c r="D11128" s="196">
        <v>0</v>
      </c>
      <c r="E11128" s="196">
        <v>0</v>
      </c>
      <c r="F11128" s="196">
        <v>0</v>
      </c>
      <c r="G11128" s="196">
        <v>-79300</v>
      </c>
    </row>
    <row r="11129" spans="1:7" x14ac:dyDescent="0.3">
      <c r="A11129" s="198">
        <v>43527032</v>
      </c>
      <c r="B11129" s="192" t="s">
        <v>1151</v>
      </c>
      <c r="C11129" s="196">
        <v>-40600</v>
      </c>
      <c r="D11129" s="196">
        <v>0</v>
      </c>
      <c r="E11129" s="196">
        <v>40600</v>
      </c>
      <c r="F11129" s="196">
        <v>-40600</v>
      </c>
      <c r="G11129" s="196">
        <v>-81200</v>
      </c>
    </row>
    <row r="11130" spans="1:7" x14ac:dyDescent="0.3">
      <c r="A11130" s="198">
        <v>25093145</v>
      </c>
      <c r="B11130" s="192" t="s">
        <v>5051</v>
      </c>
      <c r="C11130" s="196">
        <v>-285600</v>
      </c>
      <c r="D11130" s="196">
        <v>0</v>
      </c>
      <c r="E11130" s="196">
        <v>0</v>
      </c>
      <c r="F11130" s="196">
        <v>0</v>
      </c>
      <c r="G11130" s="196">
        <v>-285600</v>
      </c>
    </row>
    <row r="11131" spans="1:7" x14ac:dyDescent="0.3">
      <c r="A11131" s="198">
        <v>21685449</v>
      </c>
      <c r="B11131" s="192" t="s">
        <v>5052</v>
      </c>
      <c r="C11131" s="196">
        <v>-209000</v>
      </c>
      <c r="D11131" s="196">
        <v>0</v>
      </c>
      <c r="E11131" s="196">
        <v>0</v>
      </c>
      <c r="F11131" s="196">
        <v>0</v>
      </c>
      <c r="G11131" s="196">
        <v>-209000</v>
      </c>
    </row>
    <row r="11132" spans="1:7" x14ac:dyDescent="0.3">
      <c r="A11132" s="198">
        <v>43078082</v>
      </c>
      <c r="B11132" s="192" t="s">
        <v>6910</v>
      </c>
      <c r="C11132" s="196">
        <v>-357000</v>
      </c>
      <c r="D11132" s="196">
        <v>0</v>
      </c>
      <c r="E11132" s="196">
        <v>0</v>
      </c>
      <c r="F11132" s="196">
        <v>0</v>
      </c>
      <c r="G11132" s="196">
        <v>-357000</v>
      </c>
    </row>
    <row r="11133" spans="1:7" x14ac:dyDescent="0.3">
      <c r="A11133" s="198">
        <v>1037649410</v>
      </c>
      <c r="B11133" s="192" t="s">
        <v>5062</v>
      </c>
      <c r="C11133" s="196">
        <v>-46000</v>
      </c>
      <c r="D11133" s="196">
        <v>0</v>
      </c>
      <c r="E11133" s="196">
        <v>0</v>
      </c>
      <c r="F11133" s="196">
        <v>0</v>
      </c>
      <c r="G11133" s="196">
        <v>-46000</v>
      </c>
    </row>
    <row r="11134" spans="1:7" x14ac:dyDescent="0.3">
      <c r="A11134" s="198">
        <v>43731321</v>
      </c>
      <c r="B11134" s="192" t="s">
        <v>7286</v>
      </c>
      <c r="C11134" s="196">
        <v>-718500</v>
      </c>
      <c r="D11134" s="196">
        <v>0</v>
      </c>
      <c r="E11134" s="196">
        <v>0</v>
      </c>
      <c r="F11134" s="196">
        <v>0</v>
      </c>
      <c r="G11134" s="196">
        <v>-718500</v>
      </c>
    </row>
    <row r="11135" spans="1:7" x14ac:dyDescent="0.3">
      <c r="A11135" s="198">
        <v>43568509</v>
      </c>
      <c r="B11135" s="192" t="s">
        <v>5065</v>
      </c>
      <c r="C11135" s="196">
        <v>-357000</v>
      </c>
      <c r="D11135" s="196">
        <v>0</v>
      </c>
      <c r="E11135" s="196">
        <v>0</v>
      </c>
      <c r="F11135" s="196">
        <v>0</v>
      </c>
      <c r="G11135" s="196">
        <v>-357000</v>
      </c>
    </row>
    <row r="11136" spans="1:7" x14ac:dyDescent="0.3">
      <c r="A11136" s="198">
        <v>1040870387</v>
      </c>
      <c r="B11136" s="192" t="s">
        <v>5078</v>
      </c>
      <c r="C11136" s="196">
        <v>-175000</v>
      </c>
      <c r="D11136" s="196">
        <v>0</v>
      </c>
      <c r="E11136" s="196">
        <v>0</v>
      </c>
      <c r="F11136" s="196">
        <v>0</v>
      </c>
      <c r="G11136" s="196">
        <v>-175000</v>
      </c>
    </row>
    <row r="11137" spans="1:7" x14ac:dyDescent="0.3">
      <c r="A11137" s="198">
        <v>1095843402</v>
      </c>
      <c r="B11137" s="192" t="s">
        <v>1160</v>
      </c>
      <c r="C11137" s="196">
        <v>-190000</v>
      </c>
      <c r="D11137" s="196">
        <v>115000</v>
      </c>
      <c r="E11137" s="196">
        <v>230000</v>
      </c>
      <c r="F11137" s="196">
        <v>-115000</v>
      </c>
      <c r="G11137" s="196">
        <v>-305000</v>
      </c>
    </row>
    <row r="11138" spans="1:7" x14ac:dyDescent="0.3">
      <c r="A11138" s="198">
        <v>42675440</v>
      </c>
      <c r="B11138" s="192" t="s">
        <v>5085</v>
      </c>
      <c r="C11138" s="196">
        <v>-85800</v>
      </c>
      <c r="D11138" s="196">
        <v>0</v>
      </c>
      <c r="E11138" s="196">
        <v>0</v>
      </c>
      <c r="F11138" s="196">
        <v>0</v>
      </c>
      <c r="G11138" s="196">
        <v>-85800</v>
      </c>
    </row>
    <row r="11139" spans="1:7" x14ac:dyDescent="0.3">
      <c r="A11139" s="198">
        <v>42876917</v>
      </c>
      <c r="B11139" s="192" t="s">
        <v>5087</v>
      </c>
      <c r="C11139" s="196">
        <v>-46000</v>
      </c>
      <c r="D11139" s="196">
        <v>0</v>
      </c>
      <c r="E11139" s="196">
        <v>0</v>
      </c>
      <c r="F11139" s="196">
        <v>0</v>
      </c>
      <c r="G11139" s="196">
        <v>-46000</v>
      </c>
    </row>
    <row r="11140" spans="1:7" x14ac:dyDescent="0.3">
      <c r="A11140" s="198">
        <v>21841227</v>
      </c>
      <c r="B11140" s="192" t="s">
        <v>7287</v>
      </c>
      <c r="C11140" s="196">
        <v>-361250</v>
      </c>
      <c r="D11140" s="196">
        <v>0</v>
      </c>
      <c r="E11140" s="196">
        <v>0</v>
      </c>
      <c r="F11140" s="196">
        <v>0</v>
      </c>
      <c r="G11140" s="196">
        <v>-361250</v>
      </c>
    </row>
    <row r="11141" spans="1:7" x14ac:dyDescent="0.3">
      <c r="A11141" s="198">
        <v>1035234366</v>
      </c>
      <c r="B11141" s="192" t="s">
        <v>5096</v>
      </c>
      <c r="C11141" s="196">
        <v>-79200</v>
      </c>
      <c r="D11141" s="196">
        <v>0</v>
      </c>
      <c r="E11141" s="196">
        <v>0</v>
      </c>
      <c r="F11141" s="196">
        <v>0</v>
      </c>
      <c r="G11141" s="196">
        <v>-79200</v>
      </c>
    </row>
    <row r="11142" spans="1:7" x14ac:dyDescent="0.3">
      <c r="A11142" s="198">
        <v>43609825</v>
      </c>
      <c r="B11142" s="192" t="s">
        <v>5100</v>
      </c>
      <c r="C11142" s="196">
        <v>-46100</v>
      </c>
      <c r="D11142" s="196">
        <v>0</v>
      </c>
      <c r="E11142" s="196">
        <v>0</v>
      </c>
      <c r="F11142" s="196">
        <v>0</v>
      </c>
      <c r="G11142" s="196">
        <v>-46100</v>
      </c>
    </row>
    <row r="11143" spans="1:7" x14ac:dyDescent="0.3">
      <c r="A11143" s="198">
        <v>60352041</v>
      </c>
      <c r="B11143" s="192" t="s">
        <v>7288</v>
      </c>
      <c r="C11143" s="196">
        <v>-357000</v>
      </c>
      <c r="D11143" s="196">
        <v>0</v>
      </c>
      <c r="E11143" s="196">
        <v>0</v>
      </c>
      <c r="F11143" s="196">
        <v>0</v>
      </c>
      <c r="G11143" s="196">
        <v>-357000</v>
      </c>
    </row>
    <row r="11144" spans="1:7" x14ac:dyDescent="0.3">
      <c r="A11144" s="198">
        <v>22197485</v>
      </c>
      <c r="B11144" s="192" t="s">
        <v>5101</v>
      </c>
      <c r="C11144" s="196">
        <v>-40600</v>
      </c>
      <c r="D11144" s="196">
        <v>0</v>
      </c>
      <c r="E11144" s="196">
        <v>0</v>
      </c>
      <c r="F11144" s="196">
        <v>0</v>
      </c>
      <c r="G11144" s="196">
        <v>-40600</v>
      </c>
    </row>
    <row r="11145" spans="1:7" x14ac:dyDescent="0.3">
      <c r="A11145" s="198">
        <v>55152606</v>
      </c>
      <c r="B11145" s="192" t="s">
        <v>1166</v>
      </c>
      <c r="C11145" s="196">
        <v>0</v>
      </c>
      <c r="D11145" s="196">
        <v>0</v>
      </c>
      <c r="E11145" s="196">
        <v>79200</v>
      </c>
      <c r="F11145" s="196">
        <v>-79200</v>
      </c>
      <c r="G11145" s="196">
        <v>-79200</v>
      </c>
    </row>
    <row r="11146" spans="1:7" x14ac:dyDescent="0.3">
      <c r="A11146" s="198">
        <v>40759477</v>
      </c>
      <c r="B11146" s="192" t="s">
        <v>5108</v>
      </c>
      <c r="C11146" s="196">
        <v>-258000</v>
      </c>
      <c r="D11146" s="196">
        <v>0</v>
      </c>
      <c r="E11146" s="196">
        <v>0</v>
      </c>
      <c r="F11146" s="196">
        <v>0</v>
      </c>
      <c r="G11146" s="196">
        <v>-258000</v>
      </c>
    </row>
    <row r="11147" spans="1:7" x14ac:dyDescent="0.3">
      <c r="A11147" s="198">
        <v>42882239</v>
      </c>
      <c r="B11147" s="192" t="s">
        <v>1168</v>
      </c>
      <c r="C11147" s="196">
        <v>0</v>
      </c>
      <c r="D11147" s="196">
        <v>0</v>
      </c>
      <c r="E11147" s="196">
        <v>258000</v>
      </c>
      <c r="F11147" s="196">
        <v>-258000</v>
      </c>
      <c r="G11147" s="196">
        <v>-258000</v>
      </c>
    </row>
    <row r="11148" spans="1:7" x14ac:dyDescent="0.3">
      <c r="A11148" s="198">
        <v>21744603</v>
      </c>
      <c r="B11148" s="192" t="s">
        <v>5109</v>
      </c>
      <c r="C11148" s="196">
        <v>-388000</v>
      </c>
      <c r="D11148" s="196">
        <v>0</v>
      </c>
      <c r="E11148" s="196">
        <v>0</v>
      </c>
      <c r="F11148" s="196">
        <v>0</v>
      </c>
      <c r="G11148" s="196">
        <v>-388000</v>
      </c>
    </row>
    <row r="11149" spans="1:7" x14ac:dyDescent="0.3">
      <c r="A11149" s="198">
        <v>21363325</v>
      </c>
      <c r="B11149" s="192" t="s">
        <v>5110</v>
      </c>
      <c r="C11149" s="196">
        <v>-595050</v>
      </c>
      <c r="D11149" s="196">
        <v>0</v>
      </c>
      <c r="E11149" s="196">
        <v>0</v>
      </c>
      <c r="F11149" s="196">
        <v>0</v>
      </c>
      <c r="G11149" s="196">
        <v>-595050</v>
      </c>
    </row>
    <row r="11150" spans="1:7" x14ac:dyDescent="0.3">
      <c r="A11150" s="198">
        <v>32541306</v>
      </c>
      <c r="B11150" s="192" t="s">
        <v>5113</v>
      </c>
      <c r="C11150" s="196">
        <v>-285600</v>
      </c>
      <c r="D11150" s="196">
        <v>0</v>
      </c>
      <c r="E11150" s="196">
        <v>0</v>
      </c>
      <c r="F11150" s="196">
        <v>0</v>
      </c>
      <c r="G11150" s="196">
        <v>-285600</v>
      </c>
    </row>
    <row r="11151" spans="1:7" x14ac:dyDescent="0.3">
      <c r="A11151" s="198">
        <v>42870676</v>
      </c>
      <c r="B11151" s="192" t="s">
        <v>5115</v>
      </c>
      <c r="C11151" s="196">
        <v>-81200</v>
      </c>
      <c r="D11151" s="196">
        <v>0</v>
      </c>
      <c r="E11151" s="196">
        <v>0</v>
      </c>
      <c r="F11151" s="196">
        <v>0</v>
      </c>
      <c r="G11151" s="196">
        <v>-81200</v>
      </c>
    </row>
    <row r="11152" spans="1:7" x14ac:dyDescent="0.3">
      <c r="A11152" s="198">
        <v>22039889</v>
      </c>
      <c r="B11152" s="192" t="s">
        <v>7289</v>
      </c>
      <c r="C11152" s="196">
        <v>-324000</v>
      </c>
      <c r="D11152" s="196">
        <v>0</v>
      </c>
      <c r="E11152" s="196">
        <v>0</v>
      </c>
      <c r="F11152" s="196">
        <v>0</v>
      </c>
      <c r="G11152" s="196">
        <v>-324000</v>
      </c>
    </row>
    <row r="11153" spans="1:7" x14ac:dyDescent="0.3">
      <c r="A11153" s="198">
        <v>22031992</v>
      </c>
      <c r="B11153" s="192" t="s">
        <v>6918</v>
      </c>
      <c r="C11153" s="196">
        <v>-152000</v>
      </c>
      <c r="D11153" s="196">
        <v>0</v>
      </c>
      <c r="E11153" s="196">
        <v>0</v>
      </c>
      <c r="F11153" s="196">
        <v>0</v>
      </c>
      <c r="G11153" s="196">
        <v>-152000</v>
      </c>
    </row>
    <row r="11154" spans="1:7" x14ac:dyDescent="0.3">
      <c r="A11154" s="198">
        <v>1097182276</v>
      </c>
      <c r="B11154" s="192" t="s">
        <v>5117</v>
      </c>
      <c r="C11154" s="196">
        <v>-305000</v>
      </c>
      <c r="D11154" s="196">
        <v>0</v>
      </c>
      <c r="E11154" s="196">
        <v>0</v>
      </c>
      <c r="F11154" s="196">
        <v>0</v>
      </c>
      <c r="G11154" s="196">
        <v>-305000</v>
      </c>
    </row>
    <row r="11155" spans="1:7" x14ac:dyDescent="0.3">
      <c r="A11155" s="198">
        <v>1003343243</v>
      </c>
      <c r="B11155" s="192" t="s">
        <v>5118</v>
      </c>
      <c r="C11155" s="196">
        <v>-315000</v>
      </c>
      <c r="D11155" s="196">
        <v>0</v>
      </c>
      <c r="E11155" s="196">
        <v>0</v>
      </c>
      <c r="F11155" s="196">
        <v>0</v>
      </c>
      <c r="G11155" s="196">
        <v>-315000</v>
      </c>
    </row>
    <row r="11156" spans="1:7" x14ac:dyDescent="0.3">
      <c r="A11156" s="198">
        <v>21395075</v>
      </c>
      <c r="B11156" s="192" t="s">
        <v>1173</v>
      </c>
      <c r="C11156" s="196">
        <v>0</v>
      </c>
      <c r="D11156" s="196">
        <v>0</v>
      </c>
      <c r="E11156" s="196">
        <v>33200</v>
      </c>
      <c r="F11156" s="196">
        <v>-33200</v>
      </c>
      <c r="G11156" s="196">
        <v>-33200</v>
      </c>
    </row>
    <row r="11157" spans="1:7" x14ac:dyDescent="0.3">
      <c r="A11157" s="198">
        <v>41330362</v>
      </c>
      <c r="B11157" s="192" t="s">
        <v>1174</v>
      </c>
      <c r="C11157" s="196">
        <v>-115200</v>
      </c>
      <c r="D11157" s="196">
        <v>0</v>
      </c>
      <c r="E11157" s="196">
        <v>0</v>
      </c>
      <c r="F11157" s="196">
        <v>0</v>
      </c>
      <c r="G11157" s="196">
        <v>-115200</v>
      </c>
    </row>
    <row r="11158" spans="1:7" x14ac:dyDescent="0.3">
      <c r="A11158" s="198">
        <v>21305634</v>
      </c>
      <c r="B11158" s="192" t="s">
        <v>5126</v>
      </c>
      <c r="C11158" s="196">
        <v>-524000</v>
      </c>
      <c r="D11158" s="196">
        <v>0</v>
      </c>
      <c r="E11158" s="196">
        <v>0</v>
      </c>
      <c r="F11158" s="196">
        <v>0</v>
      </c>
      <c r="G11158" s="196">
        <v>-524000</v>
      </c>
    </row>
    <row r="11159" spans="1:7" x14ac:dyDescent="0.3">
      <c r="A11159" s="198">
        <v>32328447</v>
      </c>
      <c r="B11159" s="192" t="s">
        <v>1175</v>
      </c>
      <c r="C11159" s="196">
        <v>-20300</v>
      </c>
      <c r="D11159" s="196">
        <v>0</v>
      </c>
      <c r="E11159" s="196">
        <v>0</v>
      </c>
      <c r="F11159" s="196">
        <v>0</v>
      </c>
      <c r="G11159" s="196">
        <v>-20300</v>
      </c>
    </row>
    <row r="11160" spans="1:7" x14ac:dyDescent="0.3">
      <c r="A11160" s="198">
        <v>43628955</v>
      </c>
      <c r="B11160" s="192" t="s">
        <v>5134</v>
      </c>
      <c r="C11160" s="196">
        <v>-380000</v>
      </c>
      <c r="D11160" s="196">
        <v>0</v>
      </c>
      <c r="E11160" s="196">
        <v>0</v>
      </c>
      <c r="F11160" s="196">
        <v>0</v>
      </c>
      <c r="G11160" s="196">
        <v>-380000</v>
      </c>
    </row>
    <row r="11161" spans="1:7" x14ac:dyDescent="0.3">
      <c r="A11161" s="198">
        <v>32449172</v>
      </c>
      <c r="B11161" s="192" t="s">
        <v>5135</v>
      </c>
      <c r="C11161" s="196">
        <v>-40600</v>
      </c>
      <c r="D11161" s="196">
        <v>0</v>
      </c>
      <c r="E11161" s="196">
        <v>0</v>
      </c>
      <c r="F11161" s="196">
        <v>0</v>
      </c>
      <c r="G11161" s="196">
        <v>-40600</v>
      </c>
    </row>
    <row r="11162" spans="1:7" x14ac:dyDescent="0.3">
      <c r="A11162" s="198">
        <v>21851581</v>
      </c>
      <c r="B11162" s="192" t="s">
        <v>5138</v>
      </c>
      <c r="C11162" s="196">
        <v>-258000</v>
      </c>
      <c r="D11162" s="196">
        <v>0</v>
      </c>
      <c r="E11162" s="196">
        <v>0</v>
      </c>
      <c r="F11162" s="196">
        <v>0</v>
      </c>
      <c r="G11162" s="196">
        <v>-258000</v>
      </c>
    </row>
    <row r="11163" spans="1:7" x14ac:dyDescent="0.3">
      <c r="A11163" s="198">
        <v>43574640</v>
      </c>
      <c r="B11163" s="192" t="s">
        <v>7290</v>
      </c>
      <c r="C11163" s="196">
        <v>-79300</v>
      </c>
      <c r="D11163" s="196">
        <v>0</v>
      </c>
      <c r="E11163" s="196">
        <v>0</v>
      </c>
      <c r="F11163" s="196">
        <v>0</v>
      </c>
      <c r="G11163" s="196">
        <v>-79300</v>
      </c>
    </row>
    <row r="11164" spans="1:7" x14ac:dyDescent="0.3">
      <c r="A11164" s="198">
        <v>32531619</v>
      </c>
      <c r="B11164" s="192" t="s">
        <v>7291</v>
      </c>
      <c r="C11164" s="196">
        <v>-183000</v>
      </c>
      <c r="D11164" s="196">
        <v>0</v>
      </c>
      <c r="E11164" s="196">
        <v>0</v>
      </c>
      <c r="F11164" s="196">
        <v>0</v>
      </c>
      <c r="G11164" s="196">
        <v>-183000</v>
      </c>
    </row>
    <row r="11165" spans="1:7" x14ac:dyDescent="0.3">
      <c r="A11165" s="198">
        <v>21292670</v>
      </c>
      <c r="B11165" s="192" t="s">
        <v>1181</v>
      </c>
      <c r="C11165" s="196">
        <v>-81201</v>
      </c>
      <c r="D11165" s="196">
        <v>0</v>
      </c>
      <c r="E11165" s="196">
        <v>0</v>
      </c>
      <c r="F11165" s="196">
        <v>0</v>
      </c>
      <c r="G11165" s="196">
        <v>-81201</v>
      </c>
    </row>
    <row r="11166" spans="1:7" x14ac:dyDescent="0.3">
      <c r="A11166" s="198">
        <v>1033202337</v>
      </c>
      <c r="B11166" s="192" t="s">
        <v>1182</v>
      </c>
      <c r="C11166" s="196">
        <v>0</v>
      </c>
      <c r="D11166" s="196">
        <v>0</v>
      </c>
      <c r="E11166" s="196">
        <v>79200</v>
      </c>
      <c r="F11166" s="196">
        <v>-79200</v>
      </c>
      <c r="G11166" s="196">
        <v>-79200</v>
      </c>
    </row>
    <row r="11167" spans="1:7" x14ac:dyDescent="0.3">
      <c r="A11167" s="198">
        <v>39443579</v>
      </c>
      <c r="B11167" s="192" t="s">
        <v>5147</v>
      </c>
      <c r="C11167" s="196">
        <v>-167000</v>
      </c>
      <c r="D11167" s="196">
        <v>0</v>
      </c>
      <c r="E11167" s="196">
        <v>0</v>
      </c>
      <c r="F11167" s="196">
        <v>0</v>
      </c>
      <c r="G11167" s="196">
        <v>-167000</v>
      </c>
    </row>
    <row r="11168" spans="1:7" x14ac:dyDescent="0.3">
      <c r="A11168" s="198">
        <v>1125252935</v>
      </c>
      <c r="B11168" s="192" t="s">
        <v>5148</v>
      </c>
      <c r="C11168" s="196">
        <v>-79200</v>
      </c>
      <c r="D11168" s="196">
        <v>0</v>
      </c>
      <c r="E11168" s="196">
        <v>0</v>
      </c>
      <c r="F11168" s="196">
        <v>0</v>
      </c>
      <c r="G11168" s="196">
        <v>-79200</v>
      </c>
    </row>
    <row r="11169" spans="1:7" x14ac:dyDescent="0.3">
      <c r="A11169" s="198">
        <v>49798389</v>
      </c>
      <c r="B11169" s="192" t="s">
        <v>5151</v>
      </c>
      <c r="C11169" s="196">
        <v>-238655</v>
      </c>
      <c r="D11169" s="196">
        <v>0</v>
      </c>
      <c r="E11169" s="196">
        <v>0</v>
      </c>
      <c r="F11169" s="196">
        <v>0</v>
      </c>
      <c r="G11169" s="196">
        <v>-238655</v>
      </c>
    </row>
    <row r="11170" spans="1:7" x14ac:dyDescent="0.3">
      <c r="A11170" s="198">
        <v>30236132</v>
      </c>
      <c r="B11170" s="192" t="s">
        <v>5153</v>
      </c>
      <c r="C11170" s="196">
        <v>-79200</v>
      </c>
      <c r="D11170" s="196">
        <v>0</v>
      </c>
      <c r="E11170" s="196">
        <v>0</v>
      </c>
      <c r="F11170" s="196">
        <v>0</v>
      </c>
      <c r="G11170" s="196">
        <v>-79200</v>
      </c>
    </row>
    <row r="11171" spans="1:7" x14ac:dyDescent="0.3">
      <c r="A11171" s="198">
        <v>1000393037</v>
      </c>
      <c r="B11171" s="192" t="s">
        <v>1185</v>
      </c>
      <c r="C11171" s="196">
        <v>0</v>
      </c>
      <c r="D11171" s="196">
        <v>0</v>
      </c>
      <c r="E11171" s="196">
        <v>46100</v>
      </c>
      <c r="F11171" s="196">
        <v>-46100</v>
      </c>
      <c r="G11171" s="196">
        <v>-46100</v>
      </c>
    </row>
    <row r="11172" spans="1:7" x14ac:dyDescent="0.3">
      <c r="A11172" s="192" t="s">
        <v>7292</v>
      </c>
      <c r="B11172" s="192" t="s">
        <v>7293</v>
      </c>
      <c r="C11172" s="196">
        <v>-193000</v>
      </c>
      <c r="D11172" s="196">
        <v>0</v>
      </c>
      <c r="E11172" s="196">
        <v>0</v>
      </c>
      <c r="F11172" s="196">
        <v>0</v>
      </c>
      <c r="G11172" s="196">
        <v>-193000</v>
      </c>
    </row>
    <row r="11173" spans="1:7" x14ac:dyDescent="0.3">
      <c r="A11173" s="198">
        <v>1001017898</v>
      </c>
      <c r="B11173" s="192" t="s">
        <v>7294</v>
      </c>
      <c r="C11173" s="196">
        <v>-73800</v>
      </c>
      <c r="D11173" s="196">
        <v>0</v>
      </c>
      <c r="E11173" s="196">
        <v>0</v>
      </c>
      <c r="F11173" s="196">
        <v>0</v>
      </c>
      <c r="G11173" s="196">
        <v>-73800</v>
      </c>
    </row>
    <row r="11174" spans="1:7" x14ac:dyDescent="0.3">
      <c r="A11174" s="198">
        <v>43221358</v>
      </c>
      <c r="B11174" s="192" t="s">
        <v>5174</v>
      </c>
      <c r="C11174" s="196">
        <v>-46100</v>
      </c>
      <c r="D11174" s="196">
        <v>0</v>
      </c>
      <c r="E11174" s="196">
        <v>0</v>
      </c>
      <c r="F11174" s="196">
        <v>0</v>
      </c>
      <c r="G11174" s="196">
        <v>-46100</v>
      </c>
    </row>
    <row r="11175" spans="1:7" x14ac:dyDescent="0.3">
      <c r="A11175" s="198">
        <v>1025645032</v>
      </c>
      <c r="B11175" s="192" t="s">
        <v>6933</v>
      </c>
      <c r="C11175" s="196">
        <v>-193000</v>
      </c>
      <c r="D11175" s="196">
        <v>0</v>
      </c>
      <c r="E11175" s="196">
        <v>0</v>
      </c>
      <c r="F11175" s="196">
        <v>0</v>
      </c>
      <c r="G11175" s="196">
        <v>-193000</v>
      </c>
    </row>
    <row r="11176" spans="1:7" x14ac:dyDescent="0.3">
      <c r="A11176" s="198">
        <v>1004519774</v>
      </c>
      <c r="B11176" s="192" t="s">
        <v>6934</v>
      </c>
      <c r="C11176" s="196">
        <v>-380000</v>
      </c>
      <c r="D11176" s="196">
        <v>0</v>
      </c>
      <c r="E11176" s="196">
        <v>0</v>
      </c>
      <c r="F11176" s="196">
        <v>0</v>
      </c>
      <c r="G11176" s="196">
        <v>-380000</v>
      </c>
    </row>
    <row r="11177" spans="1:7" x14ac:dyDescent="0.3">
      <c r="A11177" s="198">
        <v>1216718128</v>
      </c>
      <c r="B11177" s="192" t="s">
        <v>5176</v>
      </c>
      <c r="C11177" s="196">
        <v>-46000</v>
      </c>
      <c r="D11177" s="196">
        <v>0</v>
      </c>
      <c r="E11177" s="196">
        <v>0</v>
      </c>
      <c r="F11177" s="196">
        <v>0</v>
      </c>
      <c r="G11177" s="196">
        <v>-46000</v>
      </c>
    </row>
    <row r="11178" spans="1:7" x14ac:dyDescent="0.3">
      <c r="A11178" s="198">
        <v>1020105815</v>
      </c>
      <c r="B11178" s="192" t="s">
        <v>5181</v>
      </c>
      <c r="C11178" s="196">
        <v>-305000</v>
      </c>
      <c r="D11178" s="196">
        <v>0</v>
      </c>
      <c r="E11178" s="196">
        <v>0</v>
      </c>
      <c r="F11178" s="196">
        <v>0</v>
      </c>
      <c r="G11178" s="196">
        <v>-305000</v>
      </c>
    </row>
    <row r="11179" spans="1:7" x14ac:dyDescent="0.3">
      <c r="A11179" s="198">
        <v>1036392957</v>
      </c>
      <c r="B11179" s="192" t="s">
        <v>6940</v>
      </c>
      <c r="C11179" s="196">
        <v>-175000</v>
      </c>
      <c r="D11179" s="196">
        <v>0</v>
      </c>
      <c r="E11179" s="196">
        <v>0</v>
      </c>
      <c r="F11179" s="196">
        <v>0</v>
      </c>
      <c r="G11179" s="196">
        <v>-175000</v>
      </c>
    </row>
    <row r="11180" spans="1:7" x14ac:dyDescent="0.3">
      <c r="A11180" s="198">
        <v>32220442</v>
      </c>
      <c r="B11180" s="192" t="s">
        <v>6942</v>
      </c>
      <c r="C11180" s="196">
        <v>-193000</v>
      </c>
      <c r="D11180" s="196">
        <v>0</v>
      </c>
      <c r="E11180" s="196">
        <v>0</v>
      </c>
      <c r="F11180" s="196">
        <v>0</v>
      </c>
      <c r="G11180" s="196">
        <v>-193000</v>
      </c>
    </row>
    <row r="11181" spans="1:7" x14ac:dyDescent="0.3">
      <c r="A11181" s="192" t="s">
        <v>5193</v>
      </c>
      <c r="B11181" s="192" t="s">
        <v>5194</v>
      </c>
      <c r="C11181" s="196">
        <v>-81000</v>
      </c>
      <c r="D11181" s="196">
        <v>0</v>
      </c>
      <c r="E11181" s="196">
        <v>0</v>
      </c>
      <c r="F11181" s="196">
        <v>0</v>
      </c>
      <c r="G11181" s="196">
        <v>-81000</v>
      </c>
    </row>
    <row r="11182" spans="1:7" x14ac:dyDescent="0.3">
      <c r="A11182" s="198">
        <v>32478928</v>
      </c>
      <c r="B11182" s="192" t="s">
        <v>7295</v>
      </c>
      <c r="C11182" s="196">
        <v>-185000</v>
      </c>
      <c r="D11182" s="196">
        <v>0</v>
      </c>
      <c r="E11182" s="196">
        <v>0</v>
      </c>
      <c r="F11182" s="196">
        <v>0</v>
      </c>
      <c r="G11182" s="196">
        <v>-185000</v>
      </c>
    </row>
    <row r="11183" spans="1:7" x14ac:dyDescent="0.3">
      <c r="A11183" s="192" t="s">
        <v>1199</v>
      </c>
      <c r="B11183" s="192" t="s">
        <v>1200</v>
      </c>
      <c r="C11183" s="196">
        <v>0</v>
      </c>
      <c r="D11183" s="196">
        <v>115000</v>
      </c>
      <c r="E11183" s="196">
        <v>230000</v>
      </c>
      <c r="F11183" s="196">
        <v>-115000</v>
      </c>
      <c r="G11183" s="196">
        <v>-115000</v>
      </c>
    </row>
    <row r="11184" spans="1:7" x14ac:dyDescent="0.3">
      <c r="A11184" s="198">
        <v>43108568</v>
      </c>
      <c r="B11184" s="192" t="s">
        <v>5197</v>
      </c>
      <c r="C11184" s="196">
        <v>-117600</v>
      </c>
      <c r="D11184" s="196">
        <v>0</v>
      </c>
      <c r="E11184" s="196">
        <v>0</v>
      </c>
      <c r="F11184" s="196">
        <v>0</v>
      </c>
      <c r="G11184" s="196">
        <v>-117600</v>
      </c>
    </row>
    <row r="11185" spans="1:7" x14ac:dyDescent="0.3">
      <c r="A11185" s="198">
        <v>1036614032</v>
      </c>
      <c r="B11185" s="192" t="s">
        <v>1202</v>
      </c>
      <c r="C11185" s="196">
        <v>0</v>
      </c>
      <c r="D11185" s="196">
        <v>0</v>
      </c>
      <c r="E11185" s="196">
        <v>40600</v>
      </c>
      <c r="F11185" s="196">
        <v>-40600</v>
      </c>
      <c r="G11185" s="196">
        <v>-40600</v>
      </c>
    </row>
    <row r="11186" spans="1:7" x14ac:dyDescent="0.3">
      <c r="A11186" s="198">
        <v>32301290</v>
      </c>
      <c r="B11186" s="192" t="s">
        <v>7296</v>
      </c>
      <c r="C11186" s="196">
        <v>-103290</v>
      </c>
      <c r="D11186" s="196">
        <v>0</v>
      </c>
      <c r="E11186" s="196">
        <v>0</v>
      </c>
      <c r="F11186" s="196">
        <v>0</v>
      </c>
      <c r="G11186" s="196">
        <v>-103290</v>
      </c>
    </row>
    <row r="11187" spans="1:7" x14ac:dyDescent="0.3">
      <c r="A11187" s="198">
        <v>32397588</v>
      </c>
      <c r="B11187" s="192" t="s">
        <v>5198</v>
      </c>
      <c r="C11187" s="196">
        <v>-121800</v>
      </c>
      <c r="D11187" s="196">
        <v>0</v>
      </c>
      <c r="E11187" s="196">
        <v>0</v>
      </c>
      <c r="F11187" s="196">
        <v>0</v>
      </c>
      <c r="G11187" s="196">
        <v>-121800</v>
      </c>
    </row>
    <row r="11188" spans="1:7" x14ac:dyDescent="0.3">
      <c r="A11188" s="198">
        <v>1128466020</v>
      </c>
      <c r="B11188" s="192" t="s">
        <v>1203</v>
      </c>
      <c r="C11188" s="196">
        <v>0</v>
      </c>
      <c r="D11188" s="196">
        <v>75649</v>
      </c>
      <c r="E11188" s="196">
        <v>75650</v>
      </c>
      <c r="F11188" s="196">
        <v>-1</v>
      </c>
      <c r="G11188" s="196">
        <v>-1</v>
      </c>
    </row>
    <row r="11189" spans="1:7" x14ac:dyDescent="0.3">
      <c r="A11189" s="198">
        <v>1062424292</v>
      </c>
      <c r="B11189" s="192" t="s">
        <v>7297</v>
      </c>
      <c r="C11189" s="196">
        <v>-46000</v>
      </c>
      <c r="D11189" s="196">
        <v>0</v>
      </c>
      <c r="E11189" s="196">
        <v>0</v>
      </c>
      <c r="F11189" s="196">
        <v>0</v>
      </c>
      <c r="G11189" s="196">
        <v>-46000</v>
      </c>
    </row>
    <row r="11190" spans="1:7" x14ac:dyDescent="0.3">
      <c r="A11190" s="198">
        <v>16138038</v>
      </c>
      <c r="B11190" s="192" t="s">
        <v>1204</v>
      </c>
      <c r="C11190" s="196">
        <v>-40600</v>
      </c>
      <c r="D11190" s="196">
        <v>0</v>
      </c>
      <c r="E11190" s="196">
        <v>0</v>
      </c>
      <c r="F11190" s="196">
        <v>0</v>
      </c>
      <c r="G11190" s="196">
        <v>-40600</v>
      </c>
    </row>
    <row r="11191" spans="1:7" x14ac:dyDescent="0.3">
      <c r="A11191" s="198">
        <v>1041230599</v>
      </c>
      <c r="B11191" s="192" t="s">
        <v>2427</v>
      </c>
      <c r="C11191" s="196">
        <v>-1</v>
      </c>
      <c r="D11191" s="196">
        <v>0</v>
      </c>
      <c r="E11191" s="196">
        <v>0</v>
      </c>
      <c r="F11191" s="196">
        <v>0</v>
      </c>
      <c r="G11191" s="196">
        <v>-1</v>
      </c>
    </row>
    <row r="11192" spans="1:7" x14ac:dyDescent="0.3">
      <c r="A11192" s="192" t="s">
        <v>5209</v>
      </c>
      <c r="B11192" s="192" t="s">
        <v>5210</v>
      </c>
      <c r="C11192" s="196">
        <v>-659200</v>
      </c>
      <c r="D11192" s="196">
        <v>0</v>
      </c>
      <c r="E11192" s="196">
        <v>0</v>
      </c>
      <c r="F11192" s="196">
        <v>0</v>
      </c>
      <c r="G11192" s="196">
        <v>-659200</v>
      </c>
    </row>
    <row r="11193" spans="1:7" x14ac:dyDescent="0.3">
      <c r="A11193" s="198">
        <v>71339179</v>
      </c>
      <c r="B11193" s="192" t="s">
        <v>5214</v>
      </c>
      <c r="C11193" s="196">
        <v>-46000</v>
      </c>
      <c r="D11193" s="196">
        <v>0</v>
      </c>
      <c r="E11193" s="196">
        <v>0</v>
      </c>
      <c r="F11193" s="196">
        <v>0</v>
      </c>
      <c r="G11193" s="196">
        <v>-46000</v>
      </c>
    </row>
    <row r="11194" spans="1:7" x14ac:dyDescent="0.3">
      <c r="A11194" s="198">
        <v>42870005</v>
      </c>
      <c r="B11194" s="192" t="s">
        <v>5217</v>
      </c>
      <c r="C11194" s="196">
        <v>-112400</v>
      </c>
      <c r="D11194" s="196">
        <v>0</v>
      </c>
      <c r="E11194" s="196">
        <v>0</v>
      </c>
      <c r="F11194" s="196">
        <v>0</v>
      </c>
      <c r="G11194" s="196">
        <v>-112400</v>
      </c>
    </row>
    <row r="11195" spans="1:7" x14ac:dyDescent="0.3">
      <c r="A11195" s="198">
        <v>42866053</v>
      </c>
      <c r="B11195" s="192" t="s">
        <v>5220</v>
      </c>
      <c r="C11195" s="196">
        <v>-49000</v>
      </c>
      <c r="D11195" s="196">
        <v>0</v>
      </c>
      <c r="E11195" s="196">
        <v>0</v>
      </c>
      <c r="F11195" s="196">
        <v>0</v>
      </c>
      <c r="G11195" s="196">
        <v>-49000</v>
      </c>
    </row>
    <row r="11196" spans="1:7" x14ac:dyDescent="0.3">
      <c r="A11196" s="198">
        <v>43098694</v>
      </c>
      <c r="B11196" s="192" t="s">
        <v>5221</v>
      </c>
      <c r="C11196" s="196">
        <v>-33200</v>
      </c>
      <c r="D11196" s="196">
        <v>0</v>
      </c>
      <c r="E11196" s="196">
        <v>0</v>
      </c>
      <c r="F11196" s="196">
        <v>0</v>
      </c>
      <c r="G11196" s="196">
        <v>-33200</v>
      </c>
    </row>
    <row r="11197" spans="1:7" x14ac:dyDescent="0.3">
      <c r="A11197" s="198">
        <v>37011232</v>
      </c>
      <c r="B11197" s="192" t="s">
        <v>5224</v>
      </c>
      <c r="C11197" s="196">
        <v>-33200</v>
      </c>
      <c r="D11197" s="196">
        <v>0</v>
      </c>
      <c r="E11197" s="196">
        <v>0</v>
      </c>
      <c r="F11197" s="196">
        <v>0</v>
      </c>
      <c r="G11197" s="196">
        <v>-33200</v>
      </c>
    </row>
    <row r="11198" spans="1:7" x14ac:dyDescent="0.3">
      <c r="A11198" s="198">
        <v>21700928</v>
      </c>
      <c r="B11198" s="192" t="s">
        <v>1214</v>
      </c>
      <c r="C11198" s="196">
        <v>0</v>
      </c>
      <c r="D11198" s="196">
        <v>0</v>
      </c>
      <c r="E11198" s="196">
        <v>357000</v>
      </c>
      <c r="F11198" s="196">
        <v>-357000</v>
      </c>
      <c r="G11198" s="196">
        <v>-357000</v>
      </c>
    </row>
    <row r="11199" spans="1:7" x14ac:dyDescent="0.3">
      <c r="A11199" s="198">
        <v>43011012</v>
      </c>
      <c r="B11199" s="192" t="s">
        <v>5226</v>
      </c>
      <c r="C11199" s="196">
        <v>-33200</v>
      </c>
      <c r="D11199" s="196">
        <v>0</v>
      </c>
      <c r="E11199" s="196">
        <v>0</v>
      </c>
      <c r="F11199" s="196">
        <v>0</v>
      </c>
      <c r="G11199" s="196">
        <v>-33200</v>
      </c>
    </row>
    <row r="11200" spans="1:7" x14ac:dyDescent="0.3">
      <c r="A11200" s="198">
        <v>72777414</v>
      </c>
      <c r="B11200" s="192" t="s">
        <v>5230</v>
      </c>
      <c r="C11200" s="196">
        <v>-285600</v>
      </c>
      <c r="D11200" s="196">
        <v>0</v>
      </c>
      <c r="E11200" s="196">
        <v>0</v>
      </c>
      <c r="F11200" s="196">
        <v>0</v>
      </c>
      <c r="G11200" s="196">
        <v>-285600</v>
      </c>
    </row>
    <row r="11201" spans="1:7" x14ac:dyDescent="0.3">
      <c r="A11201" s="198">
        <v>43468711</v>
      </c>
      <c r="B11201" s="192" t="s">
        <v>1215</v>
      </c>
      <c r="C11201" s="196">
        <v>0</v>
      </c>
      <c r="D11201" s="196">
        <v>0</v>
      </c>
      <c r="E11201" s="196">
        <v>535500</v>
      </c>
      <c r="F11201" s="196">
        <v>-535500</v>
      </c>
      <c r="G11201" s="196">
        <v>-535500</v>
      </c>
    </row>
    <row r="11202" spans="1:7" x14ac:dyDescent="0.3">
      <c r="A11202" s="198">
        <v>32079919</v>
      </c>
      <c r="B11202" s="192" t="s">
        <v>1218</v>
      </c>
      <c r="C11202" s="196">
        <v>0</v>
      </c>
      <c r="D11202" s="196">
        <v>0</v>
      </c>
      <c r="E11202" s="196">
        <v>104000</v>
      </c>
      <c r="F11202" s="196">
        <v>-104000</v>
      </c>
      <c r="G11202" s="196">
        <v>-104000</v>
      </c>
    </row>
    <row r="11203" spans="1:7" x14ac:dyDescent="0.3">
      <c r="A11203" s="198">
        <v>32019626</v>
      </c>
      <c r="B11203" s="192" t="s">
        <v>5237</v>
      </c>
      <c r="C11203" s="196">
        <v>-79300</v>
      </c>
      <c r="D11203" s="196">
        <v>0</v>
      </c>
      <c r="E11203" s="196">
        <v>0</v>
      </c>
      <c r="F11203" s="196">
        <v>0</v>
      </c>
      <c r="G11203" s="196">
        <v>-79300</v>
      </c>
    </row>
    <row r="11204" spans="1:7" x14ac:dyDescent="0.3">
      <c r="A11204" s="198">
        <v>32453643</v>
      </c>
      <c r="B11204" s="192" t="s">
        <v>1219</v>
      </c>
      <c r="C11204" s="196">
        <v>-81200</v>
      </c>
      <c r="D11204" s="196">
        <v>0</v>
      </c>
      <c r="E11204" s="196">
        <v>0</v>
      </c>
      <c r="F11204" s="196">
        <v>0</v>
      </c>
      <c r="G11204" s="196">
        <v>-81200</v>
      </c>
    </row>
    <row r="11205" spans="1:7" x14ac:dyDescent="0.3">
      <c r="A11205" s="198">
        <v>20196518</v>
      </c>
      <c r="B11205" s="192" t="s">
        <v>7298</v>
      </c>
      <c r="C11205" s="196">
        <v>-661100</v>
      </c>
      <c r="D11205" s="196">
        <v>0</v>
      </c>
      <c r="E11205" s="196">
        <v>0</v>
      </c>
      <c r="F11205" s="196">
        <v>0</v>
      </c>
      <c r="G11205" s="196">
        <v>-661100</v>
      </c>
    </row>
    <row r="11206" spans="1:7" x14ac:dyDescent="0.3">
      <c r="A11206" s="198">
        <v>32460088</v>
      </c>
      <c r="B11206" s="192" t="s">
        <v>5238</v>
      </c>
      <c r="C11206" s="196">
        <v>-46000</v>
      </c>
      <c r="D11206" s="196">
        <v>0</v>
      </c>
      <c r="E11206" s="196">
        <v>0</v>
      </c>
      <c r="F11206" s="196">
        <v>0</v>
      </c>
      <c r="G11206" s="196">
        <v>-46000</v>
      </c>
    </row>
    <row r="11207" spans="1:7" x14ac:dyDescent="0.3">
      <c r="A11207" s="198">
        <v>43591138</v>
      </c>
      <c r="B11207" s="192" t="s">
        <v>5239</v>
      </c>
      <c r="C11207" s="196">
        <v>-79300</v>
      </c>
      <c r="D11207" s="196">
        <v>0</v>
      </c>
      <c r="E11207" s="196">
        <v>0</v>
      </c>
      <c r="F11207" s="196">
        <v>0</v>
      </c>
      <c r="G11207" s="196">
        <v>-79300</v>
      </c>
    </row>
    <row r="11208" spans="1:7" x14ac:dyDescent="0.3">
      <c r="A11208" s="198">
        <v>32478517</v>
      </c>
      <c r="B11208" s="192" t="s">
        <v>5241</v>
      </c>
      <c r="C11208" s="196">
        <v>-20000</v>
      </c>
      <c r="D11208" s="196">
        <v>0</v>
      </c>
      <c r="E11208" s="196">
        <v>0</v>
      </c>
      <c r="F11208" s="196">
        <v>0</v>
      </c>
      <c r="G11208" s="196">
        <v>-20000</v>
      </c>
    </row>
    <row r="11209" spans="1:7" x14ac:dyDescent="0.3">
      <c r="A11209" s="198">
        <v>39441597</v>
      </c>
      <c r="B11209" s="192" t="s">
        <v>7299</v>
      </c>
      <c r="C11209" s="196">
        <v>-92000</v>
      </c>
      <c r="D11209" s="196">
        <v>0</v>
      </c>
      <c r="E11209" s="196">
        <v>0</v>
      </c>
      <c r="F11209" s="196">
        <v>0</v>
      </c>
      <c r="G11209" s="196">
        <v>-92000</v>
      </c>
    </row>
    <row r="11210" spans="1:7" x14ac:dyDescent="0.3">
      <c r="A11210" s="198">
        <v>42891583</v>
      </c>
      <c r="B11210" s="192" t="s">
        <v>1221</v>
      </c>
      <c r="C11210" s="196">
        <v>0</v>
      </c>
      <c r="D11210" s="196">
        <v>0</v>
      </c>
      <c r="E11210" s="196">
        <v>35300</v>
      </c>
      <c r="F11210" s="196">
        <v>-35300</v>
      </c>
      <c r="G11210" s="196">
        <v>-35300</v>
      </c>
    </row>
    <row r="11211" spans="1:7" x14ac:dyDescent="0.3">
      <c r="A11211" s="198">
        <v>42794591</v>
      </c>
      <c r="B11211" s="192" t="s">
        <v>5247</v>
      </c>
      <c r="C11211" s="196">
        <v>-73900</v>
      </c>
      <c r="D11211" s="196">
        <v>0</v>
      </c>
      <c r="E11211" s="196">
        <v>0</v>
      </c>
      <c r="F11211" s="196">
        <v>0</v>
      </c>
      <c r="G11211" s="196">
        <v>-73900</v>
      </c>
    </row>
    <row r="11212" spans="1:7" x14ac:dyDescent="0.3">
      <c r="A11212" s="198">
        <v>43677420</v>
      </c>
      <c r="B11212" s="192" t="s">
        <v>6955</v>
      </c>
      <c r="C11212" s="196">
        <v>-152000</v>
      </c>
      <c r="D11212" s="196">
        <v>0</v>
      </c>
      <c r="E11212" s="196">
        <v>0</v>
      </c>
      <c r="F11212" s="196">
        <v>0</v>
      </c>
      <c r="G11212" s="196">
        <v>-152000</v>
      </c>
    </row>
    <row r="11213" spans="1:7" x14ac:dyDescent="0.3">
      <c r="A11213" s="198">
        <v>60325631</v>
      </c>
      <c r="B11213" s="192" t="s">
        <v>1223</v>
      </c>
      <c r="C11213" s="196">
        <v>-112500</v>
      </c>
      <c r="D11213" s="196">
        <v>0</v>
      </c>
      <c r="E11213" s="196">
        <v>46100</v>
      </c>
      <c r="F11213" s="196">
        <v>-46100</v>
      </c>
      <c r="G11213" s="196">
        <v>-158600</v>
      </c>
    </row>
    <row r="11214" spans="1:7" x14ac:dyDescent="0.3">
      <c r="A11214" s="198">
        <v>1019916032</v>
      </c>
      <c r="B11214" s="192" t="s">
        <v>5274</v>
      </c>
      <c r="C11214" s="196">
        <v>-43000</v>
      </c>
      <c r="D11214" s="196">
        <v>0</v>
      </c>
      <c r="E11214" s="196">
        <v>0</v>
      </c>
      <c r="F11214" s="196">
        <v>0</v>
      </c>
      <c r="G11214" s="196">
        <v>-43000</v>
      </c>
    </row>
    <row r="11215" spans="1:7" x14ac:dyDescent="0.3">
      <c r="A11215" s="192" t="s">
        <v>1227</v>
      </c>
      <c r="B11215" s="192" t="s">
        <v>1228</v>
      </c>
      <c r="C11215" s="196">
        <v>0</v>
      </c>
      <c r="D11215" s="196">
        <v>0</v>
      </c>
      <c r="E11215" s="196">
        <v>258000</v>
      </c>
      <c r="F11215" s="196">
        <v>-258000</v>
      </c>
      <c r="G11215" s="196">
        <v>-258000</v>
      </c>
    </row>
    <row r="11216" spans="1:7" x14ac:dyDescent="0.3">
      <c r="A11216" s="198">
        <v>43610929</v>
      </c>
      <c r="B11216" s="192" t="s">
        <v>1230</v>
      </c>
      <c r="C11216" s="196">
        <v>-255000</v>
      </c>
      <c r="D11216" s="196">
        <v>0</v>
      </c>
      <c r="E11216" s="196">
        <v>0</v>
      </c>
      <c r="F11216" s="196">
        <v>0</v>
      </c>
      <c r="G11216" s="196">
        <v>-255000</v>
      </c>
    </row>
    <row r="11217" spans="1:7" x14ac:dyDescent="0.3">
      <c r="A11217" s="198">
        <v>43581436</v>
      </c>
      <c r="B11217" s="192" t="s">
        <v>5283</v>
      </c>
      <c r="C11217" s="196">
        <v>-79200</v>
      </c>
      <c r="D11217" s="196">
        <v>0</v>
      </c>
      <c r="E11217" s="196">
        <v>0</v>
      </c>
      <c r="F11217" s="196">
        <v>0</v>
      </c>
      <c r="G11217" s="196">
        <v>-79200</v>
      </c>
    </row>
    <row r="11218" spans="1:7" x14ac:dyDescent="0.3">
      <c r="A11218" s="198">
        <v>43872437</v>
      </c>
      <c r="B11218" s="192" t="s">
        <v>1231</v>
      </c>
      <c r="C11218" s="196">
        <v>0</v>
      </c>
      <c r="D11218" s="196">
        <v>0</v>
      </c>
      <c r="E11218" s="196">
        <v>60000</v>
      </c>
      <c r="F11218" s="196">
        <v>-60000</v>
      </c>
      <c r="G11218" s="196">
        <v>-60000</v>
      </c>
    </row>
    <row r="11219" spans="1:7" x14ac:dyDescent="0.3">
      <c r="A11219" s="198">
        <v>1036623625</v>
      </c>
      <c r="B11219" s="192" t="s">
        <v>5284</v>
      </c>
      <c r="C11219" s="196">
        <v>-574300</v>
      </c>
      <c r="D11219" s="196">
        <v>0</v>
      </c>
      <c r="E11219" s="196">
        <v>0</v>
      </c>
      <c r="F11219" s="196">
        <v>0</v>
      </c>
      <c r="G11219" s="196">
        <v>-574300</v>
      </c>
    </row>
    <row r="11220" spans="1:7" x14ac:dyDescent="0.3">
      <c r="A11220" s="198">
        <v>1094967052</v>
      </c>
      <c r="B11220" s="192" t="s">
        <v>5290</v>
      </c>
      <c r="C11220" s="196">
        <v>-259200</v>
      </c>
      <c r="D11220" s="196">
        <v>0</v>
      </c>
      <c r="E11220" s="196">
        <v>0</v>
      </c>
      <c r="F11220" s="196">
        <v>0</v>
      </c>
      <c r="G11220" s="196">
        <v>-259200</v>
      </c>
    </row>
    <row r="11221" spans="1:7" x14ac:dyDescent="0.3">
      <c r="A11221" s="198">
        <v>1036673942</v>
      </c>
      <c r="B11221" s="192" t="s">
        <v>5291</v>
      </c>
      <c r="C11221" s="196">
        <v>-81200</v>
      </c>
      <c r="D11221" s="196">
        <v>0</v>
      </c>
      <c r="E11221" s="196">
        <v>0</v>
      </c>
      <c r="F11221" s="196">
        <v>0</v>
      </c>
      <c r="G11221" s="196">
        <v>-81200</v>
      </c>
    </row>
    <row r="11222" spans="1:7" x14ac:dyDescent="0.3">
      <c r="A11222" s="198">
        <v>1002901310</v>
      </c>
      <c r="B11222" s="192" t="s">
        <v>1236</v>
      </c>
      <c r="C11222" s="196">
        <v>0</v>
      </c>
      <c r="D11222" s="196">
        <v>0</v>
      </c>
      <c r="E11222" s="196">
        <v>432600</v>
      </c>
      <c r="F11222" s="196">
        <v>-432600</v>
      </c>
      <c r="G11222" s="196">
        <v>-432600</v>
      </c>
    </row>
    <row r="11223" spans="1:7" x14ac:dyDescent="0.3">
      <c r="A11223" s="198">
        <v>1152449017</v>
      </c>
      <c r="B11223" s="192" t="s">
        <v>5298</v>
      </c>
      <c r="C11223" s="196">
        <v>-141000</v>
      </c>
      <c r="D11223" s="196">
        <v>0</v>
      </c>
      <c r="E11223" s="196">
        <v>0</v>
      </c>
      <c r="F11223" s="196">
        <v>0</v>
      </c>
      <c r="G11223" s="196">
        <v>-141000</v>
      </c>
    </row>
    <row r="11224" spans="1:7" x14ac:dyDescent="0.3">
      <c r="A11224" s="198">
        <v>1034995461</v>
      </c>
      <c r="B11224" s="192" t="s">
        <v>7300</v>
      </c>
      <c r="C11224" s="196">
        <v>-81200</v>
      </c>
      <c r="D11224" s="196">
        <v>0</v>
      </c>
      <c r="E11224" s="196">
        <v>0</v>
      </c>
      <c r="F11224" s="196">
        <v>0</v>
      </c>
      <c r="G11224" s="196">
        <v>-81200</v>
      </c>
    </row>
    <row r="11225" spans="1:7" x14ac:dyDescent="0.3">
      <c r="A11225" s="192" t="s">
        <v>1246</v>
      </c>
      <c r="B11225" s="192" t="s">
        <v>1247</v>
      </c>
      <c r="C11225" s="196">
        <v>0</v>
      </c>
      <c r="D11225" s="196">
        <v>0</v>
      </c>
      <c r="E11225" s="196">
        <v>704000</v>
      </c>
      <c r="F11225" s="196">
        <v>-704000</v>
      </c>
      <c r="G11225" s="196">
        <v>-704000</v>
      </c>
    </row>
    <row r="11226" spans="1:7" x14ac:dyDescent="0.3">
      <c r="A11226" s="198">
        <v>85154978</v>
      </c>
      <c r="B11226" s="192" t="s">
        <v>7301</v>
      </c>
      <c r="C11226" s="196">
        <v>-205000</v>
      </c>
      <c r="D11226" s="196">
        <v>0</v>
      </c>
      <c r="E11226" s="196">
        <v>0</v>
      </c>
      <c r="F11226" s="196">
        <v>0</v>
      </c>
      <c r="G11226" s="196">
        <v>-205000</v>
      </c>
    </row>
    <row r="11227" spans="1:7" x14ac:dyDescent="0.3">
      <c r="A11227" s="198">
        <v>19165393</v>
      </c>
      <c r="B11227" s="192" t="s">
        <v>1249</v>
      </c>
      <c r="C11227" s="196">
        <v>0</v>
      </c>
      <c r="D11227" s="196">
        <v>0</v>
      </c>
      <c r="E11227" s="196">
        <v>125200</v>
      </c>
      <c r="F11227" s="196">
        <v>-125200</v>
      </c>
      <c r="G11227" s="196">
        <v>-125200</v>
      </c>
    </row>
    <row r="11228" spans="1:7" x14ac:dyDescent="0.3">
      <c r="A11228" s="198">
        <v>1143243070</v>
      </c>
      <c r="B11228" s="192" t="s">
        <v>5358</v>
      </c>
      <c r="C11228" s="196">
        <v>-414000</v>
      </c>
      <c r="D11228" s="196">
        <v>0</v>
      </c>
      <c r="E11228" s="196">
        <v>0</v>
      </c>
      <c r="F11228" s="196">
        <v>0</v>
      </c>
      <c r="G11228" s="196">
        <v>-414000</v>
      </c>
    </row>
    <row r="11229" spans="1:7" x14ac:dyDescent="0.3">
      <c r="A11229" s="192" t="s">
        <v>1256</v>
      </c>
      <c r="B11229" s="192" t="s">
        <v>1257</v>
      </c>
      <c r="C11229" s="196">
        <v>0</v>
      </c>
      <c r="D11229" s="196">
        <v>680000</v>
      </c>
      <c r="E11229" s="196">
        <v>1360000</v>
      </c>
      <c r="F11229" s="196">
        <v>-680000</v>
      </c>
      <c r="G11229" s="196">
        <v>-680000</v>
      </c>
    </row>
    <row r="11230" spans="1:7" x14ac:dyDescent="0.3">
      <c r="A11230" s="198">
        <v>901226955</v>
      </c>
      <c r="B11230" s="192" t="s">
        <v>137</v>
      </c>
      <c r="C11230" s="196">
        <v>-386000</v>
      </c>
      <c r="D11230" s="196">
        <v>0</v>
      </c>
      <c r="E11230" s="196">
        <v>0</v>
      </c>
      <c r="F11230" s="196">
        <v>0</v>
      </c>
      <c r="G11230" s="196">
        <v>-386000</v>
      </c>
    </row>
    <row r="11231" spans="1:7" x14ac:dyDescent="0.3">
      <c r="A11231" s="198">
        <v>900178724</v>
      </c>
      <c r="B11231" s="192" t="s">
        <v>1259</v>
      </c>
      <c r="C11231" s="196">
        <v>-3345779</v>
      </c>
      <c r="D11231" s="196">
        <v>0</v>
      </c>
      <c r="E11231" s="196">
        <v>1020032</v>
      </c>
      <c r="F11231" s="196">
        <v>-1020032</v>
      </c>
      <c r="G11231" s="196">
        <v>-4365811</v>
      </c>
    </row>
    <row r="11232" spans="1:7" x14ac:dyDescent="0.3">
      <c r="A11232" s="198">
        <v>681379535</v>
      </c>
      <c r="B11232" s="192" t="s">
        <v>1260</v>
      </c>
      <c r="C11232" s="196">
        <v>0</v>
      </c>
      <c r="D11232" s="196">
        <v>0</v>
      </c>
      <c r="E11232" s="196">
        <v>347000</v>
      </c>
      <c r="F11232" s="196">
        <v>-347000</v>
      </c>
      <c r="G11232" s="196">
        <v>-347000</v>
      </c>
    </row>
    <row r="11233" spans="1:7" x14ac:dyDescent="0.3">
      <c r="A11233" s="198">
        <v>1001709660</v>
      </c>
      <c r="B11233" s="192" t="s">
        <v>1264</v>
      </c>
      <c r="C11233" s="196">
        <v>0</v>
      </c>
      <c r="D11233" s="196">
        <v>0</v>
      </c>
      <c r="E11233" s="196">
        <v>79200</v>
      </c>
      <c r="F11233" s="196">
        <v>-79200</v>
      </c>
      <c r="G11233" s="196">
        <v>-79200</v>
      </c>
    </row>
    <row r="11234" spans="1:7" x14ac:dyDescent="0.3">
      <c r="A11234" s="198">
        <v>30297920</v>
      </c>
      <c r="B11234" s="192" t="s">
        <v>5366</v>
      </c>
      <c r="C11234" s="196">
        <v>-258000</v>
      </c>
      <c r="D11234" s="196">
        <v>0</v>
      </c>
      <c r="E11234" s="196">
        <v>0</v>
      </c>
      <c r="F11234" s="196">
        <v>0</v>
      </c>
      <c r="G11234" s="196">
        <v>-258000</v>
      </c>
    </row>
    <row r="11235" spans="1:7" x14ac:dyDescent="0.3">
      <c r="A11235" s="198">
        <v>509516</v>
      </c>
      <c r="B11235" s="192" t="s">
        <v>5368</v>
      </c>
      <c r="C11235" s="196">
        <v>-79200</v>
      </c>
      <c r="D11235" s="196">
        <v>0</v>
      </c>
      <c r="E11235" s="196">
        <v>0</v>
      </c>
      <c r="F11235" s="196">
        <v>0</v>
      </c>
      <c r="G11235" s="196">
        <v>-79200</v>
      </c>
    </row>
    <row r="11236" spans="1:7" x14ac:dyDescent="0.3">
      <c r="A11236" s="198">
        <v>1077469089</v>
      </c>
      <c r="B11236" s="192" t="s">
        <v>1265</v>
      </c>
      <c r="C11236" s="196">
        <v>-315000</v>
      </c>
      <c r="D11236" s="196">
        <v>0</v>
      </c>
      <c r="E11236" s="196">
        <v>0</v>
      </c>
      <c r="F11236" s="196">
        <v>0</v>
      </c>
      <c r="G11236" s="196">
        <v>-315000</v>
      </c>
    </row>
    <row r="11237" spans="1:7" x14ac:dyDescent="0.3">
      <c r="A11237" s="192" t="s">
        <v>1266</v>
      </c>
      <c r="B11237" s="192" t="s">
        <v>1267</v>
      </c>
      <c r="C11237" s="196">
        <v>-605000</v>
      </c>
      <c r="D11237" s="196">
        <v>0</v>
      </c>
      <c r="E11237" s="196">
        <v>0</v>
      </c>
      <c r="F11237" s="196">
        <v>0</v>
      </c>
      <c r="G11237" s="196">
        <v>-605000</v>
      </c>
    </row>
    <row r="11238" spans="1:7" x14ac:dyDescent="0.3">
      <c r="A11238" s="192" t="s">
        <v>5376</v>
      </c>
      <c r="B11238" s="192" t="s">
        <v>5377</v>
      </c>
      <c r="C11238" s="196">
        <v>-414000</v>
      </c>
      <c r="D11238" s="196">
        <v>0</v>
      </c>
      <c r="E11238" s="196">
        <v>0</v>
      </c>
      <c r="F11238" s="196">
        <v>0</v>
      </c>
      <c r="G11238" s="196">
        <v>-414000</v>
      </c>
    </row>
    <row r="11239" spans="1:7" x14ac:dyDescent="0.3">
      <c r="A11239" s="192" t="s">
        <v>1270</v>
      </c>
      <c r="B11239" s="192" t="s">
        <v>1271</v>
      </c>
      <c r="C11239" s="196">
        <v>0</v>
      </c>
      <c r="D11239" s="196">
        <v>0</v>
      </c>
      <c r="E11239" s="196">
        <v>299000</v>
      </c>
      <c r="F11239" s="196">
        <v>-299000</v>
      </c>
      <c r="G11239" s="196">
        <v>-299000</v>
      </c>
    </row>
    <row r="11240" spans="1:7" x14ac:dyDescent="0.3">
      <c r="A11240" s="192" t="s">
        <v>5378</v>
      </c>
      <c r="B11240" s="192" t="s">
        <v>5379</v>
      </c>
      <c r="C11240" s="196">
        <v>-357000</v>
      </c>
      <c r="D11240" s="196">
        <v>0</v>
      </c>
      <c r="E11240" s="196">
        <v>0</v>
      </c>
      <c r="F11240" s="196">
        <v>0</v>
      </c>
      <c r="G11240" s="196">
        <v>-357000</v>
      </c>
    </row>
    <row r="11241" spans="1:7" x14ac:dyDescent="0.3">
      <c r="A11241" s="198">
        <v>1094925975</v>
      </c>
      <c r="B11241" s="192" t="s">
        <v>5380</v>
      </c>
      <c r="C11241" s="196">
        <v>-575200</v>
      </c>
      <c r="D11241" s="196">
        <v>0</v>
      </c>
      <c r="E11241" s="196">
        <v>0</v>
      </c>
      <c r="F11241" s="196">
        <v>0</v>
      </c>
      <c r="G11241" s="196">
        <v>-575200</v>
      </c>
    </row>
    <row r="11242" spans="1:7" x14ac:dyDescent="0.3">
      <c r="A11242" s="198">
        <v>6237830</v>
      </c>
      <c r="B11242" s="192" t="s">
        <v>5381</v>
      </c>
      <c r="C11242" s="196">
        <v>-258000</v>
      </c>
      <c r="D11242" s="196">
        <v>0</v>
      </c>
      <c r="E11242" s="196">
        <v>0</v>
      </c>
      <c r="F11242" s="196">
        <v>0</v>
      </c>
      <c r="G11242" s="196">
        <v>-258000</v>
      </c>
    </row>
    <row r="11243" spans="1:7" x14ac:dyDescent="0.3">
      <c r="A11243" s="198">
        <v>1144097777</v>
      </c>
      <c r="B11243" s="192" t="s">
        <v>5387</v>
      </c>
      <c r="C11243" s="196">
        <v>-81200</v>
      </c>
      <c r="D11243" s="196">
        <v>0</v>
      </c>
      <c r="E11243" s="196">
        <v>0</v>
      </c>
      <c r="F11243" s="196">
        <v>0</v>
      </c>
      <c r="G11243" s="196">
        <v>-81200</v>
      </c>
    </row>
    <row r="11244" spans="1:7" x14ac:dyDescent="0.3">
      <c r="A11244" s="198">
        <v>1037625556</v>
      </c>
      <c r="B11244" s="192" t="s">
        <v>5403</v>
      </c>
      <c r="C11244" s="196">
        <v>-70000</v>
      </c>
      <c r="D11244" s="196">
        <v>0</v>
      </c>
      <c r="E11244" s="196">
        <v>0</v>
      </c>
      <c r="F11244" s="196">
        <v>0</v>
      </c>
      <c r="G11244" s="196">
        <v>-70000</v>
      </c>
    </row>
    <row r="11245" spans="1:7" x14ac:dyDescent="0.3">
      <c r="A11245" s="198">
        <v>16071965</v>
      </c>
      <c r="B11245" s="192" t="s">
        <v>5405</v>
      </c>
      <c r="C11245" s="196">
        <v>-46000</v>
      </c>
      <c r="D11245" s="196">
        <v>0</v>
      </c>
      <c r="E11245" s="196">
        <v>0</v>
      </c>
      <c r="F11245" s="196">
        <v>0</v>
      </c>
      <c r="G11245" s="196">
        <v>-46000</v>
      </c>
    </row>
    <row r="11246" spans="1:7" x14ac:dyDescent="0.3">
      <c r="A11246" s="198">
        <v>70129416</v>
      </c>
      <c r="B11246" s="192" t="s">
        <v>1275</v>
      </c>
      <c r="C11246" s="196">
        <v>-73800</v>
      </c>
      <c r="D11246" s="196">
        <v>0</v>
      </c>
      <c r="E11246" s="196">
        <v>0</v>
      </c>
      <c r="F11246" s="196">
        <v>0</v>
      </c>
      <c r="G11246" s="196">
        <v>-73800</v>
      </c>
    </row>
    <row r="11247" spans="1:7" x14ac:dyDescent="0.3">
      <c r="A11247" s="192" t="s">
        <v>2432</v>
      </c>
      <c r="B11247" s="192" t="s">
        <v>2433</v>
      </c>
      <c r="C11247" s="196">
        <v>-514000</v>
      </c>
      <c r="D11247" s="196">
        <v>0</v>
      </c>
      <c r="E11247" s="196">
        <v>0</v>
      </c>
      <c r="F11247" s="196">
        <v>0</v>
      </c>
      <c r="G11247" s="196">
        <v>-514000</v>
      </c>
    </row>
    <row r="11248" spans="1:7" x14ac:dyDescent="0.3">
      <c r="A11248" s="192" t="s">
        <v>1278</v>
      </c>
      <c r="B11248" s="192" t="s">
        <v>1279</v>
      </c>
      <c r="C11248" s="196">
        <v>-258000</v>
      </c>
      <c r="D11248" s="196">
        <v>0</v>
      </c>
      <c r="E11248" s="196">
        <v>0</v>
      </c>
      <c r="F11248" s="196">
        <v>0</v>
      </c>
      <c r="G11248" s="196">
        <v>-258000</v>
      </c>
    </row>
    <row r="11249" spans="1:7" x14ac:dyDescent="0.3">
      <c r="A11249" s="198">
        <v>1017942343</v>
      </c>
      <c r="B11249" s="192" t="s">
        <v>5418</v>
      </c>
      <c r="C11249" s="196">
        <v>-79300</v>
      </c>
      <c r="D11249" s="196">
        <v>0</v>
      </c>
      <c r="E11249" s="196">
        <v>0</v>
      </c>
      <c r="F11249" s="196">
        <v>0</v>
      </c>
      <c r="G11249" s="196">
        <v>-79300</v>
      </c>
    </row>
    <row r="11250" spans="1:7" x14ac:dyDescent="0.3">
      <c r="A11250" s="192" t="s">
        <v>5419</v>
      </c>
      <c r="B11250" s="192" t="s">
        <v>5420</v>
      </c>
      <c r="C11250" s="196">
        <v>-299000</v>
      </c>
      <c r="D11250" s="196">
        <v>0</v>
      </c>
      <c r="E11250" s="196">
        <v>0</v>
      </c>
      <c r="F11250" s="196">
        <v>0</v>
      </c>
      <c r="G11250" s="196">
        <v>-299000</v>
      </c>
    </row>
    <row r="11251" spans="1:7" x14ac:dyDescent="0.3">
      <c r="A11251" s="198">
        <v>526838</v>
      </c>
      <c r="B11251" s="192" t="s">
        <v>5426</v>
      </c>
      <c r="C11251" s="196">
        <v>-46000</v>
      </c>
      <c r="D11251" s="196">
        <v>0</v>
      </c>
      <c r="E11251" s="196">
        <v>0</v>
      </c>
      <c r="F11251" s="196">
        <v>0</v>
      </c>
      <c r="G11251" s="196">
        <v>-46000</v>
      </c>
    </row>
    <row r="11252" spans="1:7" x14ac:dyDescent="0.3">
      <c r="A11252" s="198">
        <v>32435605</v>
      </c>
      <c r="B11252" s="192" t="s">
        <v>7302</v>
      </c>
      <c r="C11252" s="196">
        <v>-30900</v>
      </c>
      <c r="D11252" s="196">
        <v>0</v>
      </c>
      <c r="E11252" s="196">
        <v>0</v>
      </c>
      <c r="F11252" s="196">
        <v>0</v>
      </c>
      <c r="G11252" s="196">
        <v>-30900</v>
      </c>
    </row>
    <row r="11253" spans="1:7" x14ac:dyDescent="0.3">
      <c r="A11253" s="198">
        <v>1020413375</v>
      </c>
      <c r="B11253" s="192" t="s">
        <v>5431</v>
      </c>
      <c r="C11253" s="196">
        <v>-46000</v>
      </c>
      <c r="D11253" s="196">
        <v>0</v>
      </c>
      <c r="E11253" s="196">
        <v>0</v>
      </c>
      <c r="F11253" s="196">
        <v>0</v>
      </c>
      <c r="G11253" s="196">
        <v>-46000</v>
      </c>
    </row>
    <row r="11254" spans="1:7" x14ac:dyDescent="0.3">
      <c r="A11254" s="198">
        <v>32484181</v>
      </c>
      <c r="B11254" s="192" t="s">
        <v>5434</v>
      </c>
      <c r="C11254" s="196">
        <v>-354900</v>
      </c>
      <c r="D11254" s="196">
        <v>0</v>
      </c>
      <c r="E11254" s="196">
        <v>0</v>
      </c>
      <c r="F11254" s="196">
        <v>0</v>
      </c>
      <c r="G11254" s="196">
        <v>-354900</v>
      </c>
    </row>
    <row r="11255" spans="1:7" x14ac:dyDescent="0.3">
      <c r="A11255" s="198">
        <v>32484859</v>
      </c>
      <c r="B11255" s="192" t="s">
        <v>5435</v>
      </c>
      <c r="C11255" s="196">
        <v>-121800</v>
      </c>
      <c r="D11255" s="196">
        <v>0</v>
      </c>
      <c r="E11255" s="196">
        <v>0</v>
      </c>
      <c r="F11255" s="196">
        <v>0</v>
      </c>
      <c r="G11255" s="196">
        <v>-121800</v>
      </c>
    </row>
    <row r="11256" spans="1:7" x14ac:dyDescent="0.3">
      <c r="A11256" s="198">
        <v>43559136</v>
      </c>
      <c r="B11256" s="192" t="s">
        <v>5451</v>
      </c>
      <c r="C11256" s="196">
        <v>-79300</v>
      </c>
      <c r="D11256" s="196">
        <v>0</v>
      </c>
      <c r="E11256" s="196">
        <v>0</v>
      </c>
      <c r="F11256" s="196">
        <v>0</v>
      </c>
      <c r="G11256" s="196">
        <v>-79300</v>
      </c>
    </row>
    <row r="11257" spans="1:7" x14ac:dyDescent="0.3">
      <c r="A11257" s="198">
        <v>43626678</v>
      </c>
      <c r="B11257" s="192" t="s">
        <v>5454</v>
      </c>
      <c r="C11257" s="196">
        <v>-30900</v>
      </c>
      <c r="D11257" s="196">
        <v>0</v>
      </c>
      <c r="E11257" s="196">
        <v>0</v>
      </c>
      <c r="F11257" s="196">
        <v>0</v>
      </c>
      <c r="G11257" s="196">
        <v>-30900</v>
      </c>
    </row>
    <row r="11258" spans="1:7" x14ac:dyDescent="0.3">
      <c r="A11258" s="198">
        <v>42960843</v>
      </c>
      <c r="B11258" s="192" t="s">
        <v>5461</v>
      </c>
      <c r="C11258" s="196">
        <v>-324000</v>
      </c>
      <c r="D11258" s="196">
        <v>0</v>
      </c>
      <c r="E11258" s="196">
        <v>0</v>
      </c>
      <c r="F11258" s="196">
        <v>0</v>
      </c>
      <c r="G11258" s="196">
        <v>-324000</v>
      </c>
    </row>
    <row r="11259" spans="1:7" x14ac:dyDescent="0.3">
      <c r="A11259" s="192" t="s">
        <v>5462</v>
      </c>
      <c r="B11259" s="192" t="s">
        <v>5463</v>
      </c>
      <c r="C11259" s="196">
        <v>-299000</v>
      </c>
      <c r="D11259" s="196">
        <v>0</v>
      </c>
      <c r="E11259" s="196">
        <v>0</v>
      </c>
      <c r="F11259" s="196">
        <v>0</v>
      </c>
      <c r="G11259" s="196">
        <v>-299000</v>
      </c>
    </row>
    <row r="11260" spans="1:7" x14ac:dyDescent="0.3">
      <c r="A11260" s="198">
        <v>32242070</v>
      </c>
      <c r="B11260" s="192" t="s">
        <v>1289</v>
      </c>
      <c r="C11260" s="196">
        <v>-79300</v>
      </c>
      <c r="D11260" s="196">
        <v>0</v>
      </c>
      <c r="E11260" s="196">
        <v>0</v>
      </c>
      <c r="F11260" s="196">
        <v>0</v>
      </c>
      <c r="G11260" s="196">
        <v>-79300</v>
      </c>
    </row>
    <row r="11261" spans="1:7" x14ac:dyDescent="0.3">
      <c r="A11261" s="198">
        <v>1037601014</v>
      </c>
      <c r="B11261" s="192" t="s">
        <v>1290</v>
      </c>
      <c r="C11261" s="196">
        <v>-190000</v>
      </c>
      <c r="D11261" s="196">
        <v>115000</v>
      </c>
      <c r="E11261" s="196">
        <v>230000</v>
      </c>
      <c r="F11261" s="196">
        <v>-115000</v>
      </c>
      <c r="G11261" s="196">
        <v>-305000</v>
      </c>
    </row>
    <row r="11262" spans="1:7" x14ac:dyDescent="0.3">
      <c r="A11262" s="198">
        <v>39444328</v>
      </c>
      <c r="B11262" s="192" t="s">
        <v>5469</v>
      </c>
      <c r="C11262" s="196">
        <v>-357000</v>
      </c>
      <c r="D11262" s="196">
        <v>0</v>
      </c>
      <c r="E11262" s="196">
        <v>0</v>
      </c>
      <c r="F11262" s="196">
        <v>0</v>
      </c>
      <c r="G11262" s="196">
        <v>-357000</v>
      </c>
    </row>
    <row r="11263" spans="1:7" x14ac:dyDescent="0.3">
      <c r="A11263" s="198">
        <v>43600849</v>
      </c>
      <c r="B11263" s="192" t="s">
        <v>1291</v>
      </c>
      <c r="C11263" s="196">
        <v>-73800</v>
      </c>
      <c r="D11263" s="196">
        <v>0</v>
      </c>
      <c r="E11263" s="196">
        <v>79200</v>
      </c>
      <c r="F11263" s="196">
        <v>-79200</v>
      </c>
      <c r="G11263" s="196">
        <v>-153000</v>
      </c>
    </row>
    <row r="11264" spans="1:7" x14ac:dyDescent="0.3">
      <c r="A11264" s="198">
        <v>21832104</v>
      </c>
      <c r="B11264" s="192" t="s">
        <v>7303</v>
      </c>
      <c r="C11264" s="196">
        <v>-167000</v>
      </c>
      <c r="D11264" s="196">
        <v>0</v>
      </c>
      <c r="E11264" s="196">
        <v>0</v>
      </c>
      <c r="F11264" s="196">
        <v>0</v>
      </c>
      <c r="G11264" s="196">
        <v>-167000</v>
      </c>
    </row>
    <row r="11265" spans="1:7" x14ac:dyDescent="0.3">
      <c r="A11265" s="198">
        <v>43576492</v>
      </c>
      <c r="B11265" s="192" t="s">
        <v>5472</v>
      </c>
      <c r="C11265" s="196">
        <v>-42900</v>
      </c>
      <c r="D11265" s="196">
        <v>0</v>
      </c>
      <c r="E11265" s="196">
        <v>0</v>
      </c>
      <c r="F11265" s="196">
        <v>0</v>
      </c>
      <c r="G11265" s="196">
        <v>-42900</v>
      </c>
    </row>
    <row r="11266" spans="1:7" x14ac:dyDescent="0.3">
      <c r="A11266" s="198">
        <v>31247760</v>
      </c>
      <c r="B11266" s="192" t="s">
        <v>1293</v>
      </c>
      <c r="C11266" s="196">
        <v>-249800</v>
      </c>
      <c r="D11266" s="196">
        <v>0</v>
      </c>
      <c r="E11266" s="196">
        <v>0</v>
      </c>
      <c r="F11266" s="196">
        <v>0</v>
      </c>
      <c r="G11266" s="196">
        <v>-249800</v>
      </c>
    </row>
    <row r="11267" spans="1:7" x14ac:dyDescent="0.3">
      <c r="A11267" s="192" t="s">
        <v>5473</v>
      </c>
      <c r="B11267" s="192" t="s">
        <v>5474</v>
      </c>
      <c r="C11267" s="196">
        <v>-414000</v>
      </c>
      <c r="D11267" s="196">
        <v>0</v>
      </c>
      <c r="E11267" s="196">
        <v>0</v>
      </c>
      <c r="F11267" s="196">
        <v>0</v>
      </c>
      <c r="G11267" s="196">
        <v>-414000</v>
      </c>
    </row>
    <row r="11268" spans="1:7" x14ac:dyDescent="0.3">
      <c r="A11268" s="198">
        <v>1152435044</v>
      </c>
      <c r="B11268" s="192" t="s">
        <v>5479</v>
      </c>
      <c r="C11268" s="196">
        <v>-507000</v>
      </c>
      <c r="D11268" s="196">
        <v>0</v>
      </c>
      <c r="E11268" s="196">
        <v>0</v>
      </c>
      <c r="F11268" s="196">
        <v>0</v>
      </c>
      <c r="G11268" s="196">
        <v>-507000</v>
      </c>
    </row>
    <row r="11269" spans="1:7" x14ac:dyDescent="0.3">
      <c r="A11269" s="198">
        <v>43261673</v>
      </c>
      <c r="B11269" s="192" t="s">
        <v>5480</v>
      </c>
      <c r="C11269" s="196">
        <v>-146400</v>
      </c>
      <c r="D11269" s="196">
        <v>0</v>
      </c>
      <c r="E11269" s="196">
        <v>0</v>
      </c>
      <c r="F11269" s="196">
        <v>0</v>
      </c>
      <c r="G11269" s="196">
        <v>-146400</v>
      </c>
    </row>
    <row r="11270" spans="1:7" x14ac:dyDescent="0.3">
      <c r="A11270" s="198">
        <v>1001004487</v>
      </c>
      <c r="B11270" s="192" t="s">
        <v>7304</v>
      </c>
      <c r="C11270" s="196">
        <v>-193000</v>
      </c>
      <c r="D11270" s="196">
        <v>0</v>
      </c>
      <c r="E11270" s="196">
        <v>0</v>
      </c>
      <c r="F11270" s="196">
        <v>0</v>
      </c>
      <c r="G11270" s="196">
        <v>-193000</v>
      </c>
    </row>
    <row r="11271" spans="1:7" x14ac:dyDescent="0.3">
      <c r="A11271" s="198">
        <v>1128275906</v>
      </c>
      <c r="B11271" s="192" t="s">
        <v>5496</v>
      </c>
      <c r="C11271" s="196">
        <v>-648000</v>
      </c>
      <c r="D11271" s="196">
        <v>0</v>
      </c>
      <c r="E11271" s="196">
        <v>0</v>
      </c>
      <c r="F11271" s="196">
        <v>0</v>
      </c>
      <c r="G11271" s="196">
        <v>-648000</v>
      </c>
    </row>
    <row r="11272" spans="1:7" x14ac:dyDescent="0.3">
      <c r="A11272" s="198">
        <v>1001808958</v>
      </c>
      <c r="B11272" s="192" t="s">
        <v>1298</v>
      </c>
      <c r="C11272" s="196">
        <v>0</v>
      </c>
      <c r="D11272" s="196">
        <v>115000</v>
      </c>
      <c r="E11272" s="196">
        <v>420000</v>
      </c>
      <c r="F11272" s="196">
        <v>-305000</v>
      </c>
      <c r="G11272" s="196">
        <v>-305000</v>
      </c>
    </row>
    <row r="11273" spans="1:7" x14ac:dyDescent="0.3">
      <c r="A11273" s="198">
        <v>1001132350</v>
      </c>
      <c r="B11273" s="192" t="s">
        <v>5501</v>
      </c>
      <c r="C11273" s="196">
        <v>-190000</v>
      </c>
      <c r="D11273" s="196">
        <v>0</v>
      </c>
      <c r="E11273" s="196">
        <v>0</v>
      </c>
      <c r="F11273" s="196">
        <v>0</v>
      </c>
      <c r="G11273" s="196">
        <v>-190000</v>
      </c>
    </row>
    <row r="11274" spans="1:7" x14ac:dyDescent="0.3">
      <c r="A11274" s="198">
        <v>1238940354</v>
      </c>
      <c r="B11274" s="192" t="s">
        <v>5507</v>
      </c>
      <c r="C11274" s="196">
        <v>-414000</v>
      </c>
      <c r="D11274" s="196">
        <v>0</v>
      </c>
      <c r="E11274" s="196">
        <v>0</v>
      </c>
      <c r="F11274" s="196">
        <v>0</v>
      </c>
      <c r="G11274" s="196">
        <v>-414000</v>
      </c>
    </row>
    <row r="11275" spans="1:7" x14ac:dyDescent="0.3">
      <c r="A11275" s="198">
        <v>1073156207</v>
      </c>
      <c r="B11275" s="192" t="s">
        <v>7305</v>
      </c>
      <c r="C11275" s="196">
        <v>-347000</v>
      </c>
      <c r="D11275" s="196">
        <v>0</v>
      </c>
      <c r="E11275" s="196">
        <v>0</v>
      </c>
      <c r="F11275" s="196">
        <v>0</v>
      </c>
      <c r="G11275" s="196">
        <v>-347000</v>
      </c>
    </row>
    <row r="11276" spans="1:7" x14ac:dyDescent="0.3">
      <c r="A11276" s="192" t="s">
        <v>5514</v>
      </c>
      <c r="B11276" s="192" t="s">
        <v>5515</v>
      </c>
      <c r="C11276" s="196">
        <v>-324000</v>
      </c>
      <c r="D11276" s="196">
        <v>0</v>
      </c>
      <c r="E11276" s="196">
        <v>0</v>
      </c>
      <c r="F11276" s="196">
        <v>0</v>
      </c>
      <c r="G11276" s="196">
        <v>-324000</v>
      </c>
    </row>
    <row r="11277" spans="1:7" x14ac:dyDescent="0.3">
      <c r="A11277" s="198">
        <v>70044150</v>
      </c>
      <c r="B11277" s="192" t="s">
        <v>7306</v>
      </c>
      <c r="C11277" s="196">
        <v>-205000</v>
      </c>
      <c r="D11277" s="196">
        <v>0</v>
      </c>
      <c r="E11277" s="196">
        <v>0</v>
      </c>
      <c r="F11277" s="196">
        <v>0</v>
      </c>
      <c r="G11277" s="196">
        <v>-205000</v>
      </c>
    </row>
    <row r="11278" spans="1:7" x14ac:dyDescent="0.3">
      <c r="A11278" s="192" t="s">
        <v>6989</v>
      </c>
      <c r="B11278" s="192" t="s">
        <v>6990</v>
      </c>
      <c r="C11278" s="196">
        <v>-115000</v>
      </c>
      <c r="D11278" s="196">
        <v>0</v>
      </c>
      <c r="E11278" s="196">
        <v>0</v>
      </c>
      <c r="F11278" s="196">
        <v>0</v>
      </c>
      <c r="G11278" s="196">
        <v>-115000</v>
      </c>
    </row>
    <row r="11279" spans="1:7" x14ac:dyDescent="0.3">
      <c r="A11279" s="198">
        <v>70165992</v>
      </c>
      <c r="B11279" s="192" t="s">
        <v>5519</v>
      </c>
      <c r="C11279" s="196">
        <v>-46000</v>
      </c>
      <c r="D11279" s="196">
        <v>0</v>
      </c>
      <c r="E11279" s="196">
        <v>0</v>
      </c>
      <c r="F11279" s="196">
        <v>0</v>
      </c>
      <c r="G11279" s="196">
        <v>-46000</v>
      </c>
    </row>
    <row r="11280" spans="1:7" x14ac:dyDescent="0.3">
      <c r="A11280" s="198">
        <v>900699359</v>
      </c>
      <c r="B11280" s="192" t="s">
        <v>1311</v>
      </c>
      <c r="C11280" s="196">
        <v>-347000</v>
      </c>
      <c r="D11280" s="196">
        <v>0</v>
      </c>
      <c r="E11280" s="196">
        <v>0</v>
      </c>
      <c r="F11280" s="196">
        <v>0</v>
      </c>
      <c r="G11280" s="196">
        <v>-347000</v>
      </c>
    </row>
    <row r="11281" spans="1:7" x14ac:dyDescent="0.3">
      <c r="A11281" s="198">
        <v>86000496</v>
      </c>
      <c r="B11281" s="192" t="s">
        <v>5520</v>
      </c>
      <c r="C11281" s="196">
        <v>-535500</v>
      </c>
      <c r="D11281" s="196">
        <v>0</v>
      </c>
      <c r="E11281" s="196">
        <v>0</v>
      </c>
      <c r="F11281" s="196">
        <v>0</v>
      </c>
      <c r="G11281" s="196">
        <v>-535500</v>
      </c>
    </row>
    <row r="11282" spans="1:7" x14ac:dyDescent="0.3">
      <c r="A11282" s="198">
        <v>66806924</v>
      </c>
      <c r="B11282" s="192" t="s">
        <v>1312</v>
      </c>
      <c r="C11282" s="196">
        <v>-79200</v>
      </c>
      <c r="D11282" s="196">
        <v>0</v>
      </c>
      <c r="E11282" s="196">
        <v>0</v>
      </c>
      <c r="F11282" s="196">
        <v>0</v>
      </c>
      <c r="G11282" s="196">
        <v>-79200</v>
      </c>
    </row>
    <row r="11283" spans="1:7" x14ac:dyDescent="0.3">
      <c r="A11283" s="198">
        <v>8027462</v>
      </c>
      <c r="B11283" s="192" t="s">
        <v>7307</v>
      </c>
      <c r="C11283" s="196">
        <v>-46100</v>
      </c>
      <c r="D11283" s="196">
        <v>0</v>
      </c>
      <c r="E11283" s="196">
        <v>0</v>
      </c>
      <c r="F11283" s="196">
        <v>0</v>
      </c>
      <c r="G11283" s="196">
        <v>-46100</v>
      </c>
    </row>
    <row r="11284" spans="1:7" x14ac:dyDescent="0.3">
      <c r="A11284" s="192" t="s">
        <v>1314</v>
      </c>
      <c r="B11284" s="192" t="s">
        <v>1315</v>
      </c>
      <c r="C11284" s="196">
        <v>-498002</v>
      </c>
      <c r="D11284" s="196">
        <v>0</v>
      </c>
      <c r="E11284" s="196">
        <v>0</v>
      </c>
      <c r="F11284" s="196">
        <v>0</v>
      </c>
      <c r="G11284" s="196">
        <v>-498002</v>
      </c>
    </row>
    <row r="11285" spans="1:7" x14ac:dyDescent="0.3">
      <c r="A11285" s="198">
        <v>1110564608</v>
      </c>
      <c r="B11285" s="192" t="s">
        <v>5525</v>
      </c>
      <c r="C11285" s="196">
        <v>-315000</v>
      </c>
      <c r="D11285" s="196">
        <v>0</v>
      </c>
      <c r="E11285" s="196">
        <v>0</v>
      </c>
      <c r="F11285" s="196">
        <v>0</v>
      </c>
      <c r="G11285" s="196">
        <v>-315000</v>
      </c>
    </row>
    <row r="11286" spans="1:7" x14ac:dyDescent="0.3">
      <c r="A11286" s="198">
        <v>3396370</v>
      </c>
      <c r="B11286" s="192" t="s">
        <v>5526</v>
      </c>
      <c r="C11286" s="196">
        <v>-43000</v>
      </c>
      <c r="D11286" s="196">
        <v>0</v>
      </c>
      <c r="E11286" s="196">
        <v>0</v>
      </c>
      <c r="F11286" s="196">
        <v>0</v>
      </c>
      <c r="G11286" s="196">
        <v>-43000</v>
      </c>
    </row>
    <row r="11287" spans="1:7" x14ac:dyDescent="0.3">
      <c r="A11287" s="198">
        <v>71786214</v>
      </c>
      <c r="B11287" s="192" t="s">
        <v>5530</v>
      </c>
      <c r="C11287" s="196">
        <v>-79300</v>
      </c>
      <c r="D11287" s="196">
        <v>0</v>
      </c>
      <c r="E11287" s="196">
        <v>0</v>
      </c>
      <c r="F11287" s="196">
        <v>0</v>
      </c>
      <c r="G11287" s="196">
        <v>-79300</v>
      </c>
    </row>
    <row r="11288" spans="1:7" x14ac:dyDescent="0.3">
      <c r="A11288" s="198">
        <v>1026571561</v>
      </c>
      <c r="B11288" s="192" t="s">
        <v>5537</v>
      </c>
      <c r="C11288" s="196">
        <v>-315000</v>
      </c>
      <c r="D11288" s="196">
        <v>0</v>
      </c>
      <c r="E11288" s="196">
        <v>0</v>
      </c>
      <c r="F11288" s="196">
        <v>0</v>
      </c>
      <c r="G11288" s="196">
        <v>-315000</v>
      </c>
    </row>
    <row r="11289" spans="1:7" x14ac:dyDescent="0.3">
      <c r="A11289" s="198">
        <v>1035005515</v>
      </c>
      <c r="B11289" s="192" t="s">
        <v>5539</v>
      </c>
      <c r="C11289" s="196">
        <v>-112500</v>
      </c>
      <c r="D11289" s="196">
        <v>0</v>
      </c>
      <c r="E11289" s="196">
        <v>0</v>
      </c>
      <c r="F11289" s="196">
        <v>0</v>
      </c>
      <c r="G11289" s="196">
        <v>-112500</v>
      </c>
    </row>
    <row r="11290" spans="1:7" x14ac:dyDescent="0.3">
      <c r="A11290" s="198">
        <v>1037664289</v>
      </c>
      <c r="B11290" s="192" t="s">
        <v>2436</v>
      </c>
      <c r="C11290" s="196">
        <v>-114400</v>
      </c>
      <c r="D11290" s="196">
        <v>0</v>
      </c>
      <c r="E11290" s="196">
        <v>0</v>
      </c>
      <c r="F11290" s="196">
        <v>0</v>
      </c>
      <c r="G11290" s="196">
        <v>-114400</v>
      </c>
    </row>
    <row r="11291" spans="1:7" x14ac:dyDescent="0.3">
      <c r="A11291" s="198">
        <v>22034433</v>
      </c>
      <c r="B11291" s="192" t="s">
        <v>5540</v>
      </c>
      <c r="C11291" s="196">
        <v>-255000</v>
      </c>
      <c r="D11291" s="196">
        <v>0</v>
      </c>
      <c r="E11291" s="196">
        <v>0</v>
      </c>
      <c r="F11291" s="196">
        <v>0</v>
      </c>
      <c r="G11291" s="196">
        <v>-255000</v>
      </c>
    </row>
    <row r="11292" spans="1:7" x14ac:dyDescent="0.3">
      <c r="A11292" s="198">
        <v>43007870</v>
      </c>
      <c r="B11292" s="192" t="s">
        <v>7308</v>
      </c>
      <c r="C11292" s="196">
        <v>-79300</v>
      </c>
      <c r="D11292" s="196">
        <v>0</v>
      </c>
      <c r="E11292" s="196">
        <v>0</v>
      </c>
      <c r="F11292" s="196">
        <v>0</v>
      </c>
      <c r="G11292" s="196">
        <v>-79300</v>
      </c>
    </row>
    <row r="11293" spans="1:7" x14ac:dyDescent="0.3">
      <c r="A11293" s="198">
        <v>39273714</v>
      </c>
      <c r="B11293" s="192" t="s">
        <v>5543</v>
      </c>
      <c r="C11293" s="196">
        <v>-258000</v>
      </c>
      <c r="D11293" s="196">
        <v>0</v>
      </c>
      <c r="E11293" s="196">
        <v>0</v>
      </c>
      <c r="F11293" s="196">
        <v>0</v>
      </c>
      <c r="G11293" s="196">
        <v>-258000</v>
      </c>
    </row>
    <row r="11294" spans="1:7" x14ac:dyDescent="0.3">
      <c r="A11294" s="192" t="s">
        <v>5548</v>
      </c>
      <c r="B11294" s="192" t="s">
        <v>5549</v>
      </c>
      <c r="C11294" s="196">
        <v>-334000</v>
      </c>
      <c r="D11294" s="196">
        <v>0</v>
      </c>
      <c r="E11294" s="196">
        <v>0</v>
      </c>
      <c r="F11294" s="196">
        <v>0</v>
      </c>
      <c r="G11294" s="196">
        <v>-334000</v>
      </c>
    </row>
    <row r="11295" spans="1:7" x14ac:dyDescent="0.3">
      <c r="A11295" s="198">
        <v>24940050</v>
      </c>
      <c r="B11295" s="192" t="s">
        <v>1323</v>
      </c>
      <c r="C11295" s="196">
        <v>0</v>
      </c>
      <c r="D11295" s="196">
        <v>0</v>
      </c>
      <c r="E11295" s="196">
        <v>657000</v>
      </c>
      <c r="F11295" s="196">
        <v>-657000</v>
      </c>
      <c r="G11295" s="196">
        <v>-657000</v>
      </c>
    </row>
    <row r="11296" spans="1:7" x14ac:dyDescent="0.3">
      <c r="A11296" s="198">
        <v>34051486</v>
      </c>
      <c r="B11296" s="192" t="s">
        <v>5551</v>
      </c>
      <c r="C11296" s="196">
        <v>-793500</v>
      </c>
      <c r="D11296" s="196">
        <v>0</v>
      </c>
      <c r="E11296" s="196">
        <v>0</v>
      </c>
      <c r="F11296" s="196">
        <v>0</v>
      </c>
      <c r="G11296" s="196">
        <v>-793500</v>
      </c>
    </row>
    <row r="11297" spans="1:7" x14ac:dyDescent="0.3">
      <c r="A11297" s="198">
        <v>42935461</v>
      </c>
      <c r="B11297" s="192" t="s">
        <v>7309</v>
      </c>
      <c r="C11297" s="196">
        <v>-357000</v>
      </c>
      <c r="D11297" s="196">
        <v>0</v>
      </c>
      <c r="E11297" s="196">
        <v>0</v>
      </c>
      <c r="F11297" s="196">
        <v>0</v>
      </c>
      <c r="G11297" s="196">
        <v>-357000</v>
      </c>
    </row>
    <row r="11298" spans="1:7" x14ac:dyDescent="0.3">
      <c r="A11298" s="198">
        <v>43603644</v>
      </c>
      <c r="B11298" s="192" t="s">
        <v>1326</v>
      </c>
      <c r="C11298" s="196">
        <v>-33200</v>
      </c>
      <c r="D11298" s="196">
        <v>0</v>
      </c>
      <c r="E11298" s="196">
        <v>0</v>
      </c>
      <c r="F11298" s="196">
        <v>0</v>
      </c>
      <c r="G11298" s="196">
        <v>-33200</v>
      </c>
    </row>
    <row r="11299" spans="1:7" x14ac:dyDescent="0.3">
      <c r="A11299" s="198">
        <v>1017264636</v>
      </c>
      <c r="B11299" s="192" t="s">
        <v>1327</v>
      </c>
      <c r="C11299" s="196">
        <v>0</v>
      </c>
      <c r="D11299" s="196">
        <v>96500</v>
      </c>
      <c r="E11299" s="196">
        <v>289500</v>
      </c>
      <c r="F11299" s="196">
        <v>-193000</v>
      </c>
      <c r="G11299" s="196">
        <v>-193000</v>
      </c>
    </row>
    <row r="11300" spans="1:7" x14ac:dyDescent="0.3">
      <c r="A11300" s="198">
        <v>36110068</v>
      </c>
      <c r="B11300" s="192" t="s">
        <v>5560</v>
      </c>
      <c r="C11300" s="196">
        <v>-121600</v>
      </c>
      <c r="D11300" s="196">
        <v>0</v>
      </c>
      <c r="E11300" s="196">
        <v>0</v>
      </c>
      <c r="F11300" s="196">
        <v>0</v>
      </c>
      <c r="G11300" s="196">
        <v>-121600</v>
      </c>
    </row>
    <row r="11301" spans="1:7" x14ac:dyDescent="0.3">
      <c r="A11301" s="198">
        <v>1031162349</v>
      </c>
      <c r="B11301" s="192" t="s">
        <v>5561</v>
      </c>
      <c r="C11301" s="196">
        <v>-121500</v>
      </c>
      <c r="D11301" s="196">
        <v>0</v>
      </c>
      <c r="E11301" s="196">
        <v>0</v>
      </c>
      <c r="F11301" s="196">
        <v>0</v>
      </c>
      <c r="G11301" s="196">
        <v>-121500</v>
      </c>
    </row>
    <row r="11302" spans="1:7" x14ac:dyDescent="0.3">
      <c r="A11302" s="198">
        <v>42896256</v>
      </c>
      <c r="B11302" s="192" t="s">
        <v>5565</v>
      </c>
      <c r="C11302" s="196">
        <v>-40500</v>
      </c>
      <c r="D11302" s="196">
        <v>0</v>
      </c>
      <c r="E11302" s="196">
        <v>0</v>
      </c>
      <c r="F11302" s="196">
        <v>0</v>
      </c>
      <c r="G11302" s="196">
        <v>-40500</v>
      </c>
    </row>
    <row r="11303" spans="1:7" x14ac:dyDescent="0.3">
      <c r="A11303" s="198">
        <v>43568430</v>
      </c>
      <c r="B11303" s="192" t="s">
        <v>5566</v>
      </c>
      <c r="C11303" s="196">
        <v>-258000</v>
      </c>
      <c r="D11303" s="196">
        <v>0</v>
      </c>
      <c r="E11303" s="196">
        <v>0</v>
      </c>
      <c r="F11303" s="196">
        <v>0</v>
      </c>
      <c r="G11303" s="196">
        <v>-258000</v>
      </c>
    </row>
    <row r="11304" spans="1:7" x14ac:dyDescent="0.3">
      <c r="A11304" s="198">
        <v>21338712</v>
      </c>
      <c r="B11304" s="192" t="s">
        <v>5567</v>
      </c>
      <c r="C11304" s="196">
        <v>-121800</v>
      </c>
      <c r="D11304" s="196">
        <v>0</v>
      </c>
      <c r="E11304" s="196">
        <v>0</v>
      </c>
      <c r="F11304" s="196">
        <v>0</v>
      </c>
      <c r="G11304" s="196">
        <v>-121800</v>
      </c>
    </row>
    <row r="11305" spans="1:7" x14ac:dyDescent="0.3">
      <c r="A11305" s="198">
        <v>32495128</v>
      </c>
      <c r="B11305" s="192" t="s">
        <v>5569</v>
      </c>
      <c r="C11305" s="196">
        <v>-121800</v>
      </c>
      <c r="D11305" s="196">
        <v>0</v>
      </c>
      <c r="E11305" s="196">
        <v>0</v>
      </c>
      <c r="F11305" s="196">
        <v>0</v>
      </c>
      <c r="G11305" s="196">
        <v>-121800</v>
      </c>
    </row>
    <row r="11306" spans="1:7" x14ac:dyDescent="0.3">
      <c r="A11306" s="198">
        <v>31571197</v>
      </c>
      <c r="B11306" s="192" t="s">
        <v>7310</v>
      </c>
      <c r="C11306" s="196">
        <v>-357000</v>
      </c>
      <c r="D11306" s="196">
        <v>0</v>
      </c>
      <c r="E11306" s="196">
        <v>0</v>
      </c>
      <c r="F11306" s="196">
        <v>0</v>
      </c>
      <c r="G11306" s="196">
        <v>-357000</v>
      </c>
    </row>
    <row r="11307" spans="1:7" x14ac:dyDescent="0.3">
      <c r="A11307" s="198">
        <v>42758861</v>
      </c>
      <c r="B11307" s="192" t="s">
        <v>5572</v>
      </c>
      <c r="C11307" s="196">
        <v>-162400</v>
      </c>
      <c r="D11307" s="196">
        <v>0</v>
      </c>
      <c r="E11307" s="196">
        <v>0</v>
      </c>
      <c r="F11307" s="196">
        <v>0</v>
      </c>
      <c r="G11307" s="196">
        <v>-162400</v>
      </c>
    </row>
    <row r="11308" spans="1:7" x14ac:dyDescent="0.3">
      <c r="A11308" s="198">
        <v>32333546</v>
      </c>
      <c r="B11308" s="192" t="s">
        <v>1334</v>
      </c>
      <c r="C11308" s="196">
        <v>-81201</v>
      </c>
      <c r="D11308" s="196">
        <v>0</v>
      </c>
      <c r="E11308" s="196">
        <v>0</v>
      </c>
      <c r="F11308" s="196">
        <v>0</v>
      </c>
      <c r="G11308" s="196">
        <v>-81201</v>
      </c>
    </row>
    <row r="11309" spans="1:7" x14ac:dyDescent="0.3">
      <c r="A11309" s="198">
        <v>32469856</v>
      </c>
      <c r="B11309" s="192" t="s">
        <v>1335</v>
      </c>
      <c r="C11309" s="196">
        <v>-40600</v>
      </c>
      <c r="D11309" s="196">
        <v>0</v>
      </c>
      <c r="E11309" s="196">
        <v>0</v>
      </c>
      <c r="F11309" s="196">
        <v>0</v>
      </c>
      <c r="G11309" s="196">
        <v>-40600</v>
      </c>
    </row>
    <row r="11310" spans="1:7" x14ac:dyDescent="0.3">
      <c r="A11310" s="198">
        <v>42882587</v>
      </c>
      <c r="B11310" s="192" t="s">
        <v>1337</v>
      </c>
      <c r="C11310" s="196">
        <v>0</v>
      </c>
      <c r="D11310" s="196">
        <v>0</v>
      </c>
      <c r="E11310" s="196">
        <v>46000</v>
      </c>
      <c r="F11310" s="196">
        <v>-46000</v>
      </c>
      <c r="G11310" s="196">
        <v>-46000</v>
      </c>
    </row>
    <row r="11311" spans="1:7" x14ac:dyDescent="0.3">
      <c r="A11311" s="198">
        <v>24484264</v>
      </c>
      <c r="B11311" s="192" t="s">
        <v>5582</v>
      </c>
      <c r="C11311" s="196">
        <v>-133080</v>
      </c>
      <c r="D11311" s="196">
        <v>0</v>
      </c>
      <c r="E11311" s="196">
        <v>0</v>
      </c>
      <c r="F11311" s="196">
        <v>0</v>
      </c>
      <c r="G11311" s="196">
        <v>-133080</v>
      </c>
    </row>
    <row r="11312" spans="1:7" x14ac:dyDescent="0.3">
      <c r="A11312" s="198">
        <v>43023811</v>
      </c>
      <c r="B11312" s="192" t="s">
        <v>5585</v>
      </c>
      <c r="C11312" s="196">
        <v>-45000</v>
      </c>
      <c r="D11312" s="196">
        <v>0</v>
      </c>
      <c r="E11312" s="196">
        <v>0</v>
      </c>
      <c r="F11312" s="196">
        <v>0</v>
      </c>
      <c r="G11312" s="196">
        <v>-45000</v>
      </c>
    </row>
    <row r="11313" spans="1:7" x14ac:dyDescent="0.3">
      <c r="A11313" s="198">
        <v>43816789</v>
      </c>
      <c r="B11313" s="192" t="s">
        <v>5586</v>
      </c>
      <c r="C11313" s="196">
        <v>-183000</v>
      </c>
      <c r="D11313" s="196">
        <v>0</v>
      </c>
      <c r="E11313" s="196">
        <v>0</v>
      </c>
      <c r="F11313" s="196">
        <v>0</v>
      </c>
      <c r="G11313" s="196">
        <v>-183000</v>
      </c>
    </row>
    <row r="11314" spans="1:7" x14ac:dyDescent="0.3">
      <c r="A11314" s="198">
        <v>8170595</v>
      </c>
      <c r="B11314" s="192" t="s">
        <v>5592</v>
      </c>
      <c r="C11314" s="196">
        <v>-449000</v>
      </c>
      <c r="D11314" s="196">
        <v>0</v>
      </c>
      <c r="E11314" s="196">
        <v>0</v>
      </c>
      <c r="F11314" s="196">
        <v>0</v>
      </c>
      <c r="G11314" s="196">
        <v>-449000</v>
      </c>
    </row>
    <row r="11315" spans="1:7" x14ac:dyDescent="0.3">
      <c r="A11315" s="198">
        <v>1152209350</v>
      </c>
      <c r="B11315" s="192" t="s">
        <v>5602</v>
      </c>
      <c r="C11315" s="196">
        <v>-200000</v>
      </c>
      <c r="D11315" s="196">
        <v>0</v>
      </c>
      <c r="E11315" s="196">
        <v>0</v>
      </c>
      <c r="F11315" s="196">
        <v>0</v>
      </c>
      <c r="G11315" s="196">
        <v>-200000</v>
      </c>
    </row>
    <row r="11316" spans="1:7" x14ac:dyDescent="0.3">
      <c r="A11316" s="198">
        <v>1193572461</v>
      </c>
      <c r="B11316" s="192" t="s">
        <v>1344</v>
      </c>
      <c r="C11316" s="196">
        <v>0</v>
      </c>
      <c r="D11316" s="196">
        <v>0</v>
      </c>
      <c r="E11316" s="196">
        <v>412100</v>
      </c>
      <c r="F11316" s="196">
        <v>-412100</v>
      </c>
      <c r="G11316" s="196">
        <v>-412100</v>
      </c>
    </row>
    <row r="11317" spans="1:7" x14ac:dyDescent="0.3">
      <c r="A11317" s="198">
        <v>70696789</v>
      </c>
      <c r="B11317" s="192" t="s">
        <v>5605</v>
      </c>
      <c r="C11317" s="196">
        <v>-357000</v>
      </c>
      <c r="D11317" s="196">
        <v>0</v>
      </c>
      <c r="E11317" s="196">
        <v>0</v>
      </c>
      <c r="F11317" s="196">
        <v>0</v>
      </c>
      <c r="G11317" s="196">
        <v>-357000</v>
      </c>
    </row>
    <row r="11318" spans="1:7" x14ac:dyDescent="0.3">
      <c r="A11318" s="192" t="s">
        <v>5606</v>
      </c>
      <c r="B11318" s="192" t="s">
        <v>5607</v>
      </c>
      <c r="C11318" s="196">
        <v>-30900</v>
      </c>
      <c r="D11318" s="196">
        <v>0</v>
      </c>
      <c r="E11318" s="196">
        <v>0</v>
      </c>
      <c r="F11318" s="196">
        <v>0</v>
      </c>
      <c r="G11318" s="196">
        <v>-30900</v>
      </c>
    </row>
    <row r="11319" spans="1:7" x14ac:dyDescent="0.3">
      <c r="A11319" s="198">
        <v>43151196</v>
      </c>
      <c r="B11319" s="192" t="s">
        <v>5608</v>
      </c>
      <c r="C11319" s="196">
        <v>-255000</v>
      </c>
      <c r="D11319" s="196">
        <v>0</v>
      </c>
      <c r="E11319" s="196">
        <v>0</v>
      </c>
      <c r="F11319" s="196">
        <v>0</v>
      </c>
      <c r="G11319" s="196">
        <v>-255000</v>
      </c>
    </row>
    <row r="11320" spans="1:7" x14ac:dyDescent="0.3">
      <c r="A11320" s="198">
        <v>8313639</v>
      </c>
      <c r="B11320" s="192" t="s">
        <v>1348</v>
      </c>
      <c r="C11320" s="196">
        <v>0</v>
      </c>
      <c r="D11320" s="196">
        <v>0</v>
      </c>
      <c r="E11320" s="196">
        <v>285600</v>
      </c>
      <c r="F11320" s="196">
        <v>-285600</v>
      </c>
      <c r="G11320" s="196">
        <v>-285600</v>
      </c>
    </row>
    <row r="11321" spans="1:7" x14ac:dyDescent="0.3">
      <c r="A11321" s="198">
        <v>70066793</v>
      </c>
      <c r="B11321" s="192" t="s">
        <v>5617</v>
      </c>
      <c r="C11321" s="196">
        <v>-30900</v>
      </c>
      <c r="D11321" s="196">
        <v>0</v>
      </c>
      <c r="E11321" s="196">
        <v>0</v>
      </c>
      <c r="F11321" s="196">
        <v>0</v>
      </c>
      <c r="G11321" s="196">
        <v>-30900</v>
      </c>
    </row>
    <row r="11322" spans="1:7" x14ac:dyDescent="0.3">
      <c r="A11322" s="198">
        <v>1077871480</v>
      </c>
      <c r="B11322" s="192" t="s">
        <v>5619</v>
      </c>
      <c r="C11322" s="196">
        <v>-190000</v>
      </c>
      <c r="D11322" s="196">
        <v>0</v>
      </c>
      <c r="E11322" s="196">
        <v>0</v>
      </c>
      <c r="F11322" s="196">
        <v>0</v>
      </c>
      <c r="G11322" s="196">
        <v>-190000</v>
      </c>
    </row>
    <row r="11323" spans="1:7" x14ac:dyDescent="0.3">
      <c r="A11323" s="198">
        <v>12263001</v>
      </c>
      <c r="B11323" s="192" t="s">
        <v>1352</v>
      </c>
      <c r="C11323" s="196">
        <v>0</v>
      </c>
      <c r="D11323" s="196">
        <v>0</v>
      </c>
      <c r="E11323" s="196">
        <v>258000</v>
      </c>
      <c r="F11323" s="196">
        <v>-258000</v>
      </c>
      <c r="G11323" s="196">
        <v>-258000</v>
      </c>
    </row>
    <row r="11324" spans="1:7" x14ac:dyDescent="0.3">
      <c r="A11324" s="198">
        <v>13956258</v>
      </c>
      <c r="B11324" s="192" t="s">
        <v>5623</v>
      </c>
      <c r="C11324" s="196">
        <v>-79200</v>
      </c>
      <c r="D11324" s="196">
        <v>0</v>
      </c>
      <c r="E11324" s="196">
        <v>0</v>
      </c>
      <c r="F11324" s="196">
        <v>0</v>
      </c>
      <c r="G11324" s="196">
        <v>-79200</v>
      </c>
    </row>
    <row r="11325" spans="1:7" x14ac:dyDescent="0.3">
      <c r="A11325" s="198">
        <v>98541560</v>
      </c>
      <c r="B11325" s="192" t="s">
        <v>1354</v>
      </c>
      <c r="C11325" s="196">
        <v>0</v>
      </c>
      <c r="D11325" s="196">
        <v>0</v>
      </c>
      <c r="E11325" s="196">
        <v>88800</v>
      </c>
      <c r="F11325" s="196">
        <v>-88800</v>
      </c>
      <c r="G11325" s="196">
        <v>-88800</v>
      </c>
    </row>
    <row r="11326" spans="1:7" x14ac:dyDescent="0.3">
      <c r="A11326" s="198">
        <v>71755551</v>
      </c>
      <c r="B11326" s="192" t="s">
        <v>5631</v>
      </c>
      <c r="C11326" s="196">
        <v>-73800</v>
      </c>
      <c r="D11326" s="196">
        <v>0</v>
      </c>
      <c r="E11326" s="196">
        <v>0</v>
      </c>
      <c r="F11326" s="196">
        <v>0</v>
      </c>
      <c r="G11326" s="196">
        <v>-73800</v>
      </c>
    </row>
    <row r="11327" spans="1:7" x14ac:dyDescent="0.3">
      <c r="A11327" s="198">
        <v>43878179</v>
      </c>
      <c r="B11327" s="192" t="s">
        <v>7311</v>
      </c>
      <c r="C11327" s="196">
        <v>-35300</v>
      </c>
      <c r="D11327" s="196">
        <v>0</v>
      </c>
      <c r="E11327" s="196">
        <v>0</v>
      </c>
      <c r="F11327" s="196">
        <v>0</v>
      </c>
      <c r="G11327" s="196">
        <v>-35300</v>
      </c>
    </row>
    <row r="11328" spans="1:7" x14ac:dyDescent="0.3">
      <c r="A11328" s="198">
        <v>52436862</v>
      </c>
      <c r="B11328" s="192" t="s">
        <v>5639</v>
      </c>
      <c r="C11328" s="196">
        <v>-46000</v>
      </c>
      <c r="D11328" s="196">
        <v>0</v>
      </c>
      <c r="E11328" s="196">
        <v>0</v>
      </c>
      <c r="F11328" s="196">
        <v>0</v>
      </c>
      <c r="G11328" s="196">
        <v>-46000</v>
      </c>
    </row>
    <row r="11329" spans="1:7" x14ac:dyDescent="0.3">
      <c r="A11329" s="198">
        <v>1038104753</v>
      </c>
      <c r="B11329" s="192" t="s">
        <v>1361</v>
      </c>
      <c r="C11329" s="196">
        <v>0</v>
      </c>
      <c r="D11329" s="196">
        <v>0</v>
      </c>
      <c r="E11329" s="196">
        <v>190000</v>
      </c>
      <c r="F11329" s="196">
        <v>-190000</v>
      </c>
      <c r="G11329" s="196">
        <v>-190000</v>
      </c>
    </row>
    <row r="11330" spans="1:7" x14ac:dyDescent="0.3">
      <c r="A11330" s="198">
        <v>659302</v>
      </c>
      <c r="B11330" s="192" t="s">
        <v>5643</v>
      </c>
      <c r="C11330" s="196">
        <v>-285600</v>
      </c>
      <c r="D11330" s="196">
        <v>0</v>
      </c>
      <c r="E11330" s="196">
        <v>0</v>
      </c>
      <c r="F11330" s="196">
        <v>0</v>
      </c>
      <c r="G11330" s="196">
        <v>-285600</v>
      </c>
    </row>
    <row r="11331" spans="1:7" x14ac:dyDescent="0.3">
      <c r="A11331" s="198">
        <v>1037604402</v>
      </c>
      <c r="B11331" s="192" t="s">
        <v>5648</v>
      </c>
      <c r="C11331" s="196">
        <v>-119600</v>
      </c>
      <c r="D11331" s="196">
        <v>0</v>
      </c>
      <c r="E11331" s="196">
        <v>0</v>
      </c>
      <c r="F11331" s="196">
        <v>0</v>
      </c>
      <c r="G11331" s="196">
        <v>-119600</v>
      </c>
    </row>
    <row r="11332" spans="1:7" x14ac:dyDescent="0.3">
      <c r="A11332" s="198">
        <v>43518079</v>
      </c>
      <c r="B11332" s="192" t="s">
        <v>1362</v>
      </c>
      <c r="C11332" s="196">
        <v>-79201</v>
      </c>
      <c r="D11332" s="196">
        <v>144500</v>
      </c>
      <c r="E11332" s="196">
        <v>240500</v>
      </c>
      <c r="F11332" s="196">
        <v>-96000</v>
      </c>
      <c r="G11332" s="196">
        <v>-175201</v>
      </c>
    </row>
    <row r="11333" spans="1:7" x14ac:dyDescent="0.3">
      <c r="A11333" s="198">
        <v>2000004596</v>
      </c>
      <c r="B11333" s="192" t="s">
        <v>5649</v>
      </c>
      <c r="C11333" s="196">
        <v>-46100</v>
      </c>
      <c r="D11333" s="196">
        <v>0</v>
      </c>
      <c r="E11333" s="196">
        <v>0</v>
      </c>
      <c r="F11333" s="196">
        <v>0</v>
      </c>
      <c r="G11333" s="196">
        <v>-46100</v>
      </c>
    </row>
    <row r="11334" spans="1:7" x14ac:dyDescent="0.3">
      <c r="A11334" s="198">
        <v>26026995</v>
      </c>
      <c r="B11334" s="192" t="s">
        <v>1363</v>
      </c>
      <c r="C11334" s="196">
        <v>0</v>
      </c>
      <c r="D11334" s="196">
        <v>0</v>
      </c>
      <c r="E11334" s="196">
        <v>162400</v>
      </c>
      <c r="F11334" s="196">
        <v>-162400</v>
      </c>
      <c r="G11334" s="196">
        <v>-162400</v>
      </c>
    </row>
    <row r="11335" spans="1:7" x14ac:dyDescent="0.3">
      <c r="A11335" s="198">
        <v>42781777</v>
      </c>
      <c r="B11335" s="192" t="s">
        <v>1364</v>
      </c>
      <c r="C11335" s="196">
        <v>0</v>
      </c>
      <c r="D11335" s="196">
        <v>0</v>
      </c>
      <c r="E11335" s="196">
        <v>411200</v>
      </c>
      <c r="F11335" s="196">
        <v>-411200</v>
      </c>
      <c r="G11335" s="196">
        <v>-411200</v>
      </c>
    </row>
    <row r="11336" spans="1:7" x14ac:dyDescent="0.3">
      <c r="A11336" s="198">
        <v>43612135</v>
      </c>
      <c r="B11336" s="192" t="s">
        <v>1365</v>
      </c>
      <c r="C11336" s="196">
        <v>-111500</v>
      </c>
      <c r="D11336" s="196">
        <v>0</v>
      </c>
      <c r="E11336" s="196">
        <v>35300</v>
      </c>
      <c r="F11336" s="196">
        <v>-35300</v>
      </c>
      <c r="G11336" s="196">
        <v>-146800</v>
      </c>
    </row>
    <row r="11337" spans="1:7" x14ac:dyDescent="0.3">
      <c r="A11337" s="198">
        <v>8028221</v>
      </c>
      <c r="B11337" s="192" t="s">
        <v>5654</v>
      </c>
      <c r="C11337" s="196">
        <v>-49000</v>
      </c>
      <c r="D11337" s="196">
        <v>0</v>
      </c>
      <c r="E11337" s="196">
        <v>0</v>
      </c>
      <c r="F11337" s="196">
        <v>0</v>
      </c>
      <c r="G11337" s="196">
        <v>-49000</v>
      </c>
    </row>
    <row r="11338" spans="1:7" x14ac:dyDescent="0.3">
      <c r="A11338" s="198">
        <v>1152223930</v>
      </c>
      <c r="B11338" s="192" t="s">
        <v>7312</v>
      </c>
      <c r="C11338" s="196">
        <v>-165000</v>
      </c>
      <c r="D11338" s="196">
        <v>0</v>
      </c>
      <c r="E11338" s="196">
        <v>0</v>
      </c>
      <c r="F11338" s="196">
        <v>0</v>
      </c>
      <c r="G11338" s="196">
        <v>-165000</v>
      </c>
    </row>
    <row r="11339" spans="1:7" x14ac:dyDescent="0.3">
      <c r="A11339" s="198">
        <v>1037237770</v>
      </c>
      <c r="B11339" s="192" t="s">
        <v>5655</v>
      </c>
      <c r="C11339" s="196">
        <v>-213000</v>
      </c>
      <c r="D11339" s="196">
        <v>0</v>
      </c>
      <c r="E11339" s="196">
        <v>0</v>
      </c>
      <c r="F11339" s="196">
        <v>0</v>
      </c>
      <c r="G11339" s="196">
        <v>-213000</v>
      </c>
    </row>
    <row r="11340" spans="1:7" x14ac:dyDescent="0.3">
      <c r="A11340" s="198">
        <v>8240891</v>
      </c>
      <c r="B11340" s="192" t="s">
        <v>5656</v>
      </c>
      <c r="C11340" s="196">
        <v>-588000</v>
      </c>
      <c r="D11340" s="196">
        <v>0</v>
      </c>
      <c r="E11340" s="196">
        <v>0</v>
      </c>
      <c r="F11340" s="196">
        <v>0</v>
      </c>
      <c r="G11340" s="196">
        <v>-588000</v>
      </c>
    </row>
    <row r="11341" spans="1:7" x14ac:dyDescent="0.3">
      <c r="A11341" s="198">
        <v>1017184299</v>
      </c>
      <c r="B11341" s="192" t="s">
        <v>1369</v>
      </c>
      <c r="C11341" s="196">
        <v>-79300</v>
      </c>
      <c r="D11341" s="196">
        <v>0</v>
      </c>
      <c r="E11341" s="196">
        <v>79300</v>
      </c>
      <c r="F11341" s="196">
        <v>-79300</v>
      </c>
      <c r="G11341" s="196">
        <v>-158600</v>
      </c>
    </row>
    <row r="11342" spans="1:7" x14ac:dyDescent="0.3">
      <c r="A11342" s="198">
        <v>1026139929</v>
      </c>
      <c r="B11342" s="192" t="s">
        <v>5663</v>
      </c>
      <c r="C11342" s="196">
        <v>-498000</v>
      </c>
      <c r="D11342" s="196">
        <v>0</v>
      </c>
      <c r="E11342" s="196">
        <v>0</v>
      </c>
      <c r="F11342" s="196">
        <v>0</v>
      </c>
      <c r="G11342" s="196">
        <v>-498000</v>
      </c>
    </row>
    <row r="11343" spans="1:7" x14ac:dyDescent="0.3">
      <c r="A11343" s="198">
        <v>1007480686</v>
      </c>
      <c r="B11343" s="192" t="s">
        <v>5664</v>
      </c>
      <c r="C11343" s="196">
        <v>-498000</v>
      </c>
      <c r="D11343" s="196">
        <v>0</v>
      </c>
      <c r="E11343" s="196">
        <v>0</v>
      </c>
      <c r="F11343" s="196">
        <v>0</v>
      </c>
      <c r="G11343" s="196">
        <v>-498000</v>
      </c>
    </row>
    <row r="11344" spans="1:7" x14ac:dyDescent="0.3">
      <c r="A11344" s="198">
        <v>1036942476</v>
      </c>
      <c r="B11344" s="192" t="s">
        <v>5666</v>
      </c>
      <c r="C11344" s="196">
        <v>-498000</v>
      </c>
      <c r="D11344" s="196">
        <v>0</v>
      </c>
      <c r="E11344" s="196">
        <v>0</v>
      </c>
      <c r="F11344" s="196">
        <v>0</v>
      </c>
      <c r="G11344" s="196">
        <v>-498000</v>
      </c>
    </row>
    <row r="11345" spans="1:7" x14ac:dyDescent="0.3">
      <c r="A11345" s="198">
        <v>1054571811</v>
      </c>
      <c r="B11345" s="192" t="s">
        <v>7024</v>
      </c>
      <c r="C11345" s="196">
        <v>-347000</v>
      </c>
      <c r="D11345" s="196">
        <v>0</v>
      </c>
      <c r="E11345" s="196">
        <v>0</v>
      </c>
      <c r="F11345" s="196">
        <v>0</v>
      </c>
      <c r="G11345" s="196">
        <v>-347000</v>
      </c>
    </row>
    <row r="11346" spans="1:7" x14ac:dyDescent="0.3">
      <c r="A11346" s="198">
        <v>1023526586</v>
      </c>
      <c r="B11346" s="192" t="s">
        <v>5673</v>
      </c>
      <c r="C11346" s="196">
        <v>-119600</v>
      </c>
      <c r="D11346" s="196">
        <v>0</v>
      </c>
      <c r="E11346" s="196">
        <v>0</v>
      </c>
      <c r="F11346" s="196">
        <v>0</v>
      </c>
      <c r="G11346" s="196">
        <v>-119600</v>
      </c>
    </row>
    <row r="11347" spans="1:7" x14ac:dyDescent="0.3">
      <c r="A11347" s="198">
        <v>70064910</v>
      </c>
      <c r="B11347" s="192" t="s">
        <v>5684</v>
      </c>
      <c r="C11347" s="196">
        <v>-142100</v>
      </c>
      <c r="D11347" s="196">
        <v>0</v>
      </c>
      <c r="E11347" s="196">
        <v>0</v>
      </c>
      <c r="F11347" s="196">
        <v>0</v>
      </c>
      <c r="G11347" s="196">
        <v>-142100</v>
      </c>
    </row>
    <row r="11348" spans="1:7" x14ac:dyDescent="0.3">
      <c r="A11348" s="198">
        <v>1094242544</v>
      </c>
      <c r="B11348" s="192" t="s">
        <v>5693</v>
      </c>
      <c r="C11348" s="196">
        <v>-46000</v>
      </c>
      <c r="D11348" s="196">
        <v>0</v>
      </c>
      <c r="E11348" s="196">
        <v>0</v>
      </c>
      <c r="F11348" s="196">
        <v>0</v>
      </c>
      <c r="G11348" s="196">
        <v>-46000</v>
      </c>
    </row>
    <row r="11349" spans="1:7" x14ac:dyDescent="0.3">
      <c r="A11349" s="198">
        <v>352383</v>
      </c>
      <c r="B11349" s="192" t="s">
        <v>1381</v>
      </c>
      <c r="C11349" s="196">
        <v>-167000</v>
      </c>
      <c r="D11349" s="196">
        <v>0</v>
      </c>
      <c r="E11349" s="196">
        <v>0</v>
      </c>
      <c r="F11349" s="196">
        <v>0</v>
      </c>
      <c r="G11349" s="196">
        <v>-167000</v>
      </c>
    </row>
    <row r="11350" spans="1:7" x14ac:dyDescent="0.3">
      <c r="A11350" s="198">
        <v>22385085</v>
      </c>
      <c r="B11350" s="192" t="s">
        <v>1382</v>
      </c>
      <c r="C11350" s="196">
        <v>0</v>
      </c>
      <c r="D11350" s="196">
        <v>0</v>
      </c>
      <c r="E11350" s="196">
        <v>46000</v>
      </c>
      <c r="F11350" s="196">
        <v>-46000</v>
      </c>
      <c r="G11350" s="196">
        <v>-46000</v>
      </c>
    </row>
    <row r="11351" spans="1:7" x14ac:dyDescent="0.3">
      <c r="A11351" s="198">
        <v>11814571</v>
      </c>
      <c r="B11351" s="192" t="s">
        <v>1385</v>
      </c>
      <c r="C11351" s="196">
        <v>-46100</v>
      </c>
      <c r="D11351" s="196">
        <v>0</v>
      </c>
      <c r="E11351" s="196">
        <v>0</v>
      </c>
      <c r="F11351" s="196">
        <v>0</v>
      </c>
      <c r="G11351" s="196">
        <v>-46100</v>
      </c>
    </row>
    <row r="11352" spans="1:7" x14ac:dyDescent="0.3">
      <c r="A11352" s="198">
        <v>680036</v>
      </c>
      <c r="B11352" s="192" t="s">
        <v>1663</v>
      </c>
      <c r="C11352" s="196">
        <v>-285600</v>
      </c>
      <c r="D11352" s="196">
        <v>0</v>
      </c>
      <c r="E11352" s="196">
        <v>0</v>
      </c>
      <c r="F11352" s="196">
        <v>0</v>
      </c>
      <c r="G11352" s="196">
        <v>-285600</v>
      </c>
    </row>
    <row r="11353" spans="1:7" x14ac:dyDescent="0.3">
      <c r="A11353" s="198">
        <v>17950917</v>
      </c>
      <c r="B11353" s="192" t="s">
        <v>5711</v>
      </c>
      <c r="C11353" s="196">
        <v>-133600</v>
      </c>
      <c r="D11353" s="196">
        <v>0</v>
      </c>
      <c r="E11353" s="196">
        <v>0</v>
      </c>
      <c r="F11353" s="196">
        <v>0</v>
      </c>
      <c r="G11353" s="196">
        <v>-133600</v>
      </c>
    </row>
    <row r="11354" spans="1:7" x14ac:dyDescent="0.3">
      <c r="A11354" s="198">
        <v>70810340</v>
      </c>
      <c r="B11354" s="192" t="s">
        <v>1388</v>
      </c>
      <c r="C11354" s="196">
        <v>0</v>
      </c>
      <c r="D11354" s="196">
        <v>0</v>
      </c>
      <c r="E11354" s="196">
        <v>121800</v>
      </c>
      <c r="F11354" s="196">
        <v>-121800</v>
      </c>
      <c r="G11354" s="196">
        <v>-121800</v>
      </c>
    </row>
    <row r="11355" spans="1:7" x14ac:dyDescent="0.3">
      <c r="A11355" s="192" t="s">
        <v>5720</v>
      </c>
      <c r="B11355" s="192" t="s">
        <v>5721</v>
      </c>
      <c r="C11355" s="196">
        <v>-258000</v>
      </c>
      <c r="D11355" s="196">
        <v>0</v>
      </c>
      <c r="E11355" s="196">
        <v>0</v>
      </c>
      <c r="F11355" s="196">
        <v>0</v>
      </c>
      <c r="G11355" s="196">
        <v>-258000</v>
      </c>
    </row>
    <row r="11356" spans="1:7" x14ac:dyDescent="0.3">
      <c r="A11356" s="198">
        <v>80503932</v>
      </c>
      <c r="B11356" s="192" t="s">
        <v>5725</v>
      </c>
      <c r="C11356" s="196">
        <v>-259200</v>
      </c>
      <c r="D11356" s="196">
        <v>0</v>
      </c>
      <c r="E11356" s="196">
        <v>0</v>
      </c>
      <c r="F11356" s="196">
        <v>0</v>
      </c>
      <c r="G11356" s="196">
        <v>-259200</v>
      </c>
    </row>
    <row r="11357" spans="1:7" x14ac:dyDescent="0.3">
      <c r="A11357" s="192" t="s">
        <v>1391</v>
      </c>
      <c r="B11357" s="192" t="s">
        <v>1392</v>
      </c>
      <c r="C11357" s="196">
        <v>0</v>
      </c>
      <c r="D11357" s="196">
        <v>0</v>
      </c>
      <c r="E11357" s="196">
        <v>258000</v>
      </c>
      <c r="F11357" s="196">
        <v>-258000</v>
      </c>
      <c r="G11357" s="196">
        <v>-258000</v>
      </c>
    </row>
    <row r="11358" spans="1:7" x14ac:dyDescent="0.3">
      <c r="A11358" s="192" t="s">
        <v>5727</v>
      </c>
      <c r="B11358" s="192" t="s">
        <v>5728</v>
      </c>
      <c r="C11358" s="196">
        <v>-258000</v>
      </c>
      <c r="D11358" s="196">
        <v>0</v>
      </c>
      <c r="E11358" s="196">
        <v>0</v>
      </c>
      <c r="F11358" s="196">
        <v>0</v>
      </c>
      <c r="G11358" s="196">
        <v>-258000</v>
      </c>
    </row>
    <row r="11359" spans="1:7" x14ac:dyDescent="0.3">
      <c r="A11359" s="198">
        <v>1035015972</v>
      </c>
      <c r="B11359" s="192" t="s">
        <v>5731</v>
      </c>
      <c r="C11359" s="196">
        <v>-79300</v>
      </c>
      <c r="D11359" s="196">
        <v>0</v>
      </c>
      <c r="E11359" s="196">
        <v>0</v>
      </c>
      <c r="F11359" s="196">
        <v>0</v>
      </c>
      <c r="G11359" s="196">
        <v>-79300</v>
      </c>
    </row>
    <row r="11360" spans="1:7" x14ac:dyDescent="0.3">
      <c r="A11360" s="192" t="s">
        <v>5732</v>
      </c>
      <c r="B11360" s="192" t="s">
        <v>5733</v>
      </c>
      <c r="C11360" s="196">
        <v>-794000</v>
      </c>
      <c r="D11360" s="196">
        <v>0</v>
      </c>
      <c r="E11360" s="196">
        <v>0</v>
      </c>
      <c r="F11360" s="196">
        <v>0</v>
      </c>
      <c r="G11360" s="196">
        <v>-794000</v>
      </c>
    </row>
    <row r="11361" spans="1:7" x14ac:dyDescent="0.3">
      <c r="A11361" s="198">
        <v>35745085</v>
      </c>
      <c r="B11361" s="192" t="s">
        <v>1397</v>
      </c>
      <c r="C11361" s="196">
        <v>-75650</v>
      </c>
      <c r="D11361" s="196">
        <v>0</v>
      </c>
      <c r="E11361" s="196">
        <v>0</v>
      </c>
      <c r="F11361" s="196">
        <v>0</v>
      </c>
      <c r="G11361" s="196">
        <v>-75650</v>
      </c>
    </row>
    <row r="11362" spans="1:7" x14ac:dyDescent="0.3">
      <c r="A11362" s="198">
        <v>3521088</v>
      </c>
      <c r="B11362" s="192" t="s">
        <v>5738</v>
      </c>
      <c r="C11362" s="196">
        <v>-285600</v>
      </c>
      <c r="D11362" s="196">
        <v>0</v>
      </c>
      <c r="E11362" s="196">
        <v>0</v>
      </c>
      <c r="F11362" s="196">
        <v>0</v>
      </c>
      <c r="G11362" s="196">
        <v>-285600</v>
      </c>
    </row>
    <row r="11363" spans="1:7" x14ac:dyDescent="0.3">
      <c r="A11363" s="198">
        <v>8153326</v>
      </c>
      <c r="B11363" s="192" t="s">
        <v>7313</v>
      </c>
      <c r="C11363" s="196">
        <v>-33200</v>
      </c>
      <c r="D11363" s="196">
        <v>0</v>
      </c>
      <c r="E11363" s="196">
        <v>0</v>
      </c>
      <c r="F11363" s="196">
        <v>0</v>
      </c>
      <c r="G11363" s="196">
        <v>-33200</v>
      </c>
    </row>
    <row r="11364" spans="1:7" x14ac:dyDescent="0.3">
      <c r="A11364" s="198">
        <v>3670838</v>
      </c>
      <c r="B11364" s="192" t="s">
        <v>7029</v>
      </c>
      <c r="C11364" s="196">
        <v>-285600</v>
      </c>
      <c r="D11364" s="196">
        <v>0</v>
      </c>
      <c r="E11364" s="196">
        <v>0</v>
      </c>
      <c r="F11364" s="196">
        <v>0</v>
      </c>
      <c r="G11364" s="196">
        <v>-285600</v>
      </c>
    </row>
    <row r="11365" spans="1:7" x14ac:dyDescent="0.3">
      <c r="A11365" s="198">
        <v>79387476</v>
      </c>
      <c r="B11365" s="192" t="s">
        <v>1399</v>
      </c>
      <c r="C11365" s="196">
        <v>0</v>
      </c>
      <c r="D11365" s="196">
        <v>0</v>
      </c>
      <c r="E11365" s="196">
        <v>93600</v>
      </c>
      <c r="F11365" s="196">
        <v>-93600</v>
      </c>
      <c r="G11365" s="196">
        <v>-93600</v>
      </c>
    </row>
    <row r="11366" spans="1:7" x14ac:dyDescent="0.3">
      <c r="A11366" s="192" t="s">
        <v>7030</v>
      </c>
      <c r="B11366" s="192" t="s">
        <v>7031</v>
      </c>
      <c r="C11366" s="196">
        <v>-193000</v>
      </c>
      <c r="D11366" s="196">
        <v>0</v>
      </c>
      <c r="E11366" s="196">
        <v>0</v>
      </c>
      <c r="F11366" s="196">
        <v>0</v>
      </c>
      <c r="G11366" s="196">
        <v>-193000</v>
      </c>
    </row>
    <row r="11367" spans="1:7" x14ac:dyDescent="0.3">
      <c r="A11367" s="198">
        <v>399612</v>
      </c>
      <c r="B11367" s="192" t="s">
        <v>5748</v>
      </c>
      <c r="C11367" s="196">
        <v>-112400</v>
      </c>
      <c r="D11367" s="196">
        <v>0</v>
      </c>
      <c r="E11367" s="196">
        <v>0</v>
      </c>
      <c r="F11367" s="196">
        <v>0</v>
      </c>
      <c r="G11367" s="196">
        <v>-112400</v>
      </c>
    </row>
    <row r="11368" spans="1:7" x14ac:dyDescent="0.3">
      <c r="A11368" s="198">
        <v>71274330</v>
      </c>
      <c r="B11368" s="192" t="s">
        <v>7314</v>
      </c>
      <c r="C11368" s="196">
        <v>-42900</v>
      </c>
      <c r="D11368" s="196">
        <v>0</v>
      </c>
      <c r="E11368" s="196">
        <v>0</v>
      </c>
      <c r="F11368" s="196">
        <v>0</v>
      </c>
      <c r="G11368" s="196">
        <v>-42900</v>
      </c>
    </row>
    <row r="11369" spans="1:7" x14ac:dyDescent="0.3">
      <c r="A11369" s="192" t="s">
        <v>7315</v>
      </c>
      <c r="B11369" s="192" t="s">
        <v>7316</v>
      </c>
      <c r="C11369" s="196">
        <v>-871000</v>
      </c>
      <c r="D11369" s="196">
        <v>0</v>
      </c>
      <c r="E11369" s="196">
        <v>0</v>
      </c>
      <c r="F11369" s="196">
        <v>0</v>
      </c>
      <c r="G11369" s="196">
        <v>-871000</v>
      </c>
    </row>
    <row r="11370" spans="1:7" x14ac:dyDescent="0.3">
      <c r="A11370" s="198">
        <v>530962818</v>
      </c>
      <c r="B11370" s="192" t="s">
        <v>143</v>
      </c>
      <c r="C11370" s="196">
        <v>-258000</v>
      </c>
      <c r="D11370" s="196">
        <v>0</v>
      </c>
      <c r="E11370" s="196">
        <v>0</v>
      </c>
      <c r="F11370" s="196">
        <v>0</v>
      </c>
      <c r="G11370" s="196">
        <v>-258000</v>
      </c>
    </row>
    <row r="11371" spans="1:7" x14ac:dyDescent="0.3">
      <c r="A11371" s="198">
        <v>804834</v>
      </c>
      <c r="B11371" s="192" t="s">
        <v>1405</v>
      </c>
      <c r="C11371" s="196">
        <v>0</v>
      </c>
      <c r="D11371" s="196">
        <v>0</v>
      </c>
      <c r="E11371" s="196">
        <v>112400</v>
      </c>
      <c r="F11371" s="196">
        <v>-112400</v>
      </c>
      <c r="G11371" s="196">
        <v>-112400</v>
      </c>
    </row>
    <row r="11372" spans="1:7" x14ac:dyDescent="0.3">
      <c r="A11372" s="198">
        <v>70567935</v>
      </c>
      <c r="B11372" s="192" t="s">
        <v>5766</v>
      </c>
      <c r="C11372" s="196">
        <v>-77800</v>
      </c>
      <c r="D11372" s="196">
        <v>0</v>
      </c>
      <c r="E11372" s="196">
        <v>0</v>
      </c>
      <c r="F11372" s="196">
        <v>0</v>
      </c>
      <c r="G11372" s="196">
        <v>-77800</v>
      </c>
    </row>
    <row r="11373" spans="1:7" x14ac:dyDescent="0.3">
      <c r="A11373" s="198">
        <v>3609945</v>
      </c>
      <c r="B11373" s="192" t="s">
        <v>5777</v>
      </c>
      <c r="C11373" s="196">
        <v>-167000</v>
      </c>
      <c r="D11373" s="196">
        <v>0</v>
      </c>
      <c r="E11373" s="196">
        <v>0</v>
      </c>
      <c r="F11373" s="196">
        <v>0</v>
      </c>
      <c r="G11373" s="196">
        <v>-167000</v>
      </c>
    </row>
    <row r="11374" spans="1:7" x14ac:dyDescent="0.3">
      <c r="A11374" s="192" t="s">
        <v>5780</v>
      </c>
      <c r="B11374" s="192" t="s">
        <v>5781</v>
      </c>
      <c r="C11374" s="196">
        <v>-79200</v>
      </c>
      <c r="D11374" s="196">
        <v>0</v>
      </c>
      <c r="E11374" s="196">
        <v>0</v>
      </c>
      <c r="F11374" s="196">
        <v>0</v>
      </c>
      <c r="G11374" s="196">
        <v>-79200</v>
      </c>
    </row>
    <row r="11375" spans="1:7" x14ac:dyDescent="0.3">
      <c r="A11375" s="192" t="s">
        <v>5785</v>
      </c>
      <c r="B11375" s="192" t="s">
        <v>5786</v>
      </c>
      <c r="C11375" s="196">
        <v>-794000</v>
      </c>
      <c r="D11375" s="196">
        <v>0</v>
      </c>
      <c r="E11375" s="196">
        <v>0</v>
      </c>
      <c r="F11375" s="196">
        <v>0</v>
      </c>
      <c r="G11375" s="196">
        <v>-794000</v>
      </c>
    </row>
    <row r="11376" spans="1:7" x14ac:dyDescent="0.3">
      <c r="A11376" s="198">
        <v>32462289</v>
      </c>
      <c r="B11376" s="192" t="s">
        <v>5788</v>
      </c>
      <c r="C11376" s="196">
        <v>-40600</v>
      </c>
      <c r="D11376" s="196">
        <v>0</v>
      </c>
      <c r="E11376" s="196">
        <v>0</v>
      </c>
      <c r="F11376" s="196">
        <v>0</v>
      </c>
      <c r="G11376" s="196">
        <v>-40600</v>
      </c>
    </row>
    <row r="11377" spans="1:7" x14ac:dyDescent="0.3">
      <c r="A11377" s="198">
        <v>41104413</v>
      </c>
      <c r="B11377" s="192" t="s">
        <v>5791</v>
      </c>
      <c r="C11377" s="196">
        <v>-43900</v>
      </c>
      <c r="D11377" s="196">
        <v>0</v>
      </c>
      <c r="E11377" s="196">
        <v>0</v>
      </c>
      <c r="F11377" s="196">
        <v>0</v>
      </c>
      <c r="G11377" s="196">
        <v>-43900</v>
      </c>
    </row>
    <row r="11378" spans="1:7" x14ac:dyDescent="0.3">
      <c r="A11378" s="198">
        <v>22645615</v>
      </c>
      <c r="B11378" s="192" t="s">
        <v>7317</v>
      </c>
      <c r="C11378" s="196">
        <v>-540000</v>
      </c>
      <c r="D11378" s="196">
        <v>0</v>
      </c>
      <c r="E11378" s="196">
        <v>0</v>
      </c>
      <c r="F11378" s="196">
        <v>0</v>
      </c>
      <c r="G11378" s="196">
        <v>-540000</v>
      </c>
    </row>
    <row r="11379" spans="1:7" x14ac:dyDescent="0.3">
      <c r="A11379" s="198">
        <v>51822042</v>
      </c>
      <c r="B11379" s="192" t="s">
        <v>5792</v>
      </c>
      <c r="C11379" s="196">
        <v>-255000</v>
      </c>
      <c r="D11379" s="196">
        <v>0</v>
      </c>
      <c r="E11379" s="196">
        <v>0</v>
      </c>
      <c r="F11379" s="196">
        <v>0</v>
      </c>
      <c r="G11379" s="196">
        <v>-255000</v>
      </c>
    </row>
    <row r="11380" spans="1:7" x14ac:dyDescent="0.3">
      <c r="A11380" s="198">
        <v>42783317</v>
      </c>
      <c r="B11380" s="192" t="s">
        <v>7318</v>
      </c>
      <c r="C11380" s="196">
        <v>-871000</v>
      </c>
      <c r="D11380" s="196">
        <v>0</v>
      </c>
      <c r="E11380" s="196">
        <v>0</v>
      </c>
      <c r="F11380" s="196">
        <v>0</v>
      </c>
      <c r="G11380" s="196">
        <v>-871000</v>
      </c>
    </row>
    <row r="11381" spans="1:7" x14ac:dyDescent="0.3">
      <c r="A11381" s="198">
        <v>45500445</v>
      </c>
      <c r="B11381" s="192" t="s">
        <v>7319</v>
      </c>
      <c r="C11381" s="196">
        <v>-147000</v>
      </c>
      <c r="D11381" s="196">
        <v>0</v>
      </c>
      <c r="E11381" s="196">
        <v>0</v>
      </c>
      <c r="F11381" s="196">
        <v>0</v>
      </c>
      <c r="G11381" s="196">
        <v>-147000</v>
      </c>
    </row>
    <row r="11382" spans="1:7" x14ac:dyDescent="0.3">
      <c r="A11382" s="198">
        <v>32433767</v>
      </c>
      <c r="B11382" s="192" t="s">
        <v>5800</v>
      </c>
      <c r="C11382" s="196">
        <v>-285300</v>
      </c>
      <c r="D11382" s="196">
        <v>0</v>
      </c>
      <c r="E11382" s="196">
        <v>0</v>
      </c>
      <c r="F11382" s="196">
        <v>0</v>
      </c>
      <c r="G11382" s="196">
        <v>-285300</v>
      </c>
    </row>
    <row r="11383" spans="1:7" x14ac:dyDescent="0.3">
      <c r="A11383" s="198">
        <v>42776512</v>
      </c>
      <c r="B11383" s="192" t="s">
        <v>5801</v>
      </c>
      <c r="C11383" s="196">
        <v>-143000</v>
      </c>
      <c r="D11383" s="196">
        <v>0</v>
      </c>
      <c r="E11383" s="196">
        <v>0</v>
      </c>
      <c r="F11383" s="196">
        <v>0</v>
      </c>
      <c r="G11383" s="196">
        <v>-143000</v>
      </c>
    </row>
    <row r="11384" spans="1:7" x14ac:dyDescent="0.3">
      <c r="A11384" s="198">
        <v>32748971</v>
      </c>
      <c r="B11384" s="192" t="s">
        <v>1415</v>
      </c>
      <c r="C11384" s="196">
        <v>-30900</v>
      </c>
      <c r="D11384" s="196">
        <v>0</v>
      </c>
      <c r="E11384" s="196">
        <v>0</v>
      </c>
      <c r="F11384" s="196">
        <v>0</v>
      </c>
      <c r="G11384" s="196">
        <v>-30900</v>
      </c>
    </row>
    <row r="11385" spans="1:7" x14ac:dyDescent="0.3">
      <c r="A11385" s="192" t="s">
        <v>5806</v>
      </c>
      <c r="B11385" s="192" t="s">
        <v>5807</v>
      </c>
      <c r="C11385" s="196">
        <v>-30900</v>
      </c>
      <c r="D11385" s="196">
        <v>0</v>
      </c>
      <c r="E11385" s="196">
        <v>0</v>
      </c>
      <c r="F11385" s="196">
        <v>0</v>
      </c>
      <c r="G11385" s="196">
        <v>-30900</v>
      </c>
    </row>
    <row r="11386" spans="1:7" x14ac:dyDescent="0.3">
      <c r="A11386" s="198">
        <v>14894545</v>
      </c>
      <c r="B11386" s="192" t="s">
        <v>1417</v>
      </c>
      <c r="C11386" s="196">
        <v>0</v>
      </c>
      <c r="D11386" s="196">
        <v>0</v>
      </c>
      <c r="E11386" s="196">
        <v>357000</v>
      </c>
      <c r="F11386" s="196">
        <v>-357000</v>
      </c>
      <c r="G11386" s="196">
        <v>-357000</v>
      </c>
    </row>
    <row r="11387" spans="1:7" x14ac:dyDescent="0.3">
      <c r="A11387" s="198">
        <v>71691810</v>
      </c>
      <c r="B11387" s="192" t="s">
        <v>5811</v>
      </c>
      <c r="C11387" s="196">
        <v>-79300</v>
      </c>
      <c r="D11387" s="196">
        <v>0</v>
      </c>
      <c r="E11387" s="196">
        <v>0</v>
      </c>
      <c r="F11387" s="196">
        <v>0</v>
      </c>
      <c r="G11387" s="196">
        <v>-79300</v>
      </c>
    </row>
    <row r="11388" spans="1:7" x14ac:dyDescent="0.3">
      <c r="A11388" s="198">
        <v>39151336</v>
      </c>
      <c r="B11388" s="192" t="s">
        <v>5812</v>
      </c>
      <c r="C11388" s="196">
        <v>-49000</v>
      </c>
      <c r="D11388" s="196">
        <v>0</v>
      </c>
      <c r="E11388" s="196">
        <v>0</v>
      </c>
      <c r="F11388" s="196">
        <v>0</v>
      </c>
      <c r="G11388" s="196">
        <v>-49000</v>
      </c>
    </row>
    <row r="11389" spans="1:7" x14ac:dyDescent="0.3">
      <c r="A11389" s="198">
        <v>32306562</v>
      </c>
      <c r="B11389" s="192" t="s">
        <v>7320</v>
      </c>
      <c r="C11389" s="196">
        <v>-162400</v>
      </c>
      <c r="D11389" s="196">
        <v>0</v>
      </c>
      <c r="E11389" s="196">
        <v>0</v>
      </c>
      <c r="F11389" s="196">
        <v>0</v>
      </c>
      <c r="G11389" s="196">
        <v>-162400</v>
      </c>
    </row>
    <row r="11390" spans="1:7" x14ac:dyDescent="0.3">
      <c r="A11390" s="198">
        <v>32314210</v>
      </c>
      <c r="B11390" s="192" t="s">
        <v>5817</v>
      </c>
      <c r="C11390" s="196">
        <v>-81200</v>
      </c>
      <c r="D11390" s="196">
        <v>0</v>
      </c>
      <c r="E11390" s="196">
        <v>0</v>
      </c>
      <c r="F11390" s="196">
        <v>0</v>
      </c>
      <c r="G11390" s="196">
        <v>-81200</v>
      </c>
    </row>
    <row r="11391" spans="1:7" x14ac:dyDescent="0.3">
      <c r="A11391" s="198">
        <v>1121903565</v>
      </c>
      <c r="B11391" s="192" t="s">
        <v>5818</v>
      </c>
      <c r="C11391" s="196">
        <v>-436300</v>
      </c>
      <c r="D11391" s="196">
        <v>0</v>
      </c>
      <c r="E11391" s="196">
        <v>0</v>
      </c>
      <c r="F11391" s="196">
        <v>0</v>
      </c>
      <c r="G11391" s="196">
        <v>-436300</v>
      </c>
    </row>
    <row r="11392" spans="1:7" x14ac:dyDescent="0.3">
      <c r="A11392" s="198">
        <v>1056769612</v>
      </c>
      <c r="B11392" s="192" t="s">
        <v>5821</v>
      </c>
      <c r="C11392" s="196">
        <v>-498000</v>
      </c>
      <c r="D11392" s="196">
        <v>0</v>
      </c>
      <c r="E11392" s="196">
        <v>0</v>
      </c>
      <c r="F11392" s="196">
        <v>0</v>
      </c>
      <c r="G11392" s="196">
        <v>-498000</v>
      </c>
    </row>
    <row r="11393" spans="1:7" x14ac:dyDescent="0.3">
      <c r="A11393" s="192" t="s">
        <v>5825</v>
      </c>
      <c r="B11393" s="192" t="s">
        <v>5826</v>
      </c>
      <c r="C11393" s="196">
        <v>-299000</v>
      </c>
      <c r="D11393" s="196">
        <v>0</v>
      </c>
      <c r="E11393" s="196">
        <v>0</v>
      </c>
      <c r="F11393" s="196">
        <v>0</v>
      </c>
      <c r="G11393" s="196">
        <v>-299000</v>
      </c>
    </row>
    <row r="11394" spans="1:7" x14ac:dyDescent="0.3">
      <c r="A11394" s="198">
        <v>1039025031</v>
      </c>
      <c r="B11394" s="192" t="s">
        <v>7045</v>
      </c>
      <c r="C11394" s="196">
        <v>-193000</v>
      </c>
      <c r="D11394" s="196">
        <v>0</v>
      </c>
      <c r="E11394" s="196">
        <v>0</v>
      </c>
      <c r="F11394" s="196">
        <v>0</v>
      </c>
      <c r="G11394" s="196">
        <v>-193000</v>
      </c>
    </row>
    <row r="11395" spans="1:7" x14ac:dyDescent="0.3">
      <c r="A11395" s="198">
        <v>1018259529</v>
      </c>
      <c r="B11395" s="192" t="s">
        <v>5859</v>
      </c>
      <c r="C11395" s="196">
        <v>-167000</v>
      </c>
      <c r="D11395" s="196">
        <v>0</v>
      </c>
      <c r="E11395" s="196">
        <v>0</v>
      </c>
      <c r="F11395" s="196">
        <v>0</v>
      </c>
      <c r="G11395" s="196">
        <v>-167000</v>
      </c>
    </row>
    <row r="11396" spans="1:7" x14ac:dyDescent="0.3">
      <c r="A11396" s="198">
        <v>1046910317</v>
      </c>
      <c r="B11396" s="192" t="s">
        <v>5863</v>
      </c>
      <c r="C11396" s="196">
        <v>-200000</v>
      </c>
      <c r="D11396" s="196">
        <v>0</v>
      </c>
      <c r="E11396" s="196">
        <v>0</v>
      </c>
      <c r="F11396" s="196">
        <v>0</v>
      </c>
      <c r="G11396" s="196">
        <v>-200000</v>
      </c>
    </row>
    <row r="11397" spans="1:7" x14ac:dyDescent="0.3">
      <c r="A11397" s="198">
        <v>26274665</v>
      </c>
      <c r="B11397" s="192" t="s">
        <v>1432</v>
      </c>
      <c r="C11397" s="196">
        <v>0</v>
      </c>
      <c r="D11397" s="196">
        <v>0</v>
      </c>
      <c r="E11397" s="196">
        <v>143000</v>
      </c>
      <c r="F11397" s="196">
        <v>-143000</v>
      </c>
      <c r="G11397" s="196">
        <v>-143000</v>
      </c>
    </row>
    <row r="11398" spans="1:7" x14ac:dyDescent="0.3">
      <c r="A11398" s="198">
        <v>1141519581</v>
      </c>
      <c r="B11398" s="192" t="s">
        <v>5866</v>
      </c>
      <c r="C11398" s="196">
        <v>-73800</v>
      </c>
      <c r="D11398" s="196">
        <v>0</v>
      </c>
      <c r="E11398" s="196">
        <v>0</v>
      </c>
      <c r="F11398" s="196">
        <v>0</v>
      </c>
      <c r="G11398" s="196">
        <v>-73800</v>
      </c>
    </row>
    <row r="11399" spans="1:7" x14ac:dyDescent="0.3">
      <c r="A11399" s="198">
        <v>1000851478</v>
      </c>
      <c r="B11399" s="192" t="s">
        <v>5873</v>
      </c>
      <c r="C11399" s="196">
        <v>-490000</v>
      </c>
      <c r="D11399" s="196">
        <v>0</v>
      </c>
      <c r="E11399" s="196">
        <v>0</v>
      </c>
      <c r="F11399" s="196">
        <v>0</v>
      </c>
      <c r="G11399" s="196">
        <v>-490000</v>
      </c>
    </row>
    <row r="11400" spans="1:7" x14ac:dyDescent="0.3">
      <c r="A11400" s="198">
        <v>1000409976</v>
      </c>
      <c r="B11400" s="192" t="s">
        <v>7321</v>
      </c>
      <c r="C11400" s="196">
        <v>-380000</v>
      </c>
      <c r="D11400" s="196">
        <v>0</v>
      </c>
      <c r="E11400" s="196">
        <v>0</v>
      </c>
      <c r="F11400" s="196">
        <v>0</v>
      </c>
      <c r="G11400" s="196">
        <v>-380000</v>
      </c>
    </row>
    <row r="11401" spans="1:7" x14ac:dyDescent="0.3">
      <c r="A11401" s="198">
        <v>1035972067</v>
      </c>
      <c r="B11401" s="192" t="s">
        <v>5878</v>
      </c>
      <c r="C11401" s="196">
        <v>-79300</v>
      </c>
      <c r="D11401" s="196">
        <v>0</v>
      </c>
      <c r="E11401" s="196">
        <v>0</v>
      </c>
      <c r="F11401" s="196">
        <v>0</v>
      </c>
      <c r="G11401" s="196">
        <v>-79300</v>
      </c>
    </row>
    <row r="11402" spans="1:7" x14ac:dyDescent="0.3">
      <c r="A11402" s="198">
        <v>136007340</v>
      </c>
      <c r="B11402" s="192" t="s">
        <v>7322</v>
      </c>
      <c r="C11402" s="196">
        <v>-380000</v>
      </c>
      <c r="D11402" s="196">
        <v>0</v>
      </c>
      <c r="E11402" s="196">
        <v>0</v>
      </c>
      <c r="F11402" s="196">
        <v>0</v>
      </c>
      <c r="G11402" s="196">
        <v>-380000</v>
      </c>
    </row>
    <row r="11403" spans="1:7" x14ac:dyDescent="0.3">
      <c r="A11403" s="198">
        <v>1040570629</v>
      </c>
      <c r="B11403" s="192" t="s">
        <v>5891</v>
      </c>
      <c r="C11403" s="196">
        <v>-42900</v>
      </c>
      <c r="D11403" s="196">
        <v>0</v>
      </c>
      <c r="E11403" s="196">
        <v>0</v>
      </c>
      <c r="F11403" s="196">
        <v>0</v>
      </c>
      <c r="G11403" s="196">
        <v>-42900</v>
      </c>
    </row>
    <row r="11404" spans="1:7" x14ac:dyDescent="0.3">
      <c r="A11404" s="198">
        <v>1037633834</v>
      </c>
      <c r="B11404" s="192" t="s">
        <v>7049</v>
      </c>
      <c r="C11404" s="196">
        <v>-193000</v>
      </c>
      <c r="D11404" s="196">
        <v>0</v>
      </c>
      <c r="E11404" s="196">
        <v>0</v>
      </c>
      <c r="F11404" s="196">
        <v>0</v>
      </c>
      <c r="G11404" s="196">
        <v>-193000</v>
      </c>
    </row>
    <row r="11405" spans="1:7" x14ac:dyDescent="0.3">
      <c r="A11405" s="198">
        <v>51902631</v>
      </c>
      <c r="B11405" s="192" t="s">
        <v>5898</v>
      </c>
      <c r="C11405" s="196">
        <v>-116900</v>
      </c>
      <c r="D11405" s="196">
        <v>0</v>
      </c>
      <c r="E11405" s="196">
        <v>0</v>
      </c>
      <c r="F11405" s="196">
        <v>0</v>
      </c>
      <c r="G11405" s="196">
        <v>-116900</v>
      </c>
    </row>
    <row r="11406" spans="1:7" x14ac:dyDescent="0.3">
      <c r="A11406" s="198">
        <v>1128417947</v>
      </c>
      <c r="B11406" s="192" t="s">
        <v>7323</v>
      </c>
      <c r="C11406" s="196">
        <v>-125200</v>
      </c>
      <c r="D11406" s="196">
        <v>0</v>
      </c>
      <c r="E11406" s="196">
        <v>0</v>
      </c>
      <c r="F11406" s="196">
        <v>0</v>
      </c>
      <c r="G11406" s="196">
        <v>-125200</v>
      </c>
    </row>
    <row r="11407" spans="1:7" x14ac:dyDescent="0.3">
      <c r="A11407" s="198">
        <v>43267619</v>
      </c>
      <c r="B11407" s="192" t="s">
        <v>5906</v>
      </c>
      <c r="C11407" s="196">
        <v>-33200</v>
      </c>
      <c r="D11407" s="196">
        <v>0</v>
      </c>
      <c r="E11407" s="196">
        <v>0</v>
      </c>
      <c r="F11407" s="196">
        <v>0</v>
      </c>
      <c r="G11407" s="196">
        <v>-33200</v>
      </c>
    </row>
    <row r="11408" spans="1:7" x14ac:dyDescent="0.3">
      <c r="A11408" s="198">
        <v>1042770889</v>
      </c>
      <c r="B11408" s="192" t="s">
        <v>1442</v>
      </c>
      <c r="C11408" s="196">
        <v>0</v>
      </c>
      <c r="D11408" s="196">
        <v>115000</v>
      </c>
      <c r="E11408" s="196">
        <v>420000</v>
      </c>
      <c r="F11408" s="196">
        <v>-305000</v>
      </c>
      <c r="G11408" s="196">
        <v>-305000</v>
      </c>
    </row>
    <row r="11409" spans="1:7" x14ac:dyDescent="0.3">
      <c r="A11409" s="198">
        <v>43750691</v>
      </c>
      <c r="B11409" s="192" t="s">
        <v>7324</v>
      </c>
      <c r="C11409" s="196">
        <v>-143000</v>
      </c>
      <c r="D11409" s="196">
        <v>0</v>
      </c>
      <c r="E11409" s="196">
        <v>0</v>
      </c>
      <c r="F11409" s="196">
        <v>0</v>
      </c>
      <c r="G11409" s="196">
        <v>-143000</v>
      </c>
    </row>
    <row r="11410" spans="1:7" x14ac:dyDescent="0.3">
      <c r="A11410" s="198">
        <v>42131936</v>
      </c>
      <c r="B11410" s="192" t="s">
        <v>5908</v>
      </c>
      <c r="C11410" s="196">
        <v>-255000</v>
      </c>
      <c r="D11410" s="196">
        <v>0</v>
      </c>
      <c r="E11410" s="196">
        <v>0</v>
      </c>
      <c r="F11410" s="196">
        <v>0</v>
      </c>
      <c r="G11410" s="196">
        <v>-255000</v>
      </c>
    </row>
    <row r="11411" spans="1:7" x14ac:dyDescent="0.3">
      <c r="A11411" s="198">
        <v>1125998281</v>
      </c>
      <c r="B11411" s="192" t="s">
        <v>1445</v>
      </c>
      <c r="C11411" s="196">
        <v>0</v>
      </c>
      <c r="D11411" s="196">
        <v>0</v>
      </c>
      <c r="E11411" s="196">
        <v>190000</v>
      </c>
      <c r="F11411" s="196">
        <v>-190000</v>
      </c>
      <c r="G11411" s="196">
        <v>-190000</v>
      </c>
    </row>
    <row r="11412" spans="1:7" x14ac:dyDescent="0.3">
      <c r="A11412" s="198">
        <v>1007118138</v>
      </c>
      <c r="B11412" s="192" t="s">
        <v>1447</v>
      </c>
      <c r="C11412" s="196">
        <v>-89000</v>
      </c>
      <c r="D11412" s="196">
        <v>0</v>
      </c>
      <c r="E11412" s="196">
        <v>0</v>
      </c>
      <c r="F11412" s="196">
        <v>0</v>
      </c>
      <c r="G11412" s="196">
        <v>-89000</v>
      </c>
    </row>
    <row r="11413" spans="1:7" x14ac:dyDescent="0.3">
      <c r="A11413" s="198">
        <v>1152715596</v>
      </c>
      <c r="B11413" s="192" t="s">
        <v>1449</v>
      </c>
      <c r="C11413" s="196">
        <v>-190000</v>
      </c>
      <c r="D11413" s="196">
        <v>0</v>
      </c>
      <c r="E11413" s="196">
        <v>0</v>
      </c>
      <c r="F11413" s="196">
        <v>0</v>
      </c>
      <c r="G11413" s="196">
        <v>-190000</v>
      </c>
    </row>
    <row r="11414" spans="1:7" x14ac:dyDescent="0.3">
      <c r="A11414" s="198">
        <v>1039473587</v>
      </c>
      <c r="B11414" s="192" t="s">
        <v>7325</v>
      </c>
      <c r="C11414" s="196">
        <v>-84300</v>
      </c>
      <c r="D11414" s="196">
        <v>0</v>
      </c>
      <c r="E11414" s="196">
        <v>0</v>
      </c>
      <c r="F11414" s="196">
        <v>0</v>
      </c>
      <c r="G11414" s="196">
        <v>-84300</v>
      </c>
    </row>
    <row r="11415" spans="1:7" x14ac:dyDescent="0.3">
      <c r="A11415" s="198">
        <v>1036670823</v>
      </c>
      <c r="B11415" s="192" t="s">
        <v>5923</v>
      </c>
      <c r="C11415" s="196">
        <v>-210000</v>
      </c>
      <c r="D11415" s="196">
        <v>0</v>
      </c>
      <c r="E11415" s="196">
        <v>0</v>
      </c>
      <c r="F11415" s="196">
        <v>0</v>
      </c>
      <c r="G11415" s="196">
        <v>-210000</v>
      </c>
    </row>
    <row r="11416" spans="1:7" x14ac:dyDescent="0.3">
      <c r="A11416" s="198">
        <v>98542202</v>
      </c>
      <c r="B11416" s="192" t="s">
        <v>5924</v>
      </c>
      <c r="C11416" s="196">
        <v>-125400</v>
      </c>
      <c r="D11416" s="196">
        <v>0</v>
      </c>
      <c r="E11416" s="196">
        <v>0</v>
      </c>
      <c r="F11416" s="196">
        <v>0</v>
      </c>
      <c r="G11416" s="196">
        <v>-125400</v>
      </c>
    </row>
    <row r="11417" spans="1:7" x14ac:dyDescent="0.3">
      <c r="A11417" s="198">
        <v>1035978251</v>
      </c>
      <c r="B11417" s="192" t="s">
        <v>5928</v>
      </c>
      <c r="C11417" s="196">
        <v>-390000</v>
      </c>
      <c r="D11417" s="196">
        <v>0</v>
      </c>
      <c r="E11417" s="196">
        <v>0</v>
      </c>
      <c r="F11417" s="196">
        <v>0</v>
      </c>
      <c r="G11417" s="196">
        <v>-390000</v>
      </c>
    </row>
    <row r="11418" spans="1:7" x14ac:dyDescent="0.3">
      <c r="A11418" s="198">
        <v>71370780</v>
      </c>
      <c r="B11418" s="192" t="s">
        <v>5930</v>
      </c>
      <c r="C11418" s="196">
        <v>-492400</v>
      </c>
      <c r="D11418" s="196">
        <v>0</v>
      </c>
      <c r="E11418" s="196">
        <v>0</v>
      </c>
      <c r="F11418" s="196">
        <v>0</v>
      </c>
      <c r="G11418" s="196">
        <v>-492400</v>
      </c>
    </row>
    <row r="11419" spans="1:7" x14ac:dyDescent="0.3">
      <c r="A11419" s="198">
        <v>1039453309</v>
      </c>
      <c r="B11419" s="192" t="s">
        <v>7326</v>
      </c>
      <c r="C11419" s="196">
        <v>-79200</v>
      </c>
      <c r="D11419" s="196">
        <v>0</v>
      </c>
      <c r="E11419" s="196">
        <v>0</v>
      </c>
      <c r="F11419" s="196">
        <v>0</v>
      </c>
      <c r="G11419" s="196">
        <v>-79200</v>
      </c>
    </row>
    <row r="11420" spans="1:7" x14ac:dyDescent="0.3">
      <c r="A11420" s="198">
        <v>1000409721</v>
      </c>
      <c r="B11420" s="192" t="s">
        <v>5931</v>
      </c>
      <c r="C11420" s="196">
        <v>-188900</v>
      </c>
      <c r="D11420" s="196">
        <v>0</v>
      </c>
      <c r="E11420" s="196">
        <v>0</v>
      </c>
      <c r="F11420" s="196">
        <v>0</v>
      </c>
      <c r="G11420" s="196">
        <v>-188900</v>
      </c>
    </row>
    <row r="11421" spans="1:7" x14ac:dyDescent="0.3">
      <c r="A11421" s="192" t="s">
        <v>5932</v>
      </c>
      <c r="B11421" s="192" t="s">
        <v>5933</v>
      </c>
      <c r="C11421" s="196">
        <v>-414000</v>
      </c>
      <c r="D11421" s="196">
        <v>0</v>
      </c>
      <c r="E11421" s="196">
        <v>0</v>
      </c>
      <c r="F11421" s="196">
        <v>0</v>
      </c>
      <c r="G11421" s="196">
        <v>-414000</v>
      </c>
    </row>
    <row r="11422" spans="1:7" x14ac:dyDescent="0.3">
      <c r="A11422" s="198">
        <v>1002210832</v>
      </c>
      <c r="B11422" s="192" t="s">
        <v>5936</v>
      </c>
      <c r="C11422" s="196">
        <v>-305000</v>
      </c>
      <c r="D11422" s="196">
        <v>0</v>
      </c>
      <c r="E11422" s="196">
        <v>0</v>
      </c>
      <c r="F11422" s="196">
        <v>0</v>
      </c>
      <c r="G11422" s="196">
        <v>-305000</v>
      </c>
    </row>
    <row r="11423" spans="1:7" x14ac:dyDescent="0.3">
      <c r="A11423" s="198">
        <v>1220473649</v>
      </c>
      <c r="B11423" s="192" t="s">
        <v>5938</v>
      </c>
      <c r="C11423" s="196">
        <v>-347000</v>
      </c>
      <c r="D11423" s="196">
        <v>0</v>
      </c>
      <c r="E11423" s="196">
        <v>0</v>
      </c>
      <c r="F11423" s="196">
        <v>0</v>
      </c>
      <c r="G11423" s="196">
        <v>-347000</v>
      </c>
    </row>
    <row r="11424" spans="1:7" x14ac:dyDescent="0.3">
      <c r="A11424" s="198">
        <v>1128436101</v>
      </c>
      <c r="B11424" s="192" t="s">
        <v>7327</v>
      </c>
      <c r="C11424" s="196">
        <v>-88000</v>
      </c>
      <c r="D11424" s="196">
        <v>0</v>
      </c>
      <c r="E11424" s="196">
        <v>0</v>
      </c>
      <c r="F11424" s="196">
        <v>0</v>
      </c>
      <c r="G11424" s="196">
        <v>-88000</v>
      </c>
    </row>
    <row r="11425" spans="1:7" x14ac:dyDescent="0.3">
      <c r="A11425" s="198">
        <v>1128283612</v>
      </c>
      <c r="B11425" s="192" t="s">
        <v>5945</v>
      </c>
      <c r="C11425" s="196">
        <v>-46000</v>
      </c>
      <c r="D11425" s="196">
        <v>0</v>
      </c>
      <c r="E11425" s="196">
        <v>0</v>
      </c>
      <c r="F11425" s="196">
        <v>0</v>
      </c>
      <c r="G11425" s="196">
        <v>-46000</v>
      </c>
    </row>
    <row r="11426" spans="1:7" x14ac:dyDescent="0.3">
      <c r="A11426" s="198">
        <v>1037238474</v>
      </c>
      <c r="B11426" s="192" t="s">
        <v>1458</v>
      </c>
      <c r="C11426" s="196">
        <v>0</v>
      </c>
      <c r="D11426" s="196">
        <v>0</v>
      </c>
      <c r="E11426" s="196">
        <v>347000</v>
      </c>
      <c r="F11426" s="196">
        <v>-347000</v>
      </c>
      <c r="G11426" s="196">
        <v>-347000</v>
      </c>
    </row>
    <row r="11427" spans="1:7" x14ac:dyDescent="0.3">
      <c r="A11427" s="198">
        <v>1152438873</v>
      </c>
      <c r="B11427" s="192" t="s">
        <v>1459</v>
      </c>
      <c r="C11427" s="196">
        <v>0</v>
      </c>
      <c r="D11427" s="196">
        <v>0</v>
      </c>
      <c r="E11427" s="196">
        <v>47000</v>
      </c>
      <c r="F11427" s="196">
        <v>-47000</v>
      </c>
      <c r="G11427" s="196">
        <v>-47000</v>
      </c>
    </row>
    <row r="11428" spans="1:7" x14ac:dyDescent="0.3">
      <c r="A11428" s="198">
        <v>1011511984</v>
      </c>
      <c r="B11428" s="192" t="s">
        <v>5955</v>
      </c>
      <c r="C11428" s="196">
        <v>-574300</v>
      </c>
      <c r="D11428" s="196">
        <v>0</v>
      </c>
      <c r="E11428" s="196">
        <v>0</v>
      </c>
      <c r="F11428" s="196">
        <v>0</v>
      </c>
      <c r="G11428" s="196">
        <v>-574300</v>
      </c>
    </row>
    <row r="11429" spans="1:7" x14ac:dyDescent="0.3">
      <c r="A11429" s="198">
        <v>1037653638</v>
      </c>
      <c r="B11429" s="192" t="s">
        <v>5959</v>
      </c>
      <c r="C11429" s="196">
        <v>-315000</v>
      </c>
      <c r="D11429" s="196">
        <v>0</v>
      </c>
      <c r="E11429" s="196">
        <v>0</v>
      </c>
      <c r="F11429" s="196">
        <v>0</v>
      </c>
      <c r="G11429" s="196">
        <v>-315000</v>
      </c>
    </row>
    <row r="11430" spans="1:7" x14ac:dyDescent="0.3">
      <c r="A11430" s="198">
        <v>1001015864</v>
      </c>
      <c r="B11430" s="192" t="s">
        <v>5962</v>
      </c>
      <c r="C11430" s="196">
        <v>-115000</v>
      </c>
      <c r="D11430" s="196">
        <v>0</v>
      </c>
      <c r="E11430" s="196">
        <v>0</v>
      </c>
      <c r="F11430" s="196">
        <v>0</v>
      </c>
      <c r="G11430" s="196">
        <v>-115000</v>
      </c>
    </row>
    <row r="11431" spans="1:7" x14ac:dyDescent="0.3">
      <c r="A11431" s="198">
        <v>1001294145</v>
      </c>
      <c r="B11431" s="192" t="s">
        <v>5963</v>
      </c>
      <c r="C11431" s="196">
        <v>-79300</v>
      </c>
      <c r="D11431" s="196">
        <v>0</v>
      </c>
      <c r="E11431" s="196">
        <v>0</v>
      </c>
      <c r="F11431" s="196">
        <v>0</v>
      </c>
      <c r="G11431" s="196">
        <v>-79300</v>
      </c>
    </row>
    <row r="11432" spans="1:7" x14ac:dyDescent="0.3">
      <c r="A11432" s="192" t="s">
        <v>5978</v>
      </c>
      <c r="B11432" s="192" t="s">
        <v>5979</v>
      </c>
      <c r="C11432" s="196">
        <v>-305000</v>
      </c>
      <c r="D11432" s="196">
        <v>0</v>
      </c>
      <c r="E11432" s="196">
        <v>0</v>
      </c>
      <c r="F11432" s="196">
        <v>0</v>
      </c>
      <c r="G11432" s="196">
        <v>-305000</v>
      </c>
    </row>
    <row r="11433" spans="1:7" x14ac:dyDescent="0.3">
      <c r="A11433" s="198">
        <v>1039464120</v>
      </c>
      <c r="B11433" s="192" t="s">
        <v>1461</v>
      </c>
      <c r="C11433" s="196">
        <v>0</v>
      </c>
      <c r="D11433" s="196">
        <v>0</v>
      </c>
      <c r="E11433" s="196">
        <v>125200</v>
      </c>
      <c r="F11433" s="196">
        <v>-125200</v>
      </c>
      <c r="G11433" s="196">
        <v>-125200</v>
      </c>
    </row>
    <row r="11434" spans="1:7" x14ac:dyDescent="0.3">
      <c r="A11434" s="198">
        <v>1128470128</v>
      </c>
      <c r="B11434" s="192" t="s">
        <v>5987</v>
      </c>
      <c r="C11434" s="196">
        <v>-46100</v>
      </c>
      <c r="D11434" s="196">
        <v>0</v>
      </c>
      <c r="E11434" s="196">
        <v>0</v>
      </c>
      <c r="F11434" s="196">
        <v>0</v>
      </c>
      <c r="G11434" s="196">
        <v>-46100</v>
      </c>
    </row>
    <row r="11435" spans="1:7" x14ac:dyDescent="0.3">
      <c r="A11435" s="198">
        <v>1017242646</v>
      </c>
      <c r="B11435" s="192" t="s">
        <v>1463</v>
      </c>
      <c r="C11435" s="196">
        <v>-478000</v>
      </c>
      <c r="D11435" s="196">
        <v>0</v>
      </c>
      <c r="E11435" s="196">
        <v>0</v>
      </c>
      <c r="F11435" s="196">
        <v>0</v>
      </c>
      <c r="G11435" s="196">
        <v>-478000</v>
      </c>
    </row>
    <row r="11436" spans="1:7" x14ac:dyDescent="0.3">
      <c r="A11436" s="198">
        <v>1036450198</v>
      </c>
      <c r="B11436" s="192" t="s">
        <v>5996</v>
      </c>
      <c r="C11436" s="196">
        <v>-315000</v>
      </c>
      <c r="D11436" s="196">
        <v>0</v>
      </c>
      <c r="E11436" s="196">
        <v>0</v>
      </c>
      <c r="F11436" s="196">
        <v>0</v>
      </c>
      <c r="G11436" s="196">
        <v>-315000</v>
      </c>
    </row>
    <row r="11437" spans="1:7" x14ac:dyDescent="0.3">
      <c r="A11437" s="198">
        <v>8427432</v>
      </c>
      <c r="B11437" s="192" t="s">
        <v>7328</v>
      </c>
      <c r="C11437" s="196">
        <v>-125400</v>
      </c>
      <c r="D11437" s="196">
        <v>0</v>
      </c>
      <c r="E11437" s="196">
        <v>0</v>
      </c>
      <c r="F11437" s="196">
        <v>0</v>
      </c>
      <c r="G11437" s="196">
        <v>-125400</v>
      </c>
    </row>
    <row r="11438" spans="1:7" x14ac:dyDescent="0.3">
      <c r="A11438" s="198">
        <v>1000100365</v>
      </c>
      <c r="B11438" s="192" t="s">
        <v>5997</v>
      </c>
      <c r="C11438" s="196">
        <v>-190000</v>
      </c>
      <c r="D11438" s="196">
        <v>0</v>
      </c>
      <c r="E11438" s="196">
        <v>0</v>
      </c>
      <c r="F11438" s="196">
        <v>0</v>
      </c>
      <c r="G11438" s="196">
        <v>-190000</v>
      </c>
    </row>
    <row r="11439" spans="1:7" x14ac:dyDescent="0.3">
      <c r="A11439" s="198">
        <v>890903790</v>
      </c>
      <c r="B11439" s="192" t="s">
        <v>1466</v>
      </c>
      <c r="C11439" s="196">
        <v>-104891260</v>
      </c>
      <c r="D11439" s="196">
        <v>181089</v>
      </c>
      <c r="E11439" s="196">
        <v>33184666</v>
      </c>
      <c r="F11439" s="196">
        <v>-33003577</v>
      </c>
      <c r="G11439" s="196">
        <v>-137894837</v>
      </c>
    </row>
    <row r="11440" spans="1:7" x14ac:dyDescent="0.3">
      <c r="A11440" s="198">
        <v>1032398527</v>
      </c>
      <c r="B11440" s="192" t="s">
        <v>6005</v>
      </c>
      <c r="C11440" s="196">
        <v>-347000</v>
      </c>
      <c r="D11440" s="196">
        <v>0</v>
      </c>
      <c r="E11440" s="196">
        <v>0</v>
      </c>
      <c r="F11440" s="196">
        <v>0</v>
      </c>
      <c r="G11440" s="196">
        <v>-347000</v>
      </c>
    </row>
    <row r="11441" spans="1:7" x14ac:dyDescent="0.3">
      <c r="A11441" s="198">
        <v>71332735</v>
      </c>
      <c r="B11441" s="192" t="s">
        <v>1472</v>
      </c>
      <c r="C11441" s="196">
        <v>0</v>
      </c>
      <c r="D11441" s="196">
        <v>0</v>
      </c>
      <c r="E11441" s="196">
        <v>209000</v>
      </c>
      <c r="F11441" s="196">
        <v>-209000</v>
      </c>
      <c r="G11441" s="196">
        <v>-209000</v>
      </c>
    </row>
    <row r="11442" spans="1:7" x14ac:dyDescent="0.3">
      <c r="A11442" s="198">
        <v>3836687</v>
      </c>
      <c r="B11442" s="192" t="s">
        <v>6011</v>
      </c>
      <c r="C11442" s="196">
        <v>-285600</v>
      </c>
      <c r="D11442" s="196">
        <v>0</v>
      </c>
      <c r="E11442" s="196">
        <v>0</v>
      </c>
      <c r="F11442" s="196">
        <v>0</v>
      </c>
      <c r="G11442" s="196">
        <v>-285600</v>
      </c>
    </row>
    <row r="11443" spans="1:7" x14ac:dyDescent="0.3">
      <c r="A11443" s="198">
        <v>5533236</v>
      </c>
      <c r="B11443" s="192" t="s">
        <v>1474</v>
      </c>
      <c r="C11443" s="196">
        <v>-190000</v>
      </c>
      <c r="D11443" s="196">
        <v>211500</v>
      </c>
      <c r="E11443" s="196">
        <v>519500</v>
      </c>
      <c r="F11443" s="196">
        <v>-308000</v>
      </c>
      <c r="G11443" s="196">
        <v>-498000</v>
      </c>
    </row>
    <row r="11444" spans="1:7" x14ac:dyDescent="0.3">
      <c r="A11444" s="198">
        <v>1020431916</v>
      </c>
      <c r="B11444" s="192" t="s">
        <v>6017</v>
      </c>
      <c r="C11444" s="196">
        <v>-508000</v>
      </c>
      <c r="D11444" s="196">
        <v>0</v>
      </c>
      <c r="E11444" s="196">
        <v>0</v>
      </c>
      <c r="F11444" s="196">
        <v>0</v>
      </c>
      <c r="G11444" s="196">
        <v>-508000</v>
      </c>
    </row>
    <row r="11445" spans="1:7" x14ac:dyDescent="0.3">
      <c r="A11445" s="198">
        <v>32461224</v>
      </c>
      <c r="B11445" s="192" t="s">
        <v>6021</v>
      </c>
      <c r="C11445" s="196">
        <v>-46000</v>
      </c>
      <c r="D11445" s="196">
        <v>0</v>
      </c>
      <c r="E11445" s="196">
        <v>0</v>
      </c>
      <c r="F11445" s="196">
        <v>0</v>
      </c>
      <c r="G11445" s="196">
        <v>-46000</v>
      </c>
    </row>
    <row r="11446" spans="1:7" x14ac:dyDescent="0.3">
      <c r="A11446" s="198">
        <v>1034991146</v>
      </c>
      <c r="B11446" s="192" t="s">
        <v>6026</v>
      </c>
      <c r="C11446" s="196">
        <v>-79300</v>
      </c>
      <c r="D11446" s="196">
        <v>0</v>
      </c>
      <c r="E11446" s="196">
        <v>0</v>
      </c>
      <c r="F11446" s="196">
        <v>0</v>
      </c>
      <c r="G11446" s="196">
        <v>-79300</v>
      </c>
    </row>
    <row r="11447" spans="1:7" x14ac:dyDescent="0.3">
      <c r="A11447" s="198">
        <v>1017931152</v>
      </c>
      <c r="B11447" s="192" t="s">
        <v>7329</v>
      </c>
      <c r="C11447" s="196">
        <v>-79300</v>
      </c>
      <c r="D11447" s="196">
        <v>0</v>
      </c>
      <c r="E11447" s="196">
        <v>0</v>
      </c>
      <c r="F11447" s="196">
        <v>0</v>
      </c>
      <c r="G11447" s="196">
        <v>-79300</v>
      </c>
    </row>
    <row r="11448" spans="1:7" x14ac:dyDescent="0.3">
      <c r="A11448" s="198">
        <v>71786130</v>
      </c>
      <c r="B11448" s="192" t="s">
        <v>1480</v>
      </c>
      <c r="C11448" s="196">
        <v>-46100</v>
      </c>
      <c r="D11448" s="196">
        <v>0</v>
      </c>
      <c r="E11448" s="196">
        <v>0</v>
      </c>
      <c r="F11448" s="196">
        <v>0</v>
      </c>
      <c r="G11448" s="196">
        <v>-46100</v>
      </c>
    </row>
    <row r="11449" spans="1:7" x14ac:dyDescent="0.3">
      <c r="A11449" s="198">
        <v>1152184713</v>
      </c>
      <c r="B11449" s="192" t="s">
        <v>7074</v>
      </c>
      <c r="C11449" s="196">
        <v>-79300</v>
      </c>
      <c r="D11449" s="196">
        <v>0</v>
      </c>
      <c r="E11449" s="196">
        <v>0</v>
      </c>
      <c r="F11449" s="196">
        <v>0</v>
      </c>
      <c r="G11449" s="196">
        <v>-79300</v>
      </c>
    </row>
    <row r="11450" spans="1:7" x14ac:dyDescent="0.3">
      <c r="A11450" s="198">
        <v>1039458408</v>
      </c>
      <c r="B11450" s="192" t="s">
        <v>7330</v>
      </c>
      <c r="C11450" s="196">
        <v>-112500</v>
      </c>
      <c r="D11450" s="196">
        <v>0</v>
      </c>
      <c r="E11450" s="196">
        <v>0</v>
      </c>
      <c r="F11450" s="196">
        <v>0</v>
      </c>
      <c r="G11450" s="196">
        <v>-112500</v>
      </c>
    </row>
    <row r="11451" spans="1:7" x14ac:dyDescent="0.3">
      <c r="A11451" s="198">
        <v>1082774773</v>
      </c>
      <c r="B11451" s="192" t="s">
        <v>6043</v>
      </c>
      <c r="C11451" s="196">
        <v>-305000</v>
      </c>
      <c r="D11451" s="196">
        <v>0</v>
      </c>
      <c r="E11451" s="196">
        <v>0</v>
      </c>
      <c r="F11451" s="196">
        <v>0</v>
      </c>
      <c r="G11451" s="196">
        <v>-305000</v>
      </c>
    </row>
    <row r="11452" spans="1:7" x14ac:dyDescent="0.3">
      <c r="A11452" s="198">
        <v>32339350</v>
      </c>
      <c r="B11452" s="192" t="s">
        <v>1484</v>
      </c>
      <c r="C11452" s="196">
        <v>0</v>
      </c>
      <c r="D11452" s="196">
        <v>0</v>
      </c>
      <c r="E11452" s="196">
        <v>285600</v>
      </c>
      <c r="F11452" s="196">
        <v>-285600</v>
      </c>
      <c r="G11452" s="196">
        <v>-285600</v>
      </c>
    </row>
    <row r="11453" spans="1:7" x14ac:dyDescent="0.3">
      <c r="A11453" s="198">
        <v>34982146</v>
      </c>
      <c r="B11453" s="192" t="s">
        <v>6045</v>
      </c>
      <c r="C11453" s="196">
        <v>-92000</v>
      </c>
      <c r="D11453" s="196">
        <v>0</v>
      </c>
      <c r="E11453" s="196">
        <v>0</v>
      </c>
      <c r="F11453" s="196">
        <v>0</v>
      </c>
      <c r="G11453" s="196">
        <v>-92000</v>
      </c>
    </row>
    <row r="11454" spans="1:7" x14ac:dyDescent="0.3">
      <c r="A11454" s="192" t="s">
        <v>6046</v>
      </c>
      <c r="B11454" s="192" t="s">
        <v>6047</v>
      </c>
      <c r="C11454" s="196">
        <v>-432600</v>
      </c>
      <c r="D11454" s="196">
        <v>0</v>
      </c>
      <c r="E11454" s="196">
        <v>0</v>
      </c>
      <c r="F11454" s="196">
        <v>0</v>
      </c>
      <c r="G11454" s="196">
        <v>-432600</v>
      </c>
    </row>
    <row r="11455" spans="1:7" x14ac:dyDescent="0.3">
      <c r="A11455" s="198">
        <v>1027743102</v>
      </c>
      <c r="B11455" s="192" t="s">
        <v>1485</v>
      </c>
      <c r="C11455" s="196">
        <v>0</v>
      </c>
      <c r="D11455" s="196">
        <v>96500</v>
      </c>
      <c r="E11455" s="196">
        <v>289500</v>
      </c>
      <c r="F11455" s="196">
        <v>-193000</v>
      </c>
      <c r="G11455" s="196">
        <v>-193000</v>
      </c>
    </row>
    <row r="11456" spans="1:7" x14ac:dyDescent="0.3">
      <c r="A11456" s="198">
        <v>1032186850</v>
      </c>
      <c r="B11456" s="192" t="s">
        <v>1487</v>
      </c>
      <c r="C11456" s="196">
        <v>0</v>
      </c>
      <c r="D11456" s="196">
        <v>0</v>
      </c>
      <c r="E11456" s="196">
        <v>33200</v>
      </c>
      <c r="F11456" s="196">
        <v>-33200</v>
      </c>
      <c r="G11456" s="196">
        <v>-33200</v>
      </c>
    </row>
    <row r="11457" spans="1:7" x14ac:dyDescent="0.3">
      <c r="A11457" s="198">
        <v>1034994145</v>
      </c>
      <c r="B11457" s="192" t="s">
        <v>1488</v>
      </c>
      <c r="C11457" s="196">
        <v>-46002</v>
      </c>
      <c r="D11457" s="196">
        <v>0</v>
      </c>
      <c r="E11457" s="196">
        <v>0</v>
      </c>
      <c r="F11457" s="196">
        <v>0</v>
      </c>
      <c r="G11457" s="196">
        <v>-46002</v>
      </c>
    </row>
    <row r="11458" spans="1:7" x14ac:dyDescent="0.3">
      <c r="A11458" s="198">
        <v>1193569496</v>
      </c>
      <c r="B11458" s="192" t="s">
        <v>1490</v>
      </c>
      <c r="C11458" s="196">
        <v>0</v>
      </c>
      <c r="D11458" s="196">
        <v>495000</v>
      </c>
      <c r="E11458" s="196">
        <v>1337000</v>
      </c>
      <c r="F11458" s="196">
        <v>-842000</v>
      </c>
      <c r="G11458" s="196">
        <v>-842000</v>
      </c>
    </row>
    <row r="11459" spans="1:7" x14ac:dyDescent="0.3">
      <c r="A11459" s="198">
        <v>1033258803</v>
      </c>
      <c r="B11459" s="192" t="s">
        <v>6063</v>
      </c>
      <c r="C11459" s="196">
        <v>-347000</v>
      </c>
      <c r="D11459" s="196">
        <v>0</v>
      </c>
      <c r="E11459" s="196">
        <v>0</v>
      </c>
      <c r="F11459" s="196">
        <v>0</v>
      </c>
      <c r="G11459" s="196">
        <v>-347000</v>
      </c>
    </row>
    <row r="11460" spans="1:7" x14ac:dyDescent="0.3">
      <c r="A11460" s="198">
        <v>1000416873</v>
      </c>
      <c r="B11460" s="192" t="s">
        <v>7078</v>
      </c>
      <c r="C11460" s="196">
        <v>-347000</v>
      </c>
      <c r="D11460" s="196">
        <v>0</v>
      </c>
      <c r="E11460" s="196">
        <v>0</v>
      </c>
      <c r="F11460" s="196">
        <v>0</v>
      </c>
      <c r="G11460" s="196">
        <v>-347000</v>
      </c>
    </row>
    <row r="11461" spans="1:7" x14ac:dyDescent="0.3">
      <c r="A11461" s="192" t="s">
        <v>6073</v>
      </c>
      <c r="B11461" s="192" t="s">
        <v>6074</v>
      </c>
      <c r="C11461" s="196">
        <v>-255000</v>
      </c>
      <c r="D11461" s="196">
        <v>0</v>
      </c>
      <c r="E11461" s="196">
        <v>0</v>
      </c>
      <c r="F11461" s="196">
        <v>0</v>
      </c>
      <c r="G11461" s="196">
        <v>-255000</v>
      </c>
    </row>
    <row r="11462" spans="1:7" x14ac:dyDescent="0.3">
      <c r="A11462" s="198">
        <v>32320278</v>
      </c>
      <c r="B11462" s="192" t="s">
        <v>7079</v>
      </c>
      <c r="C11462" s="196">
        <v>-167000</v>
      </c>
      <c r="D11462" s="196">
        <v>0</v>
      </c>
      <c r="E11462" s="196">
        <v>0</v>
      </c>
      <c r="F11462" s="196">
        <v>0</v>
      </c>
      <c r="G11462" s="196">
        <v>-167000</v>
      </c>
    </row>
    <row r="11463" spans="1:7" x14ac:dyDescent="0.3">
      <c r="A11463" s="198">
        <v>1094880470</v>
      </c>
      <c r="B11463" s="192" t="s">
        <v>1491</v>
      </c>
      <c r="C11463" s="196">
        <v>0</v>
      </c>
      <c r="D11463" s="196">
        <v>0</v>
      </c>
      <c r="E11463" s="196">
        <v>133600</v>
      </c>
      <c r="F11463" s="196">
        <v>-133600</v>
      </c>
      <c r="G11463" s="196">
        <v>-133600</v>
      </c>
    </row>
    <row r="11464" spans="1:7" x14ac:dyDescent="0.3">
      <c r="A11464" s="198">
        <v>21431578</v>
      </c>
      <c r="B11464" s="192" t="s">
        <v>6077</v>
      </c>
      <c r="C11464" s="196">
        <v>-125200</v>
      </c>
      <c r="D11464" s="196">
        <v>0</v>
      </c>
      <c r="E11464" s="196">
        <v>0</v>
      </c>
      <c r="F11464" s="196">
        <v>0</v>
      </c>
      <c r="G11464" s="196">
        <v>-125200</v>
      </c>
    </row>
    <row r="11465" spans="1:7" x14ac:dyDescent="0.3">
      <c r="A11465" s="192" t="s">
        <v>6082</v>
      </c>
      <c r="B11465" s="192" t="s">
        <v>6083</v>
      </c>
      <c r="C11465" s="196">
        <v>-357000</v>
      </c>
      <c r="D11465" s="196">
        <v>0</v>
      </c>
      <c r="E11465" s="196">
        <v>0</v>
      </c>
      <c r="F11465" s="196">
        <v>0</v>
      </c>
      <c r="G11465" s="196">
        <v>-357000</v>
      </c>
    </row>
    <row r="11466" spans="1:7" x14ac:dyDescent="0.3">
      <c r="A11466" s="198">
        <v>31167277</v>
      </c>
      <c r="B11466" s="192" t="s">
        <v>7331</v>
      </c>
      <c r="C11466" s="196">
        <v>-43000</v>
      </c>
      <c r="D11466" s="196">
        <v>0</v>
      </c>
      <c r="E11466" s="196">
        <v>0</v>
      </c>
      <c r="F11466" s="196">
        <v>0</v>
      </c>
      <c r="G11466" s="196">
        <v>-43000</v>
      </c>
    </row>
    <row r="11467" spans="1:7" x14ac:dyDescent="0.3">
      <c r="A11467" s="198">
        <v>6032891</v>
      </c>
      <c r="B11467" s="192" t="s">
        <v>6084</v>
      </c>
      <c r="C11467" s="196">
        <v>-79300</v>
      </c>
      <c r="D11467" s="196">
        <v>0</v>
      </c>
      <c r="E11467" s="196">
        <v>0</v>
      </c>
      <c r="F11467" s="196">
        <v>0</v>
      </c>
      <c r="G11467" s="196">
        <v>-79300</v>
      </c>
    </row>
    <row r="11468" spans="1:7" x14ac:dyDescent="0.3">
      <c r="A11468" s="198">
        <v>1020781698</v>
      </c>
      <c r="B11468" s="192" t="s">
        <v>6091</v>
      </c>
      <c r="C11468" s="196">
        <v>-121800</v>
      </c>
      <c r="D11468" s="196">
        <v>0</v>
      </c>
      <c r="E11468" s="196">
        <v>0</v>
      </c>
      <c r="F11468" s="196">
        <v>0</v>
      </c>
      <c r="G11468" s="196">
        <v>-121800</v>
      </c>
    </row>
    <row r="11469" spans="1:7" x14ac:dyDescent="0.3">
      <c r="A11469" s="198">
        <v>1035232080</v>
      </c>
      <c r="B11469" s="192" t="s">
        <v>6096</v>
      </c>
      <c r="C11469" s="196">
        <v>-305000</v>
      </c>
      <c r="D11469" s="196">
        <v>0</v>
      </c>
      <c r="E11469" s="196">
        <v>0</v>
      </c>
      <c r="F11469" s="196">
        <v>0</v>
      </c>
      <c r="G11469" s="196">
        <v>-305000</v>
      </c>
    </row>
    <row r="11470" spans="1:7" x14ac:dyDescent="0.3">
      <c r="A11470" s="198">
        <v>1022431434</v>
      </c>
      <c r="B11470" s="192" t="s">
        <v>6099</v>
      </c>
      <c r="C11470" s="196">
        <v>-79200</v>
      </c>
      <c r="D11470" s="196">
        <v>0</v>
      </c>
      <c r="E11470" s="196">
        <v>0</v>
      </c>
      <c r="F11470" s="196">
        <v>0</v>
      </c>
      <c r="G11470" s="196">
        <v>-79200</v>
      </c>
    </row>
    <row r="11471" spans="1:7" x14ac:dyDescent="0.3">
      <c r="A11471" s="198">
        <v>29757007</v>
      </c>
      <c r="B11471" s="192" t="s">
        <v>1497</v>
      </c>
      <c r="C11471" s="196">
        <v>0</v>
      </c>
      <c r="D11471" s="196">
        <v>0</v>
      </c>
      <c r="E11471" s="196">
        <v>167000</v>
      </c>
      <c r="F11471" s="196">
        <v>-167000</v>
      </c>
      <c r="G11471" s="196">
        <v>-167000</v>
      </c>
    </row>
    <row r="11472" spans="1:7" x14ac:dyDescent="0.3">
      <c r="A11472" s="198">
        <v>1128448506</v>
      </c>
      <c r="B11472" s="192" t="s">
        <v>6101</v>
      </c>
      <c r="C11472" s="196">
        <v>-43000</v>
      </c>
      <c r="D11472" s="196">
        <v>0</v>
      </c>
      <c r="E11472" s="196">
        <v>0</v>
      </c>
      <c r="F11472" s="196">
        <v>0</v>
      </c>
      <c r="G11472" s="196">
        <v>-43000</v>
      </c>
    </row>
    <row r="11473" spans="1:7" x14ac:dyDescent="0.3">
      <c r="A11473" s="192" t="s">
        <v>7084</v>
      </c>
      <c r="B11473" s="192" t="s">
        <v>7085</v>
      </c>
      <c r="C11473" s="196">
        <v>-540000</v>
      </c>
      <c r="D11473" s="196">
        <v>0</v>
      </c>
      <c r="E11473" s="196">
        <v>0</v>
      </c>
      <c r="F11473" s="196">
        <v>0</v>
      </c>
      <c r="G11473" s="196">
        <v>-540000</v>
      </c>
    </row>
    <row r="11474" spans="1:7" x14ac:dyDescent="0.3">
      <c r="A11474" s="198">
        <v>678656860</v>
      </c>
      <c r="B11474" s="192" t="s">
        <v>6108</v>
      </c>
      <c r="C11474" s="196">
        <v>-414000</v>
      </c>
      <c r="D11474" s="196">
        <v>0</v>
      </c>
      <c r="E11474" s="196">
        <v>0</v>
      </c>
      <c r="F11474" s="196">
        <v>0</v>
      </c>
      <c r="G11474" s="196">
        <v>-414000</v>
      </c>
    </row>
    <row r="11475" spans="1:7" x14ac:dyDescent="0.3">
      <c r="A11475" s="192" t="s">
        <v>1504</v>
      </c>
      <c r="B11475" s="192" t="s">
        <v>1505</v>
      </c>
      <c r="C11475" s="196">
        <v>-299000</v>
      </c>
      <c r="D11475" s="196">
        <v>115000</v>
      </c>
      <c r="E11475" s="196">
        <v>230000</v>
      </c>
      <c r="F11475" s="196">
        <v>-115000</v>
      </c>
      <c r="G11475" s="196">
        <v>-414000</v>
      </c>
    </row>
    <row r="11476" spans="1:7" x14ac:dyDescent="0.3">
      <c r="A11476" s="198">
        <v>37219750</v>
      </c>
      <c r="B11476" s="192" t="s">
        <v>7332</v>
      </c>
      <c r="C11476" s="196">
        <v>-46000</v>
      </c>
      <c r="D11476" s="196">
        <v>0</v>
      </c>
      <c r="E11476" s="196">
        <v>0</v>
      </c>
      <c r="F11476" s="196">
        <v>0</v>
      </c>
      <c r="G11476" s="196">
        <v>-46000</v>
      </c>
    </row>
    <row r="11477" spans="1:7" x14ac:dyDescent="0.3">
      <c r="A11477" s="198">
        <v>1017143205</v>
      </c>
      <c r="B11477" s="192" t="s">
        <v>1507</v>
      </c>
      <c r="C11477" s="196">
        <v>0</v>
      </c>
      <c r="D11477" s="196">
        <v>0</v>
      </c>
      <c r="E11477" s="196">
        <v>79200</v>
      </c>
      <c r="F11477" s="196">
        <v>-79200</v>
      </c>
      <c r="G11477" s="196">
        <v>-79200</v>
      </c>
    </row>
    <row r="11478" spans="1:7" x14ac:dyDescent="0.3">
      <c r="A11478" s="198">
        <v>1017265018</v>
      </c>
      <c r="B11478" s="192" t="s">
        <v>1512</v>
      </c>
      <c r="C11478" s="196">
        <v>-387200</v>
      </c>
      <c r="D11478" s="196">
        <v>0</v>
      </c>
      <c r="E11478" s="196">
        <v>0</v>
      </c>
      <c r="F11478" s="196">
        <v>0</v>
      </c>
      <c r="G11478" s="196">
        <v>-387200</v>
      </c>
    </row>
    <row r="11479" spans="1:7" x14ac:dyDescent="0.3">
      <c r="A11479" s="198">
        <v>1128469026</v>
      </c>
      <c r="B11479" s="192" t="s">
        <v>6123</v>
      </c>
      <c r="C11479" s="196">
        <v>-33200</v>
      </c>
      <c r="D11479" s="196">
        <v>0</v>
      </c>
      <c r="E11479" s="196">
        <v>0</v>
      </c>
      <c r="F11479" s="196">
        <v>0</v>
      </c>
      <c r="G11479" s="196">
        <v>-33200</v>
      </c>
    </row>
    <row r="11480" spans="1:7" x14ac:dyDescent="0.3">
      <c r="A11480" s="198">
        <v>680221889</v>
      </c>
      <c r="B11480" s="192" t="s">
        <v>6124</v>
      </c>
      <c r="C11480" s="196">
        <v>-449000</v>
      </c>
      <c r="D11480" s="196">
        <v>0</v>
      </c>
      <c r="E11480" s="196">
        <v>0</v>
      </c>
      <c r="F11480" s="196">
        <v>0</v>
      </c>
      <c r="G11480" s="196">
        <v>-449000</v>
      </c>
    </row>
    <row r="11481" spans="1:7" x14ac:dyDescent="0.3">
      <c r="A11481" s="198">
        <v>32475022</v>
      </c>
      <c r="B11481" s="192" t="s">
        <v>1513</v>
      </c>
      <c r="C11481" s="196">
        <v>-20301</v>
      </c>
      <c r="D11481" s="196">
        <v>0</v>
      </c>
      <c r="E11481" s="196">
        <v>0</v>
      </c>
      <c r="F11481" s="196">
        <v>0</v>
      </c>
      <c r="G11481" s="196">
        <v>-20301</v>
      </c>
    </row>
    <row r="11482" spans="1:7" x14ac:dyDescent="0.3">
      <c r="A11482" s="198">
        <v>32461229</v>
      </c>
      <c r="B11482" s="192" t="s">
        <v>1515</v>
      </c>
      <c r="C11482" s="196">
        <v>-161500</v>
      </c>
      <c r="D11482" s="196">
        <v>0</v>
      </c>
      <c r="E11482" s="196">
        <v>178000</v>
      </c>
      <c r="F11482" s="196">
        <v>-178000</v>
      </c>
      <c r="G11482" s="196">
        <v>-339500</v>
      </c>
    </row>
    <row r="11483" spans="1:7" x14ac:dyDescent="0.3">
      <c r="A11483" s="198">
        <v>1020317891</v>
      </c>
      <c r="B11483" s="192" t="s">
        <v>7093</v>
      </c>
      <c r="C11483" s="196">
        <v>-193000</v>
      </c>
      <c r="D11483" s="196">
        <v>0</v>
      </c>
      <c r="E11483" s="196">
        <v>0</v>
      </c>
      <c r="F11483" s="196">
        <v>0</v>
      </c>
      <c r="G11483" s="196">
        <v>-193000</v>
      </c>
    </row>
    <row r="11484" spans="1:7" x14ac:dyDescent="0.3">
      <c r="A11484" s="192" t="s">
        <v>1517</v>
      </c>
      <c r="B11484" s="192" t="s">
        <v>1518</v>
      </c>
      <c r="C11484" s="196">
        <v>-1</v>
      </c>
      <c r="D11484" s="196">
        <v>0</v>
      </c>
      <c r="E11484" s="196">
        <v>0</v>
      </c>
      <c r="F11484" s="196">
        <v>0</v>
      </c>
      <c r="G11484" s="196">
        <v>-1</v>
      </c>
    </row>
    <row r="11485" spans="1:7" x14ac:dyDescent="0.3">
      <c r="A11485" s="198">
        <v>567144116</v>
      </c>
      <c r="B11485" s="192" t="s">
        <v>6138</v>
      </c>
      <c r="C11485" s="196">
        <v>-357000</v>
      </c>
      <c r="D11485" s="196">
        <v>0</v>
      </c>
      <c r="E11485" s="196">
        <v>0</v>
      </c>
      <c r="F11485" s="196">
        <v>0</v>
      </c>
      <c r="G11485" s="196">
        <v>-357000</v>
      </c>
    </row>
    <row r="11486" spans="1:7" x14ac:dyDescent="0.3">
      <c r="A11486" s="198">
        <v>88228955</v>
      </c>
      <c r="B11486" s="192" t="s">
        <v>1529</v>
      </c>
      <c r="C11486" s="196">
        <v>-46000</v>
      </c>
      <c r="D11486" s="196">
        <v>0</v>
      </c>
      <c r="E11486" s="196">
        <v>46000</v>
      </c>
      <c r="F11486" s="196">
        <v>-46000</v>
      </c>
      <c r="G11486" s="196">
        <v>-92000</v>
      </c>
    </row>
    <row r="11487" spans="1:7" x14ac:dyDescent="0.3">
      <c r="A11487" s="198">
        <v>75071479</v>
      </c>
      <c r="B11487" s="192" t="s">
        <v>7333</v>
      </c>
      <c r="C11487" s="196">
        <v>-357000</v>
      </c>
      <c r="D11487" s="196">
        <v>0</v>
      </c>
      <c r="E11487" s="196">
        <v>0</v>
      </c>
      <c r="F11487" s="196">
        <v>0</v>
      </c>
      <c r="G11487" s="196">
        <v>-357000</v>
      </c>
    </row>
    <row r="11488" spans="1:7" x14ac:dyDescent="0.3">
      <c r="A11488" s="198">
        <v>15328620</v>
      </c>
      <c r="B11488" s="192" t="s">
        <v>6156</v>
      </c>
      <c r="C11488" s="196">
        <v>-112400</v>
      </c>
      <c r="D11488" s="196">
        <v>0</v>
      </c>
      <c r="E11488" s="196">
        <v>0</v>
      </c>
      <c r="F11488" s="196">
        <v>0</v>
      </c>
      <c r="G11488" s="196">
        <v>-112400</v>
      </c>
    </row>
    <row r="11489" spans="1:7" x14ac:dyDescent="0.3">
      <c r="A11489" s="198">
        <v>1032177939</v>
      </c>
      <c r="B11489" s="192" t="s">
        <v>6171</v>
      </c>
      <c r="C11489" s="196">
        <v>-42900</v>
      </c>
      <c r="D11489" s="196">
        <v>0</v>
      </c>
      <c r="E11489" s="196">
        <v>0</v>
      </c>
      <c r="F11489" s="196">
        <v>0</v>
      </c>
      <c r="G11489" s="196">
        <v>-42900</v>
      </c>
    </row>
    <row r="11490" spans="1:7" x14ac:dyDescent="0.3">
      <c r="A11490" s="198">
        <v>1039473567</v>
      </c>
      <c r="B11490" s="192" t="s">
        <v>1539</v>
      </c>
      <c r="C11490" s="196">
        <v>-315000</v>
      </c>
      <c r="D11490" s="196">
        <v>0</v>
      </c>
      <c r="E11490" s="196">
        <v>0</v>
      </c>
      <c r="F11490" s="196">
        <v>0</v>
      </c>
      <c r="G11490" s="196">
        <v>-315000</v>
      </c>
    </row>
    <row r="11491" spans="1:7" x14ac:dyDescent="0.3">
      <c r="A11491" s="198">
        <v>1214735806</v>
      </c>
      <c r="B11491" s="192" t="s">
        <v>1542</v>
      </c>
      <c r="C11491" s="196">
        <v>0</v>
      </c>
      <c r="D11491" s="196">
        <v>0</v>
      </c>
      <c r="E11491" s="196">
        <v>84300</v>
      </c>
      <c r="F11491" s="196">
        <v>-84300</v>
      </c>
      <c r="G11491" s="196">
        <v>-84300</v>
      </c>
    </row>
    <row r="11492" spans="1:7" x14ac:dyDescent="0.3">
      <c r="A11492" s="198">
        <v>1000411847</v>
      </c>
      <c r="B11492" s="192" t="s">
        <v>6178</v>
      </c>
      <c r="C11492" s="196">
        <v>-79200</v>
      </c>
      <c r="D11492" s="196">
        <v>0</v>
      </c>
      <c r="E11492" s="196">
        <v>0</v>
      </c>
      <c r="F11492" s="196">
        <v>0</v>
      </c>
      <c r="G11492" s="196">
        <v>-79200</v>
      </c>
    </row>
    <row r="11493" spans="1:7" x14ac:dyDescent="0.3">
      <c r="A11493" s="198">
        <v>1001420245</v>
      </c>
      <c r="B11493" s="192" t="s">
        <v>6183</v>
      </c>
      <c r="C11493" s="196">
        <v>-190000</v>
      </c>
      <c r="D11493" s="196">
        <v>0</v>
      </c>
      <c r="E11493" s="196">
        <v>0</v>
      </c>
      <c r="F11493" s="196">
        <v>0</v>
      </c>
      <c r="G11493" s="196">
        <v>-190000</v>
      </c>
    </row>
    <row r="11494" spans="1:7" x14ac:dyDescent="0.3">
      <c r="A11494" s="198">
        <v>1000535796</v>
      </c>
      <c r="B11494" s="192" t="s">
        <v>6184</v>
      </c>
      <c r="C11494" s="196">
        <v>-508000</v>
      </c>
      <c r="D11494" s="196">
        <v>0</v>
      </c>
      <c r="E11494" s="196">
        <v>0</v>
      </c>
      <c r="F11494" s="196">
        <v>0</v>
      </c>
      <c r="G11494" s="196">
        <v>-508000</v>
      </c>
    </row>
    <row r="11495" spans="1:7" x14ac:dyDescent="0.3">
      <c r="A11495" s="198">
        <v>1011390579</v>
      </c>
      <c r="B11495" s="192" t="s">
        <v>6189</v>
      </c>
      <c r="C11495" s="196">
        <v>-315000</v>
      </c>
      <c r="D11495" s="196">
        <v>0</v>
      </c>
      <c r="E11495" s="196">
        <v>0</v>
      </c>
      <c r="F11495" s="196">
        <v>0</v>
      </c>
      <c r="G11495" s="196">
        <v>-315000</v>
      </c>
    </row>
    <row r="11496" spans="1:7" x14ac:dyDescent="0.3">
      <c r="A11496" s="198">
        <v>1001237754</v>
      </c>
      <c r="B11496" s="192" t="s">
        <v>6198</v>
      </c>
      <c r="C11496" s="196">
        <v>-190000</v>
      </c>
      <c r="D11496" s="196">
        <v>0</v>
      </c>
      <c r="E11496" s="196">
        <v>0</v>
      </c>
      <c r="F11496" s="196">
        <v>0</v>
      </c>
      <c r="G11496" s="196">
        <v>-190000</v>
      </c>
    </row>
    <row r="11497" spans="1:7" x14ac:dyDescent="0.3">
      <c r="A11497" s="198">
        <v>22468138</v>
      </c>
      <c r="B11497" s="192" t="s">
        <v>6201</v>
      </c>
      <c r="C11497" s="196">
        <v>-50000</v>
      </c>
      <c r="D11497" s="196">
        <v>0</v>
      </c>
      <c r="E11497" s="196">
        <v>0</v>
      </c>
      <c r="F11497" s="196">
        <v>0</v>
      </c>
      <c r="G11497" s="196">
        <v>-50000</v>
      </c>
    </row>
    <row r="11498" spans="1:7" x14ac:dyDescent="0.3">
      <c r="A11498" s="198">
        <v>1128283031</v>
      </c>
      <c r="B11498" s="192" t="s">
        <v>1551</v>
      </c>
      <c r="C11498" s="196">
        <v>0</v>
      </c>
      <c r="D11498" s="196">
        <v>0</v>
      </c>
      <c r="E11498" s="196">
        <v>33200</v>
      </c>
      <c r="F11498" s="196">
        <v>-33200</v>
      </c>
      <c r="G11498" s="196">
        <v>-33200</v>
      </c>
    </row>
    <row r="11499" spans="1:7" x14ac:dyDescent="0.3">
      <c r="A11499" s="198">
        <v>1002133839</v>
      </c>
      <c r="B11499" s="192" t="s">
        <v>6204</v>
      </c>
      <c r="C11499" s="196">
        <v>-897000</v>
      </c>
      <c r="D11499" s="196">
        <v>0</v>
      </c>
      <c r="E11499" s="196">
        <v>0</v>
      </c>
      <c r="F11499" s="196">
        <v>0</v>
      </c>
      <c r="G11499" s="196">
        <v>-897000</v>
      </c>
    </row>
    <row r="11500" spans="1:7" x14ac:dyDescent="0.3">
      <c r="A11500" s="192" t="s">
        <v>1552</v>
      </c>
      <c r="B11500" s="192" t="s">
        <v>1553</v>
      </c>
      <c r="C11500" s="196">
        <v>0</v>
      </c>
      <c r="D11500" s="196">
        <v>115000</v>
      </c>
      <c r="E11500" s="196">
        <v>529000</v>
      </c>
      <c r="F11500" s="196">
        <v>-414000</v>
      </c>
      <c r="G11500" s="196">
        <v>-414000</v>
      </c>
    </row>
    <row r="11501" spans="1:7" x14ac:dyDescent="0.3">
      <c r="A11501" s="192" t="s">
        <v>6205</v>
      </c>
      <c r="B11501" s="192" t="s">
        <v>6206</v>
      </c>
      <c r="C11501" s="196">
        <v>-357000</v>
      </c>
      <c r="D11501" s="196">
        <v>0</v>
      </c>
      <c r="E11501" s="196">
        <v>0</v>
      </c>
      <c r="F11501" s="196">
        <v>0</v>
      </c>
      <c r="G11501" s="196">
        <v>-357000</v>
      </c>
    </row>
    <row r="11502" spans="1:7" x14ac:dyDescent="0.3">
      <c r="A11502" s="198">
        <v>1042064548</v>
      </c>
      <c r="B11502" s="192" t="s">
        <v>6208</v>
      </c>
      <c r="C11502" s="196">
        <v>-84400</v>
      </c>
      <c r="D11502" s="196">
        <v>0</v>
      </c>
      <c r="E11502" s="196">
        <v>0</v>
      </c>
      <c r="F11502" s="196">
        <v>0</v>
      </c>
      <c r="G11502" s="196">
        <v>-84400</v>
      </c>
    </row>
    <row r="11503" spans="1:7" x14ac:dyDescent="0.3">
      <c r="A11503" s="198">
        <v>1033653901</v>
      </c>
      <c r="B11503" s="192" t="s">
        <v>6210</v>
      </c>
      <c r="C11503" s="196">
        <v>-194300</v>
      </c>
      <c r="D11503" s="196">
        <v>0</v>
      </c>
      <c r="E11503" s="196">
        <v>0</v>
      </c>
      <c r="F11503" s="196">
        <v>0</v>
      </c>
      <c r="G11503" s="196">
        <v>-194300</v>
      </c>
    </row>
    <row r="11504" spans="1:7" x14ac:dyDescent="0.3">
      <c r="A11504" s="198">
        <v>1040751355</v>
      </c>
      <c r="B11504" s="192" t="s">
        <v>6211</v>
      </c>
      <c r="C11504" s="196">
        <v>-200000</v>
      </c>
      <c r="D11504" s="196">
        <v>0</v>
      </c>
      <c r="E11504" s="196">
        <v>0</v>
      </c>
      <c r="F11504" s="196">
        <v>0</v>
      </c>
      <c r="G11504" s="196">
        <v>-200000</v>
      </c>
    </row>
    <row r="11505" spans="1:7" x14ac:dyDescent="0.3">
      <c r="A11505" s="198">
        <v>1017141944</v>
      </c>
      <c r="B11505" s="192" t="s">
        <v>6212</v>
      </c>
      <c r="C11505" s="196">
        <v>-401500</v>
      </c>
      <c r="D11505" s="196">
        <v>0</v>
      </c>
      <c r="E11505" s="196">
        <v>0</v>
      </c>
      <c r="F11505" s="196">
        <v>0</v>
      </c>
      <c r="G11505" s="196">
        <v>-401500</v>
      </c>
    </row>
    <row r="11506" spans="1:7" x14ac:dyDescent="0.3">
      <c r="A11506" s="198">
        <v>1007560887</v>
      </c>
      <c r="B11506" s="192" t="s">
        <v>6213</v>
      </c>
      <c r="C11506" s="196">
        <v>-285600</v>
      </c>
      <c r="D11506" s="196">
        <v>0</v>
      </c>
      <c r="E11506" s="196">
        <v>0</v>
      </c>
      <c r="F11506" s="196">
        <v>0</v>
      </c>
      <c r="G11506" s="196">
        <v>-285600</v>
      </c>
    </row>
    <row r="11507" spans="1:7" x14ac:dyDescent="0.3">
      <c r="A11507" s="198">
        <v>501264</v>
      </c>
      <c r="B11507" s="192" t="s">
        <v>7115</v>
      </c>
      <c r="C11507" s="196">
        <v>-133600</v>
      </c>
      <c r="D11507" s="196">
        <v>0</v>
      </c>
      <c r="E11507" s="196">
        <v>0</v>
      </c>
      <c r="F11507" s="196">
        <v>0</v>
      </c>
      <c r="G11507" s="196">
        <v>-133600</v>
      </c>
    </row>
    <row r="11508" spans="1:7" x14ac:dyDescent="0.3">
      <c r="A11508" s="198">
        <v>98716926</v>
      </c>
      <c r="B11508" s="192" t="s">
        <v>6217</v>
      </c>
      <c r="C11508" s="196">
        <v>-101500</v>
      </c>
      <c r="D11508" s="196">
        <v>0</v>
      </c>
      <c r="E11508" s="196">
        <v>0</v>
      </c>
      <c r="F11508" s="196">
        <v>0</v>
      </c>
      <c r="G11508" s="196">
        <v>-101500</v>
      </c>
    </row>
    <row r="11509" spans="1:7" x14ac:dyDescent="0.3">
      <c r="A11509" s="198">
        <v>73143179</v>
      </c>
      <c r="B11509" s="192" t="s">
        <v>6218</v>
      </c>
      <c r="C11509" s="196">
        <v>-43000</v>
      </c>
      <c r="D11509" s="196">
        <v>0</v>
      </c>
      <c r="E11509" s="196">
        <v>0</v>
      </c>
      <c r="F11509" s="196">
        <v>0</v>
      </c>
      <c r="G11509" s="196">
        <v>-43000</v>
      </c>
    </row>
    <row r="11510" spans="1:7" x14ac:dyDescent="0.3">
      <c r="A11510" s="198">
        <v>75087380</v>
      </c>
      <c r="B11510" s="192" t="s">
        <v>6220</v>
      </c>
      <c r="C11510" s="196">
        <v>-46000</v>
      </c>
      <c r="D11510" s="196">
        <v>0</v>
      </c>
      <c r="E11510" s="196">
        <v>0</v>
      </c>
      <c r="F11510" s="196">
        <v>0</v>
      </c>
      <c r="G11510" s="196">
        <v>-46000</v>
      </c>
    </row>
    <row r="11511" spans="1:7" x14ac:dyDescent="0.3">
      <c r="A11511" s="198">
        <v>17974115</v>
      </c>
      <c r="B11511" s="192" t="s">
        <v>6221</v>
      </c>
      <c r="C11511" s="196">
        <v>-357000</v>
      </c>
      <c r="D11511" s="196">
        <v>0</v>
      </c>
      <c r="E11511" s="196">
        <v>0</v>
      </c>
      <c r="F11511" s="196">
        <v>0</v>
      </c>
      <c r="G11511" s="196">
        <v>-357000</v>
      </c>
    </row>
    <row r="11512" spans="1:7" x14ac:dyDescent="0.3">
      <c r="A11512" s="198">
        <v>70547299</v>
      </c>
      <c r="B11512" s="192" t="s">
        <v>7334</v>
      </c>
      <c r="C11512" s="196">
        <v>-79300</v>
      </c>
      <c r="D11512" s="196">
        <v>0</v>
      </c>
      <c r="E11512" s="196">
        <v>0</v>
      </c>
      <c r="F11512" s="196">
        <v>0</v>
      </c>
      <c r="G11512" s="196">
        <v>-79300</v>
      </c>
    </row>
    <row r="11513" spans="1:7" x14ac:dyDescent="0.3">
      <c r="A11513" s="198">
        <v>71780788</v>
      </c>
      <c r="B11513" s="192" t="s">
        <v>7117</v>
      </c>
      <c r="C11513" s="196">
        <v>-33200</v>
      </c>
      <c r="D11513" s="196">
        <v>0</v>
      </c>
      <c r="E11513" s="196">
        <v>0</v>
      </c>
      <c r="F11513" s="196">
        <v>0</v>
      </c>
      <c r="G11513" s="196">
        <v>-33200</v>
      </c>
    </row>
    <row r="11514" spans="1:7" x14ac:dyDescent="0.3">
      <c r="A11514" s="198">
        <v>7612591</v>
      </c>
      <c r="B11514" s="192" t="s">
        <v>1562</v>
      </c>
      <c r="C11514" s="196">
        <v>0</v>
      </c>
      <c r="D11514" s="196">
        <v>0</v>
      </c>
      <c r="E11514" s="196">
        <v>752600</v>
      </c>
      <c r="F11514" s="196">
        <v>-752600</v>
      </c>
      <c r="G11514" s="196">
        <v>-752600</v>
      </c>
    </row>
    <row r="11515" spans="1:7" x14ac:dyDescent="0.3">
      <c r="A11515" s="192" t="s">
        <v>6227</v>
      </c>
      <c r="B11515" s="192" t="s">
        <v>6228</v>
      </c>
      <c r="C11515" s="196">
        <v>-46000</v>
      </c>
      <c r="D11515" s="196">
        <v>0</v>
      </c>
      <c r="E11515" s="196">
        <v>0</v>
      </c>
      <c r="F11515" s="196">
        <v>0</v>
      </c>
      <c r="G11515" s="196">
        <v>-46000</v>
      </c>
    </row>
    <row r="11516" spans="1:7" x14ac:dyDescent="0.3">
      <c r="A11516" s="198">
        <v>42969030</v>
      </c>
      <c r="B11516" s="192" t="s">
        <v>6229</v>
      </c>
      <c r="C11516" s="196">
        <v>-121800</v>
      </c>
      <c r="D11516" s="196">
        <v>0</v>
      </c>
      <c r="E11516" s="196">
        <v>0</v>
      </c>
      <c r="F11516" s="196">
        <v>0</v>
      </c>
      <c r="G11516" s="196">
        <v>-121800</v>
      </c>
    </row>
    <row r="11517" spans="1:7" x14ac:dyDescent="0.3">
      <c r="A11517" s="198">
        <v>3489146</v>
      </c>
      <c r="B11517" s="192" t="s">
        <v>1563</v>
      </c>
      <c r="C11517" s="196">
        <v>-75650</v>
      </c>
      <c r="D11517" s="196">
        <v>0</v>
      </c>
      <c r="E11517" s="196">
        <v>0</v>
      </c>
      <c r="F11517" s="196">
        <v>0</v>
      </c>
      <c r="G11517" s="196">
        <v>-75650</v>
      </c>
    </row>
    <row r="11518" spans="1:7" x14ac:dyDescent="0.3">
      <c r="A11518" s="198">
        <v>43532751</v>
      </c>
      <c r="B11518" s="192" t="s">
        <v>7335</v>
      </c>
      <c r="C11518" s="196">
        <v>-30900</v>
      </c>
      <c r="D11518" s="196">
        <v>0</v>
      </c>
      <c r="E11518" s="196">
        <v>0</v>
      </c>
      <c r="F11518" s="196">
        <v>0</v>
      </c>
      <c r="G11518" s="196">
        <v>-30900</v>
      </c>
    </row>
    <row r="11519" spans="1:7" x14ac:dyDescent="0.3">
      <c r="A11519" s="198">
        <v>1038101569</v>
      </c>
      <c r="B11519" s="192" t="s">
        <v>1564</v>
      </c>
      <c r="C11519" s="196">
        <v>-392300</v>
      </c>
      <c r="D11519" s="196">
        <v>0</v>
      </c>
      <c r="E11519" s="196">
        <v>0</v>
      </c>
      <c r="F11519" s="196">
        <v>0</v>
      </c>
      <c r="G11519" s="196">
        <v>-392300</v>
      </c>
    </row>
    <row r="11520" spans="1:7" x14ac:dyDescent="0.3">
      <c r="A11520" s="198">
        <v>1105785971</v>
      </c>
      <c r="B11520" s="192" t="s">
        <v>7120</v>
      </c>
      <c r="C11520" s="196">
        <v>-347000</v>
      </c>
      <c r="D11520" s="196">
        <v>0</v>
      </c>
      <c r="E11520" s="196">
        <v>0</v>
      </c>
      <c r="F11520" s="196">
        <v>0</v>
      </c>
      <c r="G11520" s="196">
        <v>-347000</v>
      </c>
    </row>
    <row r="11521" spans="1:7" x14ac:dyDescent="0.3">
      <c r="A11521" s="198">
        <v>356021</v>
      </c>
      <c r="B11521" s="192" t="s">
        <v>1566</v>
      </c>
      <c r="C11521" s="196">
        <v>-258000</v>
      </c>
      <c r="D11521" s="196">
        <v>0</v>
      </c>
      <c r="E11521" s="196">
        <v>0</v>
      </c>
      <c r="F11521" s="196">
        <v>0</v>
      </c>
      <c r="G11521" s="196">
        <v>-258000</v>
      </c>
    </row>
    <row r="11522" spans="1:7" x14ac:dyDescent="0.3">
      <c r="A11522" s="198">
        <v>13816360</v>
      </c>
      <c r="B11522" s="192" t="s">
        <v>6236</v>
      </c>
      <c r="C11522" s="196">
        <v>-184400</v>
      </c>
      <c r="D11522" s="196">
        <v>0</v>
      </c>
      <c r="E11522" s="196">
        <v>0</v>
      </c>
      <c r="F11522" s="196">
        <v>0</v>
      </c>
      <c r="G11522" s="196">
        <v>-184400</v>
      </c>
    </row>
    <row r="11523" spans="1:7" x14ac:dyDescent="0.3">
      <c r="A11523" s="198">
        <v>71362408</v>
      </c>
      <c r="B11523" s="192" t="s">
        <v>7127</v>
      </c>
      <c r="C11523" s="196">
        <v>-175000</v>
      </c>
      <c r="D11523" s="196">
        <v>0</v>
      </c>
      <c r="E11523" s="196">
        <v>0</v>
      </c>
      <c r="F11523" s="196">
        <v>0</v>
      </c>
      <c r="G11523" s="196">
        <v>-175000</v>
      </c>
    </row>
    <row r="11524" spans="1:7" x14ac:dyDescent="0.3">
      <c r="A11524" s="198">
        <v>98539110</v>
      </c>
      <c r="B11524" s="192" t="s">
        <v>1569</v>
      </c>
      <c r="C11524" s="196">
        <v>0</v>
      </c>
      <c r="D11524" s="196">
        <v>0</v>
      </c>
      <c r="E11524" s="196">
        <v>46100</v>
      </c>
      <c r="F11524" s="196">
        <v>-46100</v>
      </c>
      <c r="G11524" s="196">
        <v>-46100</v>
      </c>
    </row>
    <row r="11525" spans="1:7" x14ac:dyDescent="0.3">
      <c r="A11525" s="192" t="s">
        <v>7336</v>
      </c>
      <c r="B11525" s="192" t="s">
        <v>7337</v>
      </c>
      <c r="C11525" s="196">
        <v>-193000</v>
      </c>
      <c r="D11525" s="196">
        <v>0</v>
      </c>
      <c r="E11525" s="196">
        <v>0</v>
      </c>
      <c r="F11525" s="196">
        <v>0</v>
      </c>
      <c r="G11525" s="196">
        <v>-193000</v>
      </c>
    </row>
    <row r="11526" spans="1:7" x14ac:dyDescent="0.3">
      <c r="A11526" s="192" t="s">
        <v>6243</v>
      </c>
      <c r="B11526" s="192" t="s">
        <v>6244</v>
      </c>
      <c r="C11526" s="196">
        <v>-258000</v>
      </c>
      <c r="D11526" s="196">
        <v>0</v>
      </c>
      <c r="E11526" s="196">
        <v>0</v>
      </c>
      <c r="F11526" s="196">
        <v>0</v>
      </c>
      <c r="G11526" s="196">
        <v>-258000</v>
      </c>
    </row>
    <row r="11527" spans="1:7" x14ac:dyDescent="0.3">
      <c r="A11527" s="198">
        <v>8426819</v>
      </c>
      <c r="B11527" s="192" t="s">
        <v>6246</v>
      </c>
      <c r="C11527" s="196">
        <v>-79200</v>
      </c>
      <c r="D11527" s="196">
        <v>0</v>
      </c>
      <c r="E11527" s="196">
        <v>0</v>
      </c>
      <c r="F11527" s="196">
        <v>0</v>
      </c>
      <c r="G11527" s="196">
        <v>-79200</v>
      </c>
    </row>
    <row r="11528" spans="1:7" x14ac:dyDescent="0.3">
      <c r="A11528" s="198">
        <v>8732415</v>
      </c>
      <c r="B11528" s="192" t="s">
        <v>6250</v>
      </c>
      <c r="C11528" s="196">
        <v>-255000</v>
      </c>
      <c r="D11528" s="196">
        <v>0</v>
      </c>
      <c r="E11528" s="196">
        <v>0</v>
      </c>
      <c r="F11528" s="196">
        <v>0</v>
      </c>
      <c r="G11528" s="196">
        <v>-255000</v>
      </c>
    </row>
    <row r="11529" spans="1:7" x14ac:dyDescent="0.3">
      <c r="A11529" s="198">
        <v>12724722</v>
      </c>
      <c r="B11529" s="192" t="s">
        <v>1571</v>
      </c>
      <c r="C11529" s="196">
        <v>-375601</v>
      </c>
      <c r="D11529" s="196">
        <v>0</v>
      </c>
      <c r="E11529" s="196">
        <v>0</v>
      </c>
      <c r="F11529" s="196">
        <v>0</v>
      </c>
      <c r="G11529" s="196">
        <v>-375601</v>
      </c>
    </row>
    <row r="11530" spans="1:7" x14ac:dyDescent="0.3">
      <c r="A11530" s="198">
        <v>1067845400</v>
      </c>
      <c r="B11530" s="192" t="s">
        <v>1573</v>
      </c>
      <c r="C11530" s="196">
        <v>-193000</v>
      </c>
      <c r="D11530" s="196">
        <v>0</v>
      </c>
      <c r="E11530" s="196">
        <v>0</v>
      </c>
      <c r="F11530" s="196">
        <v>0</v>
      </c>
      <c r="G11530" s="196">
        <v>-193000</v>
      </c>
    </row>
    <row r="11531" spans="1:7" x14ac:dyDescent="0.3">
      <c r="A11531" s="198">
        <v>152912277</v>
      </c>
      <c r="B11531" s="192" t="s">
        <v>6252</v>
      </c>
      <c r="C11531" s="196">
        <v>-442200</v>
      </c>
      <c r="D11531" s="196">
        <v>0</v>
      </c>
      <c r="E11531" s="196">
        <v>0</v>
      </c>
      <c r="F11531" s="196">
        <v>0</v>
      </c>
      <c r="G11531" s="196">
        <v>-442200</v>
      </c>
    </row>
    <row r="11532" spans="1:7" x14ac:dyDescent="0.3">
      <c r="A11532" s="192" t="s">
        <v>6254</v>
      </c>
      <c r="B11532" s="192" t="s">
        <v>6255</v>
      </c>
      <c r="C11532" s="196">
        <v>-987000</v>
      </c>
      <c r="D11532" s="196">
        <v>0</v>
      </c>
      <c r="E11532" s="196">
        <v>0</v>
      </c>
      <c r="F11532" s="196">
        <v>0</v>
      </c>
      <c r="G11532" s="196">
        <v>-987000</v>
      </c>
    </row>
    <row r="11533" spans="1:7" x14ac:dyDescent="0.3">
      <c r="A11533" s="198">
        <v>1040742687</v>
      </c>
      <c r="B11533" s="192" t="s">
        <v>6256</v>
      </c>
      <c r="C11533" s="196">
        <v>-540000</v>
      </c>
      <c r="D11533" s="196">
        <v>0</v>
      </c>
      <c r="E11533" s="196">
        <v>0</v>
      </c>
      <c r="F11533" s="196">
        <v>0</v>
      </c>
      <c r="G11533" s="196">
        <v>-540000</v>
      </c>
    </row>
    <row r="11534" spans="1:7" x14ac:dyDescent="0.3">
      <c r="A11534" s="198">
        <v>1003305209</v>
      </c>
      <c r="B11534" s="192" t="s">
        <v>6258</v>
      </c>
      <c r="C11534" s="196">
        <v>-258000</v>
      </c>
      <c r="D11534" s="196">
        <v>0</v>
      </c>
      <c r="E11534" s="196">
        <v>0</v>
      </c>
      <c r="F11534" s="196">
        <v>0</v>
      </c>
      <c r="G11534" s="196">
        <v>-258000</v>
      </c>
    </row>
    <row r="11535" spans="1:7" x14ac:dyDescent="0.3">
      <c r="A11535" s="198">
        <v>1045026461</v>
      </c>
      <c r="B11535" s="192" t="s">
        <v>1576</v>
      </c>
      <c r="C11535" s="196">
        <v>0</v>
      </c>
      <c r="D11535" s="196">
        <v>0</v>
      </c>
      <c r="E11535" s="196">
        <v>46000</v>
      </c>
      <c r="F11535" s="196">
        <v>-46000</v>
      </c>
      <c r="G11535" s="196">
        <v>-46000</v>
      </c>
    </row>
    <row r="11536" spans="1:7" x14ac:dyDescent="0.3">
      <c r="A11536" s="198">
        <v>79587818</v>
      </c>
      <c r="B11536" s="192" t="s">
        <v>6260</v>
      </c>
      <c r="C11536" s="196">
        <v>-133600</v>
      </c>
      <c r="D11536" s="196">
        <v>0</v>
      </c>
      <c r="E11536" s="196">
        <v>0</v>
      </c>
      <c r="F11536" s="196">
        <v>0</v>
      </c>
      <c r="G11536" s="196">
        <v>-133600</v>
      </c>
    </row>
    <row r="11537" spans="1:7" x14ac:dyDescent="0.3">
      <c r="A11537" s="192" t="s">
        <v>6266</v>
      </c>
      <c r="B11537" s="192" t="s">
        <v>6267</v>
      </c>
      <c r="C11537" s="196">
        <v>-258000</v>
      </c>
      <c r="D11537" s="196">
        <v>0</v>
      </c>
      <c r="E11537" s="196">
        <v>0</v>
      </c>
      <c r="F11537" s="196">
        <v>0</v>
      </c>
      <c r="G11537" s="196">
        <v>-258000</v>
      </c>
    </row>
    <row r="11538" spans="1:7" x14ac:dyDescent="0.3">
      <c r="A11538" s="198">
        <v>43754530</v>
      </c>
      <c r="B11538" s="192" t="s">
        <v>6272</v>
      </c>
      <c r="C11538" s="196">
        <v>-79200</v>
      </c>
      <c r="D11538" s="196">
        <v>0</v>
      </c>
      <c r="E11538" s="196">
        <v>0</v>
      </c>
      <c r="F11538" s="196">
        <v>0</v>
      </c>
      <c r="G11538" s="196">
        <v>-79200</v>
      </c>
    </row>
    <row r="11539" spans="1:7" x14ac:dyDescent="0.3">
      <c r="A11539" s="198">
        <v>43838140</v>
      </c>
      <c r="B11539" s="192" t="s">
        <v>7137</v>
      </c>
      <c r="C11539" s="196">
        <v>-81000</v>
      </c>
      <c r="D11539" s="196">
        <v>0</v>
      </c>
      <c r="E11539" s="196">
        <v>0</v>
      </c>
      <c r="F11539" s="196">
        <v>0</v>
      </c>
      <c r="G11539" s="196">
        <v>-81000</v>
      </c>
    </row>
    <row r="11540" spans="1:7" x14ac:dyDescent="0.3">
      <c r="A11540" s="198">
        <v>1040320079</v>
      </c>
      <c r="B11540" s="192" t="s">
        <v>6274</v>
      </c>
      <c r="C11540" s="196">
        <v>-299000</v>
      </c>
      <c r="D11540" s="196">
        <v>0</v>
      </c>
      <c r="E11540" s="196">
        <v>0</v>
      </c>
      <c r="F11540" s="196">
        <v>0</v>
      </c>
      <c r="G11540" s="196">
        <v>-299000</v>
      </c>
    </row>
    <row r="11541" spans="1:7" x14ac:dyDescent="0.3">
      <c r="A11541" s="198">
        <v>39619563</v>
      </c>
      <c r="B11541" s="192" t="s">
        <v>1578</v>
      </c>
      <c r="C11541" s="196">
        <v>0</v>
      </c>
      <c r="D11541" s="196">
        <v>0</v>
      </c>
      <c r="E11541" s="196">
        <v>357000</v>
      </c>
      <c r="F11541" s="196">
        <v>-357000</v>
      </c>
      <c r="G11541" s="196">
        <v>-357000</v>
      </c>
    </row>
    <row r="11542" spans="1:7" x14ac:dyDescent="0.3">
      <c r="A11542" s="198">
        <v>1152712932</v>
      </c>
      <c r="B11542" s="192" t="s">
        <v>1579</v>
      </c>
      <c r="C11542" s="196">
        <v>0</v>
      </c>
      <c r="D11542" s="196">
        <v>0</v>
      </c>
      <c r="E11542" s="196">
        <v>90000</v>
      </c>
      <c r="F11542" s="196">
        <v>-90000</v>
      </c>
      <c r="G11542" s="196">
        <v>-90000</v>
      </c>
    </row>
    <row r="11543" spans="1:7" x14ac:dyDescent="0.3">
      <c r="A11543" s="198">
        <v>1017270884</v>
      </c>
      <c r="B11543" s="192" t="s">
        <v>1580</v>
      </c>
      <c r="C11543" s="196">
        <v>0</v>
      </c>
      <c r="D11543" s="196">
        <v>0</v>
      </c>
      <c r="E11543" s="196">
        <v>190000</v>
      </c>
      <c r="F11543" s="196">
        <v>-190000</v>
      </c>
      <c r="G11543" s="196">
        <v>-190000</v>
      </c>
    </row>
    <row r="11544" spans="1:7" x14ac:dyDescent="0.3">
      <c r="A11544" s="198">
        <v>43729735</v>
      </c>
      <c r="B11544" s="192" t="s">
        <v>6281</v>
      </c>
      <c r="C11544" s="196">
        <v>-46000</v>
      </c>
      <c r="D11544" s="196">
        <v>0</v>
      </c>
      <c r="E11544" s="196">
        <v>0</v>
      </c>
      <c r="F11544" s="196">
        <v>0</v>
      </c>
      <c r="G11544" s="196">
        <v>-46000</v>
      </c>
    </row>
    <row r="11545" spans="1:7" x14ac:dyDescent="0.3">
      <c r="A11545" s="198">
        <v>1000403360</v>
      </c>
      <c r="B11545" s="192" t="s">
        <v>1688</v>
      </c>
      <c r="C11545" s="196">
        <v>-315000</v>
      </c>
      <c r="D11545" s="196">
        <v>0</v>
      </c>
      <c r="E11545" s="196">
        <v>0</v>
      </c>
      <c r="F11545" s="196">
        <v>0</v>
      </c>
      <c r="G11545" s="196">
        <v>-315000</v>
      </c>
    </row>
    <row r="11546" spans="1:7" x14ac:dyDescent="0.3">
      <c r="A11546" s="198">
        <v>1020423559</v>
      </c>
      <c r="B11546" s="192" t="s">
        <v>1582</v>
      </c>
      <c r="C11546" s="196">
        <v>0</v>
      </c>
      <c r="D11546" s="196">
        <v>96500</v>
      </c>
      <c r="E11546" s="196">
        <v>289500</v>
      </c>
      <c r="F11546" s="196">
        <v>-193000</v>
      </c>
      <c r="G11546" s="196">
        <v>-193000</v>
      </c>
    </row>
    <row r="11547" spans="1:7" x14ac:dyDescent="0.3">
      <c r="A11547" s="198">
        <v>1056774778</v>
      </c>
      <c r="B11547" s="192" t="s">
        <v>1583</v>
      </c>
      <c r="C11547" s="196">
        <v>-1</v>
      </c>
      <c r="D11547" s="196">
        <v>0</v>
      </c>
      <c r="E11547" s="196">
        <v>0</v>
      </c>
      <c r="F11547" s="196">
        <v>0</v>
      </c>
      <c r="G11547" s="196">
        <v>-1</v>
      </c>
    </row>
    <row r="11548" spans="1:7" x14ac:dyDescent="0.3">
      <c r="A11548" s="198">
        <v>1121825664</v>
      </c>
      <c r="B11548" s="192" t="s">
        <v>1584</v>
      </c>
      <c r="C11548" s="196">
        <v>-218850</v>
      </c>
      <c r="D11548" s="196">
        <v>0</v>
      </c>
      <c r="E11548" s="196">
        <v>0</v>
      </c>
      <c r="F11548" s="196">
        <v>0</v>
      </c>
      <c r="G11548" s="196">
        <v>-218850</v>
      </c>
    </row>
    <row r="11549" spans="1:7" x14ac:dyDescent="0.3">
      <c r="A11549" s="198">
        <v>1036616447</v>
      </c>
      <c r="B11549" s="192" t="s">
        <v>7338</v>
      </c>
      <c r="C11549" s="196">
        <v>-165000</v>
      </c>
      <c r="D11549" s="196">
        <v>0</v>
      </c>
      <c r="E11549" s="196">
        <v>0</v>
      </c>
      <c r="F11549" s="196">
        <v>0</v>
      </c>
      <c r="G11549" s="196">
        <v>-165000</v>
      </c>
    </row>
    <row r="11550" spans="1:7" x14ac:dyDescent="0.3">
      <c r="A11550" s="198">
        <v>43400152</v>
      </c>
      <c r="B11550" s="192" t="s">
        <v>6288</v>
      </c>
      <c r="C11550" s="196">
        <v>-82800</v>
      </c>
      <c r="D11550" s="196">
        <v>0</v>
      </c>
      <c r="E11550" s="196">
        <v>0</v>
      </c>
      <c r="F11550" s="196">
        <v>0</v>
      </c>
      <c r="G11550" s="196">
        <v>-82800</v>
      </c>
    </row>
    <row r="11551" spans="1:7" x14ac:dyDescent="0.3">
      <c r="A11551" s="198">
        <v>1152207991</v>
      </c>
      <c r="B11551" s="192" t="s">
        <v>6290</v>
      </c>
      <c r="C11551" s="196">
        <v>-383000</v>
      </c>
      <c r="D11551" s="196">
        <v>0</v>
      </c>
      <c r="E11551" s="196">
        <v>0</v>
      </c>
      <c r="F11551" s="196">
        <v>0</v>
      </c>
      <c r="G11551" s="196">
        <v>-383000</v>
      </c>
    </row>
    <row r="11552" spans="1:7" x14ac:dyDescent="0.3">
      <c r="A11552" s="198">
        <v>1128459292</v>
      </c>
      <c r="B11552" s="192" t="s">
        <v>7146</v>
      </c>
      <c r="C11552" s="196">
        <v>-380000</v>
      </c>
      <c r="D11552" s="196">
        <v>0</v>
      </c>
      <c r="E11552" s="196">
        <v>0</v>
      </c>
      <c r="F11552" s="196">
        <v>0</v>
      </c>
      <c r="G11552" s="196">
        <v>-380000</v>
      </c>
    </row>
    <row r="11553" spans="1:7" x14ac:dyDescent="0.3">
      <c r="A11553" s="198">
        <v>1214740200</v>
      </c>
      <c r="B11553" s="192" t="s">
        <v>7150</v>
      </c>
      <c r="C11553" s="196">
        <v>-193000</v>
      </c>
      <c r="D11553" s="196">
        <v>0</v>
      </c>
      <c r="E11553" s="196">
        <v>0</v>
      </c>
      <c r="F11553" s="196">
        <v>0</v>
      </c>
      <c r="G11553" s="196">
        <v>-193000</v>
      </c>
    </row>
    <row r="11554" spans="1:7" x14ac:dyDescent="0.3">
      <c r="A11554" s="198">
        <v>1020404630</v>
      </c>
      <c r="B11554" s="192" t="s">
        <v>6295</v>
      </c>
      <c r="C11554" s="196">
        <v>-315000</v>
      </c>
      <c r="D11554" s="196">
        <v>0</v>
      </c>
      <c r="E11554" s="196">
        <v>0</v>
      </c>
      <c r="F11554" s="196">
        <v>0</v>
      </c>
      <c r="G11554" s="196">
        <v>-315000</v>
      </c>
    </row>
    <row r="11555" spans="1:7" x14ac:dyDescent="0.3">
      <c r="A11555" s="198">
        <v>1001443415</v>
      </c>
      <c r="B11555" s="192" t="s">
        <v>1588</v>
      </c>
      <c r="C11555" s="196">
        <v>0</v>
      </c>
      <c r="D11555" s="196">
        <v>0</v>
      </c>
      <c r="E11555" s="196">
        <v>165000</v>
      </c>
      <c r="F11555" s="196">
        <v>-165000</v>
      </c>
      <c r="G11555" s="196">
        <v>-165000</v>
      </c>
    </row>
    <row r="11556" spans="1:7" x14ac:dyDescent="0.3">
      <c r="A11556" s="198">
        <v>1076381032</v>
      </c>
      <c r="B11556" s="192" t="s">
        <v>7339</v>
      </c>
      <c r="C11556" s="196">
        <v>-347000</v>
      </c>
      <c r="D11556" s="196">
        <v>0</v>
      </c>
      <c r="E11556" s="196">
        <v>0</v>
      </c>
      <c r="F11556" s="196">
        <v>0</v>
      </c>
      <c r="G11556" s="196">
        <v>-347000</v>
      </c>
    </row>
    <row r="11557" spans="1:7" x14ac:dyDescent="0.3">
      <c r="A11557" s="198">
        <v>1017153165</v>
      </c>
      <c r="B11557" s="192" t="s">
        <v>6297</v>
      </c>
      <c r="C11557" s="196">
        <v>-315000</v>
      </c>
      <c r="D11557" s="196">
        <v>0</v>
      </c>
      <c r="E11557" s="196">
        <v>0</v>
      </c>
      <c r="F11557" s="196">
        <v>0</v>
      </c>
      <c r="G11557" s="196">
        <v>-315000</v>
      </c>
    </row>
    <row r="11558" spans="1:7" x14ac:dyDescent="0.3">
      <c r="A11558" s="198">
        <v>1037666529</v>
      </c>
      <c r="B11558" s="192" t="s">
        <v>6301</v>
      </c>
      <c r="C11558" s="196">
        <v>-305000</v>
      </c>
      <c r="D11558" s="196">
        <v>0</v>
      </c>
      <c r="E11558" s="196">
        <v>0</v>
      </c>
      <c r="F11558" s="196">
        <v>0</v>
      </c>
      <c r="G11558" s="196">
        <v>-305000</v>
      </c>
    </row>
    <row r="11559" spans="1:7" x14ac:dyDescent="0.3">
      <c r="A11559" s="198">
        <v>1143386639</v>
      </c>
      <c r="B11559" s="192" t="s">
        <v>7340</v>
      </c>
      <c r="C11559" s="196">
        <v>-96000</v>
      </c>
      <c r="D11559" s="196">
        <v>0</v>
      </c>
      <c r="E11559" s="196">
        <v>0</v>
      </c>
      <c r="F11559" s="196">
        <v>0</v>
      </c>
      <c r="G11559" s="196">
        <v>-96000</v>
      </c>
    </row>
    <row r="11560" spans="1:7" x14ac:dyDescent="0.3">
      <c r="A11560" s="198">
        <v>8672674</v>
      </c>
      <c r="B11560" s="192" t="s">
        <v>1594</v>
      </c>
      <c r="C11560" s="196">
        <v>0</v>
      </c>
      <c r="D11560" s="196">
        <v>0</v>
      </c>
      <c r="E11560" s="196">
        <v>40600</v>
      </c>
      <c r="F11560" s="196">
        <v>-40600</v>
      </c>
      <c r="G11560" s="196">
        <v>-40600</v>
      </c>
    </row>
    <row r="11561" spans="1:7" x14ac:dyDescent="0.3">
      <c r="A11561" s="198">
        <v>1128456287</v>
      </c>
      <c r="B11561" s="192" t="s">
        <v>6302</v>
      </c>
      <c r="C11561" s="196">
        <v>-347000</v>
      </c>
      <c r="D11561" s="196">
        <v>0</v>
      </c>
      <c r="E11561" s="196">
        <v>0</v>
      </c>
      <c r="F11561" s="196">
        <v>0</v>
      </c>
      <c r="G11561" s="196">
        <v>-347000</v>
      </c>
    </row>
    <row r="11562" spans="1:7" x14ac:dyDescent="0.3">
      <c r="A11562" s="198">
        <v>31472220</v>
      </c>
      <c r="B11562" s="192" t="s">
        <v>1595</v>
      </c>
      <c r="C11562" s="196">
        <v>0</v>
      </c>
      <c r="D11562" s="196">
        <v>0</v>
      </c>
      <c r="E11562" s="196">
        <v>79300</v>
      </c>
      <c r="F11562" s="196">
        <v>-79300</v>
      </c>
      <c r="G11562" s="196">
        <v>-79300</v>
      </c>
    </row>
    <row r="11563" spans="1:7" x14ac:dyDescent="0.3">
      <c r="A11563" s="198">
        <v>43015271</v>
      </c>
      <c r="B11563" s="192" t="s">
        <v>6303</v>
      </c>
      <c r="C11563" s="196">
        <v>-46100</v>
      </c>
      <c r="D11563" s="196">
        <v>0</v>
      </c>
      <c r="E11563" s="196">
        <v>0</v>
      </c>
      <c r="F11563" s="196">
        <v>0</v>
      </c>
      <c r="G11563" s="196">
        <v>-46100</v>
      </c>
    </row>
    <row r="11564" spans="1:7" x14ac:dyDescent="0.3">
      <c r="A11564" s="198">
        <v>32301794</v>
      </c>
      <c r="B11564" s="192" t="s">
        <v>7341</v>
      </c>
      <c r="C11564" s="196">
        <v>-357000</v>
      </c>
      <c r="D11564" s="196">
        <v>0</v>
      </c>
      <c r="E11564" s="196">
        <v>0</v>
      </c>
      <c r="F11564" s="196">
        <v>0</v>
      </c>
      <c r="G11564" s="196">
        <v>-357000</v>
      </c>
    </row>
    <row r="11565" spans="1:7" x14ac:dyDescent="0.3">
      <c r="A11565" s="198">
        <v>43099495</v>
      </c>
      <c r="B11565" s="192" t="s">
        <v>7342</v>
      </c>
      <c r="C11565" s="196">
        <v>-270000</v>
      </c>
      <c r="D11565" s="196">
        <v>0</v>
      </c>
      <c r="E11565" s="196">
        <v>0</v>
      </c>
      <c r="F11565" s="196">
        <v>0</v>
      </c>
      <c r="G11565" s="196">
        <v>-270000</v>
      </c>
    </row>
    <row r="11566" spans="1:7" x14ac:dyDescent="0.3">
      <c r="A11566" s="198">
        <v>1036641290</v>
      </c>
      <c r="B11566" s="192" t="s">
        <v>7158</v>
      </c>
      <c r="C11566" s="196">
        <v>-193000</v>
      </c>
      <c r="D11566" s="196">
        <v>0</v>
      </c>
      <c r="E11566" s="196">
        <v>0</v>
      </c>
      <c r="F11566" s="196">
        <v>0</v>
      </c>
      <c r="G11566" s="196">
        <v>-193000</v>
      </c>
    </row>
    <row r="11567" spans="1:7" x14ac:dyDescent="0.3">
      <c r="A11567" s="198">
        <v>1122415207</v>
      </c>
      <c r="B11567" s="192" t="s">
        <v>1596</v>
      </c>
      <c r="C11567" s="196">
        <v>0</v>
      </c>
      <c r="D11567" s="196">
        <v>347000</v>
      </c>
      <c r="E11567" s="196">
        <v>694000</v>
      </c>
      <c r="F11567" s="196">
        <v>-347000</v>
      </c>
      <c r="G11567" s="196">
        <v>-347000</v>
      </c>
    </row>
    <row r="11568" spans="1:7" x14ac:dyDescent="0.3">
      <c r="A11568" s="198">
        <v>1128472870</v>
      </c>
      <c r="B11568" s="192" t="s">
        <v>1597</v>
      </c>
      <c r="C11568" s="196">
        <v>0</v>
      </c>
      <c r="D11568" s="196">
        <v>0</v>
      </c>
      <c r="E11568" s="196">
        <v>190000</v>
      </c>
      <c r="F11568" s="196">
        <v>-190000</v>
      </c>
      <c r="G11568" s="196">
        <v>-190000</v>
      </c>
    </row>
    <row r="11569" spans="1:7" x14ac:dyDescent="0.3">
      <c r="A11569" s="198">
        <v>43640140</v>
      </c>
      <c r="B11569" s="192" t="s">
        <v>6310</v>
      </c>
      <c r="C11569" s="196">
        <v>-125200</v>
      </c>
      <c r="D11569" s="196">
        <v>0</v>
      </c>
      <c r="E11569" s="196">
        <v>0</v>
      </c>
      <c r="F11569" s="196">
        <v>0</v>
      </c>
      <c r="G11569" s="196">
        <v>-125200</v>
      </c>
    </row>
    <row r="11570" spans="1:7" x14ac:dyDescent="0.3">
      <c r="A11570" s="192" t="s">
        <v>6311</v>
      </c>
      <c r="B11570" s="192" t="s">
        <v>6312</v>
      </c>
      <c r="C11570" s="196">
        <v>-324000</v>
      </c>
      <c r="D11570" s="196">
        <v>0</v>
      </c>
      <c r="E11570" s="196">
        <v>0</v>
      </c>
      <c r="F11570" s="196">
        <v>0</v>
      </c>
      <c r="G11570" s="196">
        <v>-324000</v>
      </c>
    </row>
    <row r="11571" spans="1:7" x14ac:dyDescent="0.3">
      <c r="A11571" s="198">
        <v>1036629708</v>
      </c>
      <c r="B11571" s="192" t="s">
        <v>1603</v>
      </c>
      <c r="C11571" s="196">
        <v>0</v>
      </c>
      <c r="D11571" s="196">
        <v>0</v>
      </c>
      <c r="E11571" s="196">
        <v>49000</v>
      </c>
      <c r="F11571" s="196">
        <v>-49000</v>
      </c>
      <c r="G11571" s="196">
        <v>-49000</v>
      </c>
    </row>
    <row r="11572" spans="1:7" x14ac:dyDescent="0.3">
      <c r="A11572" s="198">
        <v>1022092678</v>
      </c>
      <c r="B11572" s="192" t="s">
        <v>7343</v>
      </c>
      <c r="C11572" s="196">
        <v>-175000</v>
      </c>
      <c r="D11572" s="196">
        <v>0</v>
      </c>
      <c r="E11572" s="196">
        <v>0</v>
      </c>
      <c r="F11572" s="196">
        <v>0</v>
      </c>
      <c r="G11572" s="196">
        <v>-175000</v>
      </c>
    </row>
    <row r="11573" spans="1:7" x14ac:dyDescent="0.3">
      <c r="A11573" s="198">
        <v>1128465112</v>
      </c>
      <c r="B11573" s="192" t="s">
        <v>7170</v>
      </c>
      <c r="C11573" s="196">
        <v>-193000</v>
      </c>
      <c r="D11573" s="196">
        <v>0</v>
      </c>
      <c r="E11573" s="196">
        <v>0</v>
      </c>
      <c r="F11573" s="196">
        <v>0</v>
      </c>
      <c r="G11573" s="196">
        <v>-193000</v>
      </c>
    </row>
    <row r="11574" spans="1:7" x14ac:dyDescent="0.3">
      <c r="A11574" s="198">
        <v>584029661</v>
      </c>
      <c r="B11574" s="192" t="s">
        <v>6324</v>
      </c>
      <c r="C11574" s="196">
        <v>-414000</v>
      </c>
      <c r="D11574" s="196">
        <v>0</v>
      </c>
      <c r="E11574" s="196">
        <v>0</v>
      </c>
      <c r="F11574" s="196">
        <v>0</v>
      </c>
      <c r="G11574" s="196">
        <v>-414000</v>
      </c>
    </row>
    <row r="11575" spans="1:7" x14ac:dyDescent="0.3">
      <c r="A11575" s="198">
        <v>1152449253</v>
      </c>
      <c r="B11575" s="192" t="s">
        <v>1612</v>
      </c>
      <c r="C11575" s="196">
        <v>-79200</v>
      </c>
      <c r="D11575" s="196">
        <v>0</v>
      </c>
      <c r="E11575" s="196">
        <v>0</v>
      </c>
      <c r="F11575" s="196">
        <v>0</v>
      </c>
      <c r="G11575" s="196">
        <v>-79200</v>
      </c>
    </row>
    <row r="11576" spans="1:7" x14ac:dyDescent="0.3">
      <c r="A11576" s="198">
        <v>41651004</v>
      </c>
      <c r="B11576" s="192" t="s">
        <v>7344</v>
      </c>
      <c r="C11576" s="196">
        <v>-229118573</v>
      </c>
      <c r="D11576" s="196">
        <v>0</v>
      </c>
      <c r="E11576" s="196">
        <v>54262998</v>
      </c>
      <c r="F11576" s="196">
        <v>-54262998</v>
      </c>
      <c r="G11576" s="196">
        <v>-283381571</v>
      </c>
    </row>
    <row r="11577" spans="1:7" x14ac:dyDescent="0.3">
      <c r="A11577" s="198">
        <v>70546915</v>
      </c>
      <c r="B11577" s="192" t="s">
        <v>160</v>
      </c>
      <c r="C11577" s="196">
        <v>-270000</v>
      </c>
      <c r="D11577" s="196">
        <v>0</v>
      </c>
      <c r="E11577" s="196">
        <v>0</v>
      </c>
      <c r="F11577" s="196">
        <v>0</v>
      </c>
      <c r="G11577" s="196">
        <v>-270000</v>
      </c>
    </row>
    <row r="11578" spans="1:7" x14ac:dyDescent="0.3">
      <c r="A11578" s="198">
        <v>21617403</v>
      </c>
      <c r="B11578" s="192" t="s">
        <v>7345</v>
      </c>
      <c r="C11578" s="196">
        <v>-2154000</v>
      </c>
      <c r="D11578" s="196">
        <v>0</v>
      </c>
      <c r="E11578" s="196">
        <v>0</v>
      </c>
      <c r="F11578" s="196">
        <v>0</v>
      </c>
      <c r="G11578" s="196">
        <v>-2154000</v>
      </c>
    </row>
    <row r="11579" spans="1:7" x14ac:dyDescent="0.3">
      <c r="A11579" s="198">
        <v>79462379</v>
      </c>
      <c r="B11579" s="192" t="s">
        <v>2482</v>
      </c>
      <c r="C11579" s="196">
        <v>-270000</v>
      </c>
      <c r="D11579" s="196">
        <v>0</v>
      </c>
      <c r="E11579" s="196">
        <v>0</v>
      </c>
      <c r="F11579" s="196">
        <v>0</v>
      </c>
      <c r="G11579" s="196">
        <v>-270000</v>
      </c>
    </row>
    <row r="11580" spans="1:7" x14ac:dyDescent="0.3">
      <c r="A11580" s="192" t="s">
        <v>2486</v>
      </c>
      <c r="B11580" s="192" t="s">
        <v>2487</v>
      </c>
      <c r="C11580" s="196">
        <v>-74000</v>
      </c>
      <c r="D11580" s="196">
        <v>0</v>
      </c>
      <c r="E11580" s="196">
        <v>0</v>
      </c>
      <c r="F11580" s="196">
        <v>0</v>
      </c>
      <c r="G11580" s="196">
        <v>-74000</v>
      </c>
    </row>
    <row r="11581" spans="1:7" x14ac:dyDescent="0.3">
      <c r="A11581" s="198">
        <v>31948684</v>
      </c>
      <c r="B11581" s="192" t="s">
        <v>165</v>
      </c>
      <c r="C11581" s="196">
        <v>-263800</v>
      </c>
      <c r="D11581" s="196">
        <v>0</v>
      </c>
      <c r="E11581" s="196">
        <v>321500</v>
      </c>
      <c r="F11581" s="196">
        <v>-321500</v>
      </c>
      <c r="G11581" s="196">
        <v>-585300</v>
      </c>
    </row>
    <row r="11582" spans="1:7" x14ac:dyDescent="0.3">
      <c r="A11582" s="198">
        <v>43507408</v>
      </c>
      <c r="B11582" s="192" t="s">
        <v>2496</v>
      </c>
      <c r="C11582" s="196">
        <v>-270000</v>
      </c>
      <c r="D11582" s="196">
        <v>0</v>
      </c>
      <c r="E11582" s="196">
        <v>0</v>
      </c>
      <c r="F11582" s="196">
        <v>0</v>
      </c>
      <c r="G11582" s="196">
        <v>-270000</v>
      </c>
    </row>
    <row r="11583" spans="1:7" x14ac:dyDescent="0.3">
      <c r="A11583" s="198">
        <v>43844642</v>
      </c>
      <c r="B11583" s="192" t="s">
        <v>6330</v>
      </c>
      <c r="C11583" s="196">
        <v>-44600</v>
      </c>
      <c r="D11583" s="196">
        <v>0</v>
      </c>
      <c r="E11583" s="196">
        <v>0</v>
      </c>
      <c r="F11583" s="196">
        <v>0</v>
      </c>
      <c r="G11583" s="196">
        <v>-44600</v>
      </c>
    </row>
    <row r="11584" spans="1:7" x14ac:dyDescent="0.3">
      <c r="A11584" s="198">
        <v>43532661</v>
      </c>
      <c r="B11584" s="192" t="s">
        <v>175</v>
      </c>
      <c r="C11584" s="196">
        <v>-270000</v>
      </c>
      <c r="D11584" s="196">
        <v>0</v>
      </c>
      <c r="E11584" s="196">
        <v>0</v>
      </c>
      <c r="F11584" s="196">
        <v>0</v>
      </c>
      <c r="G11584" s="196">
        <v>-270000</v>
      </c>
    </row>
    <row r="11585" spans="1:7" x14ac:dyDescent="0.3">
      <c r="A11585" s="198">
        <v>1017141839</v>
      </c>
      <c r="B11585" s="192" t="s">
        <v>176</v>
      </c>
      <c r="C11585" s="196">
        <v>-112000</v>
      </c>
      <c r="D11585" s="196">
        <v>0</v>
      </c>
      <c r="E11585" s="196">
        <v>0</v>
      </c>
      <c r="F11585" s="196">
        <v>0</v>
      </c>
      <c r="G11585" s="196">
        <v>-112000</v>
      </c>
    </row>
    <row r="11586" spans="1:7" x14ac:dyDescent="0.3">
      <c r="A11586" s="198">
        <v>43528677</v>
      </c>
      <c r="B11586" s="192" t="s">
        <v>7346</v>
      </c>
      <c r="C11586" s="196">
        <v>-59400</v>
      </c>
      <c r="D11586" s="196">
        <v>0</v>
      </c>
      <c r="E11586" s="196">
        <v>0</v>
      </c>
      <c r="F11586" s="196">
        <v>0</v>
      </c>
      <c r="G11586" s="196">
        <v>-59400</v>
      </c>
    </row>
    <row r="11587" spans="1:7" x14ac:dyDescent="0.3">
      <c r="A11587" s="198">
        <v>43204402</v>
      </c>
      <c r="B11587" s="192" t="s">
        <v>6332</v>
      </c>
      <c r="C11587" s="196">
        <v>-138000</v>
      </c>
      <c r="D11587" s="196">
        <v>0</v>
      </c>
      <c r="E11587" s="196">
        <v>0</v>
      </c>
      <c r="F11587" s="196">
        <v>0</v>
      </c>
      <c r="G11587" s="196">
        <v>-138000</v>
      </c>
    </row>
    <row r="11588" spans="1:7" x14ac:dyDescent="0.3">
      <c r="A11588" s="198">
        <v>43566324</v>
      </c>
      <c r="B11588" s="192" t="s">
        <v>2504</v>
      </c>
      <c r="C11588" s="196">
        <v>-123200</v>
      </c>
      <c r="D11588" s="196">
        <v>0</v>
      </c>
      <c r="E11588" s="196">
        <v>0</v>
      </c>
      <c r="F11588" s="196">
        <v>0</v>
      </c>
      <c r="G11588" s="196">
        <v>-123200</v>
      </c>
    </row>
    <row r="11589" spans="1:7" x14ac:dyDescent="0.3">
      <c r="A11589" s="198">
        <v>51739969</v>
      </c>
      <c r="B11589" s="192" t="s">
        <v>2505</v>
      </c>
      <c r="C11589" s="196">
        <v>-64800</v>
      </c>
      <c r="D11589" s="196">
        <v>0</v>
      </c>
      <c r="E11589" s="196">
        <v>0</v>
      </c>
      <c r="F11589" s="196">
        <v>0</v>
      </c>
      <c r="G11589" s="196">
        <v>-64800</v>
      </c>
    </row>
    <row r="11590" spans="1:7" x14ac:dyDescent="0.3">
      <c r="A11590" s="198">
        <v>900983931</v>
      </c>
      <c r="B11590" s="192" t="s">
        <v>1684</v>
      </c>
      <c r="C11590" s="196">
        <v>-175000</v>
      </c>
      <c r="D11590" s="196">
        <v>0</v>
      </c>
      <c r="E11590" s="196">
        <v>0</v>
      </c>
      <c r="F11590" s="196">
        <v>0</v>
      </c>
      <c r="G11590" s="196">
        <v>-175000</v>
      </c>
    </row>
    <row r="11591" spans="1:7" x14ac:dyDescent="0.3">
      <c r="A11591" s="198">
        <v>25991867</v>
      </c>
      <c r="B11591" s="192" t="s">
        <v>189</v>
      </c>
      <c r="C11591" s="196">
        <v>0</v>
      </c>
      <c r="D11591" s="196">
        <v>0</v>
      </c>
      <c r="E11591" s="196">
        <v>5000</v>
      </c>
      <c r="F11591" s="196">
        <v>-5000</v>
      </c>
      <c r="G11591" s="196">
        <v>-5000</v>
      </c>
    </row>
    <row r="11592" spans="1:7" x14ac:dyDescent="0.3">
      <c r="A11592" s="198">
        <v>43002772</v>
      </c>
      <c r="B11592" s="192" t="s">
        <v>193</v>
      </c>
      <c r="C11592" s="196">
        <v>0</v>
      </c>
      <c r="D11592" s="196">
        <v>0</v>
      </c>
      <c r="E11592" s="196">
        <v>143000</v>
      </c>
      <c r="F11592" s="196">
        <v>-143000</v>
      </c>
      <c r="G11592" s="196">
        <v>-143000</v>
      </c>
    </row>
    <row r="11593" spans="1:7" x14ac:dyDescent="0.3">
      <c r="A11593" s="198">
        <v>43729250</v>
      </c>
      <c r="B11593" s="192" t="s">
        <v>6334</v>
      </c>
      <c r="C11593" s="196">
        <v>-5000</v>
      </c>
      <c r="D11593" s="196">
        <v>0</v>
      </c>
      <c r="E11593" s="196">
        <v>0</v>
      </c>
      <c r="F11593" s="196">
        <v>0</v>
      </c>
      <c r="G11593" s="196">
        <v>-5000</v>
      </c>
    </row>
    <row r="11594" spans="1:7" x14ac:dyDescent="0.3">
      <c r="A11594" s="198">
        <v>313747</v>
      </c>
      <c r="B11594" s="192" t="s">
        <v>2545</v>
      </c>
      <c r="C11594" s="196">
        <v>-448000</v>
      </c>
      <c r="D11594" s="196">
        <v>0</v>
      </c>
      <c r="E11594" s="196">
        <v>0</v>
      </c>
      <c r="F11594" s="196">
        <v>0</v>
      </c>
      <c r="G11594" s="196">
        <v>-448000</v>
      </c>
    </row>
    <row r="11595" spans="1:7" x14ac:dyDescent="0.3">
      <c r="A11595" s="198">
        <v>82360700</v>
      </c>
      <c r="B11595" s="192" t="s">
        <v>197</v>
      </c>
      <c r="C11595" s="196">
        <v>-270000</v>
      </c>
      <c r="D11595" s="196">
        <v>0</v>
      </c>
      <c r="E11595" s="196">
        <v>0</v>
      </c>
      <c r="F11595" s="196">
        <v>0</v>
      </c>
      <c r="G11595" s="196">
        <v>-270000</v>
      </c>
    </row>
    <row r="11596" spans="1:7" x14ac:dyDescent="0.3">
      <c r="A11596" s="198">
        <v>43111273</v>
      </c>
      <c r="B11596" s="192" t="s">
        <v>6337</v>
      </c>
      <c r="C11596" s="196">
        <v>-5000</v>
      </c>
      <c r="D11596" s="196">
        <v>0</v>
      </c>
      <c r="E11596" s="196">
        <v>0</v>
      </c>
      <c r="F11596" s="196">
        <v>0</v>
      </c>
      <c r="G11596" s="196">
        <v>-5000</v>
      </c>
    </row>
    <row r="11597" spans="1:7" x14ac:dyDescent="0.3">
      <c r="A11597" s="198">
        <v>142038600</v>
      </c>
      <c r="B11597" s="192" t="s">
        <v>6338</v>
      </c>
      <c r="C11597" s="196">
        <v>-270000</v>
      </c>
      <c r="D11597" s="196">
        <v>0</v>
      </c>
      <c r="E11597" s="196">
        <v>0</v>
      </c>
      <c r="F11597" s="196">
        <v>0</v>
      </c>
      <c r="G11597" s="196">
        <v>-270000</v>
      </c>
    </row>
    <row r="11598" spans="1:7" x14ac:dyDescent="0.3">
      <c r="A11598" s="198">
        <v>43759008</v>
      </c>
      <c r="B11598" s="192" t="s">
        <v>2561</v>
      </c>
      <c r="C11598" s="196">
        <v>-403800</v>
      </c>
      <c r="D11598" s="196">
        <v>0</v>
      </c>
      <c r="E11598" s="196">
        <v>0</v>
      </c>
      <c r="F11598" s="196">
        <v>0</v>
      </c>
      <c r="G11598" s="196">
        <v>-403800</v>
      </c>
    </row>
    <row r="11599" spans="1:7" x14ac:dyDescent="0.3">
      <c r="A11599" s="198">
        <v>8433956</v>
      </c>
      <c r="B11599" s="192" t="s">
        <v>2570</v>
      </c>
      <c r="C11599" s="196">
        <v>-71000</v>
      </c>
      <c r="D11599" s="196">
        <v>0</v>
      </c>
      <c r="E11599" s="196">
        <v>0</v>
      </c>
      <c r="F11599" s="196">
        <v>0</v>
      </c>
      <c r="G11599" s="196">
        <v>-71000</v>
      </c>
    </row>
    <row r="11600" spans="1:7" x14ac:dyDescent="0.3">
      <c r="A11600" s="198">
        <v>1034987265</v>
      </c>
      <c r="B11600" s="192" t="s">
        <v>2572</v>
      </c>
      <c r="C11600" s="196">
        <v>-52200</v>
      </c>
      <c r="D11600" s="196">
        <v>0</v>
      </c>
      <c r="E11600" s="196">
        <v>0</v>
      </c>
      <c r="F11600" s="196">
        <v>0</v>
      </c>
      <c r="G11600" s="196">
        <v>-52200</v>
      </c>
    </row>
    <row r="11601" spans="1:7" x14ac:dyDescent="0.3">
      <c r="A11601" s="198">
        <v>91236049</v>
      </c>
      <c r="B11601" s="192" t="s">
        <v>200</v>
      </c>
      <c r="C11601" s="196">
        <v>-270000</v>
      </c>
      <c r="D11601" s="196">
        <v>0</v>
      </c>
      <c r="E11601" s="196">
        <v>0</v>
      </c>
      <c r="F11601" s="196">
        <v>0</v>
      </c>
      <c r="G11601" s="196">
        <v>-270000</v>
      </c>
    </row>
    <row r="11602" spans="1:7" x14ac:dyDescent="0.3">
      <c r="A11602" s="198">
        <v>1001764275</v>
      </c>
      <c r="B11602" s="192" t="s">
        <v>2575</v>
      </c>
      <c r="C11602" s="196">
        <v>-175000</v>
      </c>
      <c r="D11602" s="196">
        <v>0</v>
      </c>
      <c r="E11602" s="196">
        <v>0</v>
      </c>
      <c r="F11602" s="196">
        <v>0</v>
      </c>
      <c r="G11602" s="196">
        <v>-175000</v>
      </c>
    </row>
    <row r="11603" spans="1:7" x14ac:dyDescent="0.3">
      <c r="A11603" s="198">
        <v>1017246669</v>
      </c>
      <c r="B11603" s="192" t="s">
        <v>6341</v>
      </c>
      <c r="C11603" s="196">
        <v>-175000</v>
      </c>
      <c r="D11603" s="196">
        <v>0</v>
      </c>
      <c r="E11603" s="196">
        <v>0</v>
      </c>
      <c r="F11603" s="196">
        <v>0</v>
      </c>
      <c r="G11603" s="196">
        <v>-175000</v>
      </c>
    </row>
    <row r="11604" spans="1:7" x14ac:dyDescent="0.3">
      <c r="A11604" s="198">
        <v>585241528</v>
      </c>
      <c r="B11604" s="192" t="s">
        <v>2580</v>
      </c>
      <c r="C11604" s="196">
        <v>-175000</v>
      </c>
      <c r="D11604" s="196">
        <v>0</v>
      </c>
      <c r="E11604" s="196">
        <v>0</v>
      </c>
      <c r="F11604" s="196">
        <v>0</v>
      </c>
      <c r="G11604" s="196">
        <v>-175000</v>
      </c>
    </row>
    <row r="11605" spans="1:7" x14ac:dyDescent="0.3">
      <c r="A11605" s="198">
        <v>1038263452</v>
      </c>
      <c r="B11605" s="192" t="s">
        <v>206</v>
      </c>
      <c r="C11605" s="196">
        <v>-71000</v>
      </c>
      <c r="D11605" s="196">
        <v>0</v>
      </c>
      <c r="E11605" s="196">
        <v>0</v>
      </c>
      <c r="F11605" s="196">
        <v>0</v>
      </c>
      <c r="G11605" s="196">
        <v>-71000</v>
      </c>
    </row>
    <row r="11606" spans="1:7" x14ac:dyDescent="0.3">
      <c r="A11606" s="192" t="s">
        <v>2582</v>
      </c>
      <c r="B11606" s="192" t="s">
        <v>2583</v>
      </c>
      <c r="C11606" s="196">
        <v>-136800</v>
      </c>
      <c r="D11606" s="196">
        <v>0</v>
      </c>
      <c r="E11606" s="196">
        <v>0</v>
      </c>
      <c r="F11606" s="196">
        <v>0</v>
      </c>
      <c r="G11606" s="196">
        <v>-136800</v>
      </c>
    </row>
    <row r="11607" spans="1:7" x14ac:dyDescent="0.3">
      <c r="A11607" s="198">
        <v>1025881186</v>
      </c>
      <c r="B11607" s="192" t="s">
        <v>209</v>
      </c>
      <c r="C11607" s="196">
        <v>0</v>
      </c>
      <c r="D11607" s="196">
        <v>0</v>
      </c>
      <c r="E11607" s="196">
        <v>52200</v>
      </c>
      <c r="F11607" s="196">
        <v>-52200</v>
      </c>
      <c r="G11607" s="196">
        <v>-52200</v>
      </c>
    </row>
    <row r="11608" spans="1:7" x14ac:dyDescent="0.3">
      <c r="A11608" s="198">
        <v>71290081</v>
      </c>
      <c r="B11608" s="192" t="s">
        <v>2589</v>
      </c>
      <c r="C11608" s="196">
        <v>-64000</v>
      </c>
      <c r="D11608" s="196">
        <v>0</v>
      </c>
      <c r="E11608" s="196">
        <v>0</v>
      </c>
      <c r="F11608" s="196">
        <v>0</v>
      </c>
      <c r="G11608" s="196">
        <v>-64000</v>
      </c>
    </row>
    <row r="11609" spans="1:7" x14ac:dyDescent="0.3">
      <c r="A11609" s="198">
        <v>71316310</v>
      </c>
      <c r="B11609" s="192" t="s">
        <v>6343</v>
      </c>
      <c r="C11609" s="196">
        <v>-10000</v>
      </c>
      <c r="D11609" s="196">
        <v>0</v>
      </c>
      <c r="E11609" s="196">
        <v>0</v>
      </c>
      <c r="F11609" s="196">
        <v>0</v>
      </c>
      <c r="G11609" s="196">
        <v>-10000</v>
      </c>
    </row>
    <row r="11610" spans="1:7" x14ac:dyDescent="0.3">
      <c r="A11610" s="198">
        <v>98504804</v>
      </c>
      <c r="B11610" s="192" t="s">
        <v>6344</v>
      </c>
      <c r="C11610" s="196">
        <v>-98000</v>
      </c>
      <c r="D11610" s="196">
        <v>0</v>
      </c>
      <c r="E11610" s="196">
        <v>0</v>
      </c>
      <c r="F11610" s="196">
        <v>0</v>
      </c>
      <c r="G11610" s="196">
        <v>-98000</v>
      </c>
    </row>
    <row r="11611" spans="1:7" x14ac:dyDescent="0.3">
      <c r="A11611" s="198">
        <v>18517738</v>
      </c>
      <c r="B11611" s="192" t="s">
        <v>212</v>
      </c>
      <c r="C11611" s="196">
        <v>0</v>
      </c>
      <c r="D11611" s="196">
        <v>0</v>
      </c>
      <c r="E11611" s="196">
        <v>111000</v>
      </c>
      <c r="F11611" s="196">
        <v>-111000</v>
      </c>
      <c r="G11611" s="196">
        <v>-111000</v>
      </c>
    </row>
    <row r="11612" spans="1:7" x14ac:dyDescent="0.3">
      <c r="A11612" s="192" t="s">
        <v>6345</v>
      </c>
      <c r="B11612" s="192" t="s">
        <v>6346</v>
      </c>
      <c r="C11612" s="196">
        <v>-5000</v>
      </c>
      <c r="D11612" s="196">
        <v>0</v>
      </c>
      <c r="E11612" s="196">
        <v>0</v>
      </c>
      <c r="F11612" s="196">
        <v>0</v>
      </c>
      <c r="G11612" s="196">
        <v>-5000</v>
      </c>
    </row>
    <row r="11613" spans="1:7" x14ac:dyDescent="0.3">
      <c r="A11613" s="198">
        <v>43728136</v>
      </c>
      <c r="B11613" s="192" t="s">
        <v>215</v>
      </c>
      <c r="C11613" s="196">
        <v>0</v>
      </c>
      <c r="D11613" s="196">
        <v>0</v>
      </c>
      <c r="E11613" s="196">
        <v>111000</v>
      </c>
      <c r="F11613" s="196">
        <v>-111000</v>
      </c>
      <c r="G11613" s="196">
        <v>-111000</v>
      </c>
    </row>
    <row r="11614" spans="1:7" x14ac:dyDescent="0.3">
      <c r="A11614" s="198">
        <v>3524565</v>
      </c>
      <c r="B11614" s="192" t="s">
        <v>6347</v>
      </c>
      <c r="C11614" s="196">
        <v>-1518000</v>
      </c>
      <c r="D11614" s="196">
        <v>0</v>
      </c>
      <c r="E11614" s="196">
        <v>0</v>
      </c>
      <c r="F11614" s="196">
        <v>0</v>
      </c>
      <c r="G11614" s="196">
        <v>-1518000</v>
      </c>
    </row>
    <row r="11615" spans="1:7" x14ac:dyDescent="0.3">
      <c r="A11615" s="198">
        <v>1035011761</v>
      </c>
      <c r="B11615" s="192" t="s">
        <v>2611</v>
      </c>
      <c r="C11615" s="196">
        <v>-130400</v>
      </c>
      <c r="D11615" s="196">
        <v>0</v>
      </c>
      <c r="E11615" s="196">
        <v>0</v>
      </c>
      <c r="F11615" s="196">
        <v>0</v>
      </c>
      <c r="G11615" s="196">
        <v>-130400</v>
      </c>
    </row>
    <row r="11616" spans="1:7" x14ac:dyDescent="0.3">
      <c r="A11616" s="198">
        <v>43032520</v>
      </c>
      <c r="B11616" s="192" t="s">
        <v>225</v>
      </c>
      <c r="C11616" s="196">
        <v>0</v>
      </c>
      <c r="D11616" s="196">
        <v>0</v>
      </c>
      <c r="E11616" s="196">
        <v>5000</v>
      </c>
      <c r="F11616" s="196">
        <v>-5000</v>
      </c>
      <c r="G11616" s="196">
        <v>-5000</v>
      </c>
    </row>
    <row r="11617" spans="1:7" x14ac:dyDescent="0.3">
      <c r="A11617" s="192" t="s">
        <v>229</v>
      </c>
      <c r="B11617" s="192" t="s">
        <v>230</v>
      </c>
      <c r="C11617" s="196">
        <v>0</v>
      </c>
      <c r="D11617" s="196">
        <v>0</v>
      </c>
      <c r="E11617" s="196">
        <v>290000</v>
      </c>
      <c r="F11617" s="196">
        <v>-290000</v>
      </c>
      <c r="G11617" s="196">
        <v>-290000</v>
      </c>
    </row>
    <row r="11618" spans="1:7" x14ac:dyDescent="0.3">
      <c r="A11618" s="198">
        <v>1090387487</v>
      </c>
      <c r="B11618" s="192" t="s">
        <v>7347</v>
      </c>
      <c r="C11618" s="196">
        <v>-507400</v>
      </c>
      <c r="D11618" s="196">
        <v>0</v>
      </c>
      <c r="E11618" s="196">
        <v>0</v>
      </c>
      <c r="F11618" s="196">
        <v>0</v>
      </c>
      <c r="G11618" s="196">
        <v>-507400</v>
      </c>
    </row>
    <row r="11619" spans="1:7" x14ac:dyDescent="0.3">
      <c r="A11619" s="198">
        <v>13410688</v>
      </c>
      <c r="B11619" s="192" t="s">
        <v>7348</v>
      </c>
      <c r="C11619" s="196">
        <v>-270000</v>
      </c>
      <c r="D11619" s="196">
        <v>0</v>
      </c>
      <c r="E11619" s="196">
        <v>0</v>
      </c>
      <c r="F11619" s="196">
        <v>0</v>
      </c>
      <c r="G11619" s="196">
        <v>-270000</v>
      </c>
    </row>
    <row r="11620" spans="1:7" x14ac:dyDescent="0.3">
      <c r="A11620" s="198">
        <v>32416803</v>
      </c>
      <c r="B11620" s="192" t="s">
        <v>2646</v>
      </c>
      <c r="C11620" s="196">
        <v>-56000</v>
      </c>
      <c r="D11620" s="196">
        <v>0</v>
      </c>
      <c r="E11620" s="196">
        <v>0</v>
      </c>
      <c r="F11620" s="196">
        <v>0</v>
      </c>
      <c r="G11620" s="196">
        <v>-56000</v>
      </c>
    </row>
    <row r="11621" spans="1:7" x14ac:dyDescent="0.3">
      <c r="A11621" s="198">
        <v>21328000</v>
      </c>
      <c r="B11621" s="192" t="s">
        <v>7349</v>
      </c>
      <c r="C11621" s="196">
        <v>-824000</v>
      </c>
      <c r="D11621" s="196">
        <v>0</v>
      </c>
      <c r="E11621" s="196">
        <v>0</v>
      </c>
      <c r="F11621" s="196">
        <v>0</v>
      </c>
      <c r="G11621" s="196">
        <v>-824000</v>
      </c>
    </row>
    <row r="11622" spans="1:7" x14ac:dyDescent="0.3">
      <c r="A11622" s="198">
        <v>43449847</v>
      </c>
      <c r="B11622" s="192" t="s">
        <v>248</v>
      </c>
      <c r="C11622" s="196">
        <v>0</v>
      </c>
      <c r="D11622" s="196">
        <v>0</v>
      </c>
      <c r="E11622" s="196">
        <v>290000</v>
      </c>
      <c r="F11622" s="196">
        <v>-290000</v>
      </c>
      <c r="G11622" s="196">
        <v>-290000</v>
      </c>
    </row>
    <row r="11623" spans="1:7" x14ac:dyDescent="0.3">
      <c r="A11623" s="198">
        <v>32495547</v>
      </c>
      <c r="B11623" s="192" t="s">
        <v>6351</v>
      </c>
      <c r="C11623" s="196">
        <v>-5000</v>
      </c>
      <c r="D11623" s="196">
        <v>0</v>
      </c>
      <c r="E11623" s="196">
        <v>0</v>
      </c>
      <c r="F11623" s="196">
        <v>0</v>
      </c>
      <c r="G11623" s="196">
        <v>-5000</v>
      </c>
    </row>
    <row r="11624" spans="1:7" x14ac:dyDescent="0.3">
      <c r="A11624" s="198">
        <v>21344784</v>
      </c>
      <c r="B11624" s="192" t="s">
        <v>249</v>
      </c>
      <c r="C11624" s="196">
        <v>-506002</v>
      </c>
      <c r="D11624" s="196">
        <v>0</v>
      </c>
      <c r="E11624" s="196">
        <v>0</v>
      </c>
      <c r="F11624" s="196">
        <v>0</v>
      </c>
      <c r="G11624" s="196">
        <v>-506002</v>
      </c>
    </row>
    <row r="11625" spans="1:7" x14ac:dyDescent="0.3">
      <c r="A11625" s="198">
        <v>32100049</v>
      </c>
      <c r="B11625" s="192" t="s">
        <v>6352</v>
      </c>
      <c r="C11625" s="196">
        <v>-270000</v>
      </c>
      <c r="D11625" s="196">
        <v>0</v>
      </c>
      <c r="E11625" s="196">
        <v>0</v>
      </c>
      <c r="F11625" s="196">
        <v>0</v>
      </c>
      <c r="G11625" s="196">
        <v>-270000</v>
      </c>
    </row>
    <row r="11626" spans="1:7" x14ac:dyDescent="0.3">
      <c r="A11626" s="198">
        <v>34042566</v>
      </c>
      <c r="B11626" s="192" t="s">
        <v>250</v>
      </c>
      <c r="C11626" s="196">
        <v>0</v>
      </c>
      <c r="D11626" s="196">
        <v>0</v>
      </c>
      <c r="E11626" s="196">
        <v>290000</v>
      </c>
      <c r="F11626" s="196">
        <v>-290000</v>
      </c>
      <c r="G11626" s="196">
        <v>-290000</v>
      </c>
    </row>
    <row r="11627" spans="1:7" x14ac:dyDescent="0.3">
      <c r="A11627" s="198">
        <v>1143362062</v>
      </c>
      <c r="B11627" s="192" t="s">
        <v>2672</v>
      </c>
      <c r="C11627" s="196">
        <v>-175000</v>
      </c>
      <c r="D11627" s="196">
        <v>0</v>
      </c>
      <c r="E11627" s="196">
        <v>0</v>
      </c>
      <c r="F11627" s="196">
        <v>0</v>
      </c>
      <c r="G11627" s="196">
        <v>-175000</v>
      </c>
    </row>
    <row r="11628" spans="1:7" x14ac:dyDescent="0.3">
      <c r="A11628" s="198">
        <v>41546854</v>
      </c>
      <c r="B11628" s="192" t="s">
        <v>2674</v>
      </c>
      <c r="C11628" s="196">
        <v>-270000</v>
      </c>
      <c r="D11628" s="196">
        <v>0</v>
      </c>
      <c r="E11628" s="196">
        <v>0</v>
      </c>
      <c r="F11628" s="196">
        <v>0</v>
      </c>
      <c r="G11628" s="196">
        <v>-270000</v>
      </c>
    </row>
    <row r="11629" spans="1:7" x14ac:dyDescent="0.3">
      <c r="A11629" s="198">
        <v>32435215</v>
      </c>
      <c r="B11629" s="192" t="s">
        <v>2678</v>
      </c>
      <c r="C11629" s="196">
        <v>-72000</v>
      </c>
      <c r="D11629" s="196">
        <v>0</v>
      </c>
      <c r="E11629" s="196">
        <v>0</v>
      </c>
      <c r="F11629" s="196">
        <v>0</v>
      </c>
      <c r="G11629" s="196">
        <v>-72000</v>
      </c>
    </row>
    <row r="11630" spans="1:7" x14ac:dyDescent="0.3">
      <c r="A11630" s="198">
        <v>33174309</v>
      </c>
      <c r="B11630" s="192" t="s">
        <v>2683</v>
      </c>
      <c r="C11630" s="196">
        <v>-270000</v>
      </c>
      <c r="D11630" s="196">
        <v>0</v>
      </c>
      <c r="E11630" s="196">
        <v>0</v>
      </c>
      <c r="F11630" s="196">
        <v>0</v>
      </c>
      <c r="G11630" s="196">
        <v>-270000</v>
      </c>
    </row>
    <row r="11631" spans="1:7" x14ac:dyDescent="0.3">
      <c r="A11631" s="198">
        <v>1040738555</v>
      </c>
      <c r="B11631" s="192" t="s">
        <v>6355</v>
      </c>
      <c r="C11631" s="196">
        <v>-5000</v>
      </c>
      <c r="D11631" s="196">
        <v>0</v>
      </c>
      <c r="E11631" s="196">
        <v>0</v>
      </c>
      <c r="F11631" s="196">
        <v>0</v>
      </c>
      <c r="G11631" s="196">
        <v>-5000</v>
      </c>
    </row>
    <row r="11632" spans="1:7" x14ac:dyDescent="0.3">
      <c r="A11632" s="198">
        <v>51842414</v>
      </c>
      <c r="B11632" s="192" t="s">
        <v>258</v>
      </c>
      <c r="C11632" s="196">
        <v>-270000</v>
      </c>
      <c r="D11632" s="196">
        <v>0</v>
      </c>
      <c r="E11632" s="196">
        <v>0</v>
      </c>
      <c r="F11632" s="196">
        <v>0</v>
      </c>
      <c r="G11632" s="196">
        <v>-270000</v>
      </c>
    </row>
    <row r="11633" spans="1:7" x14ac:dyDescent="0.3">
      <c r="A11633" s="198">
        <v>40991152</v>
      </c>
      <c r="B11633" s="192" t="s">
        <v>7350</v>
      </c>
      <c r="C11633" s="196">
        <v>-71000</v>
      </c>
      <c r="D11633" s="196">
        <v>0</v>
      </c>
      <c r="E11633" s="196">
        <v>0</v>
      </c>
      <c r="F11633" s="196">
        <v>0</v>
      </c>
      <c r="G11633" s="196">
        <v>-71000</v>
      </c>
    </row>
    <row r="11634" spans="1:7" x14ac:dyDescent="0.3">
      <c r="A11634" s="198">
        <v>1037644962</v>
      </c>
      <c r="B11634" s="192" t="s">
        <v>260</v>
      </c>
      <c r="C11634" s="196">
        <v>0</v>
      </c>
      <c r="D11634" s="196">
        <v>0</v>
      </c>
      <c r="E11634" s="196">
        <v>10000</v>
      </c>
      <c r="F11634" s="196">
        <v>-10000</v>
      </c>
      <c r="G11634" s="196">
        <v>-10000</v>
      </c>
    </row>
    <row r="11635" spans="1:7" x14ac:dyDescent="0.3">
      <c r="A11635" s="198">
        <v>1044100073</v>
      </c>
      <c r="B11635" s="192" t="s">
        <v>6359</v>
      </c>
      <c r="C11635" s="196">
        <v>-362400</v>
      </c>
      <c r="D11635" s="196">
        <v>0</v>
      </c>
      <c r="E11635" s="196">
        <v>0</v>
      </c>
      <c r="F11635" s="196">
        <v>0</v>
      </c>
      <c r="G11635" s="196">
        <v>-362400</v>
      </c>
    </row>
    <row r="11636" spans="1:7" x14ac:dyDescent="0.3">
      <c r="A11636" s="198">
        <v>43205122</v>
      </c>
      <c r="B11636" s="192" t="s">
        <v>262</v>
      </c>
      <c r="C11636" s="196">
        <v>0</v>
      </c>
      <c r="D11636" s="196">
        <v>0</v>
      </c>
      <c r="E11636" s="196">
        <v>290000</v>
      </c>
      <c r="F11636" s="196">
        <v>-290000</v>
      </c>
      <c r="G11636" s="196">
        <v>-290000</v>
      </c>
    </row>
    <row r="11637" spans="1:7" x14ac:dyDescent="0.3">
      <c r="A11637" s="198">
        <v>1097039306</v>
      </c>
      <c r="B11637" s="192" t="s">
        <v>7351</v>
      </c>
      <c r="C11637" s="196">
        <v>-5000</v>
      </c>
      <c r="D11637" s="196">
        <v>0</v>
      </c>
      <c r="E11637" s="196">
        <v>0</v>
      </c>
      <c r="F11637" s="196">
        <v>0</v>
      </c>
      <c r="G11637" s="196">
        <v>-5000</v>
      </c>
    </row>
    <row r="11638" spans="1:7" x14ac:dyDescent="0.3">
      <c r="A11638" s="198">
        <v>41638013</v>
      </c>
      <c r="B11638" s="192" t="s">
        <v>265</v>
      </c>
      <c r="C11638" s="196">
        <v>0</v>
      </c>
      <c r="D11638" s="196">
        <v>0</v>
      </c>
      <c r="E11638" s="196">
        <v>71000</v>
      </c>
      <c r="F11638" s="196">
        <v>-71000</v>
      </c>
      <c r="G11638" s="196">
        <v>-71000</v>
      </c>
    </row>
    <row r="11639" spans="1:7" x14ac:dyDescent="0.3">
      <c r="A11639" s="198">
        <v>42823856</v>
      </c>
      <c r="B11639" s="192" t="s">
        <v>7352</v>
      </c>
      <c r="C11639" s="196">
        <v>-270000</v>
      </c>
      <c r="D11639" s="196">
        <v>0</v>
      </c>
      <c r="E11639" s="196">
        <v>0</v>
      </c>
      <c r="F11639" s="196">
        <v>0</v>
      </c>
      <c r="G11639" s="196">
        <v>-270000</v>
      </c>
    </row>
    <row r="11640" spans="1:7" x14ac:dyDescent="0.3">
      <c r="A11640" s="198">
        <v>1038647572</v>
      </c>
      <c r="B11640" s="192" t="s">
        <v>275</v>
      </c>
      <c r="C11640" s="196">
        <v>0</v>
      </c>
      <c r="D11640" s="196">
        <v>0</v>
      </c>
      <c r="E11640" s="196">
        <v>175000</v>
      </c>
      <c r="F11640" s="196">
        <v>-175000</v>
      </c>
      <c r="G11640" s="196">
        <v>-175000</v>
      </c>
    </row>
    <row r="11641" spans="1:7" x14ac:dyDescent="0.3">
      <c r="A11641" s="198">
        <v>1037604035</v>
      </c>
      <c r="B11641" s="192" t="s">
        <v>7353</v>
      </c>
      <c r="C11641" s="196">
        <v>-56000</v>
      </c>
      <c r="D11641" s="196">
        <v>0</v>
      </c>
      <c r="E11641" s="196">
        <v>0</v>
      </c>
      <c r="F11641" s="196">
        <v>0</v>
      </c>
      <c r="G11641" s="196">
        <v>-56000</v>
      </c>
    </row>
    <row r="11642" spans="1:7" x14ac:dyDescent="0.3">
      <c r="A11642" s="198">
        <v>1004999021</v>
      </c>
      <c r="B11642" s="192" t="s">
        <v>6363</v>
      </c>
      <c r="C11642" s="196">
        <v>-5000</v>
      </c>
      <c r="D11642" s="196">
        <v>0</v>
      </c>
      <c r="E11642" s="196">
        <v>0</v>
      </c>
      <c r="F11642" s="196">
        <v>0</v>
      </c>
      <c r="G11642" s="196">
        <v>-5000</v>
      </c>
    </row>
    <row r="11643" spans="1:7" x14ac:dyDescent="0.3">
      <c r="A11643" s="198">
        <v>1036951245</v>
      </c>
      <c r="B11643" s="192" t="s">
        <v>6364</v>
      </c>
      <c r="C11643" s="196">
        <v>-377000</v>
      </c>
      <c r="D11643" s="196">
        <v>0</v>
      </c>
      <c r="E11643" s="196">
        <v>0</v>
      </c>
      <c r="F11643" s="196">
        <v>0</v>
      </c>
      <c r="G11643" s="196">
        <v>-377000</v>
      </c>
    </row>
    <row r="11644" spans="1:7" x14ac:dyDescent="0.3">
      <c r="A11644" s="198">
        <v>1036640188</v>
      </c>
      <c r="B11644" s="192" t="s">
        <v>6365</v>
      </c>
      <c r="C11644" s="196">
        <v>-5000</v>
      </c>
      <c r="D11644" s="196">
        <v>0</v>
      </c>
      <c r="E11644" s="196">
        <v>0</v>
      </c>
      <c r="F11644" s="196">
        <v>0</v>
      </c>
      <c r="G11644" s="196">
        <v>-5000</v>
      </c>
    </row>
    <row r="11645" spans="1:7" x14ac:dyDescent="0.3">
      <c r="A11645" s="198">
        <v>1102843942</v>
      </c>
      <c r="B11645" s="192" t="s">
        <v>2730</v>
      </c>
      <c r="C11645" s="196">
        <v>-175000</v>
      </c>
      <c r="D11645" s="196">
        <v>0</v>
      </c>
      <c r="E11645" s="196">
        <v>0</v>
      </c>
      <c r="F11645" s="196">
        <v>0</v>
      </c>
      <c r="G11645" s="196">
        <v>-175000</v>
      </c>
    </row>
    <row r="11646" spans="1:7" x14ac:dyDescent="0.3">
      <c r="A11646" s="198">
        <v>1152436230</v>
      </c>
      <c r="B11646" s="192" t="s">
        <v>2731</v>
      </c>
      <c r="C11646" s="196">
        <v>-211000</v>
      </c>
      <c r="D11646" s="196">
        <v>0</v>
      </c>
      <c r="E11646" s="196">
        <v>0</v>
      </c>
      <c r="F11646" s="196">
        <v>0</v>
      </c>
      <c r="G11646" s="196">
        <v>-211000</v>
      </c>
    </row>
    <row r="11647" spans="1:7" x14ac:dyDescent="0.3">
      <c r="A11647" s="198">
        <v>79596268</v>
      </c>
      <c r="B11647" s="192" t="s">
        <v>288</v>
      </c>
      <c r="C11647" s="196">
        <v>-71000</v>
      </c>
      <c r="D11647" s="196">
        <v>0</v>
      </c>
      <c r="E11647" s="196">
        <v>0</v>
      </c>
      <c r="F11647" s="196">
        <v>0</v>
      </c>
      <c r="G11647" s="196">
        <v>-71000</v>
      </c>
    </row>
    <row r="11648" spans="1:7" x14ac:dyDescent="0.3">
      <c r="A11648" s="198">
        <v>1000396725</v>
      </c>
      <c r="B11648" s="192" t="s">
        <v>6366</v>
      </c>
      <c r="C11648" s="196">
        <v>-175000</v>
      </c>
      <c r="D11648" s="196">
        <v>0</v>
      </c>
      <c r="E11648" s="196">
        <v>0</v>
      </c>
      <c r="F11648" s="196">
        <v>0</v>
      </c>
      <c r="G11648" s="196">
        <v>-175000</v>
      </c>
    </row>
    <row r="11649" spans="1:7" x14ac:dyDescent="0.3">
      <c r="A11649" s="198">
        <v>1020742053</v>
      </c>
      <c r="B11649" s="192" t="s">
        <v>290</v>
      </c>
      <c r="C11649" s="196">
        <v>0</v>
      </c>
      <c r="D11649" s="196">
        <v>0</v>
      </c>
      <c r="E11649" s="196">
        <v>206000</v>
      </c>
      <c r="F11649" s="196">
        <v>-206000</v>
      </c>
      <c r="G11649" s="196">
        <v>-206000</v>
      </c>
    </row>
    <row r="11650" spans="1:7" x14ac:dyDescent="0.3">
      <c r="A11650" s="198">
        <v>1036667081</v>
      </c>
      <c r="B11650" s="192" t="s">
        <v>2744</v>
      </c>
      <c r="C11650" s="196">
        <v>-175000</v>
      </c>
      <c r="D11650" s="196">
        <v>0</v>
      </c>
      <c r="E11650" s="196">
        <v>0</v>
      </c>
      <c r="F11650" s="196">
        <v>0</v>
      </c>
      <c r="G11650" s="196">
        <v>-175000</v>
      </c>
    </row>
    <row r="11651" spans="1:7" x14ac:dyDescent="0.3">
      <c r="A11651" s="198">
        <v>71316077</v>
      </c>
      <c r="B11651" s="192" t="s">
        <v>293</v>
      </c>
      <c r="C11651" s="196">
        <v>-253000</v>
      </c>
      <c r="D11651" s="196">
        <v>0</v>
      </c>
      <c r="E11651" s="196">
        <v>416000</v>
      </c>
      <c r="F11651" s="196">
        <v>-416000</v>
      </c>
      <c r="G11651" s="196">
        <v>-669000</v>
      </c>
    </row>
    <row r="11652" spans="1:7" x14ac:dyDescent="0.3">
      <c r="A11652" s="198">
        <v>1036668463</v>
      </c>
      <c r="B11652" s="192" t="s">
        <v>2749</v>
      </c>
      <c r="C11652" s="196">
        <v>-74600</v>
      </c>
      <c r="D11652" s="196">
        <v>0</v>
      </c>
      <c r="E11652" s="196">
        <v>0</v>
      </c>
      <c r="F11652" s="196">
        <v>0</v>
      </c>
      <c r="G11652" s="196">
        <v>-74600</v>
      </c>
    </row>
    <row r="11653" spans="1:7" x14ac:dyDescent="0.3">
      <c r="A11653" s="198">
        <v>1130671654</v>
      </c>
      <c r="B11653" s="192" t="s">
        <v>2754</v>
      </c>
      <c r="C11653" s="196">
        <v>-175000</v>
      </c>
      <c r="D11653" s="196">
        <v>0</v>
      </c>
      <c r="E11653" s="196">
        <v>0</v>
      </c>
      <c r="F11653" s="196">
        <v>0</v>
      </c>
      <c r="G11653" s="196">
        <v>-175000</v>
      </c>
    </row>
    <row r="11654" spans="1:7" x14ac:dyDescent="0.3">
      <c r="A11654" s="198">
        <v>1033650578</v>
      </c>
      <c r="B11654" s="192" t="s">
        <v>2758</v>
      </c>
      <c r="C11654" s="196">
        <v>-543000</v>
      </c>
      <c r="D11654" s="196">
        <v>0</v>
      </c>
      <c r="E11654" s="196">
        <v>0</v>
      </c>
      <c r="F11654" s="196">
        <v>0</v>
      </c>
      <c r="G11654" s="196">
        <v>-543000</v>
      </c>
    </row>
    <row r="11655" spans="1:7" x14ac:dyDescent="0.3">
      <c r="A11655" s="198">
        <v>6926044</v>
      </c>
      <c r="B11655" s="192" t="s">
        <v>2773</v>
      </c>
      <c r="C11655" s="196">
        <v>-67000</v>
      </c>
      <c r="D11655" s="196">
        <v>0</v>
      </c>
      <c r="E11655" s="196">
        <v>0</v>
      </c>
      <c r="F11655" s="196">
        <v>0</v>
      </c>
      <c r="G11655" s="196">
        <v>-67000</v>
      </c>
    </row>
    <row r="11656" spans="1:7" x14ac:dyDescent="0.3">
      <c r="A11656" s="198">
        <v>32733668</v>
      </c>
      <c r="B11656" s="192" t="s">
        <v>2777</v>
      </c>
      <c r="C11656" s="196">
        <v>-360000</v>
      </c>
      <c r="D11656" s="196">
        <v>0</v>
      </c>
      <c r="E11656" s="196">
        <v>0</v>
      </c>
      <c r="F11656" s="196">
        <v>0</v>
      </c>
      <c r="G11656" s="196">
        <v>-360000</v>
      </c>
    </row>
    <row r="11657" spans="1:7" x14ac:dyDescent="0.3">
      <c r="A11657" s="198">
        <v>39433638</v>
      </c>
      <c r="B11657" s="192" t="s">
        <v>6371</v>
      </c>
      <c r="C11657" s="196">
        <v>-9800</v>
      </c>
      <c r="D11657" s="196">
        <v>0</v>
      </c>
      <c r="E11657" s="196">
        <v>0</v>
      </c>
      <c r="F11657" s="196">
        <v>0</v>
      </c>
      <c r="G11657" s="196">
        <v>-9800</v>
      </c>
    </row>
    <row r="11658" spans="1:7" x14ac:dyDescent="0.3">
      <c r="A11658" s="198">
        <v>42968482</v>
      </c>
      <c r="B11658" s="192" t="s">
        <v>2786</v>
      </c>
      <c r="C11658" s="196">
        <v>-275000</v>
      </c>
      <c r="D11658" s="196">
        <v>0</v>
      </c>
      <c r="E11658" s="196">
        <v>0</v>
      </c>
      <c r="F11658" s="196">
        <v>0</v>
      </c>
      <c r="G11658" s="196">
        <v>-275000</v>
      </c>
    </row>
    <row r="11659" spans="1:7" x14ac:dyDescent="0.3">
      <c r="A11659" s="198">
        <v>43743320</v>
      </c>
      <c r="B11659" s="192" t="s">
        <v>2796</v>
      </c>
      <c r="C11659" s="196">
        <v>-52000</v>
      </c>
      <c r="D11659" s="196">
        <v>0</v>
      </c>
      <c r="E11659" s="196">
        <v>0</v>
      </c>
      <c r="F11659" s="196">
        <v>0</v>
      </c>
      <c r="G11659" s="196">
        <v>-52000</v>
      </c>
    </row>
    <row r="11660" spans="1:7" x14ac:dyDescent="0.3">
      <c r="A11660" s="198">
        <v>32409958</v>
      </c>
      <c r="B11660" s="192" t="s">
        <v>6376</v>
      </c>
      <c r="C11660" s="196">
        <v>-5000</v>
      </c>
      <c r="D11660" s="196">
        <v>0</v>
      </c>
      <c r="E11660" s="196">
        <v>0</v>
      </c>
      <c r="F11660" s="196">
        <v>0</v>
      </c>
      <c r="G11660" s="196">
        <v>-5000</v>
      </c>
    </row>
    <row r="11661" spans="1:7" x14ac:dyDescent="0.3">
      <c r="A11661" s="198">
        <v>1017220534</v>
      </c>
      <c r="B11661" s="192" t="s">
        <v>6379</v>
      </c>
      <c r="C11661" s="196">
        <v>-5000</v>
      </c>
      <c r="D11661" s="196">
        <v>0</v>
      </c>
      <c r="E11661" s="196">
        <v>0</v>
      </c>
      <c r="F11661" s="196">
        <v>0</v>
      </c>
      <c r="G11661" s="196">
        <v>-5000</v>
      </c>
    </row>
    <row r="11662" spans="1:7" x14ac:dyDescent="0.3">
      <c r="A11662" s="198">
        <v>1017258233</v>
      </c>
      <c r="B11662" s="192" t="s">
        <v>7354</v>
      </c>
      <c r="C11662" s="196">
        <v>-192000</v>
      </c>
      <c r="D11662" s="196">
        <v>0</v>
      </c>
      <c r="E11662" s="196">
        <v>0</v>
      </c>
      <c r="F11662" s="196">
        <v>0</v>
      </c>
      <c r="G11662" s="196">
        <v>-192000</v>
      </c>
    </row>
    <row r="11663" spans="1:7" x14ac:dyDescent="0.3">
      <c r="A11663" s="198">
        <v>1152223513</v>
      </c>
      <c r="B11663" s="192" t="s">
        <v>6380</v>
      </c>
      <c r="C11663" s="196">
        <v>-5000</v>
      </c>
      <c r="D11663" s="196">
        <v>0</v>
      </c>
      <c r="E11663" s="196">
        <v>0</v>
      </c>
      <c r="F11663" s="196">
        <v>0</v>
      </c>
      <c r="G11663" s="196">
        <v>-5000</v>
      </c>
    </row>
    <row r="11664" spans="1:7" x14ac:dyDescent="0.3">
      <c r="A11664" s="198">
        <v>1039688347</v>
      </c>
      <c r="B11664" s="192" t="s">
        <v>6382</v>
      </c>
      <c r="C11664" s="196">
        <v>-5000</v>
      </c>
      <c r="D11664" s="196">
        <v>0</v>
      </c>
      <c r="E11664" s="196">
        <v>0</v>
      </c>
      <c r="F11664" s="196">
        <v>0</v>
      </c>
      <c r="G11664" s="196">
        <v>-5000</v>
      </c>
    </row>
    <row r="11665" spans="1:7" x14ac:dyDescent="0.3">
      <c r="A11665" s="198">
        <v>37844057</v>
      </c>
      <c r="B11665" s="192" t="s">
        <v>2845</v>
      </c>
      <c r="C11665" s="196">
        <v>-64800</v>
      </c>
      <c r="D11665" s="196">
        <v>0</v>
      </c>
      <c r="E11665" s="196">
        <v>0</v>
      </c>
      <c r="F11665" s="196">
        <v>0</v>
      </c>
      <c r="G11665" s="196">
        <v>-64800</v>
      </c>
    </row>
    <row r="11666" spans="1:7" x14ac:dyDescent="0.3">
      <c r="A11666" s="198">
        <v>1000913499</v>
      </c>
      <c r="B11666" s="192" t="s">
        <v>6383</v>
      </c>
      <c r="C11666" s="196">
        <v>-5000</v>
      </c>
      <c r="D11666" s="196">
        <v>0</v>
      </c>
      <c r="E11666" s="196">
        <v>0</v>
      </c>
      <c r="F11666" s="196">
        <v>0</v>
      </c>
      <c r="G11666" s="196">
        <v>-5000</v>
      </c>
    </row>
    <row r="11667" spans="1:7" x14ac:dyDescent="0.3">
      <c r="A11667" s="198">
        <v>70419578</v>
      </c>
      <c r="B11667" s="192" t="s">
        <v>6385</v>
      </c>
      <c r="C11667" s="196">
        <v>-348000</v>
      </c>
      <c r="D11667" s="196">
        <v>0</v>
      </c>
      <c r="E11667" s="196">
        <v>0</v>
      </c>
      <c r="F11667" s="196">
        <v>0</v>
      </c>
      <c r="G11667" s="196">
        <v>-348000</v>
      </c>
    </row>
    <row r="11668" spans="1:7" x14ac:dyDescent="0.3">
      <c r="A11668" s="198">
        <v>21449741</v>
      </c>
      <c r="B11668" s="192" t="s">
        <v>320</v>
      </c>
      <c r="C11668" s="196">
        <v>0</v>
      </c>
      <c r="D11668" s="196">
        <v>0</v>
      </c>
      <c r="E11668" s="196">
        <v>200000</v>
      </c>
      <c r="F11668" s="196">
        <v>-200000</v>
      </c>
      <c r="G11668" s="196">
        <v>-200000</v>
      </c>
    </row>
    <row r="11669" spans="1:7" x14ac:dyDescent="0.3">
      <c r="A11669" s="198">
        <v>43265192</v>
      </c>
      <c r="B11669" s="192" t="s">
        <v>322</v>
      </c>
      <c r="C11669" s="196">
        <v>-270000</v>
      </c>
      <c r="D11669" s="196">
        <v>0</v>
      </c>
      <c r="E11669" s="196">
        <v>0</v>
      </c>
      <c r="F11669" s="196">
        <v>0</v>
      </c>
      <c r="G11669" s="196">
        <v>-270000</v>
      </c>
    </row>
    <row r="11670" spans="1:7" x14ac:dyDescent="0.3">
      <c r="A11670" s="198">
        <v>18108488</v>
      </c>
      <c r="B11670" s="192" t="s">
        <v>6386</v>
      </c>
      <c r="C11670" s="196">
        <v>-270000</v>
      </c>
      <c r="D11670" s="196">
        <v>0</v>
      </c>
      <c r="E11670" s="196">
        <v>0</v>
      </c>
      <c r="F11670" s="196">
        <v>0</v>
      </c>
      <c r="G11670" s="196">
        <v>-270000</v>
      </c>
    </row>
    <row r="11671" spans="1:7" x14ac:dyDescent="0.3">
      <c r="A11671" s="198">
        <v>1045046935</v>
      </c>
      <c r="B11671" s="192" t="s">
        <v>326</v>
      </c>
      <c r="C11671" s="196">
        <v>0</v>
      </c>
      <c r="D11671" s="196">
        <v>0</v>
      </c>
      <c r="E11671" s="196">
        <v>64800</v>
      </c>
      <c r="F11671" s="196">
        <v>-64800</v>
      </c>
      <c r="G11671" s="196">
        <v>-64800</v>
      </c>
    </row>
    <row r="11672" spans="1:7" x14ac:dyDescent="0.3">
      <c r="A11672" s="198">
        <v>34329018</v>
      </c>
      <c r="B11672" s="192" t="s">
        <v>2872</v>
      </c>
      <c r="C11672" s="196">
        <v>-142000</v>
      </c>
      <c r="D11672" s="196">
        <v>0</v>
      </c>
      <c r="E11672" s="196">
        <v>0</v>
      </c>
      <c r="F11672" s="196">
        <v>0</v>
      </c>
      <c r="G11672" s="196">
        <v>-142000</v>
      </c>
    </row>
    <row r="11673" spans="1:7" x14ac:dyDescent="0.3">
      <c r="A11673" s="198">
        <v>1036462841</v>
      </c>
      <c r="B11673" s="192" t="s">
        <v>327</v>
      </c>
      <c r="C11673" s="196">
        <v>0</v>
      </c>
      <c r="D11673" s="196">
        <v>0</v>
      </c>
      <c r="E11673" s="196">
        <v>67000</v>
      </c>
      <c r="F11673" s="196">
        <v>-67000</v>
      </c>
      <c r="G11673" s="196">
        <v>-67000</v>
      </c>
    </row>
    <row r="11674" spans="1:7" x14ac:dyDescent="0.3">
      <c r="A11674" s="198">
        <v>42982480</v>
      </c>
      <c r="B11674" s="192" t="s">
        <v>2877</v>
      </c>
      <c r="C11674" s="196">
        <v>-64800</v>
      </c>
      <c r="D11674" s="196">
        <v>0</v>
      </c>
      <c r="E11674" s="196">
        <v>0</v>
      </c>
      <c r="F11674" s="196">
        <v>0</v>
      </c>
      <c r="G11674" s="196">
        <v>-64800</v>
      </c>
    </row>
    <row r="11675" spans="1:7" x14ac:dyDescent="0.3">
      <c r="A11675" s="198">
        <v>28532219</v>
      </c>
      <c r="B11675" s="192" t="s">
        <v>332</v>
      </c>
      <c r="C11675" s="196">
        <v>-2416000</v>
      </c>
      <c r="D11675" s="196">
        <v>0</v>
      </c>
      <c r="E11675" s="196">
        <v>416000</v>
      </c>
      <c r="F11675" s="196">
        <v>-416000</v>
      </c>
      <c r="G11675" s="196">
        <v>-2832000</v>
      </c>
    </row>
    <row r="11676" spans="1:7" x14ac:dyDescent="0.3">
      <c r="A11676" s="198">
        <v>70691514</v>
      </c>
      <c r="B11676" s="192" t="s">
        <v>2881</v>
      </c>
      <c r="C11676" s="196">
        <v>-270000</v>
      </c>
      <c r="D11676" s="196">
        <v>0</v>
      </c>
      <c r="E11676" s="196">
        <v>0</v>
      </c>
      <c r="F11676" s="196">
        <v>0</v>
      </c>
      <c r="G11676" s="196">
        <v>-270000</v>
      </c>
    </row>
    <row r="11677" spans="1:7" x14ac:dyDescent="0.3">
      <c r="A11677" s="198">
        <v>10530462</v>
      </c>
      <c r="B11677" s="192" t="s">
        <v>333</v>
      </c>
      <c r="C11677" s="196">
        <v>-4900000</v>
      </c>
      <c r="D11677" s="196">
        <v>0</v>
      </c>
      <c r="E11677" s="196">
        <v>2450000</v>
      </c>
      <c r="F11677" s="196">
        <v>-2450000</v>
      </c>
      <c r="G11677" s="196">
        <v>-7350000</v>
      </c>
    </row>
    <row r="11678" spans="1:7" x14ac:dyDescent="0.3">
      <c r="A11678" s="198">
        <v>1035005899</v>
      </c>
      <c r="B11678" s="192" t="s">
        <v>335</v>
      </c>
      <c r="C11678" s="196">
        <v>0</v>
      </c>
      <c r="D11678" s="196">
        <v>0</v>
      </c>
      <c r="E11678" s="196">
        <v>67000</v>
      </c>
      <c r="F11678" s="196">
        <v>-67000</v>
      </c>
      <c r="G11678" s="196">
        <v>-67000</v>
      </c>
    </row>
    <row r="11679" spans="1:7" x14ac:dyDescent="0.3">
      <c r="A11679" s="198">
        <v>43627566</v>
      </c>
      <c r="B11679" s="192" t="s">
        <v>2888</v>
      </c>
      <c r="C11679" s="196">
        <v>-56000</v>
      </c>
      <c r="D11679" s="196">
        <v>0</v>
      </c>
      <c r="E11679" s="196">
        <v>0</v>
      </c>
      <c r="F11679" s="196">
        <v>0</v>
      </c>
      <c r="G11679" s="196">
        <v>-56000</v>
      </c>
    </row>
    <row r="11680" spans="1:7" x14ac:dyDescent="0.3">
      <c r="A11680" s="192" t="s">
        <v>106</v>
      </c>
      <c r="B11680" s="192" t="s">
        <v>105</v>
      </c>
      <c r="C11680" s="196">
        <v>0</v>
      </c>
      <c r="D11680" s="196">
        <v>0</v>
      </c>
      <c r="E11680" s="196">
        <v>175000</v>
      </c>
      <c r="F11680" s="196">
        <v>-175000</v>
      </c>
      <c r="G11680" s="196">
        <v>-175000</v>
      </c>
    </row>
    <row r="11681" spans="1:7" x14ac:dyDescent="0.3">
      <c r="A11681" s="198">
        <v>1098747826</v>
      </c>
      <c r="B11681" s="192" t="s">
        <v>2889</v>
      </c>
      <c r="C11681" s="196">
        <v>-67000</v>
      </c>
      <c r="D11681" s="196">
        <v>0</v>
      </c>
      <c r="E11681" s="196">
        <v>0</v>
      </c>
      <c r="F11681" s="196">
        <v>0</v>
      </c>
      <c r="G11681" s="196">
        <v>-67000</v>
      </c>
    </row>
    <row r="11682" spans="1:7" x14ac:dyDescent="0.3">
      <c r="A11682" s="198">
        <v>42755787</v>
      </c>
      <c r="B11682" s="192" t="s">
        <v>6392</v>
      </c>
      <c r="C11682" s="196">
        <v>-270000</v>
      </c>
      <c r="D11682" s="196">
        <v>0</v>
      </c>
      <c r="E11682" s="196">
        <v>0</v>
      </c>
      <c r="F11682" s="196">
        <v>0</v>
      </c>
      <c r="G11682" s="196">
        <v>-270000</v>
      </c>
    </row>
    <row r="11683" spans="1:7" x14ac:dyDescent="0.3">
      <c r="A11683" s="198">
        <v>43062123</v>
      </c>
      <c r="B11683" s="192" t="s">
        <v>342</v>
      </c>
      <c r="C11683" s="196">
        <v>-270000</v>
      </c>
      <c r="D11683" s="196">
        <v>0</v>
      </c>
      <c r="E11683" s="196">
        <v>0</v>
      </c>
      <c r="F11683" s="196">
        <v>0</v>
      </c>
      <c r="G11683" s="196">
        <v>-270000</v>
      </c>
    </row>
    <row r="11684" spans="1:7" x14ac:dyDescent="0.3">
      <c r="A11684" s="198">
        <v>42751175</v>
      </c>
      <c r="B11684" s="192" t="s">
        <v>6395</v>
      </c>
      <c r="C11684" s="196">
        <v>-5000</v>
      </c>
      <c r="D11684" s="196">
        <v>0</v>
      </c>
      <c r="E11684" s="196">
        <v>0</v>
      </c>
      <c r="F11684" s="196">
        <v>0</v>
      </c>
      <c r="G11684" s="196">
        <v>-5000</v>
      </c>
    </row>
    <row r="11685" spans="1:7" x14ac:dyDescent="0.3">
      <c r="A11685" s="198">
        <v>21714188</v>
      </c>
      <c r="B11685" s="192" t="s">
        <v>343</v>
      </c>
      <c r="C11685" s="196">
        <v>-290000</v>
      </c>
      <c r="D11685" s="196">
        <v>0</v>
      </c>
      <c r="E11685" s="196">
        <v>0</v>
      </c>
      <c r="F11685" s="196">
        <v>0</v>
      </c>
      <c r="G11685" s="196">
        <v>-290000</v>
      </c>
    </row>
    <row r="11686" spans="1:7" x14ac:dyDescent="0.3">
      <c r="A11686" s="198">
        <v>24836512</v>
      </c>
      <c r="B11686" s="192" t="s">
        <v>6397</v>
      </c>
      <c r="C11686" s="196">
        <v>-10000</v>
      </c>
      <c r="D11686" s="196">
        <v>0</v>
      </c>
      <c r="E11686" s="196">
        <v>0</v>
      </c>
      <c r="F11686" s="196">
        <v>0</v>
      </c>
      <c r="G11686" s="196">
        <v>-10000</v>
      </c>
    </row>
    <row r="11687" spans="1:7" x14ac:dyDescent="0.3">
      <c r="A11687" s="198">
        <v>315321</v>
      </c>
      <c r="B11687" s="192" t="s">
        <v>2912</v>
      </c>
      <c r="C11687" s="196">
        <v>-270000</v>
      </c>
      <c r="D11687" s="196">
        <v>0</v>
      </c>
      <c r="E11687" s="196">
        <v>0</v>
      </c>
      <c r="F11687" s="196">
        <v>0</v>
      </c>
      <c r="G11687" s="196">
        <v>-270000</v>
      </c>
    </row>
    <row r="11688" spans="1:7" x14ac:dyDescent="0.3">
      <c r="A11688" s="198">
        <v>42968835</v>
      </c>
      <c r="B11688" s="192" t="s">
        <v>349</v>
      </c>
      <c r="C11688" s="196">
        <v>-137000</v>
      </c>
      <c r="D11688" s="196">
        <v>0</v>
      </c>
      <c r="E11688" s="196">
        <v>0</v>
      </c>
      <c r="F11688" s="196">
        <v>0</v>
      </c>
      <c r="G11688" s="196">
        <v>-137000</v>
      </c>
    </row>
    <row r="11689" spans="1:7" x14ac:dyDescent="0.3">
      <c r="A11689" s="198">
        <v>88157555</v>
      </c>
      <c r="B11689" s="192" t="s">
        <v>2916</v>
      </c>
      <c r="C11689" s="196">
        <v>-270000</v>
      </c>
      <c r="D11689" s="196">
        <v>0</v>
      </c>
      <c r="E11689" s="196">
        <v>0</v>
      </c>
      <c r="F11689" s="196">
        <v>0</v>
      </c>
      <c r="G11689" s="196">
        <v>-270000</v>
      </c>
    </row>
    <row r="11690" spans="1:7" x14ac:dyDescent="0.3">
      <c r="A11690" s="198">
        <v>22211398</v>
      </c>
      <c r="B11690" s="192" t="s">
        <v>2928</v>
      </c>
      <c r="C11690" s="196">
        <v>-270000</v>
      </c>
      <c r="D11690" s="196">
        <v>0</v>
      </c>
      <c r="E11690" s="196">
        <v>0</v>
      </c>
      <c r="F11690" s="196">
        <v>0</v>
      </c>
      <c r="G11690" s="196">
        <v>-270000</v>
      </c>
    </row>
    <row r="11691" spans="1:7" x14ac:dyDescent="0.3">
      <c r="A11691" s="198">
        <v>52319132</v>
      </c>
      <c r="B11691" s="192" t="s">
        <v>356</v>
      </c>
      <c r="C11691" s="196">
        <v>-290000</v>
      </c>
      <c r="D11691" s="196">
        <v>0</v>
      </c>
      <c r="E11691" s="196">
        <v>0</v>
      </c>
      <c r="F11691" s="196">
        <v>0</v>
      </c>
      <c r="G11691" s="196">
        <v>-290000</v>
      </c>
    </row>
    <row r="11692" spans="1:7" x14ac:dyDescent="0.3">
      <c r="A11692" s="192" t="s">
        <v>360</v>
      </c>
      <c r="B11692" s="192" t="s">
        <v>361</v>
      </c>
      <c r="C11692" s="196">
        <v>0</v>
      </c>
      <c r="D11692" s="196">
        <v>0</v>
      </c>
      <c r="E11692" s="196">
        <v>85000</v>
      </c>
      <c r="F11692" s="196">
        <v>-85000</v>
      </c>
      <c r="G11692" s="196">
        <v>-85000</v>
      </c>
    </row>
    <row r="11693" spans="1:7" x14ac:dyDescent="0.3">
      <c r="A11693" s="198">
        <v>43746429</v>
      </c>
      <c r="B11693" s="192" t="s">
        <v>366</v>
      </c>
      <c r="C11693" s="196">
        <v>0</v>
      </c>
      <c r="D11693" s="196">
        <v>0</v>
      </c>
      <c r="E11693" s="196">
        <v>5000</v>
      </c>
      <c r="F11693" s="196">
        <v>-5000</v>
      </c>
      <c r="G11693" s="196">
        <v>-5000</v>
      </c>
    </row>
    <row r="11694" spans="1:7" x14ac:dyDescent="0.3">
      <c r="A11694" s="198">
        <v>43068485</v>
      </c>
      <c r="B11694" s="192" t="s">
        <v>2940</v>
      </c>
      <c r="C11694" s="196">
        <v>-103000</v>
      </c>
      <c r="D11694" s="196">
        <v>0</v>
      </c>
      <c r="E11694" s="196">
        <v>0</v>
      </c>
      <c r="F11694" s="196">
        <v>0</v>
      </c>
      <c r="G11694" s="196">
        <v>-103000</v>
      </c>
    </row>
    <row r="11695" spans="1:7" x14ac:dyDescent="0.3">
      <c r="A11695" s="198">
        <v>32329884</v>
      </c>
      <c r="B11695" s="192" t="s">
        <v>367</v>
      </c>
      <c r="C11695" s="196">
        <v>-270000</v>
      </c>
      <c r="D11695" s="196">
        <v>0</v>
      </c>
      <c r="E11695" s="196">
        <v>145000</v>
      </c>
      <c r="F11695" s="196">
        <v>-145000</v>
      </c>
      <c r="G11695" s="196">
        <v>-415000</v>
      </c>
    </row>
    <row r="11696" spans="1:7" x14ac:dyDescent="0.3">
      <c r="A11696" s="198">
        <v>43085137</v>
      </c>
      <c r="B11696" s="192" t="s">
        <v>368</v>
      </c>
      <c r="C11696" s="196">
        <v>0</v>
      </c>
      <c r="D11696" s="196">
        <v>0</v>
      </c>
      <c r="E11696" s="196">
        <v>5000</v>
      </c>
      <c r="F11696" s="196">
        <v>-5000</v>
      </c>
      <c r="G11696" s="196">
        <v>-5000</v>
      </c>
    </row>
    <row r="11697" spans="1:7" x14ac:dyDescent="0.3">
      <c r="A11697" s="192" t="s">
        <v>370</v>
      </c>
      <c r="B11697" s="192" t="s">
        <v>371</v>
      </c>
      <c r="C11697" s="196">
        <v>0</v>
      </c>
      <c r="D11697" s="196">
        <v>0</v>
      </c>
      <c r="E11697" s="196">
        <v>211000</v>
      </c>
      <c r="F11697" s="196">
        <v>-211000</v>
      </c>
      <c r="G11697" s="196">
        <v>-211000</v>
      </c>
    </row>
    <row r="11698" spans="1:7" x14ac:dyDescent="0.3">
      <c r="A11698" s="198">
        <v>70905203</v>
      </c>
      <c r="B11698" s="192" t="s">
        <v>2950</v>
      </c>
      <c r="C11698" s="196">
        <v>-136100</v>
      </c>
      <c r="D11698" s="196">
        <v>0</v>
      </c>
      <c r="E11698" s="196">
        <v>0</v>
      </c>
      <c r="F11698" s="196">
        <v>0</v>
      </c>
      <c r="G11698" s="196">
        <v>-136100</v>
      </c>
    </row>
    <row r="11699" spans="1:7" x14ac:dyDescent="0.3">
      <c r="A11699" s="192" t="s">
        <v>2951</v>
      </c>
      <c r="B11699" s="192" t="s">
        <v>2952</v>
      </c>
      <c r="C11699" s="196">
        <v>-270000</v>
      </c>
      <c r="D11699" s="196">
        <v>0</v>
      </c>
      <c r="E11699" s="196">
        <v>0</v>
      </c>
      <c r="F11699" s="196">
        <v>0</v>
      </c>
      <c r="G11699" s="196">
        <v>-270000</v>
      </c>
    </row>
    <row r="11700" spans="1:7" x14ac:dyDescent="0.3">
      <c r="A11700" s="198">
        <v>1001004076</v>
      </c>
      <c r="B11700" s="192" t="s">
        <v>2956</v>
      </c>
      <c r="C11700" s="196">
        <v>-31300</v>
      </c>
      <c r="D11700" s="196">
        <v>0</v>
      </c>
      <c r="E11700" s="196">
        <v>0</v>
      </c>
      <c r="F11700" s="196">
        <v>0</v>
      </c>
      <c r="G11700" s="196">
        <v>-31300</v>
      </c>
    </row>
    <row r="11701" spans="1:7" x14ac:dyDescent="0.3">
      <c r="A11701" s="192" t="s">
        <v>6410</v>
      </c>
      <c r="B11701" s="192" t="s">
        <v>6411</v>
      </c>
      <c r="C11701" s="196">
        <v>-175000</v>
      </c>
      <c r="D11701" s="196">
        <v>0</v>
      </c>
      <c r="E11701" s="196">
        <v>0</v>
      </c>
      <c r="F11701" s="196">
        <v>0</v>
      </c>
      <c r="G11701" s="196">
        <v>-175000</v>
      </c>
    </row>
    <row r="11702" spans="1:7" x14ac:dyDescent="0.3">
      <c r="A11702" s="198">
        <v>1032431486</v>
      </c>
      <c r="B11702" s="192" t="s">
        <v>376</v>
      </c>
      <c r="C11702" s="196">
        <v>0</v>
      </c>
      <c r="D11702" s="196">
        <v>0</v>
      </c>
      <c r="E11702" s="196">
        <v>448000</v>
      </c>
      <c r="F11702" s="196">
        <v>-448000</v>
      </c>
      <c r="G11702" s="196">
        <v>-448000</v>
      </c>
    </row>
    <row r="11703" spans="1:7" x14ac:dyDescent="0.3">
      <c r="A11703" s="198">
        <v>1035284171</v>
      </c>
      <c r="B11703" s="192" t="s">
        <v>2958</v>
      </c>
      <c r="C11703" s="196">
        <v>-138800</v>
      </c>
      <c r="D11703" s="196">
        <v>0</v>
      </c>
      <c r="E11703" s="196">
        <v>0</v>
      </c>
      <c r="F11703" s="196">
        <v>0</v>
      </c>
      <c r="G11703" s="196">
        <v>-138800</v>
      </c>
    </row>
    <row r="11704" spans="1:7" x14ac:dyDescent="0.3">
      <c r="A11704" s="198">
        <v>1037613475</v>
      </c>
      <c r="B11704" s="192" t="s">
        <v>381</v>
      </c>
      <c r="C11704" s="196">
        <v>0</v>
      </c>
      <c r="D11704" s="196">
        <v>0</v>
      </c>
      <c r="E11704" s="196">
        <v>62100</v>
      </c>
      <c r="F11704" s="196">
        <v>-62100</v>
      </c>
      <c r="G11704" s="196">
        <v>-62100</v>
      </c>
    </row>
    <row r="11705" spans="1:7" x14ac:dyDescent="0.3">
      <c r="A11705" s="198">
        <v>1004999300</v>
      </c>
      <c r="B11705" s="192" t="s">
        <v>6413</v>
      </c>
      <c r="C11705" s="196">
        <v>-5000</v>
      </c>
      <c r="D11705" s="196">
        <v>0</v>
      </c>
      <c r="E11705" s="196">
        <v>0</v>
      </c>
      <c r="F11705" s="196">
        <v>0</v>
      </c>
      <c r="G11705" s="196">
        <v>-5000</v>
      </c>
    </row>
    <row r="11706" spans="1:7" x14ac:dyDescent="0.3">
      <c r="A11706" s="198">
        <v>93405068</v>
      </c>
      <c r="B11706" s="192" t="s">
        <v>2985</v>
      </c>
      <c r="C11706" s="196">
        <v>-290000</v>
      </c>
      <c r="D11706" s="196">
        <v>0</v>
      </c>
      <c r="E11706" s="196">
        <v>0</v>
      </c>
      <c r="F11706" s="196">
        <v>0</v>
      </c>
      <c r="G11706" s="196">
        <v>-290000</v>
      </c>
    </row>
    <row r="11707" spans="1:7" x14ac:dyDescent="0.3">
      <c r="A11707" s="198">
        <v>4355477</v>
      </c>
      <c r="B11707" s="192" t="s">
        <v>2986</v>
      </c>
      <c r="C11707" s="196">
        <v>-67000</v>
      </c>
      <c r="D11707" s="196">
        <v>0</v>
      </c>
      <c r="E11707" s="196">
        <v>0</v>
      </c>
      <c r="F11707" s="196">
        <v>0</v>
      </c>
      <c r="G11707" s="196">
        <v>-67000</v>
      </c>
    </row>
    <row r="11708" spans="1:7" x14ac:dyDescent="0.3">
      <c r="A11708" s="198">
        <v>1039455064</v>
      </c>
      <c r="B11708" s="192" t="s">
        <v>2988</v>
      </c>
      <c r="C11708" s="196">
        <v>-175000</v>
      </c>
      <c r="D11708" s="196">
        <v>0</v>
      </c>
      <c r="E11708" s="196">
        <v>0</v>
      </c>
      <c r="F11708" s="196">
        <v>0</v>
      </c>
      <c r="G11708" s="196">
        <v>-175000</v>
      </c>
    </row>
    <row r="11709" spans="1:7" x14ac:dyDescent="0.3">
      <c r="A11709" s="198">
        <v>16270788</v>
      </c>
      <c r="B11709" s="192" t="s">
        <v>391</v>
      </c>
      <c r="C11709" s="196">
        <v>-759000</v>
      </c>
      <c r="D11709" s="196">
        <v>0</v>
      </c>
      <c r="E11709" s="196">
        <v>253000</v>
      </c>
      <c r="F11709" s="196">
        <v>-253000</v>
      </c>
      <c r="G11709" s="196">
        <v>-1012000</v>
      </c>
    </row>
    <row r="11710" spans="1:7" x14ac:dyDescent="0.3">
      <c r="A11710" s="198">
        <v>92523543</v>
      </c>
      <c r="B11710" s="192" t="s">
        <v>2991</v>
      </c>
      <c r="C11710" s="196">
        <v>-500200</v>
      </c>
      <c r="D11710" s="196">
        <v>0</v>
      </c>
      <c r="E11710" s="196">
        <v>0</v>
      </c>
      <c r="F11710" s="196">
        <v>0</v>
      </c>
      <c r="G11710" s="196">
        <v>-500200</v>
      </c>
    </row>
    <row r="11711" spans="1:7" x14ac:dyDescent="0.3">
      <c r="A11711" s="198">
        <v>1152184214</v>
      </c>
      <c r="B11711" s="192" t="s">
        <v>393</v>
      </c>
      <c r="C11711" s="196">
        <v>-40000</v>
      </c>
      <c r="D11711" s="196">
        <v>0</v>
      </c>
      <c r="E11711" s="196">
        <v>0</v>
      </c>
      <c r="F11711" s="196">
        <v>0</v>
      </c>
      <c r="G11711" s="196">
        <v>-40000</v>
      </c>
    </row>
    <row r="11712" spans="1:7" x14ac:dyDescent="0.3">
      <c r="A11712" s="198">
        <v>79934902</v>
      </c>
      <c r="B11712" s="192" t="s">
        <v>394</v>
      </c>
      <c r="C11712" s="196">
        <v>0</v>
      </c>
      <c r="D11712" s="196">
        <v>0</v>
      </c>
      <c r="E11712" s="196">
        <v>64800</v>
      </c>
      <c r="F11712" s="196">
        <v>-64800</v>
      </c>
      <c r="G11712" s="196">
        <v>-64800</v>
      </c>
    </row>
    <row r="11713" spans="1:7" x14ac:dyDescent="0.3">
      <c r="A11713" s="198">
        <v>1037658564</v>
      </c>
      <c r="B11713" s="192" t="s">
        <v>3000</v>
      </c>
      <c r="C11713" s="196">
        <v>-175000</v>
      </c>
      <c r="D11713" s="196">
        <v>0</v>
      </c>
      <c r="E11713" s="196">
        <v>0</v>
      </c>
      <c r="F11713" s="196">
        <v>0</v>
      </c>
      <c r="G11713" s="196">
        <v>-175000</v>
      </c>
    </row>
    <row r="11714" spans="1:7" x14ac:dyDescent="0.3">
      <c r="A11714" s="198">
        <v>8164665</v>
      </c>
      <c r="B11714" s="192" t="s">
        <v>3001</v>
      </c>
      <c r="C11714" s="196">
        <v>-270000</v>
      </c>
      <c r="D11714" s="196">
        <v>0</v>
      </c>
      <c r="E11714" s="196">
        <v>0</v>
      </c>
      <c r="F11714" s="196">
        <v>0</v>
      </c>
      <c r="G11714" s="196">
        <v>-270000</v>
      </c>
    </row>
    <row r="11715" spans="1:7" x14ac:dyDescent="0.3">
      <c r="A11715" s="198">
        <v>15379473</v>
      </c>
      <c r="B11715" s="192" t="s">
        <v>3005</v>
      </c>
      <c r="C11715" s="196">
        <v>-270000</v>
      </c>
      <c r="D11715" s="196">
        <v>0</v>
      </c>
      <c r="E11715" s="196">
        <v>0</v>
      </c>
      <c r="F11715" s="196">
        <v>0</v>
      </c>
      <c r="G11715" s="196">
        <v>-270000</v>
      </c>
    </row>
    <row r="11716" spans="1:7" x14ac:dyDescent="0.3">
      <c r="A11716" s="198">
        <v>71741945</v>
      </c>
      <c r="B11716" s="192" t="s">
        <v>6420</v>
      </c>
      <c r="C11716" s="196">
        <v>-177000</v>
      </c>
      <c r="D11716" s="196">
        <v>0</v>
      </c>
      <c r="E11716" s="196">
        <v>0</v>
      </c>
      <c r="F11716" s="196">
        <v>0</v>
      </c>
      <c r="G11716" s="196">
        <v>-177000</v>
      </c>
    </row>
    <row r="11717" spans="1:7" x14ac:dyDescent="0.3">
      <c r="A11717" s="198">
        <v>15666288</v>
      </c>
      <c r="B11717" s="192" t="s">
        <v>3018</v>
      </c>
      <c r="C11717" s="196">
        <v>-64000</v>
      </c>
      <c r="D11717" s="196">
        <v>0</v>
      </c>
      <c r="E11717" s="196">
        <v>0</v>
      </c>
      <c r="F11717" s="196">
        <v>0</v>
      </c>
      <c r="G11717" s="196">
        <v>-64000</v>
      </c>
    </row>
    <row r="11718" spans="1:7" x14ac:dyDescent="0.3">
      <c r="A11718" s="198">
        <v>8015245</v>
      </c>
      <c r="B11718" s="192" t="s">
        <v>3019</v>
      </c>
      <c r="C11718" s="196">
        <v>-134100</v>
      </c>
      <c r="D11718" s="196">
        <v>0</v>
      </c>
      <c r="E11718" s="196">
        <v>0</v>
      </c>
      <c r="F11718" s="196">
        <v>0</v>
      </c>
      <c r="G11718" s="196">
        <v>-134100</v>
      </c>
    </row>
    <row r="11719" spans="1:7" x14ac:dyDescent="0.3">
      <c r="A11719" s="198">
        <v>1037618464</v>
      </c>
      <c r="B11719" s="192" t="s">
        <v>6424</v>
      </c>
      <c r="C11719" s="196">
        <v>-377000</v>
      </c>
      <c r="D11719" s="196">
        <v>0</v>
      </c>
      <c r="E11719" s="196">
        <v>0</v>
      </c>
      <c r="F11719" s="196">
        <v>0</v>
      </c>
      <c r="G11719" s="196">
        <v>-377000</v>
      </c>
    </row>
    <row r="11720" spans="1:7" x14ac:dyDescent="0.3">
      <c r="A11720" s="198">
        <v>42889411</v>
      </c>
      <c r="B11720" s="192" t="s">
        <v>402</v>
      </c>
      <c r="C11720" s="196">
        <v>-62100</v>
      </c>
      <c r="D11720" s="196">
        <v>0</v>
      </c>
      <c r="E11720" s="196">
        <v>0</v>
      </c>
      <c r="F11720" s="196">
        <v>0</v>
      </c>
      <c r="G11720" s="196">
        <v>-62100</v>
      </c>
    </row>
    <row r="11721" spans="1:7" x14ac:dyDescent="0.3">
      <c r="A11721" s="198">
        <v>31134111</v>
      </c>
      <c r="B11721" s="192" t="s">
        <v>404</v>
      </c>
      <c r="C11721" s="196">
        <v>0</v>
      </c>
      <c r="D11721" s="196">
        <v>0</v>
      </c>
      <c r="E11721" s="196">
        <v>111000</v>
      </c>
      <c r="F11721" s="196">
        <v>-111000</v>
      </c>
      <c r="G11721" s="196">
        <v>-111000</v>
      </c>
    </row>
    <row r="11722" spans="1:7" x14ac:dyDescent="0.3">
      <c r="A11722" s="198">
        <v>1017223502</v>
      </c>
      <c r="B11722" s="192" t="s">
        <v>6427</v>
      </c>
      <c r="C11722" s="196">
        <v>-5000</v>
      </c>
      <c r="D11722" s="196">
        <v>0</v>
      </c>
      <c r="E11722" s="196">
        <v>0</v>
      </c>
      <c r="F11722" s="196">
        <v>0</v>
      </c>
      <c r="G11722" s="196">
        <v>-5000</v>
      </c>
    </row>
    <row r="11723" spans="1:7" x14ac:dyDescent="0.3">
      <c r="A11723" s="198">
        <v>1001250047</v>
      </c>
      <c r="B11723" s="192" t="s">
        <v>406</v>
      </c>
      <c r="C11723" s="196">
        <v>0</v>
      </c>
      <c r="D11723" s="196">
        <v>0</v>
      </c>
      <c r="E11723" s="196">
        <v>5000</v>
      </c>
      <c r="F11723" s="196">
        <v>-5000</v>
      </c>
      <c r="G11723" s="196">
        <v>-5000</v>
      </c>
    </row>
    <row r="11724" spans="1:7" x14ac:dyDescent="0.3">
      <c r="A11724" s="198">
        <v>53002628</v>
      </c>
      <c r="B11724" s="192" t="s">
        <v>6428</v>
      </c>
      <c r="C11724" s="196">
        <v>-500200</v>
      </c>
      <c r="D11724" s="196">
        <v>0</v>
      </c>
      <c r="E11724" s="196">
        <v>0</v>
      </c>
      <c r="F11724" s="196">
        <v>0</v>
      </c>
      <c r="G11724" s="196">
        <v>-500200</v>
      </c>
    </row>
    <row r="11725" spans="1:7" x14ac:dyDescent="0.3">
      <c r="A11725" s="198">
        <v>1042150125</v>
      </c>
      <c r="B11725" s="192" t="s">
        <v>6430</v>
      </c>
      <c r="C11725" s="196">
        <v>-5000</v>
      </c>
      <c r="D11725" s="196">
        <v>0</v>
      </c>
      <c r="E11725" s="196">
        <v>0</v>
      </c>
      <c r="F11725" s="196">
        <v>0</v>
      </c>
      <c r="G11725" s="196">
        <v>-5000</v>
      </c>
    </row>
    <row r="11726" spans="1:7" x14ac:dyDescent="0.3">
      <c r="A11726" s="198">
        <v>1035436811</v>
      </c>
      <c r="B11726" s="192" t="s">
        <v>3044</v>
      </c>
      <c r="C11726" s="196">
        <v>-67000</v>
      </c>
      <c r="D11726" s="196">
        <v>0</v>
      </c>
      <c r="E11726" s="196">
        <v>0</v>
      </c>
      <c r="F11726" s="196">
        <v>0</v>
      </c>
      <c r="G11726" s="196">
        <v>-67000</v>
      </c>
    </row>
    <row r="11727" spans="1:7" x14ac:dyDescent="0.3">
      <c r="A11727" s="198">
        <v>32207106</v>
      </c>
      <c r="B11727" s="192" t="s">
        <v>409</v>
      </c>
      <c r="C11727" s="196">
        <v>0</v>
      </c>
      <c r="D11727" s="196">
        <v>0</v>
      </c>
      <c r="E11727" s="196">
        <v>111000</v>
      </c>
      <c r="F11727" s="196">
        <v>-111000</v>
      </c>
      <c r="G11727" s="196">
        <v>-111000</v>
      </c>
    </row>
    <row r="11728" spans="1:7" x14ac:dyDescent="0.3">
      <c r="A11728" s="198">
        <v>1039451040</v>
      </c>
      <c r="B11728" s="192" t="s">
        <v>414</v>
      </c>
      <c r="C11728" s="196">
        <v>0</v>
      </c>
      <c r="D11728" s="196">
        <v>0</v>
      </c>
      <c r="E11728" s="196">
        <v>85000</v>
      </c>
      <c r="F11728" s="196">
        <v>-85000</v>
      </c>
      <c r="G11728" s="196">
        <v>-85000</v>
      </c>
    </row>
    <row r="11729" spans="1:7" x14ac:dyDescent="0.3">
      <c r="A11729" s="198">
        <v>1035874062</v>
      </c>
      <c r="B11729" s="192" t="s">
        <v>6434</v>
      </c>
      <c r="C11729" s="196">
        <v>-5000</v>
      </c>
      <c r="D11729" s="196">
        <v>0</v>
      </c>
      <c r="E11729" s="196">
        <v>0</v>
      </c>
      <c r="F11729" s="196">
        <v>0</v>
      </c>
      <c r="G11729" s="196">
        <v>-5000</v>
      </c>
    </row>
    <row r="11730" spans="1:7" x14ac:dyDescent="0.3">
      <c r="A11730" s="198">
        <v>1128417045</v>
      </c>
      <c r="B11730" s="192" t="s">
        <v>6437</v>
      </c>
      <c r="C11730" s="196">
        <v>-5000</v>
      </c>
      <c r="D11730" s="196">
        <v>0</v>
      </c>
      <c r="E11730" s="196">
        <v>0</v>
      </c>
      <c r="F11730" s="196">
        <v>0</v>
      </c>
      <c r="G11730" s="196">
        <v>-5000</v>
      </c>
    </row>
    <row r="11731" spans="1:7" x14ac:dyDescent="0.3">
      <c r="A11731" s="198">
        <v>1017201855</v>
      </c>
      <c r="B11731" s="192" t="s">
        <v>3080</v>
      </c>
      <c r="C11731" s="196">
        <v>-175000</v>
      </c>
      <c r="D11731" s="196">
        <v>0</v>
      </c>
      <c r="E11731" s="196">
        <v>0</v>
      </c>
      <c r="F11731" s="196">
        <v>0</v>
      </c>
      <c r="G11731" s="196">
        <v>-175000</v>
      </c>
    </row>
    <row r="11732" spans="1:7" x14ac:dyDescent="0.3">
      <c r="A11732" s="198">
        <v>71493047</v>
      </c>
      <c r="B11732" s="192" t="s">
        <v>3098</v>
      </c>
      <c r="C11732" s="196">
        <v>-290000</v>
      </c>
      <c r="D11732" s="196">
        <v>0</v>
      </c>
      <c r="E11732" s="196">
        <v>0</v>
      </c>
      <c r="F11732" s="196">
        <v>0</v>
      </c>
      <c r="G11732" s="196">
        <v>-290000</v>
      </c>
    </row>
    <row r="11733" spans="1:7" x14ac:dyDescent="0.3">
      <c r="A11733" s="198">
        <v>80231527</v>
      </c>
      <c r="B11733" s="192" t="s">
        <v>3103</v>
      </c>
      <c r="C11733" s="196">
        <v>-175000</v>
      </c>
      <c r="D11733" s="196">
        <v>0</v>
      </c>
      <c r="E11733" s="196">
        <v>0</v>
      </c>
      <c r="F11733" s="196">
        <v>0</v>
      </c>
      <c r="G11733" s="196">
        <v>-175000</v>
      </c>
    </row>
    <row r="11734" spans="1:7" x14ac:dyDescent="0.3">
      <c r="A11734" s="198">
        <v>646635211</v>
      </c>
      <c r="B11734" s="192" t="s">
        <v>7355</v>
      </c>
      <c r="C11734" s="196">
        <v>-311000</v>
      </c>
      <c r="D11734" s="196">
        <v>0</v>
      </c>
      <c r="E11734" s="196">
        <v>0</v>
      </c>
      <c r="F11734" s="196">
        <v>0</v>
      </c>
      <c r="G11734" s="196">
        <v>-311000</v>
      </c>
    </row>
    <row r="11735" spans="1:7" x14ac:dyDescent="0.3">
      <c r="A11735" s="198">
        <v>1003232501</v>
      </c>
      <c r="B11735" s="192" t="s">
        <v>3105</v>
      </c>
      <c r="C11735" s="196">
        <v>-59400</v>
      </c>
      <c r="D11735" s="196">
        <v>0</v>
      </c>
      <c r="E11735" s="196">
        <v>0</v>
      </c>
      <c r="F11735" s="196">
        <v>0</v>
      </c>
      <c r="G11735" s="196">
        <v>-59400</v>
      </c>
    </row>
    <row r="11736" spans="1:7" x14ac:dyDescent="0.3">
      <c r="A11736" s="198">
        <v>21401206</v>
      </c>
      <c r="B11736" s="192" t="s">
        <v>437</v>
      </c>
      <c r="C11736" s="196">
        <v>0</v>
      </c>
      <c r="D11736" s="196">
        <v>0</v>
      </c>
      <c r="E11736" s="196">
        <v>67000</v>
      </c>
      <c r="F11736" s="196">
        <v>-67000</v>
      </c>
      <c r="G11736" s="196">
        <v>-67000</v>
      </c>
    </row>
    <row r="11737" spans="1:7" x14ac:dyDescent="0.3">
      <c r="A11737" s="198">
        <v>43424227</v>
      </c>
      <c r="B11737" s="192" t="s">
        <v>3126</v>
      </c>
      <c r="C11737" s="196">
        <v>-71000</v>
      </c>
      <c r="D11737" s="196">
        <v>0</v>
      </c>
      <c r="E11737" s="196">
        <v>0</v>
      </c>
      <c r="F11737" s="196">
        <v>0</v>
      </c>
      <c r="G11737" s="196">
        <v>-71000</v>
      </c>
    </row>
    <row r="11738" spans="1:7" x14ac:dyDescent="0.3">
      <c r="A11738" s="198">
        <v>693009</v>
      </c>
      <c r="B11738" s="192" t="s">
        <v>7356</v>
      </c>
      <c r="C11738" s="196">
        <v>-50000</v>
      </c>
      <c r="D11738" s="196">
        <v>0</v>
      </c>
      <c r="E11738" s="196">
        <v>0</v>
      </c>
      <c r="F11738" s="196">
        <v>0</v>
      </c>
      <c r="G11738" s="196">
        <v>-50000</v>
      </c>
    </row>
    <row r="11739" spans="1:7" x14ac:dyDescent="0.3">
      <c r="A11739" s="198">
        <v>42883035</v>
      </c>
      <c r="B11739" s="192" t="s">
        <v>6443</v>
      </c>
      <c r="C11739" s="196">
        <v>-270000</v>
      </c>
      <c r="D11739" s="196">
        <v>0</v>
      </c>
      <c r="E11739" s="196">
        <v>0</v>
      </c>
      <c r="F11739" s="196">
        <v>0</v>
      </c>
      <c r="G11739" s="196">
        <v>-270000</v>
      </c>
    </row>
    <row r="11740" spans="1:7" x14ac:dyDescent="0.3">
      <c r="A11740" s="198">
        <v>32351307</v>
      </c>
      <c r="B11740" s="192" t="s">
        <v>442</v>
      </c>
      <c r="C11740" s="196">
        <v>0</v>
      </c>
      <c r="D11740" s="196">
        <v>0</v>
      </c>
      <c r="E11740" s="196">
        <v>111000</v>
      </c>
      <c r="F11740" s="196">
        <v>-111000</v>
      </c>
      <c r="G11740" s="196">
        <v>-111000</v>
      </c>
    </row>
    <row r="11741" spans="1:7" x14ac:dyDescent="0.3">
      <c r="A11741" s="198">
        <v>1020415217</v>
      </c>
      <c r="B11741" s="192" t="s">
        <v>3139</v>
      </c>
      <c r="C11741" s="196">
        <v>-175000</v>
      </c>
      <c r="D11741" s="196">
        <v>0</v>
      </c>
      <c r="E11741" s="196">
        <v>0</v>
      </c>
      <c r="F11741" s="196">
        <v>0</v>
      </c>
      <c r="G11741" s="196">
        <v>-175000</v>
      </c>
    </row>
    <row r="11742" spans="1:7" x14ac:dyDescent="0.3">
      <c r="A11742" s="198">
        <v>21466861</v>
      </c>
      <c r="B11742" s="192" t="s">
        <v>6445</v>
      </c>
      <c r="C11742" s="196">
        <v>-290000</v>
      </c>
      <c r="D11742" s="196">
        <v>0</v>
      </c>
      <c r="E11742" s="196">
        <v>0</v>
      </c>
      <c r="F11742" s="196">
        <v>0</v>
      </c>
      <c r="G11742" s="196">
        <v>-290000</v>
      </c>
    </row>
    <row r="11743" spans="1:7" x14ac:dyDescent="0.3">
      <c r="A11743" s="198">
        <v>1022123508</v>
      </c>
      <c r="B11743" s="192" t="s">
        <v>6446</v>
      </c>
      <c r="C11743" s="196">
        <v>-377000</v>
      </c>
      <c r="D11743" s="196">
        <v>0</v>
      </c>
      <c r="E11743" s="196">
        <v>0</v>
      </c>
      <c r="F11743" s="196">
        <v>0</v>
      </c>
      <c r="G11743" s="196">
        <v>-377000</v>
      </c>
    </row>
    <row r="11744" spans="1:7" x14ac:dyDescent="0.3">
      <c r="A11744" s="198">
        <v>43623687</v>
      </c>
      <c r="B11744" s="192" t="s">
        <v>3151</v>
      </c>
      <c r="C11744" s="196">
        <v>-290000</v>
      </c>
      <c r="D11744" s="196">
        <v>0</v>
      </c>
      <c r="E11744" s="196">
        <v>0</v>
      </c>
      <c r="F11744" s="196">
        <v>0</v>
      </c>
      <c r="G11744" s="196">
        <v>-290000</v>
      </c>
    </row>
    <row r="11745" spans="1:7" x14ac:dyDescent="0.3">
      <c r="A11745" s="198">
        <v>1192746112</v>
      </c>
      <c r="B11745" s="192" t="s">
        <v>452</v>
      </c>
      <c r="C11745" s="196">
        <v>0</v>
      </c>
      <c r="D11745" s="196">
        <v>0</v>
      </c>
      <c r="E11745" s="196">
        <v>5000</v>
      </c>
      <c r="F11745" s="196">
        <v>-5000</v>
      </c>
      <c r="G11745" s="196">
        <v>-5000</v>
      </c>
    </row>
    <row r="11746" spans="1:7" x14ac:dyDescent="0.3">
      <c r="A11746" s="198">
        <v>900901490</v>
      </c>
      <c r="B11746" s="192" t="s">
        <v>459</v>
      </c>
      <c r="C11746" s="196">
        <v>-290000</v>
      </c>
      <c r="D11746" s="196">
        <v>0</v>
      </c>
      <c r="E11746" s="196">
        <v>0</v>
      </c>
      <c r="F11746" s="196">
        <v>0</v>
      </c>
      <c r="G11746" s="196">
        <v>-290000</v>
      </c>
    </row>
    <row r="11747" spans="1:7" x14ac:dyDescent="0.3">
      <c r="A11747" s="198">
        <v>32346951</v>
      </c>
      <c r="B11747" s="192" t="s">
        <v>3161</v>
      </c>
      <c r="C11747" s="196">
        <v>-64800</v>
      </c>
      <c r="D11747" s="196">
        <v>0</v>
      </c>
      <c r="E11747" s="196">
        <v>0</v>
      </c>
      <c r="F11747" s="196">
        <v>0</v>
      </c>
      <c r="G11747" s="196">
        <v>-64800</v>
      </c>
    </row>
    <row r="11748" spans="1:7" x14ac:dyDescent="0.3">
      <c r="A11748" s="198">
        <v>32471065</v>
      </c>
      <c r="B11748" s="192" t="s">
        <v>7357</v>
      </c>
      <c r="C11748" s="196">
        <v>-37000</v>
      </c>
      <c r="D11748" s="196">
        <v>0</v>
      </c>
      <c r="E11748" s="196">
        <v>0</v>
      </c>
      <c r="F11748" s="196">
        <v>0</v>
      </c>
      <c r="G11748" s="196">
        <v>-37000</v>
      </c>
    </row>
    <row r="11749" spans="1:7" x14ac:dyDescent="0.3">
      <c r="A11749" s="198">
        <v>805009741</v>
      </c>
      <c r="B11749" s="192" t="s">
        <v>461</v>
      </c>
      <c r="C11749" s="196">
        <v>-1272843</v>
      </c>
      <c r="D11749" s="196">
        <v>0</v>
      </c>
      <c r="E11749" s="196">
        <v>540498</v>
      </c>
      <c r="F11749" s="196">
        <v>-540498</v>
      </c>
      <c r="G11749" s="196">
        <v>-1813341</v>
      </c>
    </row>
    <row r="11750" spans="1:7" x14ac:dyDescent="0.3">
      <c r="A11750" s="192" t="s">
        <v>3166</v>
      </c>
      <c r="B11750" s="192" t="s">
        <v>3167</v>
      </c>
      <c r="C11750" s="196">
        <v>-175000</v>
      </c>
      <c r="D11750" s="196">
        <v>0</v>
      </c>
      <c r="E11750" s="196">
        <v>0</v>
      </c>
      <c r="F11750" s="196">
        <v>0</v>
      </c>
      <c r="G11750" s="196">
        <v>-175000</v>
      </c>
    </row>
    <row r="11751" spans="1:7" x14ac:dyDescent="0.3">
      <c r="A11751" s="198">
        <v>1046910676</v>
      </c>
      <c r="B11751" s="192" t="s">
        <v>3169</v>
      </c>
      <c r="C11751" s="196">
        <v>-67000</v>
      </c>
      <c r="D11751" s="196">
        <v>0</v>
      </c>
      <c r="E11751" s="196">
        <v>0</v>
      </c>
      <c r="F11751" s="196">
        <v>0</v>
      </c>
      <c r="G11751" s="196">
        <v>-67000</v>
      </c>
    </row>
    <row r="11752" spans="1:7" x14ac:dyDescent="0.3">
      <c r="A11752" s="198">
        <v>1053825950</v>
      </c>
      <c r="B11752" s="192" t="s">
        <v>462</v>
      </c>
      <c r="C11752" s="196">
        <v>0</v>
      </c>
      <c r="D11752" s="196">
        <v>0</v>
      </c>
      <c r="E11752" s="196">
        <v>175000</v>
      </c>
      <c r="F11752" s="196">
        <v>-175000</v>
      </c>
      <c r="G11752" s="196">
        <v>-175000</v>
      </c>
    </row>
    <row r="11753" spans="1:7" x14ac:dyDescent="0.3">
      <c r="A11753" s="198">
        <v>8028422</v>
      </c>
      <c r="B11753" s="192" t="s">
        <v>463</v>
      </c>
      <c r="C11753" s="196">
        <v>0</v>
      </c>
      <c r="D11753" s="196">
        <v>0</v>
      </c>
      <c r="E11753" s="196">
        <v>448000</v>
      </c>
      <c r="F11753" s="196">
        <v>-448000</v>
      </c>
      <c r="G11753" s="196">
        <v>-448000</v>
      </c>
    </row>
    <row r="11754" spans="1:7" x14ac:dyDescent="0.3">
      <c r="A11754" s="198">
        <v>1125642287</v>
      </c>
      <c r="B11754" s="192" t="s">
        <v>464</v>
      </c>
      <c r="C11754" s="196">
        <v>-5000</v>
      </c>
      <c r="D11754" s="196">
        <v>0</v>
      </c>
      <c r="E11754" s="196">
        <v>64800</v>
      </c>
      <c r="F11754" s="196">
        <v>-64800</v>
      </c>
      <c r="G11754" s="196">
        <v>-69800</v>
      </c>
    </row>
    <row r="11755" spans="1:7" x14ac:dyDescent="0.3">
      <c r="A11755" s="198">
        <v>71607242</v>
      </c>
      <c r="B11755" s="192" t="s">
        <v>466</v>
      </c>
      <c r="C11755" s="196">
        <v>-270001</v>
      </c>
      <c r="D11755" s="196">
        <v>0</v>
      </c>
      <c r="E11755" s="196">
        <v>0</v>
      </c>
      <c r="F11755" s="196">
        <v>0</v>
      </c>
      <c r="G11755" s="196">
        <v>-270001</v>
      </c>
    </row>
    <row r="11756" spans="1:7" x14ac:dyDescent="0.3">
      <c r="A11756" s="198">
        <v>41581574</v>
      </c>
      <c r="B11756" s="192" t="s">
        <v>6458</v>
      </c>
      <c r="C11756" s="196">
        <v>-5000</v>
      </c>
      <c r="D11756" s="196">
        <v>0</v>
      </c>
      <c r="E11756" s="196">
        <v>0</v>
      </c>
      <c r="F11756" s="196">
        <v>0</v>
      </c>
      <c r="G11756" s="196">
        <v>-5000</v>
      </c>
    </row>
    <row r="11757" spans="1:7" x14ac:dyDescent="0.3">
      <c r="A11757" s="198">
        <v>43428288</v>
      </c>
      <c r="B11757" s="192" t="s">
        <v>469</v>
      </c>
      <c r="C11757" s="196">
        <v>0</v>
      </c>
      <c r="D11757" s="196">
        <v>0</v>
      </c>
      <c r="E11757" s="196">
        <v>5000</v>
      </c>
      <c r="F11757" s="196">
        <v>-5000</v>
      </c>
      <c r="G11757" s="196">
        <v>-5000</v>
      </c>
    </row>
    <row r="11758" spans="1:7" x14ac:dyDescent="0.3">
      <c r="A11758" s="198">
        <v>60318407</v>
      </c>
      <c r="B11758" s="192" t="s">
        <v>470</v>
      </c>
      <c r="C11758" s="196">
        <v>0</v>
      </c>
      <c r="D11758" s="196">
        <v>0</v>
      </c>
      <c r="E11758" s="196">
        <v>290000</v>
      </c>
      <c r="F11758" s="196">
        <v>-290000</v>
      </c>
      <c r="G11758" s="196">
        <v>-290000</v>
      </c>
    </row>
    <row r="11759" spans="1:7" x14ac:dyDescent="0.3">
      <c r="A11759" s="198">
        <v>3399066</v>
      </c>
      <c r="B11759" s="192" t="s">
        <v>471</v>
      </c>
      <c r="C11759" s="196">
        <v>0</v>
      </c>
      <c r="D11759" s="196">
        <v>0</v>
      </c>
      <c r="E11759" s="196">
        <v>5000</v>
      </c>
      <c r="F11759" s="196">
        <v>-5000</v>
      </c>
      <c r="G11759" s="196">
        <v>-5000</v>
      </c>
    </row>
    <row r="11760" spans="1:7" x14ac:dyDescent="0.3">
      <c r="A11760" s="198">
        <v>535719382</v>
      </c>
      <c r="B11760" s="192" t="s">
        <v>472</v>
      </c>
      <c r="C11760" s="196">
        <v>-175000</v>
      </c>
      <c r="D11760" s="196">
        <v>0</v>
      </c>
      <c r="E11760" s="196">
        <v>0</v>
      </c>
      <c r="F11760" s="196">
        <v>0</v>
      </c>
      <c r="G11760" s="196">
        <v>-175000</v>
      </c>
    </row>
    <row r="11761" spans="1:7" x14ac:dyDescent="0.3">
      <c r="A11761" s="198">
        <v>1038766107</v>
      </c>
      <c r="B11761" s="192" t="s">
        <v>6459</v>
      </c>
      <c r="C11761" s="196">
        <v>-5000</v>
      </c>
      <c r="D11761" s="196">
        <v>0</v>
      </c>
      <c r="E11761" s="196">
        <v>0</v>
      </c>
      <c r="F11761" s="196">
        <v>0</v>
      </c>
      <c r="G11761" s="196">
        <v>-5000</v>
      </c>
    </row>
    <row r="11762" spans="1:7" x14ac:dyDescent="0.3">
      <c r="A11762" s="198">
        <v>1088271062</v>
      </c>
      <c r="B11762" s="192" t="s">
        <v>473</v>
      </c>
      <c r="C11762" s="196">
        <v>0</v>
      </c>
      <c r="D11762" s="196">
        <v>0</v>
      </c>
      <c r="E11762" s="196">
        <v>175000</v>
      </c>
      <c r="F11762" s="196">
        <v>-175000</v>
      </c>
      <c r="G11762" s="196">
        <v>-175000</v>
      </c>
    </row>
    <row r="11763" spans="1:7" x14ac:dyDescent="0.3">
      <c r="A11763" s="198">
        <v>1069748792</v>
      </c>
      <c r="B11763" s="192" t="s">
        <v>6467</v>
      </c>
      <c r="C11763" s="196">
        <v>-175000</v>
      </c>
      <c r="D11763" s="196">
        <v>0</v>
      </c>
      <c r="E11763" s="196">
        <v>0</v>
      </c>
      <c r="F11763" s="196">
        <v>0</v>
      </c>
      <c r="G11763" s="196">
        <v>-175000</v>
      </c>
    </row>
    <row r="11764" spans="1:7" x14ac:dyDescent="0.3">
      <c r="A11764" s="198">
        <v>1037123008</v>
      </c>
      <c r="B11764" s="192" t="s">
        <v>6469</v>
      </c>
      <c r="C11764" s="196">
        <v>-37000</v>
      </c>
      <c r="D11764" s="196">
        <v>0</v>
      </c>
      <c r="E11764" s="196">
        <v>0</v>
      </c>
      <c r="F11764" s="196">
        <v>0</v>
      </c>
      <c r="G11764" s="196">
        <v>-37000</v>
      </c>
    </row>
    <row r="11765" spans="1:7" x14ac:dyDescent="0.3">
      <c r="A11765" s="198">
        <v>71786846</v>
      </c>
      <c r="B11765" s="192" t="s">
        <v>481</v>
      </c>
      <c r="C11765" s="196">
        <v>0</v>
      </c>
      <c r="D11765" s="196">
        <v>0</v>
      </c>
      <c r="E11765" s="196">
        <v>64800</v>
      </c>
      <c r="F11765" s="196">
        <v>-64800</v>
      </c>
      <c r="G11765" s="196">
        <v>-64800</v>
      </c>
    </row>
    <row r="11766" spans="1:7" x14ac:dyDescent="0.3">
      <c r="A11766" s="198">
        <v>1036686862</v>
      </c>
      <c r="B11766" s="192" t="s">
        <v>3201</v>
      </c>
      <c r="C11766" s="196">
        <v>-175000</v>
      </c>
      <c r="D11766" s="196">
        <v>0</v>
      </c>
      <c r="E11766" s="196">
        <v>0</v>
      </c>
      <c r="F11766" s="196">
        <v>0</v>
      </c>
      <c r="G11766" s="196">
        <v>-175000</v>
      </c>
    </row>
    <row r="11767" spans="1:7" x14ac:dyDescent="0.3">
      <c r="A11767" s="192" t="s">
        <v>3203</v>
      </c>
      <c r="B11767" s="192" t="s">
        <v>3204</v>
      </c>
      <c r="C11767" s="196">
        <v>-64800</v>
      </c>
      <c r="D11767" s="196">
        <v>0</v>
      </c>
      <c r="E11767" s="196">
        <v>0</v>
      </c>
      <c r="F11767" s="196">
        <v>0</v>
      </c>
      <c r="G11767" s="196">
        <v>-64800</v>
      </c>
    </row>
    <row r="11768" spans="1:7" x14ac:dyDescent="0.3">
      <c r="A11768" s="198">
        <v>1098775606</v>
      </c>
      <c r="B11768" s="192" t="s">
        <v>7358</v>
      </c>
      <c r="C11768" s="196">
        <v>-71000</v>
      </c>
      <c r="D11768" s="196">
        <v>0</v>
      </c>
      <c r="E11768" s="196">
        <v>0</v>
      </c>
      <c r="F11768" s="196">
        <v>0</v>
      </c>
      <c r="G11768" s="196">
        <v>-71000</v>
      </c>
    </row>
    <row r="11769" spans="1:7" x14ac:dyDescent="0.3">
      <c r="A11769" s="198">
        <v>1036598022</v>
      </c>
      <c r="B11769" s="192" t="s">
        <v>6472</v>
      </c>
      <c r="C11769" s="196">
        <v>-5000</v>
      </c>
      <c r="D11769" s="196">
        <v>0</v>
      </c>
      <c r="E11769" s="196">
        <v>0</v>
      </c>
      <c r="F11769" s="196">
        <v>0</v>
      </c>
      <c r="G11769" s="196">
        <v>-5000</v>
      </c>
    </row>
    <row r="11770" spans="1:7" x14ac:dyDescent="0.3">
      <c r="A11770" s="198">
        <v>1014182842</v>
      </c>
      <c r="B11770" s="192" t="s">
        <v>3209</v>
      </c>
      <c r="C11770" s="196">
        <v>-59400</v>
      </c>
      <c r="D11770" s="196">
        <v>0</v>
      </c>
      <c r="E11770" s="196">
        <v>0</v>
      </c>
      <c r="F11770" s="196">
        <v>0</v>
      </c>
      <c r="G11770" s="196">
        <v>-59400</v>
      </c>
    </row>
    <row r="11771" spans="1:7" x14ac:dyDescent="0.3">
      <c r="A11771" s="198">
        <v>1017251839</v>
      </c>
      <c r="B11771" s="192" t="s">
        <v>3211</v>
      </c>
      <c r="C11771" s="196">
        <v>-175000</v>
      </c>
      <c r="D11771" s="196">
        <v>0</v>
      </c>
      <c r="E11771" s="196">
        <v>0</v>
      </c>
      <c r="F11771" s="196">
        <v>0</v>
      </c>
      <c r="G11771" s="196">
        <v>-175000</v>
      </c>
    </row>
    <row r="11772" spans="1:7" x14ac:dyDescent="0.3">
      <c r="A11772" s="198">
        <v>80183652</v>
      </c>
      <c r="B11772" s="192" t="s">
        <v>3214</v>
      </c>
      <c r="C11772" s="196">
        <v>-425000</v>
      </c>
      <c r="D11772" s="196">
        <v>0</v>
      </c>
      <c r="E11772" s="196">
        <v>0</v>
      </c>
      <c r="F11772" s="196">
        <v>0</v>
      </c>
      <c r="G11772" s="196">
        <v>-425000</v>
      </c>
    </row>
    <row r="11773" spans="1:7" x14ac:dyDescent="0.3">
      <c r="A11773" s="198">
        <v>1036672398</v>
      </c>
      <c r="B11773" s="192" t="s">
        <v>484</v>
      </c>
      <c r="C11773" s="196">
        <v>-175000</v>
      </c>
      <c r="D11773" s="196">
        <v>0</v>
      </c>
      <c r="E11773" s="196">
        <v>290000</v>
      </c>
      <c r="F11773" s="196">
        <v>-290000</v>
      </c>
      <c r="G11773" s="196">
        <v>-465000</v>
      </c>
    </row>
    <row r="11774" spans="1:7" x14ac:dyDescent="0.3">
      <c r="A11774" s="198">
        <v>1035304917</v>
      </c>
      <c r="B11774" s="192" t="s">
        <v>6475</v>
      </c>
      <c r="C11774" s="196">
        <v>-5000</v>
      </c>
      <c r="D11774" s="196">
        <v>0</v>
      </c>
      <c r="E11774" s="196">
        <v>0</v>
      </c>
      <c r="F11774" s="196">
        <v>0</v>
      </c>
      <c r="G11774" s="196">
        <v>-5000</v>
      </c>
    </row>
    <row r="11775" spans="1:7" x14ac:dyDescent="0.3">
      <c r="A11775" s="198">
        <v>1018225090</v>
      </c>
      <c r="B11775" s="192" t="s">
        <v>3217</v>
      </c>
      <c r="C11775" s="196">
        <v>-64000</v>
      </c>
      <c r="D11775" s="196">
        <v>0</v>
      </c>
      <c r="E11775" s="196">
        <v>0</v>
      </c>
      <c r="F11775" s="196">
        <v>0</v>
      </c>
      <c r="G11775" s="196">
        <v>-64000</v>
      </c>
    </row>
    <row r="11776" spans="1:7" x14ac:dyDescent="0.3">
      <c r="A11776" s="198">
        <v>1082124028</v>
      </c>
      <c r="B11776" s="192" t="s">
        <v>3221</v>
      </c>
      <c r="C11776" s="196">
        <v>-175000</v>
      </c>
      <c r="D11776" s="196">
        <v>0</v>
      </c>
      <c r="E11776" s="196">
        <v>0</v>
      </c>
      <c r="F11776" s="196">
        <v>0</v>
      </c>
      <c r="G11776" s="196">
        <v>-175000</v>
      </c>
    </row>
    <row r="11777" spans="1:7" x14ac:dyDescent="0.3">
      <c r="A11777" s="198">
        <v>1017254699</v>
      </c>
      <c r="B11777" s="192" t="s">
        <v>3233</v>
      </c>
      <c r="C11777" s="196">
        <v>-293800</v>
      </c>
      <c r="D11777" s="196">
        <v>0</v>
      </c>
      <c r="E11777" s="196">
        <v>0</v>
      </c>
      <c r="F11777" s="196">
        <v>0</v>
      </c>
      <c r="G11777" s="196">
        <v>-293800</v>
      </c>
    </row>
    <row r="11778" spans="1:7" x14ac:dyDescent="0.3">
      <c r="A11778" s="198">
        <v>1037601648</v>
      </c>
      <c r="B11778" s="192" t="s">
        <v>3236</v>
      </c>
      <c r="C11778" s="196">
        <v>-214000</v>
      </c>
      <c r="D11778" s="196">
        <v>0</v>
      </c>
      <c r="E11778" s="196">
        <v>0</v>
      </c>
      <c r="F11778" s="196">
        <v>0</v>
      </c>
      <c r="G11778" s="196">
        <v>-214000</v>
      </c>
    </row>
    <row r="11779" spans="1:7" x14ac:dyDescent="0.3">
      <c r="A11779" s="198">
        <v>1214722193</v>
      </c>
      <c r="B11779" s="192" t="s">
        <v>3238</v>
      </c>
      <c r="C11779" s="196">
        <v>-214000</v>
      </c>
      <c r="D11779" s="196">
        <v>0</v>
      </c>
      <c r="E11779" s="196">
        <v>0</v>
      </c>
      <c r="F11779" s="196">
        <v>0</v>
      </c>
      <c r="G11779" s="196">
        <v>-214000</v>
      </c>
    </row>
    <row r="11780" spans="1:7" x14ac:dyDescent="0.3">
      <c r="A11780" s="198">
        <v>1038627288</v>
      </c>
      <c r="B11780" s="192" t="s">
        <v>6481</v>
      </c>
      <c r="C11780" s="196">
        <v>-5000</v>
      </c>
      <c r="D11780" s="196">
        <v>0</v>
      </c>
      <c r="E11780" s="196">
        <v>0</v>
      </c>
      <c r="F11780" s="196">
        <v>0</v>
      </c>
      <c r="G11780" s="196">
        <v>-5000</v>
      </c>
    </row>
    <row r="11781" spans="1:7" x14ac:dyDescent="0.3">
      <c r="A11781" s="198">
        <v>1040746527</v>
      </c>
      <c r="B11781" s="192" t="s">
        <v>491</v>
      </c>
      <c r="C11781" s="196">
        <v>0</v>
      </c>
      <c r="D11781" s="196">
        <v>0</v>
      </c>
      <c r="E11781" s="196">
        <v>5000</v>
      </c>
      <c r="F11781" s="196">
        <v>-5000</v>
      </c>
      <c r="G11781" s="196">
        <v>-5000</v>
      </c>
    </row>
    <row r="11782" spans="1:7" x14ac:dyDescent="0.3">
      <c r="A11782" s="198">
        <v>10214390</v>
      </c>
      <c r="B11782" s="192" t="s">
        <v>3243</v>
      </c>
      <c r="C11782" s="196">
        <v>-540000</v>
      </c>
      <c r="D11782" s="196">
        <v>0</v>
      </c>
      <c r="E11782" s="196">
        <v>0</v>
      </c>
      <c r="F11782" s="196">
        <v>0</v>
      </c>
      <c r="G11782" s="196">
        <v>-540000</v>
      </c>
    </row>
    <row r="11783" spans="1:7" x14ac:dyDescent="0.3">
      <c r="A11783" s="198">
        <v>1033774065</v>
      </c>
      <c r="B11783" s="192" t="s">
        <v>492</v>
      </c>
      <c r="C11783" s="196">
        <v>0</v>
      </c>
      <c r="D11783" s="196">
        <v>0</v>
      </c>
      <c r="E11783" s="196">
        <v>5000</v>
      </c>
      <c r="F11783" s="196">
        <v>-5000</v>
      </c>
      <c r="G11783" s="196">
        <v>-5000</v>
      </c>
    </row>
    <row r="11784" spans="1:7" x14ac:dyDescent="0.3">
      <c r="A11784" s="198">
        <v>1004757777</v>
      </c>
      <c r="B11784" s="192" t="s">
        <v>6484</v>
      </c>
      <c r="C11784" s="196">
        <v>-5000</v>
      </c>
      <c r="D11784" s="196">
        <v>0</v>
      </c>
      <c r="E11784" s="196">
        <v>0</v>
      </c>
      <c r="F11784" s="196">
        <v>0</v>
      </c>
      <c r="G11784" s="196">
        <v>-5000</v>
      </c>
    </row>
    <row r="11785" spans="1:7" x14ac:dyDescent="0.3">
      <c r="A11785" s="198">
        <v>8357594</v>
      </c>
      <c r="B11785" s="192" t="s">
        <v>495</v>
      </c>
      <c r="C11785" s="196">
        <v>0</v>
      </c>
      <c r="D11785" s="196">
        <v>0</v>
      </c>
      <c r="E11785" s="196">
        <v>138800</v>
      </c>
      <c r="F11785" s="196">
        <v>-138800</v>
      </c>
      <c r="G11785" s="196">
        <v>-138800</v>
      </c>
    </row>
    <row r="11786" spans="1:7" x14ac:dyDescent="0.3">
      <c r="A11786" s="192" t="s">
        <v>6489</v>
      </c>
      <c r="B11786" s="192" t="s">
        <v>6490</v>
      </c>
      <c r="C11786" s="196">
        <v>-175000</v>
      </c>
      <c r="D11786" s="196">
        <v>0</v>
      </c>
      <c r="E11786" s="196">
        <v>0</v>
      </c>
      <c r="F11786" s="196">
        <v>0</v>
      </c>
      <c r="G11786" s="196">
        <v>-175000</v>
      </c>
    </row>
    <row r="11787" spans="1:7" x14ac:dyDescent="0.3">
      <c r="A11787" s="198">
        <v>75093578</v>
      </c>
      <c r="B11787" s="192" t="s">
        <v>3267</v>
      </c>
      <c r="C11787" s="196">
        <v>-270000</v>
      </c>
      <c r="D11787" s="196">
        <v>0</v>
      </c>
      <c r="E11787" s="196">
        <v>0</v>
      </c>
      <c r="F11787" s="196">
        <v>0</v>
      </c>
      <c r="G11787" s="196">
        <v>-270000</v>
      </c>
    </row>
    <row r="11788" spans="1:7" x14ac:dyDescent="0.3">
      <c r="A11788" s="198">
        <v>3415203</v>
      </c>
      <c r="B11788" s="192" t="s">
        <v>6494</v>
      </c>
      <c r="C11788" s="196">
        <v>-2310000</v>
      </c>
      <c r="D11788" s="196">
        <v>0</v>
      </c>
      <c r="E11788" s="196">
        <v>0</v>
      </c>
      <c r="F11788" s="196">
        <v>0</v>
      </c>
      <c r="G11788" s="196">
        <v>-2310000</v>
      </c>
    </row>
    <row r="11789" spans="1:7" x14ac:dyDescent="0.3">
      <c r="A11789" s="198">
        <v>1038874642</v>
      </c>
      <c r="B11789" s="192" t="s">
        <v>501</v>
      </c>
      <c r="C11789" s="196">
        <v>-168000</v>
      </c>
      <c r="D11789" s="196">
        <v>0</v>
      </c>
      <c r="E11789" s="196">
        <v>0</v>
      </c>
      <c r="F11789" s="196">
        <v>0</v>
      </c>
      <c r="G11789" s="196">
        <v>-168000</v>
      </c>
    </row>
    <row r="11790" spans="1:7" x14ac:dyDescent="0.3">
      <c r="A11790" s="198">
        <v>678413131</v>
      </c>
      <c r="B11790" s="192" t="s">
        <v>3281</v>
      </c>
      <c r="C11790" s="196">
        <v>-214000</v>
      </c>
      <c r="D11790" s="196">
        <v>0</v>
      </c>
      <c r="E11790" s="196">
        <v>0</v>
      </c>
      <c r="F11790" s="196">
        <v>0</v>
      </c>
      <c r="G11790" s="196">
        <v>-214000</v>
      </c>
    </row>
    <row r="11791" spans="1:7" x14ac:dyDescent="0.3">
      <c r="A11791" s="198">
        <v>568873</v>
      </c>
      <c r="B11791" s="192" t="s">
        <v>3285</v>
      </c>
      <c r="C11791" s="196">
        <v>-135000</v>
      </c>
      <c r="D11791" s="196">
        <v>0</v>
      </c>
      <c r="E11791" s="196">
        <v>0</v>
      </c>
      <c r="F11791" s="196">
        <v>0</v>
      </c>
      <c r="G11791" s="196">
        <v>-135000</v>
      </c>
    </row>
    <row r="11792" spans="1:7" x14ac:dyDescent="0.3">
      <c r="A11792" s="198">
        <v>541147936</v>
      </c>
      <c r="B11792" s="192" t="s">
        <v>507</v>
      </c>
      <c r="C11792" s="196">
        <v>-270000</v>
      </c>
      <c r="D11792" s="196">
        <v>0</v>
      </c>
      <c r="E11792" s="196">
        <v>0</v>
      </c>
      <c r="F11792" s="196">
        <v>0</v>
      </c>
      <c r="G11792" s="196">
        <v>-270000</v>
      </c>
    </row>
    <row r="11793" spans="1:7" x14ac:dyDescent="0.3">
      <c r="A11793" s="198">
        <v>1128399982</v>
      </c>
      <c r="B11793" s="192" t="s">
        <v>509</v>
      </c>
      <c r="C11793" s="196">
        <v>0</v>
      </c>
      <c r="D11793" s="196">
        <v>0</v>
      </c>
      <c r="E11793" s="196">
        <v>5000</v>
      </c>
      <c r="F11793" s="196">
        <v>-5000</v>
      </c>
      <c r="G11793" s="196">
        <v>-5000</v>
      </c>
    </row>
    <row r="11794" spans="1:7" x14ac:dyDescent="0.3">
      <c r="A11794" s="198">
        <v>1035430166</v>
      </c>
      <c r="B11794" s="192" t="s">
        <v>510</v>
      </c>
      <c r="C11794" s="196">
        <v>-214000</v>
      </c>
      <c r="D11794" s="196">
        <v>0</v>
      </c>
      <c r="E11794" s="196">
        <v>0</v>
      </c>
      <c r="F11794" s="196">
        <v>0</v>
      </c>
      <c r="G11794" s="196">
        <v>-214000</v>
      </c>
    </row>
    <row r="11795" spans="1:7" x14ac:dyDescent="0.3">
      <c r="A11795" s="198">
        <v>3396316</v>
      </c>
      <c r="B11795" s="192" t="s">
        <v>3293</v>
      </c>
      <c r="C11795" s="196">
        <v>-78000</v>
      </c>
      <c r="D11795" s="196">
        <v>0</v>
      </c>
      <c r="E11795" s="196">
        <v>0</v>
      </c>
      <c r="F11795" s="196">
        <v>0</v>
      </c>
      <c r="G11795" s="196">
        <v>-78000</v>
      </c>
    </row>
    <row r="11796" spans="1:7" x14ac:dyDescent="0.3">
      <c r="A11796" s="198">
        <v>1040358491</v>
      </c>
      <c r="B11796" s="192" t="s">
        <v>7359</v>
      </c>
      <c r="C11796" s="196">
        <v>-5000</v>
      </c>
      <c r="D11796" s="196">
        <v>0</v>
      </c>
      <c r="E11796" s="196">
        <v>0</v>
      </c>
      <c r="F11796" s="196">
        <v>0</v>
      </c>
      <c r="G11796" s="196">
        <v>-5000</v>
      </c>
    </row>
    <row r="11797" spans="1:7" x14ac:dyDescent="0.3">
      <c r="A11797" s="198">
        <v>8296845</v>
      </c>
      <c r="B11797" s="192" t="s">
        <v>512</v>
      </c>
      <c r="C11797" s="196">
        <v>0</v>
      </c>
      <c r="D11797" s="196">
        <v>0</v>
      </c>
      <c r="E11797" s="196">
        <v>5000</v>
      </c>
      <c r="F11797" s="196">
        <v>-5000</v>
      </c>
      <c r="G11797" s="196">
        <v>-5000</v>
      </c>
    </row>
    <row r="11798" spans="1:7" x14ac:dyDescent="0.3">
      <c r="A11798" s="192" t="s">
        <v>513</v>
      </c>
      <c r="B11798" s="192" t="s">
        <v>514</v>
      </c>
      <c r="C11798" s="196">
        <v>0</v>
      </c>
      <c r="D11798" s="196">
        <v>0</v>
      </c>
      <c r="E11798" s="196">
        <v>175000</v>
      </c>
      <c r="F11798" s="196">
        <v>-175000</v>
      </c>
      <c r="G11798" s="196">
        <v>-175000</v>
      </c>
    </row>
    <row r="11799" spans="1:7" x14ac:dyDescent="0.3">
      <c r="A11799" s="192" t="s">
        <v>515</v>
      </c>
      <c r="B11799" s="192" t="s">
        <v>516</v>
      </c>
      <c r="C11799" s="196">
        <v>-39000</v>
      </c>
      <c r="D11799" s="196">
        <v>0</v>
      </c>
      <c r="E11799" s="196">
        <v>0</v>
      </c>
      <c r="F11799" s="196">
        <v>0</v>
      </c>
      <c r="G11799" s="196">
        <v>-39000</v>
      </c>
    </row>
    <row r="11800" spans="1:7" x14ac:dyDescent="0.3">
      <c r="A11800" s="198">
        <v>1128276946</v>
      </c>
      <c r="B11800" s="192" t="s">
        <v>6498</v>
      </c>
      <c r="C11800" s="196">
        <v>-159000</v>
      </c>
      <c r="D11800" s="196">
        <v>0</v>
      </c>
      <c r="E11800" s="196">
        <v>0</v>
      </c>
      <c r="F11800" s="196">
        <v>0</v>
      </c>
      <c r="G11800" s="196">
        <v>-159000</v>
      </c>
    </row>
    <row r="11801" spans="1:7" x14ac:dyDescent="0.3">
      <c r="A11801" s="198">
        <v>1128279186</v>
      </c>
      <c r="B11801" s="192" t="s">
        <v>517</v>
      </c>
      <c r="C11801" s="196">
        <v>-103000</v>
      </c>
      <c r="D11801" s="196">
        <v>0</v>
      </c>
      <c r="E11801" s="196">
        <v>0</v>
      </c>
      <c r="F11801" s="196">
        <v>0</v>
      </c>
      <c r="G11801" s="196">
        <v>-103000</v>
      </c>
    </row>
    <row r="11802" spans="1:7" x14ac:dyDescent="0.3">
      <c r="A11802" s="198">
        <v>43604020</v>
      </c>
      <c r="B11802" s="192" t="s">
        <v>519</v>
      </c>
      <c r="C11802" s="196">
        <v>-175000</v>
      </c>
      <c r="D11802" s="196">
        <v>0</v>
      </c>
      <c r="E11802" s="196">
        <v>0</v>
      </c>
      <c r="F11802" s="196">
        <v>0</v>
      </c>
      <c r="G11802" s="196">
        <v>-175000</v>
      </c>
    </row>
    <row r="11803" spans="1:7" x14ac:dyDescent="0.3">
      <c r="A11803" s="198">
        <v>1007292242</v>
      </c>
      <c r="B11803" s="192" t="s">
        <v>6501</v>
      </c>
      <c r="C11803" s="196">
        <v>-5000</v>
      </c>
      <c r="D11803" s="196">
        <v>0</v>
      </c>
      <c r="E11803" s="196">
        <v>0</v>
      </c>
      <c r="F11803" s="196">
        <v>0</v>
      </c>
      <c r="G11803" s="196">
        <v>-5000</v>
      </c>
    </row>
    <row r="11804" spans="1:7" x14ac:dyDescent="0.3">
      <c r="A11804" s="198">
        <v>42685056</v>
      </c>
      <c r="B11804" s="192" t="s">
        <v>3322</v>
      </c>
      <c r="C11804" s="196">
        <v>-210800</v>
      </c>
      <c r="D11804" s="196">
        <v>0</v>
      </c>
      <c r="E11804" s="196">
        <v>0</v>
      </c>
      <c r="F11804" s="196">
        <v>0</v>
      </c>
      <c r="G11804" s="196">
        <v>-210800</v>
      </c>
    </row>
    <row r="11805" spans="1:7" x14ac:dyDescent="0.3">
      <c r="A11805" s="198">
        <v>22041916</v>
      </c>
      <c r="B11805" s="192" t="s">
        <v>6502</v>
      </c>
      <c r="C11805" s="196">
        <v>-377000</v>
      </c>
      <c r="D11805" s="196">
        <v>0</v>
      </c>
      <c r="E11805" s="196">
        <v>0</v>
      </c>
      <c r="F11805" s="196">
        <v>0</v>
      </c>
      <c r="G11805" s="196">
        <v>-377000</v>
      </c>
    </row>
    <row r="11806" spans="1:7" x14ac:dyDescent="0.3">
      <c r="A11806" s="198">
        <v>1083894898</v>
      </c>
      <c r="B11806" s="192" t="s">
        <v>6503</v>
      </c>
      <c r="C11806" s="196">
        <v>-5000</v>
      </c>
      <c r="D11806" s="196">
        <v>0</v>
      </c>
      <c r="E11806" s="196">
        <v>0</v>
      </c>
      <c r="F11806" s="196">
        <v>0</v>
      </c>
      <c r="G11806" s="196">
        <v>-5000</v>
      </c>
    </row>
    <row r="11807" spans="1:7" x14ac:dyDescent="0.3">
      <c r="A11807" s="198">
        <v>43874201</v>
      </c>
      <c r="B11807" s="192" t="s">
        <v>527</v>
      </c>
      <c r="C11807" s="196">
        <v>0</v>
      </c>
      <c r="D11807" s="196">
        <v>0</v>
      </c>
      <c r="E11807" s="196">
        <v>69000</v>
      </c>
      <c r="F11807" s="196">
        <v>-69000</v>
      </c>
      <c r="G11807" s="196">
        <v>-69000</v>
      </c>
    </row>
    <row r="11808" spans="1:7" x14ac:dyDescent="0.3">
      <c r="A11808" s="198">
        <v>42780670</v>
      </c>
      <c r="B11808" s="192" t="s">
        <v>3329</v>
      </c>
      <c r="C11808" s="196">
        <v>-270000</v>
      </c>
      <c r="D11808" s="196">
        <v>0</v>
      </c>
      <c r="E11808" s="196">
        <v>0</v>
      </c>
      <c r="F11808" s="196">
        <v>0</v>
      </c>
      <c r="G11808" s="196">
        <v>-270000</v>
      </c>
    </row>
    <row r="11809" spans="1:7" x14ac:dyDescent="0.3">
      <c r="A11809" s="198">
        <v>1002943888</v>
      </c>
      <c r="B11809" s="192" t="s">
        <v>6507</v>
      </c>
      <c r="C11809" s="196">
        <v>-5000</v>
      </c>
      <c r="D11809" s="196">
        <v>0</v>
      </c>
      <c r="E11809" s="196">
        <v>0</v>
      </c>
      <c r="F11809" s="196">
        <v>0</v>
      </c>
      <c r="G11809" s="196">
        <v>-5000</v>
      </c>
    </row>
    <row r="11810" spans="1:7" x14ac:dyDescent="0.3">
      <c r="A11810" s="198">
        <v>42823032</v>
      </c>
      <c r="B11810" s="192" t="s">
        <v>7360</v>
      </c>
      <c r="C11810" s="196">
        <v>-140000</v>
      </c>
      <c r="D11810" s="196">
        <v>0</v>
      </c>
      <c r="E11810" s="196">
        <v>0</v>
      </c>
      <c r="F11810" s="196">
        <v>0</v>
      </c>
      <c r="G11810" s="196">
        <v>-140000</v>
      </c>
    </row>
    <row r="11811" spans="1:7" x14ac:dyDescent="0.3">
      <c r="A11811" s="198">
        <v>43533369</v>
      </c>
      <c r="B11811" s="192" t="s">
        <v>6508</v>
      </c>
      <c r="C11811" s="196">
        <v>-5000</v>
      </c>
      <c r="D11811" s="196">
        <v>0</v>
      </c>
      <c r="E11811" s="196">
        <v>0</v>
      </c>
      <c r="F11811" s="196">
        <v>0</v>
      </c>
      <c r="G11811" s="196">
        <v>-5000</v>
      </c>
    </row>
    <row r="11812" spans="1:7" x14ac:dyDescent="0.3">
      <c r="A11812" s="198">
        <v>24346663</v>
      </c>
      <c r="B11812" s="192" t="s">
        <v>6509</v>
      </c>
      <c r="C11812" s="196">
        <v>-37000</v>
      </c>
      <c r="D11812" s="196">
        <v>0</v>
      </c>
      <c r="E11812" s="196">
        <v>0</v>
      </c>
      <c r="F11812" s="196">
        <v>0</v>
      </c>
      <c r="G11812" s="196">
        <v>-37000</v>
      </c>
    </row>
    <row r="11813" spans="1:7" x14ac:dyDescent="0.3">
      <c r="A11813" s="198">
        <v>1040030691</v>
      </c>
      <c r="B11813" s="192" t="s">
        <v>6512</v>
      </c>
      <c r="C11813" s="196">
        <v>-5000</v>
      </c>
      <c r="D11813" s="196">
        <v>0</v>
      </c>
      <c r="E11813" s="196">
        <v>0</v>
      </c>
      <c r="F11813" s="196">
        <v>0</v>
      </c>
      <c r="G11813" s="196">
        <v>-5000</v>
      </c>
    </row>
    <row r="11814" spans="1:7" x14ac:dyDescent="0.3">
      <c r="A11814" s="198">
        <v>1089458130</v>
      </c>
      <c r="B11814" s="192" t="s">
        <v>3350</v>
      </c>
      <c r="C11814" s="196">
        <v>-214000</v>
      </c>
      <c r="D11814" s="196">
        <v>0</v>
      </c>
      <c r="E11814" s="196">
        <v>0</v>
      </c>
      <c r="F11814" s="196">
        <v>0</v>
      </c>
      <c r="G11814" s="196">
        <v>-214000</v>
      </c>
    </row>
    <row r="11815" spans="1:7" x14ac:dyDescent="0.3">
      <c r="A11815" s="198">
        <v>1026586592</v>
      </c>
      <c r="B11815" s="192" t="s">
        <v>3351</v>
      </c>
      <c r="C11815" s="196">
        <v>-175000</v>
      </c>
      <c r="D11815" s="196">
        <v>0</v>
      </c>
      <c r="E11815" s="196">
        <v>0</v>
      </c>
      <c r="F11815" s="196">
        <v>0</v>
      </c>
      <c r="G11815" s="196">
        <v>-175000</v>
      </c>
    </row>
    <row r="11816" spans="1:7" x14ac:dyDescent="0.3">
      <c r="A11816" s="198">
        <v>71312974</v>
      </c>
      <c r="B11816" s="192" t="s">
        <v>3352</v>
      </c>
      <c r="C11816" s="196">
        <v>-71000</v>
      </c>
      <c r="D11816" s="196">
        <v>0</v>
      </c>
      <c r="E11816" s="196">
        <v>0</v>
      </c>
      <c r="F11816" s="196">
        <v>0</v>
      </c>
      <c r="G11816" s="196">
        <v>-71000</v>
      </c>
    </row>
    <row r="11817" spans="1:7" x14ac:dyDescent="0.3">
      <c r="A11817" s="198">
        <v>1098720491</v>
      </c>
      <c r="B11817" s="192" t="s">
        <v>6513</v>
      </c>
      <c r="C11817" s="196">
        <v>-5000</v>
      </c>
      <c r="D11817" s="196">
        <v>0</v>
      </c>
      <c r="E11817" s="196">
        <v>0</v>
      </c>
      <c r="F11817" s="196">
        <v>0</v>
      </c>
      <c r="G11817" s="196">
        <v>-5000</v>
      </c>
    </row>
    <row r="11818" spans="1:7" x14ac:dyDescent="0.3">
      <c r="A11818" s="192" t="s">
        <v>6516</v>
      </c>
      <c r="B11818" s="192" t="s">
        <v>3361</v>
      </c>
      <c r="C11818" s="196">
        <v>-270000</v>
      </c>
      <c r="D11818" s="196">
        <v>0</v>
      </c>
      <c r="E11818" s="196">
        <v>0</v>
      </c>
      <c r="F11818" s="196">
        <v>0</v>
      </c>
      <c r="G11818" s="196">
        <v>-270000</v>
      </c>
    </row>
    <row r="11819" spans="1:7" x14ac:dyDescent="0.3">
      <c r="A11819" s="192" t="s">
        <v>3368</v>
      </c>
      <c r="B11819" s="192" t="s">
        <v>3369</v>
      </c>
      <c r="C11819" s="196">
        <v>-270000</v>
      </c>
      <c r="D11819" s="196">
        <v>0</v>
      </c>
      <c r="E11819" s="196">
        <v>0</v>
      </c>
      <c r="F11819" s="196">
        <v>0</v>
      </c>
      <c r="G11819" s="196">
        <v>-270000</v>
      </c>
    </row>
    <row r="11820" spans="1:7" x14ac:dyDescent="0.3">
      <c r="A11820" s="198">
        <v>39211389</v>
      </c>
      <c r="B11820" s="192" t="s">
        <v>6517</v>
      </c>
      <c r="C11820" s="196">
        <v>-5000</v>
      </c>
      <c r="D11820" s="196">
        <v>0</v>
      </c>
      <c r="E11820" s="196">
        <v>0</v>
      </c>
      <c r="F11820" s="196">
        <v>0</v>
      </c>
      <c r="G11820" s="196">
        <v>-5000</v>
      </c>
    </row>
    <row r="11821" spans="1:7" x14ac:dyDescent="0.3">
      <c r="A11821" s="198">
        <v>42980905</v>
      </c>
      <c r="B11821" s="192" t="s">
        <v>3378</v>
      </c>
      <c r="C11821" s="196">
        <v>-270000</v>
      </c>
      <c r="D11821" s="196">
        <v>0</v>
      </c>
      <c r="E11821" s="196">
        <v>0</v>
      </c>
      <c r="F11821" s="196">
        <v>0</v>
      </c>
      <c r="G11821" s="196">
        <v>-270000</v>
      </c>
    </row>
    <row r="11822" spans="1:7" x14ac:dyDescent="0.3">
      <c r="A11822" s="198">
        <v>21448272</v>
      </c>
      <c r="B11822" s="192" t="s">
        <v>6520</v>
      </c>
      <c r="C11822" s="196">
        <v>-193000</v>
      </c>
      <c r="D11822" s="196">
        <v>0</v>
      </c>
      <c r="E11822" s="196">
        <v>0</v>
      </c>
      <c r="F11822" s="196">
        <v>0</v>
      </c>
      <c r="G11822" s="196">
        <v>-193000</v>
      </c>
    </row>
    <row r="11823" spans="1:7" x14ac:dyDescent="0.3">
      <c r="A11823" s="198">
        <v>42785326</v>
      </c>
      <c r="B11823" s="192" t="s">
        <v>3398</v>
      </c>
      <c r="C11823" s="196">
        <v>-52200</v>
      </c>
      <c r="D11823" s="196">
        <v>0</v>
      </c>
      <c r="E11823" s="196">
        <v>0</v>
      </c>
      <c r="F11823" s="196">
        <v>0</v>
      </c>
      <c r="G11823" s="196">
        <v>-52200</v>
      </c>
    </row>
    <row r="11824" spans="1:7" x14ac:dyDescent="0.3">
      <c r="A11824" s="198">
        <v>71374815</v>
      </c>
      <c r="B11824" s="192" t="s">
        <v>542</v>
      </c>
      <c r="C11824" s="196">
        <v>0</v>
      </c>
      <c r="D11824" s="196">
        <v>0</v>
      </c>
      <c r="E11824" s="196">
        <v>92000</v>
      </c>
      <c r="F11824" s="196">
        <v>-92000</v>
      </c>
      <c r="G11824" s="196">
        <v>-92000</v>
      </c>
    </row>
    <row r="11825" spans="1:7" x14ac:dyDescent="0.3">
      <c r="A11825" s="198">
        <v>587046886</v>
      </c>
      <c r="B11825" s="192" t="s">
        <v>6522</v>
      </c>
      <c r="C11825" s="196">
        <v>-189200</v>
      </c>
      <c r="D11825" s="196">
        <v>0</v>
      </c>
      <c r="E11825" s="196">
        <v>0</v>
      </c>
      <c r="F11825" s="196">
        <v>0</v>
      </c>
      <c r="G11825" s="196">
        <v>-189200</v>
      </c>
    </row>
    <row r="11826" spans="1:7" x14ac:dyDescent="0.3">
      <c r="A11826" s="198">
        <v>1036960782</v>
      </c>
      <c r="B11826" s="192" t="s">
        <v>7361</v>
      </c>
      <c r="C11826" s="196">
        <v>-9800</v>
      </c>
      <c r="D11826" s="196">
        <v>0</v>
      </c>
      <c r="E11826" s="196">
        <v>0</v>
      </c>
      <c r="F11826" s="196">
        <v>0</v>
      </c>
      <c r="G11826" s="196">
        <v>-9800</v>
      </c>
    </row>
    <row r="11827" spans="1:7" x14ac:dyDescent="0.3">
      <c r="A11827" s="198">
        <v>1125788264</v>
      </c>
      <c r="B11827" s="192" t="s">
        <v>7362</v>
      </c>
      <c r="C11827" s="196">
        <v>-72000</v>
      </c>
      <c r="D11827" s="196">
        <v>0</v>
      </c>
      <c r="E11827" s="196">
        <v>0</v>
      </c>
      <c r="F11827" s="196">
        <v>0</v>
      </c>
      <c r="G11827" s="196">
        <v>-72000</v>
      </c>
    </row>
    <row r="11828" spans="1:7" x14ac:dyDescent="0.3">
      <c r="A11828" s="198">
        <v>1037501649</v>
      </c>
      <c r="B11828" s="192" t="s">
        <v>6529</v>
      </c>
      <c r="C11828" s="196">
        <v>-5000</v>
      </c>
      <c r="D11828" s="196">
        <v>0</v>
      </c>
      <c r="E11828" s="196">
        <v>0</v>
      </c>
      <c r="F11828" s="196">
        <v>0</v>
      </c>
      <c r="G11828" s="196">
        <v>-5000</v>
      </c>
    </row>
    <row r="11829" spans="1:7" x14ac:dyDescent="0.3">
      <c r="A11829" s="198">
        <v>1146435778</v>
      </c>
      <c r="B11829" s="192" t="s">
        <v>6532</v>
      </c>
      <c r="C11829" s="196">
        <v>-5000</v>
      </c>
      <c r="D11829" s="196">
        <v>0</v>
      </c>
      <c r="E11829" s="196">
        <v>0</v>
      </c>
      <c r="F11829" s="196">
        <v>0</v>
      </c>
      <c r="G11829" s="196">
        <v>-5000</v>
      </c>
    </row>
    <row r="11830" spans="1:7" x14ac:dyDescent="0.3">
      <c r="A11830" s="198">
        <v>43570820</v>
      </c>
      <c r="B11830" s="192" t="s">
        <v>3447</v>
      </c>
      <c r="C11830" s="196">
        <v>-270000</v>
      </c>
      <c r="D11830" s="196">
        <v>0</v>
      </c>
      <c r="E11830" s="196">
        <v>0</v>
      </c>
      <c r="F11830" s="196">
        <v>0</v>
      </c>
      <c r="G11830" s="196">
        <v>-270000</v>
      </c>
    </row>
    <row r="11831" spans="1:7" x14ac:dyDescent="0.3">
      <c r="A11831" s="198">
        <v>43101772</v>
      </c>
      <c r="B11831" s="192" t="s">
        <v>559</v>
      </c>
      <c r="C11831" s="196">
        <v>0</v>
      </c>
      <c r="D11831" s="196">
        <v>0</v>
      </c>
      <c r="E11831" s="196">
        <v>111000</v>
      </c>
      <c r="F11831" s="196">
        <v>-111000</v>
      </c>
      <c r="G11831" s="196">
        <v>-111000</v>
      </c>
    </row>
    <row r="11832" spans="1:7" x14ac:dyDescent="0.3">
      <c r="A11832" s="198">
        <v>1039459754</v>
      </c>
      <c r="B11832" s="192" t="s">
        <v>561</v>
      </c>
      <c r="C11832" s="196">
        <v>0</v>
      </c>
      <c r="D11832" s="196">
        <v>0</v>
      </c>
      <c r="E11832" s="196">
        <v>175000</v>
      </c>
      <c r="F11832" s="196">
        <v>-175000</v>
      </c>
      <c r="G11832" s="196">
        <v>-175000</v>
      </c>
    </row>
    <row r="11833" spans="1:7" x14ac:dyDescent="0.3">
      <c r="A11833" s="198">
        <v>43108346</v>
      </c>
      <c r="B11833" s="192" t="s">
        <v>7218</v>
      </c>
      <c r="C11833" s="196">
        <v>-270000</v>
      </c>
      <c r="D11833" s="196">
        <v>0</v>
      </c>
      <c r="E11833" s="196">
        <v>0</v>
      </c>
      <c r="F11833" s="196">
        <v>0</v>
      </c>
      <c r="G11833" s="196">
        <v>-270000</v>
      </c>
    </row>
    <row r="11834" spans="1:7" x14ac:dyDescent="0.3">
      <c r="A11834" s="198">
        <v>1027887039</v>
      </c>
      <c r="B11834" s="192" t="s">
        <v>6537</v>
      </c>
      <c r="C11834" s="196">
        <v>-175000</v>
      </c>
      <c r="D11834" s="196">
        <v>0</v>
      </c>
      <c r="E11834" s="196">
        <v>0</v>
      </c>
      <c r="F11834" s="196">
        <v>0</v>
      </c>
      <c r="G11834" s="196">
        <v>-175000</v>
      </c>
    </row>
    <row r="11835" spans="1:7" x14ac:dyDescent="0.3">
      <c r="A11835" s="198">
        <v>43921990</v>
      </c>
      <c r="B11835" s="192" t="s">
        <v>6539</v>
      </c>
      <c r="C11835" s="196">
        <v>-5000</v>
      </c>
      <c r="D11835" s="196">
        <v>0</v>
      </c>
      <c r="E11835" s="196">
        <v>0</v>
      </c>
      <c r="F11835" s="196">
        <v>0</v>
      </c>
      <c r="G11835" s="196">
        <v>-5000</v>
      </c>
    </row>
    <row r="11836" spans="1:7" x14ac:dyDescent="0.3">
      <c r="A11836" s="198">
        <v>43896254</v>
      </c>
      <c r="B11836" s="192" t="s">
        <v>3472</v>
      </c>
      <c r="C11836" s="196">
        <v>-377000</v>
      </c>
      <c r="D11836" s="196">
        <v>0</v>
      </c>
      <c r="E11836" s="196">
        <v>0</v>
      </c>
      <c r="F11836" s="196">
        <v>0</v>
      </c>
      <c r="G11836" s="196">
        <v>-377000</v>
      </c>
    </row>
    <row r="11837" spans="1:7" x14ac:dyDescent="0.3">
      <c r="A11837" s="198">
        <v>42694448</v>
      </c>
      <c r="B11837" s="192" t="s">
        <v>568</v>
      </c>
      <c r="C11837" s="196">
        <v>0</v>
      </c>
      <c r="D11837" s="196">
        <v>0</v>
      </c>
      <c r="E11837" s="196">
        <v>5000</v>
      </c>
      <c r="F11837" s="196">
        <v>-5000</v>
      </c>
      <c r="G11837" s="196">
        <v>-5000</v>
      </c>
    </row>
    <row r="11838" spans="1:7" x14ac:dyDescent="0.3">
      <c r="A11838" s="198">
        <v>43960700</v>
      </c>
      <c r="B11838" s="192" t="s">
        <v>3475</v>
      </c>
      <c r="C11838" s="196">
        <v>-307000</v>
      </c>
      <c r="D11838" s="196">
        <v>0</v>
      </c>
      <c r="E11838" s="196">
        <v>0</v>
      </c>
      <c r="F11838" s="196">
        <v>0</v>
      </c>
      <c r="G11838" s="196">
        <v>-307000</v>
      </c>
    </row>
    <row r="11839" spans="1:7" x14ac:dyDescent="0.3">
      <c r="A11839" s="198">
        <v>70220901</v>
      </c>
      <c r="B11839" s="192" t="s">
        <v>3481</v>
      </c>
      <c r="C11839" s="196">
        <v>-270000</v>
      </c>
      <c r="D11839" s="196">
        <v>0</v>
      </c>
      <c r="E11839" s="196">
        <v>0</v>
      </c>
      <c r="F11839" s="196">
        <v>0</v>
      </c>
      <c r="G11839" s="196">
        <v>-270000</v>
      </c>
    </row>
    <row r="11840" spans="1:7" x14ac:dyDescent="0.3">
      <c r="A11840" s="198">
        <v>27760730</v>
      </c>
      <c r="B11840" s="192" t="s">
        <v>573</v>
      </c>
      <c r="C11840" s="196">
        <v>0</v>
      </c>
      <c r="D11840" s="196">
        <v>0</v>
      </c>
      <c r="E11840" s="196">
        <v>5000</v>
      </c>
      <c r="F11840" s="196">
        <v>-5000</v>
      </c>
      <c r="G11840" s="196">
        <v>-5000</v>
      </c>
    </row>
    <row r="11841" spans="1:7" x14ac:dyDescent="0.3">
      <c r="A11841" s="198">
        <v>21323541</v>
      </c>
      <c r="B11841" s="192" t="s">
        <v>574</v>
      </c>
      <c r="C11841" s="196">
        <v>-6930000</v>
      </c>
      <c r="D11841" s="196">
        <v>0</v>
      </c>
      <c r="E11841" s="196">
        <v>2310000</v>
      </c>
      <c r="F11841" s="196">
        <v>-2310000</v>
      </c>
      <c r="G11841" s="196">
        <v>-9240000</v>
      </c>
    </row>
    <row r="11842" spans="1:7" x14ac:dyDescent="0.3">
      <c r="A11842" s="198">
        <v>42750620</v>
      </c>
      <c r="B11842" s="192" t="s">
        <v>575</v>
      </c>
      <c r="C11842" s="196">
        <v>0</v>
      </c>
      <c r="D11842" s="196">
        <v>0</v>
      </c>
      <c r="E11842" s="196">
        <v>290000</v>
      </c>
      <c r="F11842" s="196">
        <v>-290000</v>
      </c>
      <c r="G11842" s="196">
        <v>-290000</v>
      </c>
    </row>
    <row r="11843" spans="1:7" x14ac:dyDescent="0.3">
      <c r="A11843" s="198">
        <v>1038339433</v>
      </c>
      <c r="B11843" s="192" t="s">
        <v>3498</v>
      </c>
      <c r="C11843" s="196">
        <v>-50600</v>
      </c>
      <c r="D11843" s="196">
        <v>0</v>
      </c>
      <c r="E11843" s="196">
        <v>0</v>
      </c>
      <c r="F11843" s="196">
        <v>0</v>
      </c>
      <c r="G11843" s="196">
        <v>-50600</v>
      </c>
    </row>
    <row r="11844" spans="1:7" x14ac:dyDescent="0.3">
      <c r="A11844" s="198">
        <v>1015069421</v>
      </c>
      <c r="B11844" s="192" t="s">
        <v>6542</v>
      </c>
      <c r="C11844" s="196">
        <v>-5000</v>
      </c>
      <c r="D11844" s="196">
        <v>0</v>
      </c>
      <c r="E11844" s="196">
        <v>0</v>
      </c>
      <c r="F11844" s="196">
        <v>0</v>
      </c>
      <c r="G11844" s="196">
        <v>-5000</v>
      </c>
    </row>
    <row r="11845" spans="1:7" x14ac:dyDescent="0.3">
      <c r="A11845" s="198">
        <v>1035008792</v>
      </c>
      <c r="B11845" s="192" t="s">
        <v>3560</v>
      </c>
      <c r="C11845" s="196">
        <v>-50600</v>
      </c>
      <c r="D11845" s="196">
        <v>0</v>
      </c>
      <c r="E11845" s="196">
        <v>0</v>
      </c>
      <c r="F11845" s="196">
        <v>0</v>
      </c>
      <c r="G11845" s="196">
        <v>-50600</v>
      </c>
    </row>
    <row r="11846" spans="1:7" x14ac:dyDescent="0.3">
      <c r="A11846" s="198">
        <v>659919602</v>
      </c>
      <c r="B11846" s="192" t="s">
        <v>3561</v>
      </c>
      <c r="C11846" s="196">
        <v>-175000</v>
      </c>
      <c r="D11846" s="196">
        <v>0</v>
      </c>
      <c r="E11846" s="196">
        <v>0</v>
      </c>
      <c r="F11846" s="196">
        <v>0</v>
      </c>
      <c r="G11846" s="196">
        <v>-175000</v>
      </c>
    </row>
    <row r="11847" spans="1:7" x14ac:dyDescent="0.3">
      <c r="A11847" s="198">
        <v>43920295</v>
      </c>
      <c r="B11847" s="192" t="s">
        <v>6545</v>
      </c>
      <c r="C11847" s="196">
        <v>-382000</v>
      </c>
      <c r="D11847" s="196">
        <v>0</v>
      </c>
      <c r="E11847" s="196">
        <v>0</v>
      </c>
      <c r="F11847" s="196">
        <v>0</v>
      </c>
      <c r="G11847" s="196">
        <v>-382000</v>
      </c>
    </row>
    <row r="11848" spans="1:7" x14ac:dyDescent="0.3">
      <c r="A11848" s="198">
        <v>1002106959</v>
      </c>
      <c r="B11848" s="192" t="s">
        <v>6546</v>
      </c>
      <c r="C11848" s="196">
        <v>-377000</v>
      </c>
      <c r="D11848" s="196">
        <v>0</v>
      </c>
      <c r="E11848" s="196">
        <v>0</v>
      </c>
      <c r="F11848" s="196">
        <v>0</v>
      </c>
      <c r="G11848" s="196">
        <v>-377000</v>
      </c>
    </row>
    <row r="11849" spans="1:7" x14ac:dyDescent="0.3">
      <c r="A11849" s="192" t="s">
        <v>3571</v>
      </c>
      <c r="B11849" s="192" t="s">
        <v>3572</v>
      </c>
      <c r="C11849" s="196">
        <v>-270000</v>
      </c>
      <c r="D11849" s="196">
        <v>0</v>
      </c>
      <c r="E11849" s="196">
        <v>0</v>
      </c>
      <c r="F11849" s="196">
        <v>0</v>
      </c>
      <c r="G11849" s="196">
        <v>-270000</v>
      </c>
    </row>
    <row r="11850" spans="1:7" x14ac:dyDescent="0.3">
      <c r="A11850" s="198">
        <v>1007676061</v>
      </c>
      <c r="B11850" s="192" t="s">
        <v>3580</v>
      </c>
      <c r="C11850" s="196">
        <v>-175000</v>
      </c>
      <c r="D11850" s="196">
        <v>0</v>
      </c>
      <c r="E11850" s="196">
        <v>0</v>
      </c>
      <c r="F11850" s="196">
        <v>0</v>
      </c>
      <c r="G11850" s="196">
        <v>-175000</v>
      </c>
    </row>
    <row r="11851" spans="1:7" x14ac:dyDescent="0.3">
      <c r="A11851" s="198">
        <v>1036966731</v>
      </c>
      <c r="B11851" s="192" t="s">
        <v>3587</v>
      </c>
      <c r="C11851" s="196">
        <v>-175000</v>
      </c>
      <c r="D11851" s="196">
        <v>0</v>
      </c>
      <c r="E11851" s="196">
        <v>0</v>
      </c>
      <c r="F11851" s="196">
        <v>0</v>
      </c>
      <c r="G11851" s="196">
        <v>-175000</v>
      </c>
    </row>
    <row r="11852" spans="1:7" x14ac:dyDescent="0.3">
      <c r="A11852" s="198">
        <v>1090391698</v>
      </c>
      <c r="B11852" s="192" t="s">
        <v>6553</v>
      </c>
      <c r="C11852" s="196">
        <v>-5000</v>
      </c>
      <c r="D11852" s="196">
        <v>0</v>
      </c>
      <c r="E11852" s="196">
        <v>0</v>
      </c>
      <c r="F11852" s="196">
        <v>0</v>
      </c>
      <c r="G11852" s="196">
        <v>-5000</v>
      </c>
    </row>
    <row r="11853" spans="1:7" x14ac:dyDescent="0.3">
      <c r="A11853" s="198">
        <v>1038416479</v>
      </c>
      <c r="B11853" s="192" t="s">
        <v>6557</v>
      </c>
      <c r="C11853" s="196">
        <v>-5000</v>
      </c>
      <c r="D11853" s="196">
        <v>0</v>
      </c>
      <c r="E11853" s="196">
        <v>0</v>
      </c>
      <c r="F11853" s="196">
        <v>0</v>
      </c>
      <c r="G11853" s="196">
        <v>-5000</v>
      </c>
    </row>
    <row r="11854" spans="1:7" x14ac:dyDescent="0.3">
      <c r="A11854" s="198">
        <v>900226523</v>
      </c>
      <c r="B11854" s="192" t="s">
        <v>606</v>
      </c>
      <c r="C11854" s="196">
        <v>-270000</v>
      </c>
      <c r="D11854" s="196">
        <v>0</v>
      </c>
      <c r="E11854" s="196">
        <v>0</v>
      </c>
      <c r="F11854" s="196">
        <v>0</v>
      </c>
      <c r="G11854" s="196">
        <v>-270000</v>
      </c>
    </row>
    <row r="11855" spans="1:7" x14ac:dyDescent="0.3">
      <c r="A11855" s="198">
        <v>71905003</v>
      </c>
      <c r="B11855" s="192" t="s">
        <v>607</v>
      </c>
      <c r="C11855" s="196">
        <v>0</v>
      </c>
      <c r="D11855" s="196">
        <v>0</v>
      </c>
      <c r="E11855" s="196">
        <v>290000</v>
      </c>
      <c r="F11855" s="196">
        <v>-290000</v>
      </c>
      <c r="G11855" s="196">
        <v>-290000</v>
      </c>
    </row>
    <row r="11856" spans="1:7" x14ac:dyDescent="0.3">
      <c r="A11856" s="198">
        <v>8280141</v>
      </c>
      <c r="B11856" s="192" t="s">
        <v>608</v>
      </c>
      <c r="C11856" s="196">
        <v>-580000</v>
      </c>
      <c r="D11856" s="196">
        <v>0</v>
      </c>
      <c r="E11856" s="196">
        <v>0</v>
      </c>
      <c r="F11856" s="196">
        <v>0</v>
      </c>
      <c r="G11856" s="196">
        <v>-580000</v>
      </c>
    </row>
    <row r="11857" spans="1:7" x14ac:dyDescent="0.3">
      <c r="A11857" s="198">
        <v>71215953</v>
      </c>
      <c r="B11857" s="192" t="s">
        <v>7363</v>
      </c>
      <c r="C11857" s="196">
        <v>-64800</v>
      </c>
      <c r="D11857" s="196">
        <v>0</v>
      </c>
      <c r="E11857" s="196">
        <v>0</v>
      </c>
      <c r="F11857" s="196">
        <v>0</v>
      </c>
      <c r="G11857" s="196">
        <v>-64800</v>
      </c>
    </row>
    <row r="11858" spans="1:7" x14ac:dyDescent="0.3">
      <c r="A11858" s="198">
        <v>32456438</v>
      </c>
      <c r="B11858" s="192" t="s">
        <v>3623</v>
      </c>
      <c r="C11858" s="196">
        <v>-103000</v>
      </c>
      <c r="D11858" s="196">
        <v>0</v>
      </c>
      <c r="E11858" s="196">
        <v>0</v>
      </c>
      <c r="F11858" s="196">
        <v>0</v>
      </c>
      <c r="G11858" s="196">
        <v>-103000</v>
      </c>
    </row>
    <row r="11859" spans="1:7" x14ac:dyDescent="0.3">
      <c r="A11859" s="198">
        <v>21393200</v>
      </c>
      <c r="B11859" s="192" t="s">
        <v>614</v>
      </c>
      <c r="C11859" s="196">
        <v>-2450000</v>
      </c>
      <c r="D11859" s="196">
        <v>0</v>
      </c>
      <c r="E11859" s="196">
        <v>0</v>
      </c>
      <c r="F11859" s="196">
        <v>0</v>
      </c>
      <c r="G11859" s="196">
        <v>-2450000</v>
      </c>
    </row>
    <row r="11860" spans="1:7" x14ac:dyDescent="0.3">
      <c r="A11860" s="198">
        <v>1083894021</v>
      </c>
      <c r="B11860" s="192" t="s">
        <v>3637</v>
      </c>
      <c r="C11860" s="196">
        <v>-214000</v>
      </c>
      <c r="D11860" s="196">
        <v>0</v>
      </c>
      <c r="E11860" s="196">
        <v>0</v>
      </c>
      <c r="F11860" s="196">
        <v>0</v>
      </c>
      <c r="G11860" s="196">
        <v>-214000</v>
      </c>
    </row>
    <row r="11861" spans="1:7" x14ac:dyDescent="0.3">
      <c r="A11861" s="198">
        <v>1362925</v>
      </c>
      <c r="B11861" s="192" t="s">
        <v>620</v>
      </c>
      <c r="C11861" s="196">
        <v>-270000</v>
      </c>
      <c r="D11861" s="196">
        <v>0</v>
      </c>
      <c r="E11861" s="196">
        <v>0</v>
      </c>
      <c r="F11861" s="196">
        <v>0</v>
      </c>
      <c r="G11861" s="196">
        <v>-270000</v>
      </c>
    </row>
    <row r="11862" spans="1:7" x14ac:dyDescent="0.3">
      <c r="A11862" s="198">
        <v>8078099</v>
      </c>
      <c r="B11862" s="192" t="s">
        <v>3645</v>
      </c>
      <c r="C11862" s="196">
        <v>-270000</v>
      </c>
      <c r="D11862" s="196">
        <v>0</v>
      </c>
      <c r="E11862" s="196">
        <v>0</v>
      </c>
      <c r="F11862" s="196">
        <v>0</v>
      </c>
      <c r="G11862" s="196">
        <v>-270000</v>
      </c>
    </row>
    <row r="11863" spans="1:7" x14ac:dyDescent="0.3">
      <c r="A11863" s="198">
        <v>98579439</v>
      </c>
      <c r="B11863" s="192" t="s">
        <v>623</v>
      </c>
      <c r="C11863" s="196">
        <v>0</v>
      </c>
      <c r="D11863" s="196">
        <v>0</v>
      </c>
      <c r="E11863" s="196">
        <v>71000</v>
      </c>
      <c r="F11863" s="196">
        <v>-71000</v>
      </c>
      <c r="G11863" s="196">
        <v>-71000</v>
      </c>
    </row>
    <row r="11864" spans="1:7" x14ac:dyDescent="0.3">
      <c r="A11864" s="198">
        <v>901271950</v>
      </c>
      <c r="B11864" s="192" t="s">
        <v>7364</v>
      </c>
      <c r="C11864" s="196">
        <v>-540000</v>
      </c>
      <c r="D11864" s="196">
        <v>0</v>
      </c>
      <c r="E11864" s="196">
        <v>0</v>
      </c>
      <c r="F11864" s="196">
        <v>0</v>
      </c>
      <c r="G11864" s="196">
        <v>-540000</v>
      </c>
    </row>
    <row r="11865" spans="1:7" x14ac:dyDescent="0.3">
      <c r="A11865" s="198">
        <v>13883107</v>
      </c>
      <c r="B11865" s="192" t="s">
        <v>3659</v>
      </c>
      <c r="C11865" s="196">
        <v>-270000</v>
      </c>
      <c r="D11865" s="196">
        <v>0</v>
      </c>
      <c r="E11865" s="196">
        <v>0</v>
      </c>
      <c r="F11865" s="196">
        <v>0</v>
      </c>
      <c r="G11865" s="196">
        <v>-270000</v>
      </c>
    </row>
    <row r="11866" spans="1:7" x14ac:dyDescent="0.3">
      <c r="A11866" s="198">
        <v>166508208</v>
      </c>
      <c r="B11866" s="192" t="s">
        <v>119</v>
      </c>
      <c r="C11866" s="196">
        <v>-175000</v>
      </c>
      <c r="D11866" s="196">
        <v>0</v>
      </c>
      <c r="E11866" s="196">
        <v>0</v>
      </c>
      <c r="F11866" s="196">
        <v>0</v>
      </c>
      <c r="G11866" s="196">
        <v>-175000</v>
      </c>
    </row>
    <row r="11867" spans="1:7" x14ac:dyDescent="0.3">
      <c r="A11867" s="198">
        <v>71531751</v>
      </c>
      <c r="B11867" s="192" t="s">
        <v>6568</v>
      </c>
      <c r="C11867" s="196">
        <v>-759400</v>
      </c>
      <c r="D11867" s="196">
        <v>0</v>
      </c>
      <c r="E11867" s="196">
        <v>0</v>
      </c>
      <c r="F11867" s="196">
        <v>0</v>
      </c>
      <c r="G11867" s="196">
        <v>-759400</v>
      </c>
    </row>
    <row r="11868" spans="1:7" x14ac:dyDescent="0.3">
      <c r="A11868" s="198">
        <v>8255133</v>
      </c>
      <c r="B11868" s="192" t="s">
        <v>633</v>
      </c>
      <c r="C11868" s="196">
        <v>-4870800</v>
      </c>
      <c r="D11868" s="196">
        <v>0</v>
      </c>
      <c r="E11868" s="196">
        <v>4870800</v>
      </c>
      <c r="F11868" s="196">
        <v>-4870800</v>
      </c>
      <c r="G11868" s="196">
        <v>-9741600</v>
      </c>
    </row>
    <row r="11869" spans="1:7" x14ac:dyDescent="0.3">
      <c r="A11869" s="198">
        <v>11440447</v>
      </c>
      <c r="B11869" s="192" t="s">
        <v>3677</v>
      </c>
      <c r="C11869" s="196">
        <v>-78000</v>
      </c>
      <c r="D11869" s="196">
        <v>0</v>
      </c>
      <c r="E11869" s="196">
        <v>0</v>
      </c>
      <c r="F11869" s="196">
        <v>0</v>
      </c>
      <c r="G11869" s="196">
        <v>-78000</v>
      </c>
    </row>
    <row r="11870" spans="1:7" x14ac:dyDescent="0.3">
      <c r="A11870" s="198">
        <v>79532253</v>
      </c>
      <c r="B11870" s="192" t="s">
        <v>637</v>
      </c>
      <c r="C11870" s="196">
        <v>0</v>
      </c>
      <c r="D11870" s="196">
        <v>0</v>
      </c>
      <c r="E11870" s="196">
        <v>290000</v>
      </c>
      <c r="F11870" s="196">
        <v>-290000</v>
      </c>
      <c r="G11870" s="196">
        <v>-290000</v>
      </c>
    </row>
    <row r="11871" spans="1:7" x14ac:dyDescent="0.3">
      <c r="A11871" s="198">
        <v>4105038</v>
      </c>
      <c r="B11871" s="192" t="s">
        <v>642</v>
      </c>
      <c r="C11871" s="196">
        <v>0</v>
      </c>
      <c r="D11871" s="196">
        <v>0</v>
      </c>
      <c r="E11871" s="196">
        <v>364000</v>
      </c>
      <c r="F11871" s="196">
        <v>-364000</v>
      </c>
      <c r="G11871" s="196">
        <v>-364000</v>
      </c>
    </row>
    <row r="11872" spans="1:7" x14ac:dyDescent="0.3">
      <c r="A11872" s="198">
        <v>70690007</v>
      </c>
      <c r="B11872" s="192" t="s">
        <v>6572</v>
      </c>
      <c r="C11872" s="196">
        <v>-270000</v>
      </c>
      <c r="D11872" s="196">
        <v>0</v>
      </c>
      <c r="E11872" s="196">
        <v>0</v>
      </c>
      <c r="F11872" s="196">
        <v>0</v>
      </c>
      <c r="G11872" s="196">
        <v>-270000</v>
      </c>
    </row>
    <row r="11873" spans="1:7" x14ac:dyDescent="0.3">
      <c r="A11873" s="198">
        <v>592632914</v>
      </c>
      <c r="B11873" s="192" t="s">
        <v>3713</v>
      </c>
      <c r="C11873" s="196">
        <v>-175000</v>
      </c>
      <c r="D11873" s="196">
        <v>0</v>
      </c>
      <c r="E11873" s="196">
        <v>0</v>
      </c>
      <c r="F11873" s="196">
        <v>0</v>
      </c>
      <c r="G11873" s="196">
        <v>-175000</v>
      </c>
    </row>
    <row r="11874" spans="1:7" x14ac:dyDescent="0.3">
      <c r="A11874" s="198">
        <v>163311401</v>
      </c>
      <c r="B11874" s="192" t="s">
        <v>3724</v>
      </c>
      <c r="C11874" s="196">
        <v>-132000</v>
      </c>
      <c r="D11874" s="196">
        <v>0</v>
      </c>
      <c r="E11874" s="196">
        <v>0</v>
      </c>
      <c r="F11874" s="196">
        <v>0</v>
      </c>
      <c r="G11874" s="196">
        <v>-132000</v>
      </c>
    </row>
    <row r="11875" spans="1:7" x14ac:dyDescent="0.3">
      <c r="A11875" s="198">
        <v>1142948064</v>
      </c>
      <c r="B11875" s="192" t="s">
        <v>3729</v>
      </c>
      <c r="C11875" s="196">
        <v>-175000</v>
      </c>
      <c r="D11875" s="196">
        <v>0</v>
      </c>
      <c r="E11875" s="196">
        <v>0</v>
      </c>
      <c r="F11875" s="196">
        <v>0</v>
      </c>
      <c r="G11875" s="196">
        <v>-175000</v>
      </c>
    </row>
    <row r="11876" spans="1:7" x14ac:dyDescent="0.3">
      <c r="A11876" s="198">
        <v>677607505</v>
      </c>
      <c r="B11876" s="192" t="s">
        <v>3732</v>
      </c>
      <c r="C11876" s="196">
        <v>-52200</v>
      </c>
      <c r="D11876" s="196">
        <v>0</v>
      </c>
      <c r="E11876" s="196">
        <v>0</v>
      </c>
      <c r="F11876" s="196">
        <v>0</v>
      </c>
      <c r="G11876" s="196">
        <v>-52200</v>
      </c>
    </row>
    <row r="11877" spans="1:7" x14ac:dyDescent="0.3">
      <c r="A11877" s="192" t="s">
        <v>3733</v>
      </c>
      <c r="B11877" s="192" t="s">
        <v>3734</v>
      </c>
      <c r="C11877" s="196">
        <v>-290000</v>
      </c>
      <c r="D11877" s="196">
        <v>0</v>
      </c>
      <c r="E11877" s="196">
        <v>0</v>
      </c>
      <c r="F11877" s="196">
        <v>0</v>
      </c>
      <c r="G11877" s="196">
        <v>-290000</v>
      </c>
    </row>
    <row r="11878" spans="1:7" x14ac:dyDescent="0.3">
      <c r="A11878" s="198">
        <v>1007853333</v>
      </c>
      <c r="B11878" s="192" t="s">
        <v>647</v>
      </c>
      <c r="C11878" s="196">
        <v>0</v>
      </c>
      <c r="D11878" s="196">
        <v>0</v>
      </c>
      <c r="E11878" s="196">
        <v>5000</v>
      </c>
      <c r="F11878" s="196">
        <v>-5000</v>
      </c>
      <c r="G11878" s="196">
        <v>-5000</v>
      </c>
    </row>
    <row r="11879" spans="1:7" x14ac:dyDescent="0.3">
      <c r="A11879" s="198">
        <v>1000137044</v>
      </c>
      <c r="B11879" s="192" t="s">
        <v>648</v>
      </c>
      <c r="C11879" s="196">
        <v>0</v>
      </c>
      <c r="D11879" s="196">
        <v>0</v>
      </c>
      <c r="E11879" s="196">
        <v>175000</v>
      </c>
      <c r="F11879" s="196">
        <v>-175000</v>
      </c>
      <c r="G11879" s="196">
        <v>-175000</v>
      </c>
    </row>
    <row r="11880" spans="1:7" x14ac:dyDescent="0.3">
      <c r="A11880" s="198">
        <v>1102874540</v>
      </c>
      <c r="B11880" s="192" t="s">
        <v>3736</v>
      </c>
      <c r="C11880" s="196">
        <v>-175000</v>
      </c>
      <c r="D11880" s="196">
        <v>0</v>
      </c>
      <c r="E11880" s="196">
        <v>0</v>
      </c>
      <c r="F11880" s="196">
        <v>0</v>
      </c>
      <c r="G11880" s="196">
        <v>-175000</v>
      </c>
    </row>
    <row r="11881" spans="1:7" x14ac:dyDescent="0.3">
      <c r="A11881" s="198">
        <v>8260483</v>
      </c>
      <c r="B11881" s="192" t="s">
        <v>652</v>
      </c>
      <c r="C11881" s="196">
        <v>-2450000</v>
      </c>
      <c r="D11881" s="196">
        <v>0</v>
      </c>
      <c r="E11881" s="196">
        <v>2450000</v>
      </c>
      <c r="F11881" s="196">
        <v>-2450000</v>
      </c>
      <c r="G11881" s="196">
        <v>-4900000</v>
      </c>
    </row>
    <row r="11882" spans="1:7" x14ac:dyDescent="0.3">
      <c r="A11882" s="198">
        <v>8278608</v>
      </c>
      <c r="B11882" s="192" t="s">
        <v>6575</v>
      </c>
      <c r="C11882" s="196">
        <v>-759000</v>
      </c>
      <c r="D11882" s="196">
        <v>0</v>
      </c>
      <c r="E11882" s="196">
        <v>0</v>
      </c>
      <c r="F11882" s="196">
        <v>0</v>
      </c>
      <c r="G11882" s="196">
        <v>-759000</v>
      </c>
    </row>
    <row r="11883" spans="1:7" x14ac:dyDescent="0.3">
      <c r="A11883" s="198">
        <v>1000884712</v>
      </c>
      <c r="B11883" s="192" t="s">
        <v>6576</v>
      </c>
      <c r="C11883" s="196">
        <v>-5000</v>
      </c>
      <c r="D11883" s="196">
        <v>0</v>
      </c>
      <c r="E11883" s="196">
        <v>0</v>
      </c>
      <c r="F11883" s="196">
        <v>0</v>
      </c>
      <c r="G11883" s="196">
        <v>-5000</v>
      </c>
    </row>
    <row r="11884" spans="1:7" x14ac:dyDescent="0.3">
      <c r="A11884" s="198">
        <v>583847918</v>
      </c>
      <c r="B11884" s="192" t="s">
        <v>6578</v>
      </c>
      <c r="C11884" s="196">
        <v>-100000</v>
      </c>
      <c r="D11884" s="196">
        <v>0</v>
      </c>
      <c r="E11884" s="196">
        <v>0</v>
      </c>
      <c r="F11884" s="196">
        <v>0</v>
      </c>
      <c r="G11884" s="196">
        <v>-100000</v>
      </c>
    </row>
    <row r="11885" spans="1:7" x14ac:dyDescent="0.3">
      <c r="A11885" s="198">
        <v>1037570450</v>
      </c>
      <c r="B11885" s="192" t="s">
        <v>2390</v>
      </c>
      <c r="C11885" s="196">
        <v>-31300</v>
      </c>
      <c r="D11885" s="196">
        <v>0</v>
      </c>
      <c r="E11885" s="196">
        <v>0</v>
      </c>
      <c r="F11885" s="196">
        <v>0</v>
      </c>
      <c r="G11885" s="196">
        <v>-31300</v>
      </c>
    </row>
    <row r="11886" spans="1:7" x14ac:dyDescent="0.3">
      <c r="A11886" s="198">
        <v>21978728</v>
      </c>
      <c r="B11886" s="192" t="s">
        <v>3751</v>
      </c>
      <c r="C11886" s="196">
        <v>-270000</v>
      </c>
      <c r="D11886" s="196">
        <v>0</v>
      </c>
      <c r="E11886" s="196">
        <v>0</v>
      </c>
      <c r="F11886" s="196">
        <v>0</v>
      </c>
      <c r="G11886" s="196">
        <v>-270000</v>
      </c>
    </row>
    <row r="11887" spans="1:7" x14ac:dyDescent="0.3">
      <c r="A11887" s="198">
        <v>42789578</v>
      </c>
      <c r="B11887" s="192" t="s">
        <v>3758</v>
      </c>
      <c r="C11887" s="196">
        <v>-270000</v>
      </c>
      <c r="D11887" s="196">
        <v>0</v>
      </c>
      <c r="E11887" s="196">
        <v>0</v>
      </c>
      <c r="F11887" s="196">
        <v>0</v>
      </c>
      <c r="G11887" s="196">
        <v>-270000</v>
      </c>
    </row>
    <row r="11888" spans="1:7" x14ac:dyDescent="0.3">
      <c r="A11888" s="198">
        <v>43101094</v>
      </c>
      <c r="B11888" s="192" t="s">
        <v>6582</v>
      </c>
      <c r="C11888" s="196">
        <v>-9500</v>
      </c>
      <c r="D11888" s="196">
        <v>0</v>
      </c>
      <c r="E11888" s="196">
        <v>0</v>
      </c>
      <c r="F11888" s="196">
        <v>0</v>
      </c>
      <c r="G11888" s="196">
        <v>-9500</v>
      </c>
    </row>
    <row r="11889" spans="1:7" x14ac:dyDescent="0.3">
      <c r="A11889" s="198">
        <v>32076212</v>
      </c>
      <c r="B11889" s="192" t="s">
        <v>7365</v>
      </c>
      <c r="C11889" s="196">
        <v>-2450000</v>
      </c>
      <c r="D11889" s="196">
        <v>0</v>
      </c>
      <c r="E11889" s="196">
        <v>0</v>
      </c>
      <c r="F11889" s="196">
        <v>0</v>
      </c>
      <c r="G11889" s="196">
        <v>-2450000</v>
      </c>
    </row>
    <row r="11890" spans="1:7" x14ac:dyDescent="0.3">
      <c r="A11890" s="198">
        <v>37825638</v>
      </c>
      <c r="B11890" s="192" t="s">
        <v>666</v>
      </c>
      <c r="C11890" s="196">
        <v>-290000</v>
      </c>
      <c r="D11890" s="196">
        <v>0</v>
      </c>
      <c r="E11890" s="196">
        <v>0</v>
      </c>
      <c r="F11890" s="196">
        <v>0</v>
      </c>
      <c r="G11890" s="196">
        <v>-290000</v>
      </c>
    </row>
    <row r="11891" spans="1:7" x14ac:dyDescent="0.3">
      <c r="A11891" s="198">
        <v>32334815</v>
      </c>
      <c r="B11891" s="192" t="s">
        <v>669</v>
      </c>
      <c r="C11891" s="196">
        <v>-412000</v>
      </c>
      <c r="D11891" s="196">
        <v>0</v>
      </c>
      <c r="E11891" s="196">
        <v>824000</v>
      </c>
      <c r="F11891" s="196">
        <v>-824000</v>
      </c>
      <c r="G11891" s="196">
        <v>-1236000</v>
      </c>
    </row>
    <row r="11892" spans="1:7" x14ac:dyDescent="0.3">
      <c r="A11892" s="198">
        <v>42876811</v>
      </c>
      <c r="B11892" s="192" t="s">
        <v>671</v>
      </c>
      <c r="C11892" s="196">
        <v>-253000</v>
      </c>
      <c r="D11892" s="196">
        <v>0</v>
      </c>
      <c r="E11892" s="196">
        <v>506000</v>
      </c>
      <c r="F11892" s="196">
        <v>-506000</v>
      </c>
      <c r="G11892" s="196">
        <v>-759000</v>
      </c>
    </row>
    <row r="11893" spans="1:7" x14ac:dyDescent="0.3">
      <c r="A11893" s="198">
        <v>43530091</v>
      </c>
      <c r="B11893" s="192" t="s">
        <v>673</v>
      </c>
      <c r="C11893" s="196">
        <v>-270000</v>
      </c>
      <c r="D11893" s="196">
        <v>0</v>
      </c>
      <c r="E11893" s="196">
        <v>0</v>
      </c>
      <c r="F11893" s="196">
        <v>0</v>
      </c>
      <c r="G11893" s="196">
        <v>-270000</v>
      </c>
    </row>
    <row r="11894" spans="1:7" x14ac:dyDescent="0.3">
      <c r="A11894" s="198">
        <v>43461242</v>
      </c>
      <c r="B11894" s="192" t="s">
        <v>674</v>
      </c>
      <c r="C11894" s="196">
        <v>0</v>
      </c>
      <c r="D11894" s="196">
        <v>0</v>
      </c>
      <c r="E11894" s="196">
        <v>62100</v>
      </c>
      <c r="F11894" s="196">
        <v>-62100</v>
      </c>
      <c r="G11894" s="196">
        <v>-62100</v>
      </c>
    </row>
    <row r="11895" spans="1:7" x14ac:dyDescent="0.3">
      <c r="A11895" s="198">
        <v>8456075</v>
      </c>
      <c r="B11895" s="192" t="s">
        <v>6592</v>
      </c>
      <c r="C11895" s="196">
        <v>-270000</v>
      </c>
      <c r="D11895" s="196">
        <v>0</v>
      </c>
      <c r="E11895" s="196">
        <v>0</v>
      </c>
      <c r="F11895" s="196">
        <v>0</v>
      </c>
      <c r="G11895" s="196">
        <v>-270000</v>
      </c>
    </row>
    <row r="11896" spans="1:7" x14ac:dyDescent="0.3">
      <c r="A11896" s="198">
        <v>42967469</v>
      </c>
      <c r="B11896" s="192" t="s">
        <v>3794</v>
      </c>
      <c r="C11896" s="196">
        <v>-71000</v>
      </c>
      <c r="D11896" s="196">
        <v>0</v>
      </c>
      <c r="E11896" s="196">
        <v>0</v>
      </c>
      <c r="F11896" s="196">
        <v>0</v>
      </c>
      <c r="G11896" s="196">
        <v>-71000</v>
      </c>
    </row>
    <row r="11897" spans="1:7" x14ac:dyDescent="0.3">
      <c r="A11897" s="198">
        <v>1007409281</v>
      </c>
      <c r="B11897" s="192" t="s">
        <v>3798</v>
      </c>
      <c r="C11897" s="196">
        <v>-175000</v>
      </c>
      <c r="D11897" s="196">
        <v>0</v>
      </c>
      <c r="E11897" s="196">
        <v>0</v>
      </c>
      <c r="F11897" s="196">
        <v>0</v>
      </c>
      <c r="G11897" s="196">
        <v>-175000</v>
      </c>
    </row>
    <row r="11898" spans="1:7" x14ac:dyDescent="0.3">
      <c r="A11898" s="198">
        <v>12972677</v>
      </c>
      <c r="B11898" s="192" t="s">
        <v>6597</v>
      </c>
      <c r="C11898" s="196">
        <v>-412000</v>
      </c>
      <c r="D11898" s="196">
        <v>0</v>
      </c>
      <c r="E11898" s="196">
        <v>0</v>
      </c>
      <c r="F11898" s="196">
        <v>0</v>
      </c>
      <c r="G11898" s="196">
        <v>-412000</v>
      </c>
    </row>
    <row r="11899" spans="1:7" x14ac:dyDescent="0.3">
      <c r="A11899" s="198">
        <v>576695090</v>
      </c>
      <c r="B11899" s="192" t="s">
        <v>6598</v>
      </c>
      <c r="C11899" s="196">
        <v>-270000</v>
      </c>
      <c r="D11899" s="196">
        <v>0</v>
      </c>
      <c r="E11899" s="196">
        <v>0</v>
      </c>
      <c r="F11899" s="196">
        <v>0</v>
      </c>
      <c r="G11899" s="196">
        <v>-270000</v>
      </c>
    </row>
    <row r="11900" spans="1:7" x14ac:dyDescent="0.3">
      <c r="A11900" s="198">
        <v>3566307</v>
      </c>
      <c r="B11900" s="192" t="s">
        <v>686</v>
      </c>
      <c r="C11900" s="196">
        <v>-270000</v>
      </c>
      <c r="D11900" s="196">
        <v>0</v>
      </c>
      <c r="E11900" s="196">
        <v>0</v>
      </c>
      <c r="F11900" s="196">
        <v>0</v>
      </c>
      <c r="G11900" s="196">
        <v>-270000</v>
      </c>
    </row>
    <row r="11901" spans="1:7" x14ac:dyDescent="0.3">
      <c r="A11901" s="198">
        <v>98522171</v>
      </c>
      <c r="B11901" s="192" t="s">
        <v>690</v>
      </c>
      <c r="C11901" s="196">
        <v>0</v>
      </c>
      <c r="D11901" s="196">
        <v>0</v>
      </c>
      <c r="E11901" s="196">
        <v>67000</v>
      </c>
      <c r="F11901" s="196">
        <v>-67000</v>
      </c>
      <c r="G11901" s="196">
        <v>-67000</v>
      </c>
    </row>
    <row r="11902" spans="1:7" x14ac:dyDescent="0.3">
      <c r="A11902" s="198">
        <v>15400440</v>
      </c>
      <c r="B11902" s="192" t="s">
        <v>3819</v>
      </c>
      <c r="C11902" s="196">
        <v>-67000</v>
      </c>
      <c r="D11902" s="196">
        <v>0</v>
      </c>
      <c r="E11902" s="196">
        <v>0</v>
      </c>
      <c r="F11902" s="196">
        <v>0</v>
      </c>
      <c r="G11902" s="196">
        <v>-67000</v>
      </c>
    </row>
    <row r="11903" spans="1:7" x14ac:dyDescent="0.3">
      <c r="A11903" s="198">
        <v>565404868</v>
      </c>
      <c r="B11903" s="192" t="s">
        <v>3822</v>
      </c>
      <c r="C11903" s="196">
        <v>-175000</v>
      </c>
      <c r="D11903" s="196">
        <v>0</v>
      </c>
      <c r="E11903" s="196">
        <v>0</v>
      </c>
      <c r="F11903" s="196">
        <v>0</v>
      </c>
      <c r="G11903" s="196">
        <v>-175000</v>
      </c>
    </row>
    <row r="11904" spans="1:7" x14ac:dyDescent="0.3">
      <c r="A11904" s="192" t="s">
        <v>3834</v>
      </c>
      <c r="B11904" s="192" t="s">
        <v>3835</v>
      </c>
      <c r="C11904" s="196">
        <v>-175000</v>
      </c>
      <c r="D11904" s="196">
        <v>0</v>
      </c>
      <c r="E11904" s="196">
        <v>0</v>
      </c>
      <c r="F11904" s="196">
        <v>0</v>
      </c>
      <c r="G11904" s="196">
        <v>-175000</v>
      </c>
    </row>
    <row r="11905" spans="1:7" x14ac:dyDescent="0.3">
      <c r="A11905" s="198">
        <v>70097927</v>
      </c>
      <c r="B11905" s="192" t="s">
        <v>3839</v>
      </c>
      <c r="C11905" s="196">
        <v>-580000</v>
      </c>
      <c r="D11905" s="196">
        <v>0</v>
      </c>
      <c r="E11905" s="196">
        <v>0</v>
      </c>
      <c r="F11905" s="196">
        <v>0</v>
      </c>
      <c r="G11905" s="196">
        <v>-580000</v>
      </c>
    </row>
    <row r="11906" spans="1:7" x14ac:dyDescent="0.3">
      <c r="A11906" s="198">
        <v>8308513</v>
      </c>
      <c r="B11906" s="192" t="s">
        <v>7366</v>
      </c>
      <c r="C11906" s="196">
        <v>-200000</v>
      </c>
      <c r="D11906" s="196">
        <v>0</v>
      </c>
      <c r="E11906" s="196">
        <v>0</v>
      </c>
      <c r="F11906" s="196">
        <v>0</v>
      </c>
      <c r="G11906" s="196">
        <v>-200000</v>
      </c>
    </row>
    <row r="11907" spans="1:7" x14ac:dyDescent="0.3">
      <c r="A11907" s="198">
        <v>15455291</v>
      </c>
      <c r="B11907" s="192" t="s">
        <v>3841</v>
      </c>
      <c r="C11907" s="196">
        <v>-5000</v>
      </c>
      <c r="D11907" s="196">
        <v>0</v>
      </c>
      <c r="E11907" s="196">
        <v>0</v>
      </c>
      <c r="F11907" s="196">
        <v>0</v>
      </c>
      <c r="G11907" s="196">
        <v>-5000</v>
      </c>
    </row>
    <row r="11908" spans="1:7" x14ac:dyDescent="0.3">
      <c r="A11908" s="198">
        <v>8293924</v>
      </c>
      <c r="B11908" s="192" t="s">
        <v>3842</v>
      </c>
      <c r="C11908" s="196">
        <v>-290000</v>
      </c>
      <c r="D11908" s="196">
        <v>0</v>
      </c>
      <c r="E11908" s="196">
        <v>0</v>
      </c>
      <c r="F11908" s="196">
        <v>0</v>
      </c>
      <c r="G11908" s="196">
        <v>-290000</v>
      </c>
    </row>
    <row r="11909" spans="1:7" x14ac:dyDescent="0.3">
      <c r="A11909" s="198">
        <v>1216727109</v>
      </c>
      <c r="B11909" s="192" t="s">
        <v>6601</v>
      </c>
      <c r="C11909" s="196">
        <v>-5000</v>
      </c>
      <c r="D11909" s="196">
        <v>0</v>
      </c>
      <c r="E11909" s="196">
        <v>0</v>
      </c>
      <c r="F11909" s="196">
        <v>0</v>
      </c>
      <c r="G11909" s="196">
        <v>-5000</v>
      </c>
    </row>
    <row r="11910" spans="1:7" x14ac:dyDescent="0.3">
      <c r="A11910" s="198">
        <v>1128422278</v>
      </c>
      <c r="B11910" s="192" t="s">
        <v>6602</v>
      </c>
      <c r="C11910" s="196">
        <v>-5000</v>
      </c>
      <c r="D11910" s="196">
        <v>0</v>
      </c>
      <c r="E11910" s="196">
        <v>0</v>
      </c>
      <c r="F11910" s="196">
        <v>0</v>
      </c>
      <c r="G11910" s="196">
        <v>-5000</v>
      </c>
    </row>
    <row r="11911" spans="1:7" x14ac:dyDescent="0.3">
      <c r="A11911" s="198">
        <v>1127356522</v>
      </c>
      <c r="B11911" s="192" t="s">
        <v>706</v>
      </c>
      <c r="C11911" s="196">
        <v>0</v>
      </c>
      <c r="D11911" s="196">
        <v>0</v>
      </c>
      <c r="E11911" s="196">
        <v>175000</v>
      </c>
      <c r="F11911" s="196">
        <v>-175000</v>
      </c>
      <c r="G11911" s="196">
        <v>-175000</v>
      </c>
    </row>
    <row r="11912" spans="1:7" x14ac:dyDescent="0.3">
      <c r="A11912" s="198">
        <v>84073109</v>
      </c>
      <c r="B11912" s="192" t="s">
        <v>3853</v>
      </c>
      <c r="C11912" s="196">
        <v>-448000</v>
      </c>
      <c r="D11912" s="196">
        <v>0</v>
      </c>
      <c r="E11912" s="196">
        <v>0</v>
      </c>
      <c r="F11912" s="196">
        <v>0</v>
      </c>
      <c r="G11912" s="196">
        <v>-448000</v>
      </c>
    </row>
    <row r="11913" spans="1:7" x14ac:dyDescent="0.3">
      <c r="A11913" s="192" t="s">
        <v>709</v>
      </c>
      <c r="B11913" s="192" t="s">
        <v>710</v>
      </c>
      <c r="C11913" s="196">
        <v>-363801</v>
      </c>
      <c r="D11913" s="196">
        <v>0</v>
      </c>
      <c r="E11913" s="196">
        <v>0</v>
      </c>
      <c r="F11913" s="196">
        <v>0</v>
      </c>
      <c r="G11913" s="196">
        <v>-363801</v>
      </c>
    </row>
    <row r="11914" spans="1:7" x14ac:dyDescent="0.3">
      <c r="A11914" s="198">
        <v>26611263</v>
      </c>
      <c r="B11914" s="192" t="s">
        <v>3856</v>
      </c>
      <c r="C11914" s="196">
        <v>-2450000</v>
      </c>
      <c r="D11914" s="196">
        <v>0</v>
      </c>
      <c r="E11914" s="196">
        <v>0</v>
      </c>
      <c r="F11914" s="196">
        <v>0</v>
      </c>
      <c r="G11914" s="196">
        <v>-2450000</v>
      </c>
    </row>
    <row r="11915" spans="1:7" x14ac:dyDescent="0.3">
      <c r="A11915" s="198">
        <v>1152708558</v>
      </c>
      <c r="B11915" s="192" t="s">
        <v>6604</v>
      </c>
      <c r="C11915" s="196">
        <v>-5000</v>
      </c>
      <c r="D11915" s="196">
        <v>0</v>
      </c>
      <c r="E11915" s="196">
        <v>0</v>
      </c>
      <c r="F11915" s="196">
        <v>0</v>
      </c>
      <c r="G11915" s="196">
        <v>-5000</v>
      </c>
    </row>
    <row r="11916" spans="1:7" x14ac:dyDescent="0.3">
      <c r="A11916" s="198">
        <v>70905100</v>
      </c>
      <c r="B11916" s="192" t="s">
        <v>3863</v>
      </c>
      <c r="C11916" s="196">
        <v>-360800</v>
      </c>
      <c r="D11916" s="196">
        <v>0</v>
      </c>
      <c r="E11916" s="196">
        <v>0</v>
      </c>
      <c r="F11916" s="196">
        <v>0</v>
      </c>
      <c r="G11916" s="196">
        <v>-360800</v>
      </c>
    </row>
    <row r="11917" spans="1:7" x14ac:dyDescent="0.3">
      <c r="A11917" s="198">
        <v>43085422</v>
      </c>
      <c r="B11917" s="192" t="s">
        <v>714</v>
      </c>
      <c r="C11917" s="196">
        <v>0</v>
      </c>
      <c r="D11917" s="196">
        <v>0</v>
      </c>
      <c r="E11917" s="196">
        <v>2450000</v>
      </c>
      <c r="F11917" s="196">
        <v>-2450000</v>
      </c>
      <c r="G11917" s="196">
        <v>-2450000</v>
      </c>
    </row>
    <row r="11918" spans="1:7" x14ac:dyDescent="0.3">
      <c r="A11918" s="198">
        <v>42893230</v>
      </c>
      <c r="B11918" s="192" t="s">
        <v>6605</v>
      </c>
      <c r="C11918" s="196">
        <v>-5000</v>
      </c>
      <c r="D11918" s="196">
        <v>0</v>
      </c>
      <c r="E11918" s="196">
        <v>0</v>
      </c>
      <c r="F11918" s="196">
        <v>0</v>
      </c>
      <c r="G11918" s="196">
        <v>-5000</v>
      </c>
    </row>
    <row r="11919" spans="1:7" x14ac:dyDescent="0.3">
      <c r="A11919" s="198">
        <v>1233932497</v>
      </c>
      <c r="B11919" s="192" t="s">
        <v>724</v>
      </c>
      <c r="C11919" s="196">
        <v>-151800</v>
      </c>
      <c r="D11919" s="196">
        <v>0</v>
      </c>
      <c r="E11919" s="196">
        <v>50600</v>
      </c>
      <c r="F11919" s="196">
        <v>-50600</v>
      </c>
      <c r="G11919" s="196">
        <v>-202400</v>
      </c>
    </row>
    <row r="11920" spans="1:7" x14ac:dyDescent="0.3">
      <c r="A11920" s="198">
        <v>43274763</v>
      </c>
      <c r="B11920" s="192" t="s">
        <v>3905</v>
      </c>
      <c r="C11920" s="196">
        <v>-377000</v>
      </c>
      <c r="D11920" s="196">
        <v>0</v>
      </c>
      <c r="E11920" s="196">
        <v>0</v>
      </c>
      <c r="F11920" s="196">
        <v>0</v>
      </c>
      <c r="G11920" s="196">
        <v>-377000</v>
      </c>
    </row>
    <row r="11921" spans="1:7" x14ac:dyDescent="0.3">
      <c r="A11921" s="198">
        <v>1152196904</v>
      </c>
      <c r="B11921" s="192" t="s">
        <v>729</v>
      </c>
      <c r="C11921" s="196">
        <v>0</v>
      </c>
      <c r="D11921" s="196">
        <v>0</v>
      </c>
      <c r="E11921" s="196">
        <v>5000</v>
      </c>
      <c r="F11921" s="196">
        <v>-5000</v>
      </c>
      <c r="G11921" s="196">
        <v>-5000</v>
      </c>
    </row>
    <row r="11922" spans="1:7" x14ac:dyDescent="0.3">
      <c r="A11922" s="198">
        <v>1001367191</v>
      </c>
      <c r="B11922" s="192" t="s">
        <v>3919</v>
      </c>
      <c r="C11922" s="196">
        <v>-175000</v>
      </c>
      <c r="D11922" s="196">
        <v>0</v>
      </c>
      <c r="E11922" s="196">
        <v>0</v>
      </c>
      <c r="F11922" s="196">
        <v>0</v>
      </c>
      <c r="G11922" s="196">
        <v>-175000</v>
      </c>
    </row>
    <row r="11923" spans="1:7" x14ac:dyDescent="0.3">
      <c r="A11923" s="198">
        <v>1006492867</v>
      </c>
      <c r="B11923" s="192" t="s">
        <v>6610</v>
      </c>
      <c r="C11923" s="196">
        <v>-5000</v>
      </c>
      <c r="D11923" s="196">
        <v>0</v>
      </c>
      <c r="E11923" s="196">
        <v>0</v>
      </c>
      <c r="F11923" s="196">
        <v>0</v>
      </c>
      <c r="G11923" s="196">
        <v>-5000</v>
      </c>
    </row>
    <row r="11924" spans="1:7" x14ac:dyDescent="0.3">
      <c r="A11924" s="198">
        <v>1045108256</v>
      </c>
      <c r="B11924" s="192" t="s">
        <v>734</v>
      </c>
      <c r="C11924" s="196">
        <v>0</v>
      </c>
      <c r="D11924" s="196">
        <v>0</v>
      </c>
      <c r="E11924" s="196">
        <v>5000</v>
      </c>
      <c r="F11924" s="196">
        <v>-5000</v>
      </c>
      <c r="G11924" s="196">
        <v>-5000</v>
      </c>
    </row>
    <row r="11925" spans="1:7" x14ac:dyDescent="0.3">
      <c r="A11925" s="198">
        <v>1017922830</v>
      </c>
      <c r="B11925" s="192" t="s">
        <v>6611</v>
      </c>
      <c r="C11925" s="196">
        <v>-175000</v>
      </c>
      <c r="D11925" s="196">
        <v>0</v>
      </c>
      <c r="E11925" s="196">
        <v>0</v>
      </c>
      <c r="F11925" s="196">
        <v>0</v>
      </c>
      <c r="G11925" s="196">
        <v>-175000</v>
      </c>
    </row>
    <row r="11926" spans="1:7" x14ac:dyDescent="0.3">
      <c r="A11926" s="198">
        <v>1001016812</v>
      </c>
      <c r="B11926" s="192" t="s">
        <v>740</v>
      </c>
      <c r="C11926" s="196">
        <v>-175000</v>
      </c>
      <c r="D11926" s="196">
        <v>0</v>
      </c>
      <c r="E11926" s="196">
        <v>0</v>
      </c>
      <c r="F11926" s="196">
        <v>0</v>
      </c>
      <c r="G11926" s="196">
        <v>-175000</v>
      </c>
    </row>
    <row r="11927" spans="1:7" x14ac:dyDescent="0.3">
      <c r="A11927" s="198">
        <v>1141721217</v>
      </c>
      <c r="B11927" s="192" t="s">
        <v>3942</v>
      </c>
      <c r="C11927" s="196">
        <v>-111000</v>
      </c>
      <c r="D11927" s="196">
        <v>0</v>
      </c>
      <c r="E11927" s="196">
        <v>0</v>
      </c>
      <c r="F11927" s="196">
        <v>0</v>
      </c>
      <c r="G11927" s="196">
        <v>-111000</v>
      </c>
    </row>
    <row r="11928" spans="1:7" x14ac:dyDescent="0.3">
      <c r="A11928" s="198">
        <v>1000515751</v>
      </c>
      <c r="B11928" s="192" t="s">
        <v>743</v>
      </c>
      <c r="C11928" s="196">
        <v>0</v>
      </c>
      <c r="D11928" s="196">
        <v>0</v>
      </c>
      <c r="E11928" s="196">
        <v>138800</v>
      </c>
      <c r="F11928" s="196">
        <v>-138800</v>
      </c>
      <c r="G11928" s="196">
        <v>-138800</v>
      </c>
    </row>
    <row r="11929" spans="1:7" x14ac:dyDescent="0.3">
      <c r="A11929" s="198">
        <v>581953444</v>
      </c>
      <c r="B11929" s="192" t="s">
        <v>3955</v>
      </c>
      <c r="C11929" s="196">
        <v>-78000</v>
      </c>
      <c r="D11929" s="196">
        <v>0</v>
      </c>
      <c r="E11929" s="196">
        <v>0</v>
      </c>
      <c r="F11929" s="196">
        <v>0</v>
      </c>
      <c r="G11929" s="196">
        <v>-78000</v>
      </c>
    </row>
    <row r="11930" spans="1:7" x14ac:dyDescent="0.3">
      <c r="A11930" s="198">
        <v>71617619</v>
      </c>
      <c r="B11930" s="192" t="s">
        <v>746</v>
      </c>
      <c r="C11930" s="196">
        <v>-270001</v>
      </c>
      <c r="D11930" s="196">
        <v>0</v>
      </c>
      <c r="E11930" s="196">
        <v>0</v>
      </c>
      <c r="F11930" s="196">
        <v>0</v>
      </c>
      <c r="G11930" s="196">
        <v>-270001</v>
      </c>
    </row>
    <row r="11931" spans="1:7" x14ac:dyDescent="0.3">
      <c r="A11931" s="198">
        <v>3474496</v>
      </c>
      <c r="B11931" s="192" t="s">
        <v>3962</v>
      </c>
      <c r="C11931" s="196">
        <v>-137000</v>
      </c>
      <c r="D11931" s="196">
        <v>0</v>
      </c>
      <c r="E11931" s="196">
        <v>0</v>
      </c>
      <c r="F11931" s="196">
        <v>0</v>
      </c>
      <c r="G11931" s="196">
        <v>-137000</v>
      </c>
    </row>
    <row r="11932" spans="1:7" x14ac:dyDescent="0.3">
      <c r="A11932" s="198">
        <v>1098644575</v>
      </c>
      <c r="B11932" s="192" t="s">
        <v>748</v>
      </c>
      <c r="C11932" s="196">
        <v>0</v>
      </c>
      <c r="D11932" s="196">
        <v>0</v>
      </c>
      <c r="E11932" s="196">
        <v>138000</v>
      </c>
      <c r="F11932" s="196">
        <v>-138000</v>
      </c>
      <c r="G11932" s="196">
        <v>-138000</v>
      </c>
    </row>
    <row r="11933" spans="1:7" x14ac:dyDescent="0.3">
      <c r="A11933" s="198">
        <v>1018224345</v>
      </c>
      <c r="B11933" s="192" t="s">
        <v>6616</v>
      </c>
      <c r="C11933" s="196">
        <v>-5000</v>
      </c>
      <c r="D11933" s="196">
        <v>0</v>
      </c>
      <c r="E11933" s="196">
        <v>0</v>
      </c>
      <c r="F11933" s="196">
        <v>0</v>
      </c>
      <c r="G11933" s="196">
        <v>-5000</v>
      </c>
    </row>
    <row r="11934" spans="1:7" x14ac:dyDescent="0.3">
      <c r="A11934" s="192" t="s">
        <v>3969</v>
      </c>
      <c r="B11934" s="192" t="s">
        <v>3970</v>
      </c>
      <c r="C11934" s="196">
        <v>-175000</v>
      </c>
      <c r="D11934" s="196">
        <v>0</v>
      </c>
      <c r="E11934" s="196">
        <v>0</v>
      </c>
      <c r="F11934" s="196">
        <v>0</v>
      </c>
      <c r="G11934" s="196">
        <v>-175000</v>
      </c>
    </row>
    <row r="11935" spans="1:7" x14ac:dyDescent="0.3">
      <c r="A11935" s="198">
        <v>673975408</v>
      </c>
      <c r="B11935" s="192" t="s">
        <v>3971</v>
      </c>
      <c r="C11935" s="196">
        <v>-52200</v>
      </c>
      <c r="D11935" s="196">
        <v>0</v>
      </c>
      <c r="E11935" s="196">
        <v>0</v>
      </c>
      <c r="F11935" s="196">
        <v>0</v>
      </c>
      <c r="G11935" s="196">
        <v>-52200</v>
      </c>
    </row>
    <row r="11936" spans="1:7" x14ac:dyDescent="0.3">
      <c r="A11936" s="198">
        <v>51792179</v>
      </c>
      <c r="B11936" s="192" t="s">
        <v>6618</v>
      </c>
      <c r="C11936" s="196">
        <v>-540000</v>
      </c>
      <c r="D11936" s="196">
        <v>0</v>
      </c>
      <c r="E11936" s="196">
        <v>0</v>
      </c>
      <c r="F11936" s="196">
        <v>0</v>
      </c>
      <c r="G11936" s="196">
        <v>-540000</v>
      </c>
    </row>
    <row r="11937" spans="1:7" x14ac:dyDescent="0.3">
      <c r="A11937" s="198">
        <v>7771800</v>
      </c>
      <c r="B11937" s="192" t="s">
        <v>752</v>
      </c>
      <c r="C11937" s="196">
        <v>-175000</v>
      </c>
      <c r="D11937" s="196">
        <v>0</v>
      </c>
      <c r="E11937" s="196">
        <v>0</v>
      </c>
      <c r="F11937" s="196">
        <v>0</v>
      </c>
      <c r="G11937" s="196">
        <v>-175000</v>
      </c>
    </row>
    <row r="11938" spans="1:7" x14ac:dyDescent="0.3">
      <c r="A11938" s="198">
        <v>78753145</v>
      </c>
      <c r="B11938" s="192" t="s">
        <v>6619</v>
      </c>
      <c r="C11938" s="196">
        <v>-10000</v>
      </c>
      <c r="D11938" s="196">
        <v>0</v>
      </c>
      <c r="E11938" s="196">
        <v>0</v>
      </c>
      <c r="F11938" s="196">
        <v>0</v>
      </c>
      <c r="G11938" s="196">
        <v>-10000</v>
      </c>
    </row>
    <row r="11939" spans="1:7" x14ac:dyDescent="0.3">
      <c r="A11939" s="198">
        <v>1218716399</v>
      </c>
      <c r="B11939" s="192" t="s">
        <v>7367</v>
      </c>
      <c r="C11939" s="196">
        <v>-65000</v>
      </c>
      <c r="D11939" s="196">
        <v>0</v>
      </c>
      <c r="E11939" s="196">
        <v>0</v>
      </c>
      <c r="F11939" s="196">
        <v>0</v>
      </c>
      <c r="G11939" s="196">
        <v>-65000</v>
      </c>
    </row>
    <row r="11940" spans="1:7" x14ac:dyDescent="0.3">
      <c r="A11940" s="198">
        <v>1017171685</v>
      </c>
      <c r="B11940" s="192" t="s">
        <v>3994</v>
      </c>
      <c r="C11940" s="196">
        <v>-138000</v>
      </c>
      <c r="D11940" s="196">
        <v>0</v>
      </c>
      <c r="E11940" s="196">
        <v>0</v>
      </c>
      <c r="F11940" s="196">
        <v>0</v>
      </c>
      <c r="G11940" s="196">
        <v>-138000</v>
      </c>
    </row>
    <row r="11941" spans="1:7" x14ac:dyDescent="0.3">
      <c r="A11941" s="198">
        <v>8177596</v>
      </c>
      <c r="B11941" s="192" t="s">
        <v>3996</v>
      </c>
      <c r="C11941" s="196">
        <v>-175000</v>
      </c>
      <c r="D11941" s="196">
        <v>0</v>
      </c>
      <c r="E11941" s="196">
        <v>0</v>
      </c>
      <c r="F11941" s="196">
        <v>0</v>
      </c>
      <c r="G11941" s="196">
        <v>-175000</v>
      </c>
    </row>
    <row r="11942" spans="1:7" x14ac:dyDescent="0.3">
      <c r="A11942" s="198">
        <v>3227506</v>
      </c>
      <c r="B11942" s="192" t="s">
        <v>758</v>
      </c>
      <c r="C11942" s="196">
        <v>0</v>
      </c>
      <c r="D11942" s="196">
        <v>0</v>
      </c>
      <c r="E11942" s="196">
        <v>290000</v>
      </c>
      <c r="F11942" s="196">
        <v>-290000</v>
      </c>
      <c r="G11942" s="196">
        <v>-290000</v>
      </c>
    </row>
    <row r="11943" spans="1:7" x14ac:dyDescent="0.3">
      <c r="A11943" s="198">
        <v>392250</v>
      </c>
      <c r="B11943" s="192" t="s">
        <v>3998</v>
      </c>
      <c r="C11943" s="196">
        <v>-270000</v>
      </c>
      <c r="D11943" s="196">
        <v>0</v>
      </c>
      <c r="E11943" s="196">
        <v>0</v>
      </c>
      <c r="F11943" s="196">
        <v>0</v>
      </c>
      <c r="G11943" s="196">
        <v>-270000</v>
      </c>
    </row>
    <row r="11944" spans="1:7" x14ac:dyDescent="0.3">
      <c r="A11944" s="198">
        <v>8341639</v>
      </c>
      <c r="B11944" s="192" t="s">
        <v>6621</v>
      </c>
      <c r="C11944" s="196">
        <v>-5000</v>
      </c>
      <c r="D11944" s="196">
        <v>0</v>
      </c>
      <c r="E11944" s="196">
        <v>0</v>
      </c>
      <c r="F11944" s="196">
        <v>0</v>
      </c>
      <c r="G11944" s="196">
        <v>-5000</v>
      </c>
    </row>
    <row r="11945" spans="1:7" x14ac:dyDescent="0.3">
      <c r="A11945" s="198">
        <v>1017139155</v>
      </c>
      <c r="B11945" s="192" t="s">
        <v>4001</v>
      </c>
      <c r="C11945" s="196">
        <v>-59400</v>
      </c>
      <c r="D11945" s="196">
        <v>0</v>
      </c>
      <c r="E11945" s="196">
        <v>0</v>
      </c>
      <c r="F11945" s="196">
        <v>0</v>
      </c>
      <c r="G11945" s="196">
        <v>-59400</v>
      </c>
    </row>
    <row r="11946" spans="1:7" x14ac:dyDescent="0.3">
      <c r="A11946" s="198">
        <v>4851560</v>
      </c>
      <c r="B11946" s="192" t="s">
        <v>6622</v>
      </c>
      <c r="C11946" s="196">
        <v>-253000</v>
      </c>
      <c r="D11946" s="196">
        <v>0</v>
      </c>
      <c r="E11946" s="196">
        <v>0</v>
      </c>
      <c r="F11946" s="196">
        <v>0</v>
      </c>
      <c r="G11946" s="196">
        <v>-253000</v>
      </c>
    </row>
    <row r="11947" spans="1:7" x14ac:dyDescent="0.3">
      <c r="A11947" s="198">
        <v>1128400826</v>
      </c>
      <c r="B11947" s="192" t="s">
        <v>6624</v>
      </c>
      <c r="C11947" s="196">
        <v>-377000</v>
      </c>
      <c r="D11947" s="196">
        <v>0</v>
      </c>
      <c r="E11947" s="196">
        <v>0</v>
      </c>
      <c r="F11947" s="196">
        <v>0</v>
      </c>
      <c r="G11947" s="196">
        <v>-377000</v>
      </c>
    </row>
    <row r="11948" spans="1:7" x14ac:dyDescent="0.3">
      <c r="A11948" s="198">
        <v>8214216</v>
      </c>
      <c r="B11948" s="192" t="s">
        <v>6625</v>
      </c>
      <c r="C11948" s="196">
        <v>-5000</v>
      </c>
      <c r="D11948" s="196">
        <v>0</v>
      </c>
      <c r="E11948" s="196">
        <v>0</v>
      </c>
      <c r="F11948" s="196">
        <v>0</v>
      </c>
      <c r="G11948" s="196">
        <v>-5000</v>
      </c>
    </row>
    <row r="11949" spans="1:7" x14ac:dyDescent="0.3">
      <c r="A11949" s="198">
        <v>642778167</v>
      </c>
      <c r="B11949" s="192" t="s">
        <v>4017</v>
      </c>
      <c r="C11949" s="196">
        <v>-270000</v>
      </c>
      <c r="D11949" s="196">
        <v>0</v>
      </c>
      <c r="E11949" s="196">
        <v>0</v>
      </c>
      <c r="F11949" s="196">
        <v>0</v>
      </c>
      <c r="G11949" s="196">
        <v>-270000</v>
      </c>
    </row>
    <row r="11950" spans="1:7" x14ac:dyDescent="0.3">
      <c r="A11950" s="192" t="s">
        <v>4018</v>
      </c>
      <c r="B11950" s="192" t="s">
        <v>4019</v>
      </c>
      <c r="C11950" s="196">
        <v>-175000</v>
      </c>
      <c r="D11950" s="196">
        <v>0</v>
      </c>
      <c r="E11950" s="196">
        <v>0</v>
      </c>
      <c r="F11950" s="196">
        <v>0</v>
      </c>
      <c r="G11950" s="196">
        <v>-175000</v>
      </c>
    </row>
    <row r="11951" spans="1:7" x14ac:dyDescent="0.3">
      <c r="A11951" s="198">
        <v>669553276</v>
      </c>
      <c r="B11951" s="192" t="s">
        <v>764</v>
      </c>
      <c r="C11951" s="196">
        <v>0</v>
      </c>
      <c r="D11951" s="196">
        <v>0</v>
      </c>
      <c r="E11951" s="196">
        <v>175000</v>
      </c>
      <c r="F11951" s="196">
        <v>-175000</v>
      </c>
      <c r="G11951" s="196">
        <v>-175000</v>
      </c>
    </row>
    <row r="11952" spans="1:7" x14ac:dyDescent="0.3">
      <c r="A11952" s="198">
        <v>8041256</v>
      </c>
      <c r="B11952" s="192" t="s">
        <v>6629</v>
      </c>
      <c r="C11952" s="196">
        <v>-4500</v>
      </c>
      <c r="D11952" s="196">
        <v>0</v>
      </c>
      <c r="E11952" s="196">
        <v>0</v>
      </c>
      <c r="F11952" s="196">
        <v>0</v>
      </c>
      <c r="G11952" s="196">
        <v>-4500</v>
      </c>
    </row>
    <row r="11953" spans="1:7" x14ac:dyDescent="0.3">
      <c r="A11953" s="198">
        <v>1036693246</v>
      </c>
      <c r="B11953" s="192" t="s">
        <v>6630</v>
      </c>
      <c r="C11953" s="196">
        <v>-141000</v>
      </c>
      <c r="D11953" s="196">
        <v>0</v>
      </c>
      <c r="E11953" s="196">
        <v>0</v>
      </c>
      <c r="F11953" s="196">
        <v>0</v>
      </c>
      <c r="G11953" s="196">
        <v>-141000</v>
      </c>
    </row>
    <row r="11954" spans="1:7" x14ac:dyDescent="0.3">
      <c r="A11954" s="198">
        <v>572995231</v>
      </c>
      <c r="B11954" s="192" t="s">
        <v>4028</v>
      </c>
      <c r="C11954" s="196">
        <v>-382000</v>
      </c>
      <c r="D11954" s="196">
        <v>0</v>
      </c>
      <c r="E11954" s="196">
        <v>0</v>
      </c>
      <c r="F11954" s="196">
        <v>0</v>
      </c>
      <c r="G11954" s="196">
        <v>-382000</v>
      </c>
    </row>
    <row r="11955" spans="1:7" x14ac:dyDescent="0.3">
      <c r="A11955" s="198">
        <v>3314013</v>
      </c>
      <c r="B11955" s="192" t="s">
        <v>4029</v>
      </c>
      <c r="C11955" s="196">
        <v>-96000</v>
      </c>
      <c r="D11955" s="196">
        <v>0</v>
      </c>
      <c r="E11955" s="196">
        <v>0</v>
      </c>
      <c r="F11955" s="196">
        <v>0</v>
      </c>
      <c r="G11955" s="196">
        <v>-96000</v>
      </c>
    </row>
    <row r="11956" spans="1:7" x14ac:dyDescent="0.3">
      <c r="A11956" s="198">
        <v>1040046063</v>
      </c>
      <c r="B11956" s="192" t="s">
        <v>7368</v>
      </c>
      <c r="C11956" s="196">
        <v>-92000</v>
      </c>
      <c r="D11956" s="196">
        <v>0</v>
      </c>
      <c r="E11956" s="196">
        <v>0</v>
      </c>
      <c r="F11956" s="196">
        <v>0</v>
      </c>
      <c r="G11956" s="196">
        <v>-92000</v>
      </c>
    </row>
    <row r="11957" spans="1:7" x14ac:dyDescent="0.3">
      <c r="A11957" s="198">
        <v>1152708743</v>
      </c>
      <c r="B11957" s="192" t="s">
        <v>6633</v>
      </c>
      <c r="C11957" s="196">
        <v>-5000</v>
      </c>
      <c r="D11957" s="196">
        <v>0</v>
      </c>
      <c r="E11957" s="196">
        <v>0</v>
      </c>
      <c r="F11957" s="196">
        <v>0</v>
      </c>
      <c r="G11957" s="196">
        <v>-5000</v>
      </c>
    </row>
    <row r="11958" spans="1:7" x14ac:dyDescent="0.3">
      <c r="A11958" s="198">
        <v>32256839</v>
      </c>
      <c r="B11958" s="192" t="s">
        <v>772</v>
      </c>
      <c r="C11958" s="196">
        <v>0</v>
      </c>
      <c r="D11958" s="196">
        <v>0</v>
      </c>
      <c r="E11958" s="196">
        <v>175000</v>
      </c>
      <c r="F11958" s="196">
        <v>-175000</v>
      </c>
      <c r="G11958" s="196">
        <v>-175000</v>
      </c>
    </row>
    <row r="11959" spans="1:7" x14ac:dyDescent="0.3">
      <c r="A11959" s="192" t="s">
        <v>4040</v>
      </c>
      <c r="B11959" s="192" t="s">
        <v>4041</v>
      </c>
      <c r="C11959" s="196">
        <v>-2310000</v>
      </c>
      <c r="D11959" s="196">
        <v>0</v>
      </c>
      <c r="E11959" s="196">
        <v>0</v>
      </c>
      <c r="F11959" s="196">
        <v>0</v>
      </c>
      <c r="G11959" s="196">
        <v>-2310000</v>
      </c>
    </row>
    <row r="11960" spans="1:7" x14ac:dyDescent="0.3">
      <c r="A11960" s="198">
        <v>1129904878</v>
      </c>
      <c r="B11960" s="192" t="s">
        <v>6635</v>
      </c>
      <c r="C11960" s="196">
        <v>-5800</v>
      </c>
      <c r="D11960" s="196">
        <v>0</v>
      </c>
      <c r="E11960" s="196">
        <v>0</v>
      </c>
      <c r="F11960" s="196">
        <v>0</v>
      </c>
      <c r="G11960" s="196">
        <v>-5800</v>
      </c>
    </row>
    <row r="11961" spans="1:7" x14ac:dyDescent="0.3">
      <c r="A11961" s="198">
        <v>1128455095</v>
      </c>
      <c r="B11961" s="192" t="s">
        <v>6639</v>
      </c>
      <c r="C11961" s="196">
        <v>-5000</v>
      </c>
      <c r="D11961" s="196">
        <v>0</v>
      </c>
      <c r="E11961" s="196">
        <v>0</v>
      </c>
      <c r="F11961" s="196">
        <v>0</v>
      </c>
      <c r="G11961" s="196">
        <v>-5000</v>
      </c>
    </row>
    <row r="11962" spans="1:7" x14ac:dyDescent="0.3">
      <c r="A11962" s="198">
        <v>1048019016</v>
      </c>
      <c r="B11962" s="192" t="s">
        <v>6641</v>
      </c>
      <c r="C11962" s="196">
        <v>-175000</v>
      </c>
      <c r="D11962" s="196">
        <v>0</v>
      </c>
      <c r="E11962" s="196">
        <v>0</v>
      </c>
      <c r="F11962" s="196">
        <v>0</v>
      </c>
      <c r="G11962" s="196">
        <v>-175000</v>
      </c>
    </row>
    <row r="11963" spans="1:7" x14ac:dyDescent="0.3">
      <c r="A11963" s="198">
        <v>1017246777</v>
      </c>
      <c r="B11963" s="192" t="s">
        <v>6642</v>
      </c>
      <c r="C11963" s="196">
        <v>-175000</v>
      </c>
      <c r="D11963" s="196">
        <v>0</v>
      </c>
      <c r="E11963" s="196">
        <v>0</v>
      </c>
      <c r="F11963" s="196">
        <v>0</v>
      </c>
      <c r="G11963" s="196">
        <v>-175000</v>
      </c>
    </row>
    <row r="11964" spans="1:7" x14ac:dyDescent="0.3">
      <c r="A11964" s="198">
        <v>16828608</v>
      </c>
      <c r="B11964" s="192" t="s">
        <v>775</v>
      </c>
      <c r="C11964" s="196">
        <v>-1</v>
      </c>
      <c r="D11964" s="196">
        <v>0</v>
      </c>
      <c r="E11964" s="196">
        <v>0</v>
      </c>
      <c r="F11964" s="196">
        <v>0</v>
      </c>
      <c r="G11964" s="196">
        <v>-1</v>
      </c>
    </row>
    <row r="11965" spans="1:7" x14ac:dyDescent="0.3">
      <c r="A11965" s="198">
        <v>1001035522</v>
      </c>
      <c r="B11965" s="192" t="s">
        <v>777</v>
      </c>
      <c r="C11965" s="196">
        <v>-2</v>
      </c>
      <c r="D11965" s="196">
        <v>0</v>
      </c>
      <c r="E11965" s="196">
        <v>0</v>
      </c>
      <c r="F11965" s="196">
        <v>0</v>
      </c>
      <c r="G11965" s="196">
        <v>-2</v>
      </c>
    </row>
    <row r="11966" spans="1:7" x14ac:dyDescent="0.3">
      <c r="A11966" s="198">
        <v>1032012363</v>
      </c>
      <c r="B11966" s="192" t="s">
        <v>6643</v>
      </c>
      <c r="C11966" s="196">
        <v>-5000</v>
      </c>
      <c r="D11966" s="196">
        <v>0</v>
      </c>
      <c r="E11966" s="196">
        <v>0</v>
      </c>
      <c r="F11966" s="196">
        <v>0</v>
      </c>
      <c r="G11966" s="196">
        <v>-5000</v>
      </c>
    </row>
    <row r="11967" spans="1:7" x14ac:dyDescent="0.3">
      <c r="A11967" s="198">
        <v>900279888</v>
      </c>
      <c r="B11967" s="192" t="s">
        <v>6645</v>
      </c>
      <c r="C11967" s="196">
        <v>-270000</v>
      </c>
      <c r="D11967" s="196">
        <v>0</v>
      </c>
      <c r="E11967" s="196">
        <v>0</v>
      </c>
      <c r="F11967" s="196">
        <v>0</v>
      </c>
      <c r="G11967" s="196">
        <v>-270000</v>
      </c>
    </row>
    <row r="11968" spans="1:7" x14ac:dyDescent="0.3">
      <c r="A11968" s="198">
        <v>1037618773</v>
      </c>
      <c r="B11968" s="192" t="s">
        <v>6646</v>
      </c>
      <c r="C11968" s="196">
        <v>-5000</v>
      </c>
      <c r="D11968" s="196">
        <v>0</v>
      </c>
      <c r="E11968" s="196">
        <v>0</v>
      </c>
      <c r="F11968" s="196">
        <v>0</v>
      </c>
      <c r="G11968" s="196">
        <v>-5000</v>
      </c>
    </row>
    <row r="11969" spans="1:7" x14ac:dyDescent="0.3">
      <c r="A11969" s="198">
        <v>1017146885</v>
      </c>
      <c r="B11969" s="192" t="s">
        <v>6649</v>
      </c>
      <c r="C11969" s="196">
        <v>-5000</v>
      </c>
      <c r="D11969" s="196">
        <v>0</v>
      </c>
      <c r="E11969" s="196">
        <v>0</v>
      </c>
      <c r="F11969" s="196">
        <v>0</v>
      </c>
      <c r="G11969" s="196">
        <v>-5000</v>
      </c>
    </row>
    <row r="11970" spans="1:7" x14ac:dyDescent="0.3">
      <c r="A11970" s="198">
        <v>52884070</v>
      </c>
      <c r="B11970" s="192" t="s">
        <v>790</v>
      </c>
      <c r="C11970" s="196">
        <v>0</v>
      </c>
      <c r="D11970" s="196">
        <v>0</v>
      </c>
      <c r="E11970" s="196">
        <v>77000</v>
      </c>
      <c r="F11970" s="196">
        <v>-77000</v>
      </c>
      <c r="G11970" s="196">
        <v>-77000</v>
      </c>
    </row>
    <row r="11971" spans="1:7" x14ac:dyDescent="0.3">
      <c r="A11971" s="198">
        <v>1036668034</v>
      </c>
      <c r="B11971" s="192" t="s">
        <v>4067</v>
      </c>
      <c r="C11971" s="196">
        <v>-175000</v>
      </c>
      <c r="D11971" s="196">
        <v>0</v>
      </c>
      <c r="E11971" s="196">
        <v>0</v>
      </c>
      <c r="F11971" s="196">
        <v>0</v>
      </c>
      <c r="G11971" s="196">
        <v>-175000</v>
      </c>
    </row>
    <row r="11972" spans="1:7" x14ac:dyDescent="0.3">
      <c r="A11972" s="198">
        <v>98471856</v>
      </c>
      <c r="B11972" s="192" t="s">
        <v>4069</v>
      </c>
      <c r="C11972" s="196">
        <v>-32000</v>
      </c>
      <c r="D11972" s="196">
        <v>0</v>
      </c>
      <c r="E11972" s="196">
        <v>0</v>
      </c>
      <c r="F11972" s="196">
        <v>0</v>
      </c>
      <c r="G11972" s="196">
        <v>-32000</v>
      </c>
    </row>
    <row r="11973" spans="1:7" x14ac:dyDescent="0.3">
      <c r="A11973" s="198">
        <v>3524420</v>
      </c>
      <c r="B11973" s="192" t="s">
        <v>795</v>
      </c>
      <c r="C11973" s="196">
        <v>0</v>
      </c>
      <c r="D11973" s="196">
        <v>0</v>
      </c>
      <c r="E11973" s="196">
        <v>290000</v>
      </c>
      <c r="F11973" s="196">
        <v>-290000</v>
      </c>
      <c r="G11973" s="196">
        <v>-290000</v>
      </c>
    </row>
    <row r="11974" spans="1:7" x14ac:dyDescent="0.3">
      <c r="A11974" s="198">
        <v>70901258</v>
      </c>
      <c r="B11974" s="192" t="s">
        <v>4071</v>
      </c>
      <c r="C11974" s="196">
        <v>-270000</v>
      </c>
      <c r="D11974" s="196">
        <v>0</v>
      </c>
      <c r="E11974" s="196">
        <v>0</v>
      </c>
      <c r="F11974" s="196">
        <v>0</v>
      </c>
      <c r="G11974" s="196">
        <v>-270000</v>
      </c>
    </row>
    <row r="11975" spans="1:7" x14ac:dyDescent="0.3">
      <c r="A11975" s="198">
        <v>1020470509</v>
      </c>
      <c r="B11975" s="192" t="s">
        <v>4072</v>
      </c>
      <c r="C11975" s="196">
        <v>-175000</v>
      </c>
      <c r="D11975" s="196">
        <v>0</v>
      </c>
      <c r="E11975" s="196">
        <v>0</v>
      </c>
      <c r="F11975" s="196">
        <v>0</v>
      </c>
      <c r="G11975" s="196">
        <v>-175000</v>
      </c>
    </row>
    <row r="11976" spans="1:7" x14ac:dyDescent="0.3">
      <c r="A11976" s="198">
        <v>1040758816</v>
      </c>
      <c r="B11976" s="192" t="s">
        <v>4077</v>
      </c>
      <c r="C11976" s="196">
        <v>-175000</v>
      </c>
      <c r="D11976" s="196">
        <v>0</v>
      </c>
      <c r="E11976" s="196">
        <v>0</v>
      </c>
      <c r="F11976" s="196">
        <v>0</v>
      </c>
      <c r="G11976" s="196">
        <v>-175000</v>
      </c>
    </row>
    <row r="11977" spans="1:7" x14ac:dyDescent="0.3">
      <c r="A11977" s="198">
        <v>7562823</v>
      </c>
      <c r="B11977" s="192" t="s">
        <v>6655</v>
      </c>
      <c r="C11977" s="196">
        <v>-270000</v>
      </c>
      <c r="D11977" s="196">
        <v>0</v>
      </c>
      <c r="E11977" s="196">
        <v>0</v>
      </c>
      <c r="F11977" s="196">
        <v>0</v>
      </c>
      <c r="G11977" s="196">
        <v>-270000</v>
      </c>
    </row>
    <row r="11978" spans="1:7" x14ac:dyDescent="0.3">
      <c r="A11978" s="198">
        <v>1093744869</v>
      </c>
      <c r="B11978" s="192" t="s">
        <v>1906</v>
      </c>
      <c r="C11978" s="196">
        <v>-67600</v>
      </c>
      <c r="D11978" s="196">
        <v>0</v>
      </c>
      <c r="E11978" s="196">
        <v>0</v>
      </c>
      <c r="F11978" s="196">
        <v>0</v>
      </c>
      <c r="G11978" s="196">
        <v>-67600</v>
      </c>
    </row>
    <row r="11979" spans="1:7" x14ac:dyDescent="0.3">
      <c r="A11979" s="198">
        <v>11705730</v>
      </c>
      <c r="B11979" s="192" t="s">
        <v>798</v>
      </c>
      <c r="C11979" s="196">
        <v>0</v>
      </c>
      <c r="D11979" s="196">
        <v>0</v>
      </c>
      <c r="E11979" s="196">
        <v>290000</v>
      </c>
      <c r="F11979" s="196">
        <v>-290000</v>
      </c>
      <c r="G11979" s="196">
        <v>-290000</v>
      </c>
    </row>
    <row r="11980" spans="1:7" x14ac:dyDescent="0.3">
      <c r="A11980" s="198">
        <v>1017145146</v>
      </c>
      <c r="B11980" s="192" t="s">
        <v>6656</v>
      </c>
      <c r="C11980" s="196">
        <v>-5000</v>
      </c>
      <c r="D11980" s="196">
        <v>0</v>
      </c>
      <c r="E11980" s="196">
        <v>0</v>
      </c>
      <c r="F11980" s="196">
        <v>0</v>
      </c>
      <c r="G11980" s="196">
        <v>-5000</v>
      </c>
    </row>
    <row r="11981" spans="1:7" x14ac:dyDescent="0.3">
      <c r="A11981" s="198">
        <v>8046150</v>
      </c>
      <c r="B11981" s="192" t="s">
        <v>4083</v>
      </c>
      <c r="C11981" s="196">
        <v>-290000</v>
      </c>
      <c r="D11981" s="196">
        <v>0</v>
      </c>
      <c r="E11981" s="196">
        <v>0</v>
      </c>
      <c r="F11981" s="196">
        <v>0</v>
      </c>
      <c r="G11981" s="196">
        <v>-290000</v>
      </c>
    </row>
    <row r="11982" spans="1:7" x14ac:dyDescent="0.3">
      <c r="A11982" s="198">
        <v>15515038</v>
      </c>
      <c r="B11982" s="192" t="s">
        <v>6657</v>
      </c>
      <c r="C11982" s="196">
        <v>-5000</v>
      </c>
      <c r="D11982" s="196">
        <v>0</v>
      </c>
      <c r="E11982" s="196">
        <v>0</v>
      </c>
      <c r="F11982" s="196">
        <v>0</v>
      </c>
      <c r="G11982" s="196">
        <v>-5000</v>
      </c>
    </row>
    <row r="11983" spans="1:7" x14ac:dyDescent="0.3">
      <c r="A11983" s="198">
        <v>1006948492</v>
      </c>
      <c r="B11983" s="192" t="s">
        <v>6658</v>
      </c>
      <c r="C11983" s="196">
        <v>-5000</v>
      </c>
      <c r="D11983" s="196">
        <v>0</v>
      </c>
      <c r="E11983" s="196">
        <v>0</v>
      </c>
      <c r="F11983" s="196">
        <v>0</v>
      </c>
      <c r="G11983" s="196">
        <v>-5000</v>
      </c>
    </row>
    <row r="11984" spans="1:7" x14ac:dyDescent="0.3">
      <c r="A11984" s="198">
        <v>1007717100</v>
      </c>
      <c r="B11984" s="192" t="s">
        <v>6659</v>
      </c>
      <c r="C11984" s="196">
        <v>-434000</v>
      </c>
      <c r="D11984" s="196">
        <v>0</v>
      </c>
      <c r="E11984" s="196">
        <v>0</v>
      </c>
      <c r="F11984" s="196">
        <v>0</v>
      </c>
      <c r="G11984" s="196">
        <v>-434000</v>
      </c>
    </row>
    <row r="11985" spans="1:7" x14ac:dyDescent="0.3">
      <c r="A11985" s="198">
        <v>1026148449</v>
      </c>
      <c r="B11985" s="192" t="s">
        <v>800</v>
      </c>
      <c r="C11985" s="196">
        <v>0</v>
      </c>
      <c r="D11985" s="196">
        <v>0</v>
      </c>
      <c r="E11985" s="196">
        <v>175000</v>
      </c>
      <c r="F11985" s="196">
        <v>-175000</v>
      </c>
      <c r="G11985" s="196">
        <v>-175000</v>
      </c>
    </row>
    <row r="11986" spans="1:7" x14ac:dyDescent="0.3">
      <c r="A11986" s="198">
        <v>7418660</v>
      </c>
      <c r="B11986" s="192" t="s">
        <v>4093</v>
      </c>
      <c r="C11986" s="196">
        <v>-145000</v>
      </c>
      <c r="D11986" s="196">
        <v>0</v>
      </c>
      <c r="E11986" s="196">
        <v>0</v>
      </c>
      <c r="F11986" s="196">
        <v>0</v>
      </c>
      <c r="G11986" s="196">
        <v>-145000</v>
      </c>
    </row>
    <row r="11987" spans="1:7" x14ac:dyDescent="0.3">
      <c r="A11987" s="198">
        <v>1037544111</v>
      </c>
      <c r="B11987" s="192" t="s">
        <v>4094</v>
      </c>
      <c r="C11987" s="196">
        <v>-360000</v>
      </c>
      <c r="D11987" s="196">
        <v>0</v>
      </c>
      <c r="E11987" s="196">
        <v>0</v>
      </c>
      <c r="F11987" s="196">
        <v>0</v>
      </c>
      <c r="G11987" s="196">
        <v>-360000</v>
      </c>
    </row>
    <row r="11988" spans="1:7" x14ac:dyDescent="0.3">
      <c r="A11988" s="198">
        <v>587046885</v>
      </c>
      <c r="B11988" s="192" t="s">
        <v>6664</v>
      </c>
      <c r="C11988" s="196">
        <v>-189200</v>
      </c>
      <c r="D11988" s="196">
        <v>0</v>
      </c>
      <c r="E11988" s="196">
        <v>0</v>
      </c>
      <c r="F11988" s="196">
        <v>0</v>
      </c>
      <c r="G11988" s="196">
        <v>-189200</v>
      </c>
    </row>
    <row r="11989" spans="1:7" x14ac:dyDescent="0.3">
      <c r="A11989" s="198">
        <v>1000206037</v>
      </c>
      <c r="B11989" s="192" t="s">
        <v>4112</v>
      </c>
      <c r="C11989" s="196">
        <v>-175000</v>
      </c>
      <c r="D11989" s="196">
        <v>0</v>
      </c>
      <c r="E11989" s="196">
        <v>0</v>
      </c>
      <c r="F11989" s="196">
        <v>0</v>
      </c>
      <c r="G11989" s="196">
        <v>-175000</v>
      </c>
    </row>
    <row r="11990" spans="1:7" x14ac:dyDescent="0.3">
      <c r="A11990" s="198">
        <v>1036635480</v>
      </c>
      <c r="B11990" s="192" t="s">
        <v>1686</v>
      </c>
      <c r="C11990" s="196">
        <v>-175000</v>
      </c>
      <c r="D11990" s="196">
        <v>0</v>
      </c>
      <c r="E11990" s="196">
        <v>0</v>
      </c>
      <c r="F11990" s="196">
        <v>0</v>
      </c>
      <c r="G11990" s="196">
        <v>-175000</v>
      </c>
    </row>
    <row r="11991" spans="1:7" x14ac:dyDescent="0.3">
      <c r="A11991" s="198">
        <v>1037659854</v>
      </c>
      <c r="B11991" s="192" t="s">
        <v>7369</v>
      </c>
      <c r="C11991" s="196">
        <v>-5000</v>
      </c>
      <c r="D11991" s="196">
        <v>0</v>
      </c>
      <c r="E11991" s="196">
        <v>0</v>
      </c>
      <c r="F11991" s="196">
        <v>0</v>
      </c>
      <c r="G11991" s="196">
        <v>-5000</v>
      </c>
    </row>
    <row r="11992" spans="1:7" x14ac:dyDescent="0.3">
      <c r="A11992" s="198">
        <v>661249721</v>
      </c>
      <c r="B11992" s="192" t="s">
        <v>809</v>
      </c>
      <c r="C11992" s="196">
        <v>-214000</v>
      </c>
      <c r="D11992" s="196">
        <v>0</v>
      </c>
      <c r="E11992" s="196">
        <v>0</v>
      </c>
      <c r="F11992" s="196">
        <v>0</v>
      </c>
      <c r="G11992" s="196">
        <v>-214000</v>
      </c>
    </row>
    <row r="11993" spans="1:7" x14ac:dyDescent="0.3">
      <c r="A11993" s="198">
        <v>1039050184</v>
      </c>
      <c r="B11993" s="192" t="s">
        <v>6670</v>
      </c>
      <c r="C11993" s="196">
        <v>-5000</v>
      </c>
      <c r="D11993" s="196">
        <v>0</v>
      </c>
      <c r="E11993" s="196">
        <v>0</v>
      </c>
      <c r="F11993" s="196">
        <v>0</v>
      </c>
      <c r="G11993" s="196">
        <v>-5000</v>
      </c>
    </row>
    <row r="11994" spans="1:7" x14ac:dyDescent="0.3">
      <c r="A11994" s="198">
        <v>98606788</v>
      </c>
      <c r="B11994" s="192" t="s">
        <v>6672</v>
      </c>
      <c r="C11994" s="196">
        <v>-270000</v>
      </c>
      <c r="D11994" s="196">
        <v>0</v>
      </c>
      <c r="E11994" s="196">
        <v>0</v>
      </c>
      <c r="F11994" s="196">
        <v>0</v>
      </c>
      <c r="G11994" s="196">
        <v>-270000</v>
      </c>
    </row>
    <row r="11995" spans="1:7" x14ac:dyDescent="0.3">
      <c r="A11995" s="198">
        <v>70927822</v>
      </c>
      <c r="B11995" s="192" t="s">
        <v>6674</v>
      </c>
      <c r="C11995" s="196">
        <v>-5000</v>
      </c>
      <c r="D11995" s="196">
        <v>0</v>
      </c>
      <c r="E11995" s="196">
        <v>0</v>
      </c>
      <c r="F11995" s="196">
        <v>0</v>
      </c>
      <c r="G11995" s="196">
        <v>-5000</v>
      </c>
    </row>
    <row r="11996" spans="1:7" x14ac:dyDescent="0.3">
      <c r="A11996" s="198">
        <v>45764892</v>
      </c>
      <c r="B11996" s="192" t="s">
        <v>815</v>
      </c>
      <c r="C11996" s="196">
        <v>-1</v>
      </c>
      <c r="D11996" s="196">
        <v>0</v>
      </c>
      <c r="E11996" s="196">
        <v>0</v>
      </c>
      <c r="F11996" s="196">
        <v>0</v>
      </c>
      <c r="G11996" s="196">
        <v>-1</v>
      </c>
    </row>
    <row r="11997" spans="1:7" x14ac:dyDescent="0.3">
      <c r="A11997" s="198">
        <v>71527531</v>
      </c>
      <c r="B11997" s="192" t="s">
        <v>124</v>
      </c>
      <c r="C11997" s="196">
        <v>-912000</v>
      </c>
      <c r="D11997" s="196">
        <v>0</v>
      </c>
      <c r="E11997" s="196">
        <v>377000</v>
      </c>
      <c r="F11997" s="196">
        <v>-377000</v>
      </c>
      <c r="G11997" s="196">
        <v>-1289000</v>
      </c>
    </row>
    <row r="11998" spans="1:7" x14ac:dyDescent="0.3">
      <c r="A11998" s="198">
        <v>1010076257</v>
      </c>
      <c r="B11998" s="192" t="s">
        <v>816</v>
      </c>
      <c r="C11998" s="196">
        <v>0</v>
      </c>
      <c r="D11998" s="196">
        <v>0</v>
      </c>
      <c r="E11998" s="196">
        <v>5000</v>
      </c>
      <c r="F11998" s="196">
        <v>-5000</v>
      </c>
      <c r="G11998" s="196">
        <v>-5000</v>
      </c>
    </row>
    <row r="11999" spans="1:7" x14ac:dyDescent="0.3">
      <c r="A11999" s="198">
        <v>1020435002</v>
      </c>
      <c r="B11999" s="192" t="s">
        <v>6678</v>
      </c>
      <c r="C11999" s="196">
        <v>-138000</v>
      </c>
      <c r="D11999" s="196">
        <v>0</v>
      </c>
      <c r="E11999" s="196">
        <v>0</v>
      </c>
      <c r="F11999" s="196">
        <v>0</v>
      </c>
      <c r="G11999" s="196">
        <v>-138000</v>
      </c>
    </row>
    <row r="12000" spans="1:7" x14ac:dyDescent="0.3">
      <c r="A12000" s="198">
        <v>1152212350</v>
      </c>
      <c r="B12000" s="192" t="s">
        <v>6679</v>
      </c>
      <c r="C12000" s="196">
        <v>-5000</v>
      </c>
      <c r="D12000" s="196">
        <v>0</v>
      </c>
      <c r="E12000" s="196">
        <v>0</v>
      </c>
      <c r="F12000" s="196">
        <v>0</v>
      </c>
      <c r="G12000" s="196">
        <v>-5000</v>
      </c>
    </row>
    <row r="12001" spans="1:7" x14ac:dyDescent="0.3">
      <c r="A12001" s="198">
        <v>1094577615</v>
      </c>
      <c r="B12001" s="192" t="s">
        <v>6680</v>
      </c>
      <c r="C12001" s="196">
        <v>-5000</v>
      </c>
      <c r="D12001" s="196">
        <v>0</v>
      </c>
      <c r="E12001" s="196">
        <v>0</v>
      </c>
      <c r="F12001" s="196">
        <v>0</v>
      </c>
      <c r="G12001" s="196">
        <v>-5000</v>
      </c>
    </row>
    <row r="12002" spans="1:7" x14ac:dyDescent="0.3">
      <c r="A12002" s="198">
        <v>71694698</v>
      </c>
      <c r="B12002" s="192" t="s">
        <v>828</v>
      </c>
      <c r="C12002" s="196">
        <v>0</v>
      </c>
      <c r="D12002" s="196">
        <v>0</v>
      </c>
      <c r="E12002" s="196">
        <v>290000</v>
      </c>
      <c r="F12002" s="196">
        <v>-290000</v>
      </c>
      <c r="G12002" s="196">
        <v>-290000</v>
      </c>
    </row>
    <row r="12003" spans="1:7" x14ac:dyDescent="0.3">
      <c r="A12003" s="198">
        <v>70003018</v>
      </c>
      <c r="B12003" s="192" t="s">
        <v>4161</v>
      </c>
      <c r="C12003" s="196">
        <v>-270000</v>
      </c>
      <c r="D12003" s="196">
        <v>0</v>
      </c>
      <c r="E12003" s="196">
        <v>0</v>
      </c>
      <c r="F12003" s="196">
        <v>0</v>
      </c>
      <c r="G12003" s="196">
        <v>-270000</v>
      </c>
    </row>
    <row r="12004" spans="1:7" x14ac:dyDescent="0.3">
      <c r="A12004" s="198">
        <v>1062398663</v>
      </c>
      <c r="B12004" s="192" t="s">
        <v>6683</v>
      </c>
      <c r="C12004" s="196">
        <v>-138000</v>
      </c>
      <c r="D12004" s="196">
        <v>0</v>
      </c>
      <c r="E12004" s="196">
        <v>0</v>
      </c>
      <c r="F12004" s="196">
        <v>0</v>
      </c>
      <c r="G12004" s="196">
        <v>-138000</v>
      </c>
    </row>
    <row r="12005" spans="1:7" x14ac:dyDescent="0.3">
      <c r="A12005" s="198">
        <v>1065650112</v>
      </c>
      <c r="B12005" s="192" t="s">
        <v>837</v>
      </c>
      <c r="C12005" s="196">
        <v>0</v>
      </c>
      <c r="D12005" s="196">
        <v>0</v>
      </c>
      <c r="E12005" s="196">
        <v>62100</v>
      </c>
      <c r="F12005" s="196">
        <v>-62100</v>
      </c>
      <c r="G12005" s="196">
        <v>-62100</v>
      </c>
    </row>
    <row r="12006" spans="1:7" x14ac:dyDescent="0.3">
      <c r="A12006" s="198">
        <v>573863617</v>
      </c>
      <c r="B12006" s="192" t="s">
        <v>4180</v>
      </c>
      <c r="C12006" s="196">
        <v>-50000</v>
      </c>
      <c r="D12006" s="196">
        <v>0</v>
      </c>
      <c r="E12006" s="196">
        <v>0</v>
      </c>
      <c r="F12006" s="196">
        <v>0</v>
      </c>
      <c r="G12006" s="196">
        <v>-50000</v>
      </c>
    </row>
    <row r="12007" spans="1:7" x14ac:dyDescent="0.3">
      <c r="A12007" s="198">
        <v>1001446350</v>
      </c>
      <c r="B12007" s="192" t="s">
        <v>4184</v>
      </c>
      <c r="C12007" s="196">
        <v>-214000</v>
      </c>
      <c r="D12007" s="196">
        <v>0</v>
      </c>
      <c r="E12007" s="196">
        <v>0</v>
      </c>
      <c r="F12007" s="196">
        <v>0</v>
      </c>
      <c r="G12007" s="196">
        <v>-214000</v>
      </c>
    </row>
    <row r="12008" spans="1:7" x14ac:dyDescent="0.3">
      <c r="A12008" s="198">
        <v>1001875917</v>
      </c>
      <c r="B12008" s="192" t="s">
        <v>839</v>
      </c>
      <c r="C12008" s="196">
        <v>0</v>
      </c>
      <c r="D12008" s="196">
        <v>0</v>
      </c>
      <c r="E12008" s="196">
        <v>5000</v>
      </c>
      <c r="F12008" s="196">
        <v>-5000</v>
      </c>
      <c r="G12008" s="196">
        <v>-5000</v>
      </c>
    </row>
    <row r="12009" spans="1:7" x14ac:dyDescent="0.3">
      <c r="A12009" s="198">
        <v>127351126</v>
      </c>
      <c r="B12009" s="192" t="s">
        <v>6688</v>
      </c>
      <c r="C12009" s="196">
        <v>-5000</v>
      </c>
      <c r="D12009" s="196">
        <v>0</v>
      </c>
      <c r="E12009" s="196">
        <v>0</v>
      </c>
      <c r="F12009" s="196">
        <v>0</v>
      </c>
      <c r="G12009" s="196">
        <v>-5000</v>
      </c>
    </row>
    <row r="12010" spans="1:7" x14ac:dyDescent="0.3">
      <c r="A12010" s="198">
        <v>98476086</v>
      </c>
      <c r="B12010" s="192" t="s">
        <v>845</v>
      </c>
      <c r="C12010" s="196">
        <v>-523000</v>
      </c>
      <c r="D12010" s="196">
        <v>0</v>
      </c>
      <c r="E12010" s="196">
        <v>253000</v>
      </c>
      <c r="F12010" s="196">
        <v>-253000</v>
      </c>
      <c r="G12010" s="196">
        <v>-776000</v>
      </c>
    </row>
    <row r="12011" spans="1:7" x14ac:dyDescent="0.3">
      <c r="A12011" s="198">
        <v>3672654</v>
      </c>
      <c r="B12011" s="192" t="s">
        <v>4209</v>
      </c>
      <c r="C12011" s="196">
        <v>-290000</v>
      </c>
      <c r="D12011" s="196">
        <v>0</v>
      </c>
      <c r="E12011" s="196">
        <v>0</v>
      </c>
      <c r="F12011" s="196">
        <v>0</v>
      </c>
      <c r="G12011" s="196">
        <v>-290000</v>
      </c>
    </row>
    <row r="12012" spans="1:7" x14ac:dyDescent="0.3">
      <c r="A12012" s="198">
        <v>1036958870</v>
      </c>
      <c r="B12012" s="192" t="s">
        <v>4213</v>
      </c>
      <c r="C12012" s="196">
        <v>-56000</v>
      </c>
      <c r="D12012" s="196">
        <v>0</v>
      </c>
      <c r="E12012" s="196">
        <v>0</v>
      </c>
      <c r="F12012" s="196">
        <v>0</v>
      </c>
      <c r="G12012" s="196">
        <v>-56000</v>
      </c>
    </row>
    <row r="12013" spans="1:7" x14ac:dyDescent="0.3">
      <c r="A12013" s="198">
        <v>1001419275</v>
      </c>
      <c r="B12013" s="192" t="s">
        <v>6695</v>
      </c>
      <c r="C12013" s="196">
        <v>-5000</v>
      </c>
      <c r="D12013" s="196">
        <v>0</v>
      </c>
      <c r="E12013" s="196">
        <v>0</v>
      </c>
      <c r="F12013" s="196">
        <v>0</v>
      </c>
      <c r="G12013" s="196">
        <v>-5000</v>
      </c>
    </row>
    <row r="12014" spans="1:7" x14ac:dyDescent="0.3">
      <c r="A12014" s="198">
        <v>1036450668</v>
      </c>
      <c r="B12014" s="192" t="s">
        <v>4224</v>
      </c>
      <c r="C12014" s="196">
        <v>-175000</v>
      </c>
      <c r="D12014" s="196">
        <v>0</v>
      </c>
      <c r="E12014" s="196">
        <v>0</v>
      </c>
      <c r="F12014" s="196">
        <v>0</v>
      </c>
      <c r="G12014" s="196">
        <v>-175000</v>
      </c>
    </row>
    <row r="12015" spans="1:7" x14ac:dyDescent="0.3">
      <c r="A12015" s="198">
        <v>1000416832</v>
      </c>
      <c r="B12015" s="192" t="s">
        <v>4225</v>
      </c>
      <c r="C12015" s="196">
        <v>-76000</v>
      </c>
      <c r="D12015" s="196">
        <v>0</v>
      </c>
      <c r="E12015" s="196">
        <v>0</v>
      </c>
      <c r="F12015" s="196">
        <v>0</v>
      </c>
      <c r="G12015" s="196">
        <v>-76000</v>
      </c>
    </row>
    <row r="12016" spans="1:7" x14ac:dyDescent="0.3">
      <c r="A12016" s="198">
        <v>1001368238</v>
      </c>
      <c r="B12016" s="192" t="s">
        <v>4227</v>
      </c>
      <c r="C12016" s="196">
        <v>-67000</v>
      </c>
      <c r="D12016" s="196">
        <v>0</v>
      </c>
      <c r="E12016" s="196">
        <v>0</v>
      </c>
      <c r="F12016" s="196">
        <v>0</v>
      </c>
      <c r="G12016" s="196">
        <v>-67000</v>
      </c>
    </row>
    <row r="12017" spans="1:7" x14ac:dyDescent="0.3">
      <c r="A12017" s="198">
        <v>23247290</v>
      </c>
      <c r="B12017" s="192" t="s">
        <v>4229</v>
      </c>
      <c r="C12017" s="196">
        <v>-270000</v>
      </c>
      <c r="D12017" s="196">
        <v>0</v>
      </c>
      <c r="E12017" s="196">
        <v>0</v>
      </c>
      <c r="F12017" s="196">
        <v>0</v>
      </c>
      <c r="G12017" s="196">
        <v>-270000</v>
      </c>
    </row>
    <row r="12018" spans="1:7" x14ac:dyDescent="0.3">
      <c r="A12018" s="198">
        <v>1125791567</v>
      </c>
      <c r="B12018" s="192" t="s">
        <v>4241</v>
      </c>
      <c r="C12018" s="196">
        <v>-175000</v>
      </c>
      <c r="D12018" s="196">
        <v>0</v>
      </c>
      <c r="E12018" s="196">
        <v>0</v>
      </c>
      <c r="F12018" s="196">
        <v>0</v>
      </c>
      <c r="G12018" s="196">
        <v>-175000</v>
      </c>
    </row>
    <row r="12019" spans="1:7" x14ac:dyDescent="0.3">
      <c r="A12019" s="198">
        <v>7806748</v>
      </c>
      <c r="B12019" s="192" t="s">
        <v>4242</v>
      </c>
      <c r="C12019" s="196">
        <v>-270000</v>
      </c>
      <c r="D12019" s="196">
        <v>0</v>
      </c>
      <c r="E12019" s="196">
        <v>0</v>
      </c>
      <c r="F12019" s="196">
        <v>0</v>
      </c>
      <c r="G12019" s="196">
        <v>-270000</v>
      </c>
    </row>
    <row r="12020" spans="1:7" x14ac:dyDescent="0.3">
      <c r="A12020" s="198">
        <v>3399691</v>
      </c>
      <c r="B12020" s="192" t="s">
        <v>6699</v>
      </c>
      <c r="C12020" s="196">
        <v>-5000</v>
      </c>
      <c r="D12020" s="196">
        <v>0</v>
      </c>
      <c r="E12020" s="196">
        <v>0</v>
      </c>
      <c r="F12020" s="196">
        <v>0</v>
      </c>
      <c r="G12020" s="196">
        <v>-5000</v>
      </c>
    </row>
    <row r="12021" spans="1:7" x14ac:dyDescent="0.3">
      <c r="A12021" s="198">
        <v>1000833023</v>
      </c>
      <c r="B12021" s="192" t="s">
        <v>4246</v>
      </c>
      <c r="C12021" s="196">
        <v>-175000</v>
      </c>
      <c r="D12021" s="196">
        <v>0</v>
      </c>
      <c r="E12021" s="196">
        <v>0</v>
      </c>
      <c r="F12021" s="196">
        <v>0</v>
      </c>
      <c r="G12021" s="196">
        <v>-175000</v>
      </c>
    </row>
    <row r="12022" spans="1:7" x14ac:dyDescent="0.3">
      <c r="A12022" s="198">
        <v>1036682579</v>
      </c>
      <c r="B12022" s="192" t="s">
        <v>850</v>
      </c>
      <c r="C12022" s="196">
        <v>0</v>
      </c>
      <c r="D12022" s="196">
        <v>0</v>
      </c>
      <c r="E12022" s="196">
        <v>4000</v>
      </c>
      <c r="F12022" s="196">
        <v>-4000</v>
      </c>
      <c r="G12022" s="196">
        <v>-4000</v>
      </c>
    </row>
    <row r="12023" spans="1:7" x14ac:dyDescent="0.3">
      <c r="A12023" s="198">
        <v>1036666651</v>
      </c>
      <c r="B12023" s="192" t="s">
        <v>6701</v>
      </c>
      <c r="C12023" s="196">
        <v>-5000</v>
      </c>
      <c r="D12023" s="196">
        <v>0</v>
      </c>
      <c r="E12023" s="196">
        <v>0</v>
      </c>
      <c r="F12023" s="196">
        <v>0</v>
      </c>
      <c r="G12023" s="196">
        <v>-5000</v>
      </c>
    </row>
    <row r="12024" spans="1:7" x14ac:dyDescent="0.3">
      <c r="A12024" s="198">
        <v>98670572</v>
      </c>
      <c r="B12024" s="192" t="s">
        <v>852</v>
      </c>
      <c r="C12024" s="196">
        <v>0</v>
      </c>
      <c r="D12024" s="196">
        <v>0</v>
      </c>
      <c r="E12024" s="196">
        <v>85000</v>
      </c>
      <c r="F12024" s="196">
        <v>-85000</v>
      </c>
      <c r="G12024" s="196">
        <v>-85000</v>
      </c>
    </row>
    <row r="12025" spans="1:7" x14ac:dyDescent="0.3">
      <c r="A12025" s="198">
        <v>1128264965</v>
      </c>
      <c r="B12025" s="192" t="s">
        <v>125</v>
      </c>
      <c r="C12025" s="196">
        <v>-79900</v>
      </c>
      <c r="D12025" s="196">
        <v>0</v>
      </c>
      <c r="E12025" s="196">
        <v>0</v>
      </c>
      <c r="F12025" s="196">
        <v>0</v>
      </c>
      <c r="G12025" s="196">
        <v>-79900</v>
      </c>
    </row>
    <row r="12026" spans="1:7" x14ac:dyDescent="0.3">
      <c r="A12026" s="198">
        <v>1017189586</v>
      </c>
      <c r="B12026" s="192" t="s">
        <v>4263</v>
      </c>
      <c r="C12026" s="196">
        <v>-175000</v>
      </c>
      <c r="D12026" s="196">
        <v>0</v>
      </c>
      <c r="E12026" s="196">
        <v>0</v>
      </c>
      <c r="F12026" s="196">
        <v>0</v>
      </c>
      <c r="G12026" s="196">
        <v>-175000</v>
      </c>
    </row>
    <row r="12027" spans="1:7" x14ac:dyDescent="0.3">
      <c r="A12027" s="198">
        <v>98563719</v>
      </c>
      <c r="B12027" s="192" t="s">
        <v>856</v>
      </c>
      <c r="C12027" s="196">
        <v>0</v>
      </c>
      <c r="D12027" s="196">
        <v>0</v>
      </c>
      <c r="E12027" s="196">
        <v>64800</v>
      </c>
      <c r="F12027" s="196">
        <v>-64800</v>
      </c>
      <c r="G12027" s="196">
        <v>-64800</v>
      </c>
    </row>
    <row r="12028" spans="1:7" x14ac:dyDescent="0.3">
      <c r="A12028" s="198">
        <v>71765183</v>
      </c>
      <c r="B12028" s="192" t="s">
        <v>4269</v>
      </c>
      <c r="C12028" s="196">
        <v>-290000</v>
      </c>
      <c r="D12028" s="196">
        <v>0</v>
      </c>
      <c r="E12028" s="196">
        <v>0</v>
      </c>
      <c r="F12028" s="196">
        <v>0</v>
      </c>
      <c r="G12028" s="196">
        <v>-290000</v>
      </c>
    </row>
    <row r="12029" spans="1:7" x14ac:dyDescent="0.3">
      <c r="A12029" s="198">
        <v>1023628408</v>
      </c>
      <c r="B12029" s="192" t="s">
        <v>6704</v>
      </c>
      <c r="C12029" s="196">
        <v>-5000</v>
      </c>
      <c r="D12029" s="196">
        <v>0</v>
      </c>
      <c r="E12029" s="196">
        <v>0</v>
      </c>
      <c r="F12029" s="196">
        <v>0</v>
      </c>
      <c r="G12029" s="196">
        <v>-5000</v>
      </c>
    </row>
    <row r="12030" spans="1:7" x14ac:dyDescent="0.3">
      <c r="A12030" s="198">
        <v>1053794456</v>
      </c>
      <c r="B12030" s="192" t="s">
        <v>4277</v>
      </c>
      <c r="C12030" s="196">
        <v>-132000</v>
      </c>
      <c r="D12030" s="196">
        <v>0</v>
      </c>
      <c r="E12030" s="196">
        <v>0</v>
      </c>
      <c r="F12030" s="196">
        <v>0</v>
      </c>
      <c r="G12030" s="196">
        <v>-132000</v>
      </c>
    </row>
    <row r="12031" spans="1:7" x14ac:dyDescent="0.3">
      <c r="A12031" s="198">
        <v>1035911057</v>
      </c>
      <c r="B12031" s="192" t="s">
        <v>869</v>
      </c>
      <c r="C12031" s="196">
        <v>-5000</v>
      </c>
      <c r="D12031" s="196">
        <v>0</v>
      </c>
      <c r="E12031" s="196">
        <v>0</v>
      </c>
      <c r="F12031" s="196">
        <v>0</v>
      </c>
      <c r="G12031" s="196">
        <v>-5000</v>
      </c>
    </row>
    <row r="12032" spans="1:7" x14ac:dyDescent="0.3">
      <c r="A12032" s="198">
        <v>1029720332</v>
      </c>
      <c r="B12032" s="192" t="s">
        <v>6707</v>
      </c>
      <c r="C12032" s="196">
        <v>-377000</v>
      </c>
      <c r="D12032" s="196">
        <v>0</v>
      </c>
      <c r="E12032" s="196">
        <v>0</v>
      </c>
      <c r="F12032" s="196">
        <v>0</v>
      </c>
      <c r="G12032" s="196">
        <v>-377000</v>
      </c>
    </row>
    <row r="12033" spans="1:7" x14ac:dyDescent="0.3">
      <c r="A12033" s="198">
        <v>1036632507</v>
      </c>
      <c r="B12033" s="192" t="s">
        <v>7370</v>
      </c>
      <c r="C12033" s="196">
        <v>-377000</v>
      </c>
      <c r="D12033" s="196">
        <v>0</v>
      </c>
      <c r="E12033" s="196">
        <v>0</v>
      </c>
      <c r="F12033" s="196">
        <v>0</v>
      </c>
      <c r="G12033" s="196">
        <v>-377000</v>
      </c>
    </row>
    <row r="12034" spans="1:7" x14ac:dyDescent="0.3">
      <c r="A12034" s="198">
        <v>3664264</v>
      </c>
      <c r="B12034" s="192" t="s">
        <v>874</v>
      </c>
      <c r="C12034" s="196">
        <v>0</v>
      </c>
      <c r="D12034" s="196">
        <v>0</v>
      </c>
      <c r="E12034" s="196">
        <v>152000</v>
      </c>
      <c r="F12034" s="196">
        <v>-152000</v>
      </c>
      <c r="G12034" s="196">
        <v>-152000</v>
      </c>
    </row>
    <row r="12035" spans="1:7" x14ac:dyDescent="0.3">
      <c r="A12035" s="198">
        <v>70055470</v>
      </c>
      <c r="B12035" s="192" t="s">
        <v>4303</v>
      </c>
      <c r="C12035" s="196">
        <v>-270000</v>
      </c>
      <c r="D12035" s="196">
        <v>0</v>
      </c>
      <c r="E12035" s="196">
        <v>0</v>
      </c>
      <c r="F12035" s="196">
        <v>0</v>
      </c>
      <c r="G12035" s="196">
        <v>-270000</v>
      </c>
    </row>
    <row r="12036" spans="1:7" x14ac:dyDescent="0.3">
      <c r="A12036" s="198">
        <v>98555608</v>
      </c>
      <c r="B12036" s="192" t="s">
        <v>126</v>
      </c>
      <c r="C12036" s="196">
        <v>-347000</v>
      </c>
      <c r="D12036" s="196">
        <v>0</v>
      </c>
      <c r="E12036" s="196">
        <v>0</v>
      </c>
      <c r="F12036" s="196">
        <v>0</v>
      </c>
      <c r="G12036" s="196">
        <v>-347000</v>
      </c>
    </row>
    <row r="12037" spans="1:7" x14ac:dyDescent="0.3">
      <c r="A12037" s="198">
        <v>8299511</v>
      </c>
      <c r="B12037" s="192" t="s">
        <v>878</v>
      </c>
      <c r="C12037" s="196">
        <v>-824000</v>
      </c>
      <c r="D12037" s="196">
        <v>0</v>
      </c>
      <c r="E12037" s="196">
        <v>412000</v>
      </c>
      <c r="F12037" s="196">
        <v>-412000</v>
      </c>
      <c r="G12037" s="196">
        <v>-1236000</v>
      </c>
    </row>
    <row r="12038" spans="1:7" x14ac:dyDescent="0.3">
      <c r="A12038" s="198">
        <v>1010021538</v>
      </c>
      <c r="B12038" s="192" t="s">
        <v>883</v>
      </c>
      <c r="C12038" s="196">
        <v>0</v>
      </c>
      <c r="D12038" s="196">
        <v>0</v>
      </c>
      <c r="E12038" s="196">
        <v>5000</v>
      </c>
      <c r="F12038" s="196">
        <v>-5000</v>
      </c>
      <c r="G12038" s="196">
        <v>-5000</v>
      </c>
    </row>
    <row r="12039" spans="1:7" x14ac:dyDescent="0.3">
      <c r="A12039" s="198">
        <v>1000757584</v>
      </c>
      <c r="B12039" s="192" t="s">
        <v>7371</v>
      </c>
      <c r="C12039" s="196">
        <v>-64312</v>
      </c>
      <c r="D12039" s="196">
        <v>0</v>
      </c>
      <c r="E12039" s="196">
        <v>0</v>
      </c>
      <c r="F12039" s="196">
        <v>0</v>
      </c>
      <c r="G12039" s="196">
        <v>-64312</v>
      </c>
    </row>
    <row r="12040" spans="1:7" x14ac:dyDescent="0.3">
      <c r="A12040" s="198">
        <v>8259305</v>
      </c>
      <c r="B12040" s="192" t="s">
        <v>4322</v>
      </c>
      <c r="C12040" s="196">
        <v>-96000</v>
      </c>
      <c r="D12040" s="196">
        <v>0</v>
      </c>
      <c r="E12040" s="196">
        <v>0</v>
      </c>
      <c r="F12040" s="196">
        <v>0</v>
      </c>
      <c r="G12040" s="196">
        <v>-96000</v>
      </c>
    </row>
    <row r="12041" spans="1:7" x14ac:dyDescent="0.3">
      <c r="A12041" s="198">
        <v>79157148</v>
      </c>
      <c r="B12041" s="192" t="s">
        <v>4323</v>
      </c>
      <c r="C12041" s="196">
        <v>-159000</v>
      </c>
      <c r="D12041" s="196">
        <v>0</v>
      </c>
      <c r="E12041" s="196">
        <v>0</v>
      </c>
      <c r="F12041" s="196">
        <v>0</v>
      </c>
      <c r="G12041" s="196">
        <v>-159000</v>
      </c>
    </row>
    <row r="12042" spans="1:7" x14ac:dyDescent="0.3">
      <c r="A12042" s="198">
        <v>1037605392</v>
      </c>
      <c r="B12042" s="192" t="s">
        <v>4324</v>
      </c>
      <c r="C12042" s="196">
        <v>-175000</v>
      </c>
      <c r="D12042" s="196">
        <v>0</v>
      </c>
      <c r="E12042" s="196">
        <v>0</v>
      </c>
      <c r="F12042" s="196">
        <v>0</v>
      </c>
      <c r="G12042" s="196">
        <v>-175000</v>
      </c>
    </row>
    <row r="12043" spans="1:7" x14ac:dyDescent="0.3">
      <c r="A12043" s="198">
        <v>1000655265</v>
      </c>
      <c r="B12043" s="192" t="s">
        <v>4325</v>
      </c>
      <c r="C12043" s="196">
        <v>-175000</v>
      </c>
      <c r="D12043" s="196">
        <v>0</v>
      </c>
      <c r="E12043" s="196">
        <v>0</v>
      </c>
      <c r="F12043" s="196">
        <v>0</v>
      </c>
      <c r="G12043" s="196">
        <v>-175000</v>
      </c>
    </row>
    <row r="12044" spans="1:7" x14ac:dyDescent="0.3">
      <c r="A12044" s="198">
        <v>1005091312</v>
      </c>
      <c r="B12044" s="192" t="s">
        <v>4328</v>
      </c>
      <c r="C12044" s="196">
        <v>-74000</v>
      </c>
      <c r="D12044" s="196">
        <v>0</v>
      </c>
      <c r="E12044" s="196">
        <v>0</v>
      </c>
      <c r="F12044" s="196">
        <v>0</v>
      </c>
      <c r="G12044" s="196">
        <v>-74000</v>
      </c>
    </row>
    <row r="12045" spans="1:7" x14ac:dyDescent="0.3">
      <c r="A12045" s="198">
        <v>1020107225</v>
      </c>
      <c r="B12045" s="192" t="s">
        <v>4330</v>
      </c>
      <c r="C12045" s="196">
        <v>-175000</v>
      </c>
      <c r="D12045" s="196">
        <v>0</v>
      </c>
      <c r="E12045" s="196">
        <v>0</v>
      </c>
      <c r="F12045" s="196">
        <v>0</v>
      </c>
      <c r="G12045" s="196">
        <v>-175000</v>
      </c>
    </row>
    <row r="12046" spans="1:7" x14ac:dyDescent="0.3">
      <c r="A12046" s="198">
        <v>1021923042</v>
      </c>
      <c r="B12046" s="192" t="s">
        <v>896</v>
      </c>
      <c r="C12046" s="196">
        <v>0</v>
      </c>
      <c r="D12046" s="196">
        <v>0</v>
      </c>
      <c r="E12046" s="196">
        <v>175000</v>
      </c>
      <c r="F12046" s="196">
        <v>-175000</v>
      </c>
      <c r="G12046" s="196">
        <v>-175000</v>
      </c>
    </row>
    <row r="12047" spans="1:7" x14ac:dyDescent="0.3">
      <c r="A12047" s="198">
        <v>70567708</v>
      </c>
      <c r="B12047" s="192" t="s">
        <v>7372</v>
      </c>
      <c r="C12047" s="196">
        <v>-124200</v>
      </c>
      <c r="D12047" s="196">
        <v>0</v>
      </c>
      <c r="E12047" s="196">
        <v>0</v>
      </c>
      <c r="F12047" s="196">
        <v>0</v>
      </c>
      <c r="G12047" s="196">
        <v>-124200</v>
      </c>
    </row>
    <row r="12048" spans="1:7" x14ac:dyDescent="0.3">
      <c r="A12048" s="198">
        <v>1017240359</v>
      </c>
      <c r="B12048" s="192" t="s">
        <v>4350</v>
      </c>
      <c r="C12048" s="196">
        <v>-175000</v>
      </c>
      <c r="D12048" s="196">
        <v>0</v>
      </c>
      <c r="E12048" s="196">
        <v>0</v>
      </c>
      <c r="F12048" s="196">
        <v>0</v>
      </c>
      <c r="G12048" s="196">
        <v>-175000</v>
      </c>
    </row>
    <row r="12049" spans="1:7" x14ac:dyDescent="0.3">
      <c r="A12049" s="198">
        <v>1039886853</v>
      </c>
      <c r="B12049" s="192" t="s">
        <v>6722</v>
      </c>
      <c r="C12049" s="196">
        <v>-5000</v>
      </c>
      <c r="D12049" s="196">
        <v>0</v>
      </c>
      <c r="E12049" s="196">
        <v>0</v>
      </c>
      <c r="F12049" s="196">
        <v>0</v>
      </c>
      <c r="G12049" s="196">
        <v>-5000</v>
      </c>
    </row>
    <row r="12050" spans="1:7" x14ac:dyDescent="0.3">
      <c r="A12050" s="198">
        <v>1018238004</v>
      </c>
      <c r="B12050" s="192" t="s">
        <v>6723</v>
      </c>
      <c r="C12050" s="196">
        <v>-5000</v>
      </c>
      <c r="D12050" s="196">
        <v>0</v>
      </c>
      <c r="E12050" s="196">
        <v>0</v>
      </c>
      <c r="F12050" s="196">
        <v>0</v>
      </c>
      <c r="G12050" s="196">
        <v>-5000</v>
      </c>
    </row>
    <row r="12051" spans="1:7" x14ac:dyDescent="0.3">
      <c r="A12051" s="198">
        <v>1039446535</v>
      </c>
      <c r="B12051" s="192" t="s">
        <v>6725</v>
      </c>
      <c r="C12051" s="196">
        <v>-5000</v>
      </c>
      <c r="D12051" s="196">
        <v>0</v>
      </c>
      <c r="E12051" s="196">
        <v>0</v>
      </c>
      <c r="F12051" s="196">
        <v>0</v>
      </c>
      <c r="G12051" s="196">
        <v>-5000</v>
      </c>
    </row>
    <row r="12052" spans="1:7" x14ac:dyDescent="0.3">
      <c r="A12052" s="198">
        <v>1017239548</v>
      </c>
      <c r="B12052" s="192" t="s">
        <v>6726</v>
      </c>
      <c r="C12052" s="196">
        <v>-5000</v>
      </c>
      <c r="D12052" s="196">
        <v>0</v>
      </c>
      <c r="E12052" s="196">
        <v>0</v>
      </c>
      <c r="F12052" s="196">
        <v>0</v>
      </c>
      <c r="G12052" s="196">
        <v>-5000</v>
      </c>
    </row>
    <row r="12053" spans="1:7" x14ac:dyDescent="0.3">
      <c r="A12053" s="198">
        <v>1034989219</v>
      </c>
      <c r="B12053" s="192" t="s">
        <v>909</v>
      </c>
      <c r="C12053" s="196">
        <v>-175000</v>
      </c>
      <c r="D12053" s="196">
        <v>0</v>
      </c>
      <c r="E12053" s="196">
        <v>0</v>
      </c>
      <c r="F12053" s="196">
        <v>0</v>
      </c>
      <c r="G12053" s="196">
        <v>-175000</v>
      </c>
    </row>
    <row r="12054" spans="1:7" x14ac:dyDescent="0.3">
      <c r="A12054" s="198">
        <v>1193280850</v>
      </c>
      <c r="B12054" s="192" t="s">
        <v>4382</v>
      </c>
      <c r="C12054" s="196">
        <v>-175000</v>
      </c>
      <c r="D12054" s="196">
        <v>0</v>
      </c>
      <c r="E12054" s="196">
        <v>0</v>
      </c>
      <c r="F12054" s="196">
        <v>0</v>
      </c>
      <c r="G12054" s="196">
        <v>-175000</v>
      </c>
    </row>
    <row r="12055" spans="1:7" x14ac:dyDescent="0.3">
      <c r="A12055" s="198">
        <v>1026147862</v>
      </c>
      <c r="B12055" s="192" t="s">
        <v>4389</v>
      </c>
      <c r="C12055" s="196">
        <v>-175000</v>
      </c>
      <c r="D12055" s="196">
        <v>0</v>
      </c>
      <c r="E12055" s="196">
        <v>0</v>
      </c>
      <c r="F12055" s="196">
        <v>0</v>
      </c>
      <c r="G12055" s="196">
        <v>-175000</v>
      </c>
    </row>
    <row r="12056" spans="1:7" x14ac:dyDescent="0.3">
      <c r="A12056" s="198">
        <v>1020438464</v>
      </c>
      <c r="B12056" s="192" t="s">
        <v>4390</v>
      </c>
      <c r="C12056" s="196">
        <v>-42500</v>
      </c>
      <c r="D12056" s="196">
        <v>0</v>
      </c>
      <c r="E12056" s="196">
        <v>0</v>
      </c>
      <c r="F12056" s="196">
        <v>0</v>
      </c>
      <c r="G12056" s="196">
        <v>-42500</v>
      </c>
    </row>
    <row r="12057" spans="1:7" x14ac:dyDescent="0.3">
      <c r="A12057" s="198">
        <v>98666184</v>
      </c>
      <c r="B12057" s="192" t="s">
        <v>920</v>
      </c>
      <c r="C12057" s="196">
        <v>0</v>
      </c>
      <c r="D12057" s="196">
        <v>0</v>
      </c>
      <c r="E12057" s="196">
        <v>111000</v>
      </c>
      <c r="F12057" s="196">
        <v>-111000</v>
      </c>
      <c r="G12057" s="196">
        <v>-111000</v>
      </c>
    </row>
    <row r="12058" spans="1:7" x14ac:dyDescent="0.3">
      <c r="A12058" s="198">
        <v>10099270</v>
      </c>
      <c r="B12058" s="192" t="s">
        <v>4395</v>
      </c>
      <c r="C12058" s="196">
        <v>-270000</v>
      </c>
      <c r="D12058" s="196">
        <v>0</v>
      </c>
      <c r="E12058" s="196">
        <v>0</v>
      </c>
      <c r="F12058" s="196">
        <v>0</v>
      </c>
      <c r="G12058" s="196">
        <v>-270000</v>
      </c>
    </row>
    <row r="12059" spans="1:7" x14ac:dyDescent="0.3">
      <c r="A12059" s="198">
        <v>1090387904</v>
      </c>
      <c r="B12059" s="192" t="s">
        <v>4396</v>
      </c>
      <c r="C12059" s="196">
        <v>-103000</v>
      </c>
      <c r="D12059" s="196">
        <v>0</v>
      </c>
      <c r="E12059" s="196">
        <v>0</v>
      </c>
      <c r="F12059" s="196">
        <v>0</v>
      </c>
      <c r="G12059" s="196">
        <v>-103000</v>
      </c>
    </row>
    <row r="12060" spans="1:7" x14ac:dyDescent="0.3">
      <c r="A12060" s="198">
        <v>1001774161</v>
      </c>
      <c r="B12060" s="192" t="s">
        <v>6731</v>
      </c>
      <c r="C12060" s="196">
        <v>-5000</v>
      </c>
      <c r="D12060" s="196">
        <v>0</v>
      </c>
      <c r="E12060" s="196">
        <v>0</v>
      </c>
      <c r="F12060" s="196">
        <v>0</v>
      </c>
      <c r="G12060" s="196">
        <v>-5000</v>
      </c>
    </row>
    <row r="12061" spans="1:7" x14ac:dyDescent="0.3">
      <c r="A12061" s="198">
        <v>1020459254</v>
      </c>
      <c r="B12061" s="192" t="s">
        <v>6733</v>
      </c>
      <c r="C12061" s="196">
        <v>-5000</v>
      </c>
      <c r="D12061" s="196">
        <v>0</v>
      </c>
      <c r="E12061" s="196">
        <v>0</v>
      </c>
      <c r="F12061" s="196">
        <v>0</v>
      </c>
      <c r="G12061" s="196">
        <v>-5000</v>
      </c>
    </row>
    <row r="12062" spans="1:7" x14ac:dyDescent="0.3">
      <c r="A12062" s="198">
        <v>1053819537</v>
      </c>
      <c r="B12062" s="192" t="s">
        <v>4400</v>
      </c>
      <c r="C12062" s="196">
        <v>-19600</v>
      </c>
      <c r="D12062" s="196">
        <v>0</v>
      </c>
      <c r="E12062" s="196">
        <v>0</v>
      </c>
      <c r="F12062" s="196">
        <v>0</v>
      </c>
      <c r="G12062" s="196">
        <v>-19600</v>
      </c>
    </row>
    <row r="12063" spans="1:7" x14ac:dyDescent="0.3">
      <c r="A12063" s="198">
        <v>1094920930</v>
      </c>
      <c r="B12063" s="192" t="s">
        <v>4401</v>
      </c>
      <c r="C12063" s="196">
        <v>-175000</v>
      </c>
      <c r="D12063" s="196">
        <v>0</v>
      </c>
      <c r="E12063" s="196">
        <v>0</v>
      </c>
      <c r="F12063" s="196">
        <v>0</v>
      </c>
      <c r="G12063" s="196">
        <v>-175000</v>
      </c>
    </row>
    <row r="12064" spans="1:7" x14ac:dyDescent="0.3">
      <c r="A12064" s="198">
        <v>32350938</v>
      </c>
      <c r="B12064" s="192" t="s">
        <v>4402</v>
      </c>
      <c r="C12064" s="196">
        <v>-74000</v>
      </c>
      <c r="D12064" s="196">
        <v>0</v>
      </c>
      <c r="E12064" s="196">
        <v>0</v>
      </c>
      <c r="F12064" s="196">
        <v>0</v>
      </c>
      <c r="G12064" s="196">
        <v>-74000</v>
      </c>
    </row>
    <row r="12065" spans="1:7" x14ac:dyDescent="0.3">
      <c r="A12065" s="198">
        <v>1040743196</v>
      </c>
      <c r="B12065" s="192" t="s">
        <v>6736</v>
      </c>
      <c r="C12065" s="196">
        <v>-5000</v>
      </c>
      <c r="D12065" s="196">
        <v>0</v>
      </c>
      <c r="E12065" s="196">
        <v>0</v>
      </c>
      <c r="F12065" s="196">
        <v>0</v>
      </c>
      <c r="G12065" s="196">
        <v>-5000</v>
      </c>
    </row>
    <row r="12066" spans="1:7" x14ac:dyDescent="0.3">
      <c r="A12066" s="198">
        <v>32295638</v>
      </c>
      <c r="B12066" s="192" t="s">
        <v>4405</v>
      </c>
      <c r="C12066" s="196">
        <v>-52200</v>
      </c>
      <c r="D12066" s="196">
        <v>0</v>
      </c>
      <c r="E12066" s="196">
        <v>0</v>
      </c>
      <c r="F12066" s="196">
        <v>0</v>
      </c>
      <c r="G12066" s="196">
        <v>-52200</v>
      </c>
    </row>
    <row r="12067" spans="1:7" x14ac:dyDescent="0.3">
      <c r="A12067" s="198">
        <v>1007240709</v>
      </c>
      <c r="B12067" s="192" t="s">
        <v>6738</v>
      </c>
      <c r="C12067" s="196">
        <v>-5000</v>
      </c>
      <c r="D12067" s="196">
        <v>0</v>
      </c>
      <c r="E12067" s="196">
        <v>0</v>
      </c>
      <c r="F12067" s="196">
        <v>0</v>
      </c>
      <c r="G12067" s="196">
        <v>-5000</v>
      </c>
    </row>
    <row r="12068" spans="1:7" x14ac:dyDescent="0.3">
      <c r="A12068" s="198">
        <v>1152458913</v>
      </c>
      <c r="B12068" s="192" t="s">
        <v>4412</v>
      </c>
      <c r="C12068" s="196">
        <v>-90800</v>
      </c>
      <c r="D12068" s="196">
        <v>0</v>
      </c>
      <c r="E12068" s="196">
        <v>0</v>
      </c>
      <c r="F12068" s="196">
        <v>0</v>
      </c>
      <c r="G12068" s="196">
        <v>-90800</v>
      </c>
    </row>
    <row r="12069" spans="1:7" x14ac:dyDescent="0.3">
      <c r="A12069" s="198">
        <v>71626064</v>
      </c>
      <c r="B12069" s="192" t="s">
        <v>931</v>
      </c>
      <c r="C12069" s="196">
        <v>0</v>
      </c>
      <c r="D12069" s="196">
        <v>0</v>
      </c>
      <c r="E12069" s="196">
        <v>74000</v>
      </c>
      <c r="F12069" s="196">
        <v>-74000</v>
      </c>
      <c r="G12069" s="196">
        <v>-74000</v>
      </c>
    </row>
    <row r="12070" spans="1:7" x14ac:dyDescent="0.3">
      <c r="A12070" s="198">
        <v>1049650488</v>
      </c>
      <c r="B12070" s="192" t="s">
        <v>4430</v>
      </c>
      <c r="C12070" s="196">
        <v>-175000</v>
      </c>
      <c r="D12070" s="196">
        <v>0</v>
      </c>
      <c r="E12070" s="196">
        <v>0</v>
      </c>
      <c r="F12070" s="196">
        <v>0</v>
      </c>
      <c r="G12070" s="196">
        <v>-175000</v>
      </c>
    </row>
    <row r="12071" spans="1:7" x14ac:dyDescent="0.3">
      <c r="A12071" s="198">
        <v>1005259265</v>
      </c>
      <c r="B12071" s="192" t="s">
        <v>4436</v>
      </c>
      <c r="C12071" s="196">
        <v>-214000</v>
      </c>
      <c r="D12071" s="196">
        <v>0</v>
      </c>
      <c r="E12071" s="196">
        <v>0</v>
      </c>
      <c r="F12071" s="196">
        <v>0</v>
      </c>
      <c r="G12071" s="196">
        <v>-214000</v>
      </c>
    </row>
    <row r="12072" spans="1:7" x14ac:dyDescent="0.3">
      <c r="A12072" s="192" t="s">
        <v>4440</v>
      </c>
      <c r="B12072" s="192" t="s">
        <v>4441</v>
      </c>
      <c r="C12072" s="196">
        <v>-290000</v>
      </c>
      <c r="D12072" s="196">
        <v>0</v>
      </c>
      <c r="E12072" s="196">
        <v>0</v>
      </c>
      <c r="F12072" s="196">
        <v>0</v>
      </c>
      <c r="G12072" s="196">
        <v>-290000</v>
      </c>
    </row>
    <row r="12073" spans="1:7" x14ac:dyDescent="0.3">
      <c r="A12073" s="198">
        <v>1128451846</v>
      </c>
      <c r="B12073" s="192" t="s">
        <v>6745</v>
      </c>
      <c r="C12073" s="196">
        <v>-175000</v>
      </c>
      <c r="D12073" s="196">
        <v>0</v>
      </c>
      <c r="E12073" s="196">
        <v>0</v>
      </c>
      <c r="F12073" s="196">
        <v>0</v>
      </c>
      <c r="G12073" s="196">
        <v>-175000</v>
      </c>
    </row>
    <row r="12074" spans="1:7" x14ac:dyDescent="0.3">
      <c r="A12074" s="198">
        <v>1042446750</v>
      </c>
      <c r="B12074" s="192" t="s">
        <v>6746</v>
      </c>
      <c r="C12074" s="196">
        <v>-5000</v>
      </c>
      <c r="D12074" s="196">
        <v>0</v>
      </c>
      <c r="E12074" s="196">
        <v>0</v>
      </c>
      <c r="F12074" s="196">
        <v>0</v>
      </c>
      <c r="G12074" s="196">
        <v>-5000</v>
      </c>
    </row>
    <row r="12075" spans="1:7" x14ac:dyDescent="0.3">
      <c r="A12075" s="198">
        <v>32243412</v>
      </c>
      <c r="B12075" s="192" t="s">
        <v>4445</v>
      </c>
      <c r="C12075" s="196">
        <v>-64800</v>
      </c>
      <c r="D12075" s="196">
        <v>0</v>
      </c>
      <c r="E12075" s="196">
        <v>0</v>
      </c>
      <c r="F12075" s="196">
        <v>0</v>
      </c>
      <c r="G12075" s="196">
        <v>-64800</v>
      </c>
    </row>
    <row r="12076" spans="1:7" x14ac:dyDescent="0.3">
      <c r="A12076" s="198">
        <v>1036663524</v>
      </c>
      <c r="B12076" s="192" t="s">
        <v>6751</v>
      </c>
      <c r="C12076" s="196">
        <v>-5000</v>
      </c>
      <c r="D12076" s="196">
        <v>0</v>
      </c>
      <c r="E12076" s="196">
        <v>0</v>
      </c>
      <c r="F12076" s="196">
        <v>0</v>
      </c>
      <c r="G12076" s="196">
        <v>-5000</v>
      </c>
    </row>
    <row r="12077" spans="1:7" x14ac:dyDescent="0.3">
      <c r="A12077" s="198">
        <v>1020495792</v>
      </c>
      <c r="B12077" s="192" t="s">
        <v>6752</v>
      </c>
      <c r="C12077" s="196">
        <v>-5000</v>
      </c>
      <c r="D12077" s="196">
        <v>0</v>
      </c>
      <c r="E12077" s="196">
        <v>0</v>
      </c>
      <c r="F12077" s="196">
        <v>0</v>
      </c>
      <c r="G12077" s="196">
        <v>-5000</v>
      </c>
    </row>
    <row r="12078" spans="1:7" x14ac:dyDescent="0.3">
      <c r="A12078" s="198">
        <v>1046933795</v>
      </c>
      <c r="B12078" s="192" t="s">
        <v>6754</v>
      </c>
      <c r="C12078" s="196">
        <v>-5000</v>
      </c>
      <c r="D12078" s="196">
        <v>0</v>
      </c>
      <c r="E12078" s="196">
        <v>0</v>
      </c>
      <c r="F12078" s="196">
        <v>0</v>
      </c>
      <c r="G12078" s="196">
        <v>-5000</v>
      </c>
    </row>
    <row r="12079" spans="1:7" x14ac:dyDescent="0.3">
      <c r="A12079" s="198">
        <v>1125781185</v>
      </c>
      <c r="B12079" s="192" t="s">
        <v>4448</v>
      </c>
      <c r="C12079" s="196">
        <v>-74000</v>
      </c>
      <c r="D12079" s="196">
        <v>0</v>
      </c>
      <c r="E12079" s="196">
        <v>0</v>
      </c>
      <c r="F12079" s="196">
        <v>0</v>
      </c>
      <c r="G12079" s="196">
        <v>-74000</v>
      </c>
    </row>
    <row r="12080" spans="1:7" x14ac:dyDescent="0.3">
      <c r="A12080" s="198">
        <v>1006733587</v>
      </c>
      <c r="B12080" s="192" t="s">
        <v>4452</v>
      </c>
      <c r="C12080" s="196">
        <v>-175000</v>
      </c>
      <c r="D12080" s="196">
        <v>0</v>
      </c>
      <c r="E12080" s="196">
        <v>0</v>
      </c>
      <c r="F12080" s="196">
        <v>0</v>
      </c>
      <c r="G12080" s="196">
        <v>-175000</v>
      </c>
    </row>
    <row r="12081" spans="1:7" x14ac:dyDescent="0.3">
      <c r="A12081" s="198">
        <v>1128063262</v>
      </c>
      <c r="B12081" s="192" t="s">
        <v>6755</v>
      </c>
      <c r="C12081" s="196">
        <v>-5000</v>
      </c>
      <c r="D12081" s="196">
        <v>0</v>
      </c>
      <c r="E12081" s="196">
        <v>0</v>
      </c>
      <c r="F12081" s="196">
        <v>0</v>
      </c>
      <c r="G12081" s="196">
        <v>-5000</v>
      </c>
    </row>
    <row r="12082" spans="1:7" x14ac:dyDescent="0.3">
      <c r="A12082" s="198">
        <v>1000893473</v>
      </c>
      <c r="B12082" s="192" t="s">
        <v>6757</v>
      </c>
      <c r="C12082" s="196">
        <v>-5000</v>
      </c>
      <c r="D12082" s="196">
        <v>0</v>
      </c>
      <c r="E12082" s="196">
        <v>0</v>
      </c>
      <c r="F12082" s="196">
        <v>0</v>
      </c>
      <c r="G12082" s="196">
        <v>-5000</v>
      </c>
    </row>
    <row r="12083" spans="1:7" x14ac:dyDescent="0.3">
      <c r="A12083" s="198">
        <v>1214721330</v>
      </c>
      <c r="B12083" s="192" t="s">
        <v>6758</v>
      </c>
      <c r="C12083" s="196">
        <v>-5000</v>
      </c>
      <c r="D12083" s="196">
        <v>0</v>
      </c>
      <c r="E12083" s="196">
        <v>0</v>
      </c>
      <c r="F12083" s="196">
        <v>0</v>
      </c>
      <c r="G12083" s="196">
        <v>-5000</v>
      </c>
    </row>
    <row r="12084" spans="1:7" x14ac:dyDescent="0.3">
      <c r="A12084" s="198">
        <v>1000535831</v>
      </c>
      <c r="B12084" s="192" t="s">
        <v>4471</v>
      </c>
      <c r="C12084" s="196">
        <v>-175000</v>
      </c>
      <c r="D12084" s="196">
        <v>0</v>
      </c>
      <c r="E12084" s="196">
        <v>0</v>
      </c>
      <c r="F12084" s="196">
        <v>0</v>
      </c>
      <c r="G12084" s="196">
        <v>-175000</v>
      </c>
    </row>
    <row r="12085" spans="1:7" x14ac:dyDescent="0.3">
      <c r="A12085" s="198">
        <v>1025646542</v>
      </c>
      <c r="B12085" s="192" t="s">
        <v>6766</v>
      </c>
      <c r="C12085" s="196">
        <v>-5000</v>
      </c>
      <c r="D12085" s="196">
        <v>0</v>
      </c>
      <c r="E12085" s="196">
        <v>0</v>
      </c>
      <c r="F12085" s="196">
        <v>0</v>
      </c>
      <c r="G12085" s="196">
        <v>-5000</v>
      </c>
    </row>
    <row r="12086" spans="1:7" x14ac:dyDescent="0.3">
      <c r="A12086" s="198">
        <v>32379143</v>
      </c>
      <c r="B12086" s="192" t="s">
        <v>6768</v>
      </c>
      <c r="C12086" s="196">
        <v>-5000</v>
      </c>
      <c r="D12086" s="196">
        <v>0</v>
      </c>
      <c r="E12086" s="196">
        <v>0</v>
      </c>
      <c r="F12086" s="196">
        <v>0</v>
      </c>
      <c r="G12086" s="196">
        <v>-5000</v>
      </c>
    </row>
    <row r="12087" spans="1:7" x14ac:dyDescent="0.3">
      <c r="A12087" s="192" t="s">
        <v>6770</v>
      </c>
      <c r="B12087" s="192" t="s">
        <v>6771</v>
      </c>
      <c r="C12087" s="196">
        <v>-5000</v>
      </c>
      <c r="D12087" s="196">
        <v>0</v>
      </c>
      <c r="E12087" s="196">
        <v>0</v>
      </c>
      <c r="F12087" s="196">
        <v>0</v>
      </c>
      <c r="G12087" s="196">
        <v>-5000</v>
      </c>
    </row>
    <row r="12088" spans="1:7" x14ac:dyDescent="0.3">
      <c r="A12088" s="192" t="s">
        <v>945</v>
      </c>
      <c r="B12088" s="192" t="s">
        <v>946</v>
      </c>
      <c r="C12088" s="196">
        <v>0</v>
      </c>
      <c r="D12088" s="196">
        <v>0</v>
      </c>
      <c r="E12088" s="196">
        <v>175000</v>
      </c>
      <c r="F12088" s="196">
        <v>-175000</v>
      </c>
      <c r="G12088" s="196">
        <v>-175000</v>
      </c>
    </row>
    <row r="12089" spans="1:7" x14ac:dyDescent="0.3">
      <c r="A12089" s="198">
        <v>43187858</v>
      </c>
      <c r="B12089" s="192" t="s">
        <v>947</v>
      </c>
      <c r="C12089" s="196">
        <v>0</v>
      </c>
      <c r="D12089" s="196">
        <v>0</v>
      </c>
      <c r="E12089" s="196">
        <v>175000</v>
      </c>
      <c r="F12089" s="196">
        <v>-175000</v>
      </c>
      <c r="G12089" s="196">
        <v>-175000</v>
      </c>
    </row>
    <row r="12090" spans="1:7" x14ac:dyDescent="0.3">
      <c r="A12090" s="198">
        <v>1017150881</v>
      </c>
      <c r="B12090" s="192" t="s">
        <v>948</v>
      </c>
      <c r="C12090" s="196">
        <v>0</v>
      </c>
      <c r="D12090" s="196">
        <v>0</v>
      </c>
      <c r="E12090" s="196">
        <v>5000</v>
      </c>
      <c r="F12090" s="196">
        <v>-5000</v>
      </c>
      <c r="G12090" s="196">
        <v>-5000</v>
      </c>
    </row>
    <row r="12091" spans="1:7" x14ac:dyDescent="0.3">
      <c r="A12091" s="192" t="s">
        <v>6772</v>
      </c>
      <c r="B12091" s="192" t="s">
        <v>4486</v>
      </c>
      <c r="C12091" s="196">
        <v>-152400</v>
      </c>
      <c r="D12091" s="196">
        <v>0</v>
      </c>
      <c r="E12091" s="196">
        <v>0</v>
      </c>
      <c r="F12091" s="196">
        <v>0</v>
      </c>
      <c r="G12091" s="196">
        <v>-152400</v>
      </c>
    </row>
    <row r="12092" spans="1:7" x14ac:dyDescent="0.3">
      <c r="A12092" s="198">
        <v>1000205622</v>
      </c>
      <c r="B12092" s="192" t="s">
        <v>6773</v>
      </c>
      <c r="C12092" s="196">
        <v>-5000</v>
      </c>
      <c r="D12092" s="196">
        <v>0</v>
      </c>
      <c r="E12092" s="196">
        <v>0</v>
      </c>
      <c r="F12092" s="196">
        <v>0</v>
      </c>
      <c r="G12092" s="196">
        <v>-5000</v>
      </c>
    </row>
    <row r="12093" spans="1:7" x14ac:dyDescent="0.3">
      <c r="A12093" s="198">
        <v>1037603539</v>
      </c>
      <c r="B12093" s="192" t="s">
        <v>951</v>
      </c>
      <c r="C12093" s="196">
        <v>0</v>
      </c>
      <c r="D12093" s="196">
        <v>0</v>
      </c>
      <c r="E12093" s="196">
        <v>64800</v>
      </c>
      <c r="F12093" s="196">
        <v>-64800</v>
      </c>
      <c r="G12093" s="196">
        <v>-64800</v>
      </c>
    </row>
    <row r="12094" spans="1:7" x14ac:dyDescent="0.3">
      <c r="A12094" s="198">
        <v>1040327585</v>
      </c>
      <c r="B12094" s="192" t="s">
        <v>6774</v>
      </c>
      <c r="C12094" s="196">
        <v>-5000</v>
      </c>
      <c r="D12094" s="196">
        <v>0</v>
      </c>
      <c r="E12094" s="196">
        <v>0</v>
      </c>
      <c r="F12094" s="196">
        <v>0</v>
      </c>
      <c r="G12094" s="196">
        <v>-5000</v>
      </c>
    </row>
    <row r="12095" spans="1:7" x14ac:dyDescent="0.3">
      <c r="A12095" s="198">
        <v>1035970625</v>
      </c>
      <c r="B12095" s="192" t="s">
        <v>4491</v>
      </c>
      <c r="C12095" s="196">
        <v>-175000</v>
      </c>
      <c r="D12095" s="196">
        <v>0</v>
      </c>
      <c r="E12095" s="196">
        <v>0</v>
      </c>
      <c r="F12095" s="196">
        <v>0</v>
      </c>
      <c r="G12095" s="196">
        <v>-175000</v>
      </c>
    </row>
    <row r="12096" spans="1:7" x14ac:dyDescent="0.3">
      <c r="A12096" s="198">
        <v>1020764995</v>
      </c>
      <c r="B12096" s="192" t="s">
        <v>4493</v>
      </c>
      <c r="C12096" s="196">
        <v>-175000</v>
      </c>
      <c r="D12096" s="196">
        <v>0</v>
      </c>
      <c r="E12096" s="196">
        <v>0</v>
      </c>
      <c r="F12096" s="196">
        <v>0</v>
      </c>
      <c r="G12096" s="196">
        <v>-175000</v>
      </c>
    </row>
    <row r="12097" spans="1:7" x14ac:dyDescent="0.3">
      <c r="A12097" s="198">
        <v>1040180863</v>
      </c>
      <c r="B12097" s="192" t="s">
        <v>6775</v>
      </c>
      <c r="C12097" s="196">
        <v>-5000</v>
      </c>
      <c r="D12097" s="196">
        <v>0</v>
      </c>
      <c r="E12097" s="196">
        <v>0</v>
      </c>
      <c r="F12097" s="196">
        <v>0</v>
      </c>
      <c r="G12097" s="196">
        <v>-5000</v>
      </c>
    </row>
    <row r="12098" spans="1:7" x14ac:dyDescent="0.3">
      <c r="A12098" s="198">
        <v>1105616614</v>
      </c>
      <c r="B12098" s="192" t="s">
        <v>6776</v>
      </c>
      <c r="C12098" s="196">
        <v>-5000</v>
      </c>
      <c r="D12098" s="196">
        <v>0</v>
      </c>
      <c r="E12098" s="196">
        <v>0</v>
      </c>
      <c r="F12098" s="196">
        <v>0</v>
      </c>
      <c r="G12098" s="196">
        <v>-5000</v>
      </c>
    </row>
    <row r="12099" spans="1:7" x14ac:dyDescent="0.3">
      <c r="A12099" s="198">
        <v>52697359</v>
      </c>
      <c r="B12099" s="192" t="s">
        <v>4498</v>
      </c>
      <c r="C12099" s="196">
        <v>-52200</v>
      </c>
      <c r="D12099" s="196">
        <v>0</v>
      </c>
      <c r="E12099" s="196">
        <v>0</v>
      </c>
      <c r="F12099" s="196">
        <v>0</v>
      </c>
      <c r="G12099" s="196">
        <v>-52200</v>
      </c>
    </row>
    <row r="12100" spans="1:7" x14ac:dyDescent="0.3">
      <c r="A12100" s="198">
        <v>32298608</v>
      </c>
      <c r="B12100" s="192" t="s">
        <v>956</v>
      </c>
      <c r="C12100" s="196">
        <v>0</v>
      </c>
      <c r="D12100" s="196">
        <v>0</v>
      </c>
      <c r="E12100" s="196">
        <v>71000</v>
      </c>
      <c r="F12100" s="196">
        <v>-71000</v>
      </c>
      <c r="G12100" s="196">
        <v>-71000</v>
      </c>
    </row>
    <row r="12101" spans="1:7" x14ac:dyDescent="0.3">
      <c r="A12101" s="198">
        <v>1036604392</v>
      </c>
      <c r="B12101" s="192" t="s">
        <v>957</v>
      </c>
      <c r="C12101" s="196">
        <v>0</v>
      </c>
      <c r="D12101" s="196">
        <v>0</v>
      </c>
      <c r="E12101" s="196">
        <v>64800</v>
      </c>
      <c r="F12101" s="196">
        <v>-64800</v>
      </c>
      <c r="G12101" s="196">
        <v>-64800</v>
      </c>
    </row>
    <row r="12102" spans="1:7" x14ac:dyDescent="0.3">
      <c r="A12102" s="198">
        <v>1020418525</v>
      </c>
      <c r="B12102" s="192" t="s">
        <v>7373</v>
      </c>
      <c r="C12102" s="196">
        <v>-236000</v>
      </c>
      <c r="D12102" s="196">
        <v>0</v>
      </c>
      <c r="E12102" s="196">
        <v>0</v>
      </c>
      <c r="F12102" s="196">
        <v>0</v>
      </c>
      <c r="G12102" s="196">
        <v>-236000</v>
      </c>
    </row>
    <row r="12103" spans="1:7" x14ac:dyDescent="0.3">
      <c r="A12103" s="198">
        <v>1152460915</v>
      </c>
      <c r="B12103" s="192" t="s">
        <v>6782</v>
      </c>
      <c r="C12103" s="196">
        <v>-5000</v>
      </c>
      <c r="D12103" s="196">
        <v>0</v>
      </c>
      <c r="E12103" s="196">
        <v>0</v>
      </c>
      <c r="F12103" s="196">
        <v>0</v>
      </c>
      <c r="G12103" s="196">
        <v>-5000</v>
      </c>
    </row>
    <row r="12104" spans="1:7" x14ac:dyDescent="0.3">
      <c r="A12104" s="198">
        <v>22087221</v>
      </c>
      <c r="B12104" s="192" t="s">
        <v>958</v>
      </c>
      <c r="C12104" s="196">
        <v>0</v>
      </c>
      <c r="D12104" s="196">
        <v>0</v>
      </c>
      <c r="E12104" s="196">
        <v>111000</v>
      </c>
      <c r="F12104" s="196">
        <v>-111000</v>
      </c>
      <c r="G12104" s="196">
        <v>-111000</v>
      </c>
    </row>
    <row r="12105" spans="1:7" x14ac:dyDescent="0.3">
      <c r="A12105" s="198">
        <v>1000565710</v>
      </c>
      <c r="B12105" s="192" t="s">
        <v>4513</v>
      </c>
      <c r="C12105" s="196">
        <v>-175000</v>
      </c>
      <c r="D12105" s="196">
        <v>0</v>
      </c>
      <c r="E12105" s="196">
        <v>0</v>
      </c>
      <c r="F12105" s="196">
        <v>0</v>
      </c>
      <c r="G12105" s="196">
        <v>-175000</v>
      </c>
    </row>
    <row r="12106" spans="1:7" x14ac:dyDescent="0.3">
      <c r="A12106" s="198">
        <v>1033486607</v>
      </c>
      <c r="B12106" s="192" t="s">
        <v>6784</v>
      </c>
      <c r="C12106" s="196">
        <v>-5000</v>
      </c>
      <c r="D12106" s="196">
        <v>0</v>
      </c>
      <c r="E12106" s="196">
        <v>0</v>
      </c>
      <c r="F12106" s="196">
        <v>0</v>
      </c>
      <c r="G12106" s="196">
        <v>-5000</v>
      </c>
    </row>
    <row r="12107" spans="1:7" x14ac:dyDescent="0.3">
      <c r="A12107" s="198">
        <v>1017247768</v>
      </c>
      <c r="B12107" s="192" t="s">
        <v>4517</v>
      </c>
      <c r="C12107" s="196">
        <v>-175000</v>
      </c>
      <c r="D12107" s="196">
        <v>0</v>
      </c>
      <c r="E12107" s="196">
        <v>0</v>
      </c>
      <c r="F12107" s="196">
        <v>0</v>
      </c>
      <c r="G12107" s="196">
        <v>-175000</v>
      </c>
    </row>
    <row r="12108" spans="1:7" x14ac:dyDescent="0.3">
      <c r="A12108" s="198">
        <v>1037950306</v>
      </c>
      <c r="B12108" s="192" t="s">
        <v>7374</v>
      </c>
      <c r="C12108" s="196">
        <v>-5000</v>
      </c>
      <c r="D12108" s="196">
        <v>0</v>
      </c>
      <c r="E12108" s="196">
        <v>0</v>
      </c>
      <c r="F12108" s="196">
        <v>0</v>
      </c>
      <c r="G12108" s="196">
        <v>-5000</v>
      </c>
    </row>
    <row r="12109" spans="1:7" x14ac:dyDescent="0.3">
      <c r="A12109" s="198">
        <v>1040739462</v>
      </c>
      <c r="B12109" s="192" t="s">
        <v>6787</v>
      </c>
      <c r="C12109" s="196">
        <v>-5000</v>
      </c>
      <c r="D12109" s="196">
        <v>0</v>
      </c>
      <c r="E12109" s="196">
        <v>0</v>
      </c>
      <c r="F12109" s="196">
        <v>0</v>
      </c>
      <c r="G12109" s="196">
        <v>-5000</v>
      </c>
    </row>
    <row r="12110" spans="1:7" x14ac:dyDescent="0.3">
      <c r="A12110" s="198">
        <v>1110457297</v>
      </c>
      <c r="B12110" s="192" t="s">
        <v>4535</v>
      </c>
      <c r="C12110" s="196">
        <v>-106000</v>
      </c>
      <c r="D12110" s="196">
        <v>0</v>
      </c>
      <c r="E12110" s="196">
        <v>0</v>
      </c>
      <c r="F12110" s="196">
        <v>0</v>
      </c>
      <c r="G12110" s="196">
        <v>-106000</v>
      </c>
    </row>
    <row r="12111" spans="1:7" x14ac:dyDescent="0.3">
      <c r="A12111" s="198">
        <v>1037448423</v>
      </c>
      <c r="B12111" s="192" t="s">
        <v>4537</v>
      </c>
      <c r="C12111" s="196">
        <v>-214000</v>
      </c>
      <c r="D12111" s="196">
        <v>0</v>
      </c>
      <c r="E12111" s="196">
        <v>0</v>
      </c>
      <c r="F12111" s="196">
        <v>0</v>
      </c>
      <c r="G12111" s="196">
        <v>-214000</v>
      </c>
    </row>
    <row r="12112" spans="1:7" x14ac:dyDescent="0.3">
      <c r="A12112" s="198">
        <v>1152693678</v>
      </c>
      <c r="B12112" s="192" t="s">
        <v>7375</v>
      </c>
      <c r="C12112" s="196">
        <v>-5000</v>
      </c>
      <c r="D12112" s="196">
        <v>0</v>
      </c>
      <c r="E12112" s="196">
        <v>0</v>
      </c>
      <c r="F12112" s="196">
        <v>0</v>
      </c>
      <c r="G12112" s="196">
        <v>-5000</v>
      </c>
    </row>
    <row r="12113" spans="1:7" x14ac:dyDescent="0.3">
      <c r="A12113" s="198">
        <v>1045016406</v>
      </c>
      <c r="B12113" s="192" t="s">
        <v>969</v>
      </c>
      <c r="C12113" s="196">
        <v>0</v>
      </c>
      <c r="D12113" s="196">
        <v>0</v>
      </c>
      <c r="E12113" s="196">
        <v>111000</v>
      </c>
      <c r="F12113" s="196">
        <v>-111000</v>
      </c>
      <c r="G12113" s="196">
        <v>-111000</v>
      </c>
    </row>
    <row r="12114" spans="1:7" x14ac:dyDescent="0.3">
      <c r="A12114" s="198">
        <v>1057757636</v>
      </c>
      <c r="B12114" s="192" t="s">
        <v>6791</v>
      </c>
      <c r="C12114" s="196">
        <v>-5000</v>
      </c>
      <c r="D12114" s="196">
        <v>0</v>
      </c>
      <c r="E12114" s="196">
        <v>0</v>
      </c>
      <c r="F12114" s="196">
        <v>0</v>
      </c>
      <c r="G12114" s="196">
        <v>-5000</v>
      </c>
    </row>
    <row r="12115" spans="1:7" x14ac:dyDescent="0.3">
      <c r="A12115" s="198">
        <v>43991765</v>
      </c>
      <c r="B12115" s="192" t="s">
        <v>4549</v>
      </c>
      <c r="C12115" s="196">
        <v>-59400</v>
      </c>
      <c r="D12115" s="196">
        <v>0</v>
      </c>
      <c r="E12115" s="196">
        <v>0</v>
      </c>
      <c r="F12115" s="196">
        <v>0</v>
      </c>
      <c r="G12115" s="196">
        <v>-59400</v>
      </c>
    </row>
    <row r="12116" spans="1:7" x14ac:dyDescent="0.3">
      <c r="A12116" s="192" t="s">
        <v>4554</v>
      </c>
      <c r="B12116" s="192" t="s">
        <v>4555</v>
      </c>
      <c r="C12116" s="196">
        <v>-246000</v>
      </c>
      <c r="D12116" s="196">
        <v>0</v>
      </c>
      <c r="E12116" s="196">
        <v>0</v>
      </c>
      <c r="F12116" s="196">
        <v>0</v>
      </c>
      <c r="G12116" s="196">
        <v>-246000</v>
      </c>
    </row>
    <row r="12117" spans="1:7" x14ac:dyDescent="0.3">
      <c r="A12117" s="198">
        <v>43009955</v>
      </c>
      <c r="B12117" s="192" t="s">
        <v>4565</v>
      </c>
      <c r="C12117" s="196">
        <v>-129100</v>
      </c>
      <c r="D12117" s="196">
        <v>0</v>
      </c>
      <c r="E12117" s="196">
        <v>0</v>
      </c>
      <c r="F12117" s="196">
        <v>0</v>
      </c>
      <c r="G12117" s="196">
        <v>-129100</v>
      </c>
    </row>
    <row r="12118" spans="1:7" x14ac:dyDescent="0.3">
      <c r="A12118" s="198">
        <v>1214725881</v>
      </c>
      <c r="B12118" s="192" t="s">
        <v>6795</v>
      </c>
      <c r="C12118" s="196">
        <v>-5000</v>
      </c>
      <c r="D12118" s="196">
        <v>0</v>
      </c>
      <c r="E12118" s="196">
        <v>0</v>
      </c>
      <c r="F12118" s="196">
        <v>0</v>
      </c>
      <c r="G12118" s="196">
        <v>-5000</v>
      </c>
    </row>
    <row r="12119" spans="1:7" x14ac:dyDescent="0.3">
      <c r="A12119" s="198">
        <v>1020395957</v>
      </c>
      <c r="B12119" s="192" t="s">
        <v>975</v>
      </c>
      <c r="C12119" s="196">
        <v>0</v>
      </c>
      <c r="D12119" s="196">
        <v>0</v>
      </c>
      <c r="E12119" s="196">
        <v>175000</v>
      </c>
      <c r="F12119" s="196">
        <v>-175000</v>
      </c>
      <c r="G12119" s="196">
        <v>-175000</v>
      </c>
    </row>
    <row r="12120" spans="1:7" x14ac:dyDescent="0.3">
      <c r="A12120" s="198">
        <v>1020471468</v>
      </c>
      <c r="B12120" s="192" t="s">
        <v>6798</v>
      </c>
      <c r="C12120" s="196">
        <v>-5000</v>
      </c>
      <c r="D12120" s="196">
        <v>0</v>
      </c>
      <c r="E12120" s="196">
        <v>0</v>
      </c>
      <c r="F12120" s="196">
        <v>0</v>
      </c>
      <c r="G12120" s="196">
        <v>-5000</v>
      </c>
    </row>
    <row r="12121" spans="1:7" x14ac:dyDescent="0.3">
      <c r="A12121" s="198">
        <v>1220477632</v>
      </c>
      <c r="B12121" s="192" t="s">
        <v>977</v>
      </c>
      <c r="C12121" s="196">
        <v>-175000</v>
      </c>
      <c r="D12121" s="196">
        <v>0</v>
      </c>
      <c r="E12121" s="196">
        <v>0</v>
      </c>
      <c r="F12121" s="196">
        <v>0</v>
      </c>
      <c r="G12121" s="196">
        <v>-175000</v>
      </c>
    </row>
    <row r="12122" spans="1:7" x14ac:dyDescent="0.3">
      <c r="A12122" s="198">
        <v>43712747</v>
      </c>
      <c r="B12122" s="192" t="s">
        <v>4577</v>
      </c>
      <c r="C12122" s="196">
        <v>-100000</v>
      </c>
      <c r="D12122" s="196">
        <v>0</v>
      </c>
      <c r="E12122" s="196">
        <v>0</v>
      </c>
      <c r="F12122" s="196">
        <v>0</v>
      </c>
      <c r="G12122" s="196">
        <v>-100000</v>
      </c>
    </row>
    <row r="12123" spans="1:7" x14ac:dyDescent="0.3">
      <c r="A12123" s="198">
        <v>43018365</v>
      </c>
      <c r="B12123" s="192" t="s">
        <v>7376</v>
      </c>
      <c r="C12123" s="196">
        <v>-270000</v>
      </c>
      <c r="D12123" s="196">
        <v>0</v>
      </c>
      <c r="E12123" s="196">
        <v>0</v>
      </c>
      <c r="F12123" s="196">
        <v>0</v>
      </c>
      <c r="G12123" s="196">
        <v>-270000</v>
      </c>
    </row>
    <row r="12124" spans="1:7" x14ac:dyDescent="0.3">
      <c r="A12124" s="198">
        <v>1017198605</v>
      </c>
      <c r="B12124" s="192" t="s">
        <v>6801</v>
      </c>
      <c r="C12124" s="196">
        <v>-5000</v>
      </c>
      <c r="D12124" s="196">
        <v>0</v>
      </c>
      <c r="E12124" s="196">
        <v>0</v>
      </c>
      <c r="F12124" s="196">
        <v>0</v>
      </c>
      <c r="G12124" s="196">
        <v>-5000</v>
      </c>
    </row>
    <row r="12125" spans="1:7" x14ac:dyDescent="0.3">
      <c r="A12125" s="198">
        <v>1001760505</v>
      </c>
      <c r="B12125" s="192" t="s">
        <v>6805</v>
      </c>
      <c r="C12125" s="196">
        <v>-146000</v>
      </c>
      <c r="D12125" s="196">
        <v>0</v>
      </c>
      <c r="E12125" s="196">
        <v>0</v>
      </c>
      <c r="F12125" s="196">
        <v>0</v>
      </c>
      <c r="G12125" s="196">
        <v>-146000</v>
      </c>
    </row>
    <row r="12126" spans="1:7" x14ac:dyDescent="0.3">
      <c r="A12126" s="198">
        <v>1093769704</v>
      </c>
      <c r="B12126" s="192" t="s">
        <v>6810</v>
      </c>
      <c r="C12126" s="196">
        <v>-5000</v>
      </c>
      <c r="D12126" s="196">
        <v>0</v>
      </c>
      <c r="E12126" s="196">
        <v>0</v>
      </c>
      <c r="F12126" s="196">
        <v>0</v>
      </c>
      <c r="G12126" s="196">
        <v>-5000</v>
      </c>
    </row>
    <row r="12127" spans="1:7" x14ac:dyDescent="0.3">
      <c r="A12127" s="198">
        <v>1045049480</v>
      </c>
      <c r="B12127" s="192" t="s">
        <v>4613</v>
      </c>
      <c r="C12127" s="196">
        <v>-175000</v>
      </c>
      <c r="D12127" s="196">
        <v>0</v>
      </c>
      <c r="E12127" s="196">
        <v>0</v>
      </c>
      <c r="F12127" s="196">
        <v>0</v>
      </c>
      <c r="G12127" s="196">
        <v>-175000</v>
      </c>
    </row>
    <row r="12128" spans="1:7" x14ac:dyDescent="0.3">
      <c r="A12128" s="198">
        <v>1038333310</v>
      </c>
      <c r="B12128" s="192" t="s">
        <v>995</v>
      </c>
      <c r="C12128" s="196">
        <v>0</v>
      </c>
      <c r="D12128" s="196">
        <v>0</v>
      </c>
      <c r="E12128" s="196">
        <v>64800</v>
      </c>
      <c r="F12128" s="196">
        <v>-64800</v>
      </c>
      <c r="G12128" s="196">
        <v>-64800</v>
      </c>
    </row>
    <row r="12129" spans="1:7" x14ac:dyDescent="0.3">
      <c r="A12129" s="198">
        <v>1037586860</v>
      </c>
      <c r="B12129" s="192" t="s">
        <v>6815</v>
      </c>
      <c r="C12129" s="196">
        <v>-5000</v>
      </c>
      <c r="D12129" s="196">
        <v>0</v>
      </c>
      <c r="E12129" s="196">
        <v>0</v>
      </c>
      <c r="F12129" s="196">
        <v>0</v>
      </c>
      <c r="G12129" s="196">
        <v>-5000</v>
      </c>
    </row>
    <row r="12130" spans="1:7" x14ac:dyDescent="0.3">
      <c r="A12130" s="198">
        <v>123162033</v>
      </c>
      <c r="B12130" s="192" t="s">
        <v>4617</v>
      </c>
      <c r="C12130" s="196">
        <v>-270000</v>
      </c>
      <c r="D12130" s="196">
        <v>0</v>
      </c>
      <c r="E12130" s="196">
        <v>0</v>
      </c>
      <c r="F12130" s="196">
        <v>0</v>
      </c>
      <c r="G12130" s="196">
        <v>-270000</v>
      </c>
    </row>
    <row r="12131" spans="1:7" x14ac:dyDescent="0.3">
      <c r="A12131" s="198">
        <v>43896089</v>
      </c>
      <c r="B12131" s="192" t="s">
        <v>997</v>
      </c>
      <c r="C12131" s="196">
        <v>0</v>
      </c>
      <c r="D12131" s="196">
        <v>0</v>
      </c>
      <c r="E12131" s="196">
        <v>58000</v>
      </c>
      <c r="F12131" s="196">
        <v>-58000</v>
      </c>
      <c r="G12131" s="196">
        <v>-58000</v>
      </c>
    </row>
    <row r="12132" spans="1:7" x14ac:dyDescent="0.3">
      <c r="A12132" s="198">
        <v>43281632</v>
      </c>
      <c r="B12132" s="192" t="s">
        <v>4622</v>
      </c>
      <c r="C12132" s="196">
        <v>-270000</v>
      </c>
      <c r="D12132" s="196">
        <v>0</v>
      </c>
      <c r="E12132" s="196">
        <v>0</v>
      </c>
      <c r="F12132" s="196">
        <v>0</v>
      </c>
      <c r="G12132" s="196">
        <v>-270000</v>
      </c>
    </row>
    <row r="12133" spans="1:7" x14ac:dyDescent="0.3">
      <c r="A12133" s="198">
        <v>1128464807</v>
      </c>
      <c r="B12133" s="192" t="s">
        <v>6819</v>
      </c>
      <c r="C12133" s="196">
        <v>-5000</v>
      </c>
      <c r="D12133" s="196">
        <v>0</v>
      </c>
      <c r="E12133" s="196">
        <v>0</v>
      </c>
      <c r="F12133" s="196">
        <v>0</v>
      </c>
      <c r="G12133" s="196">
        <v>-5000</v>
      </c>
    </row>
    <row r="12134" spans="1:7" x14ac:dyDescent="0.3">
      <c r="A12134" s="198">
        <v>42873634</v>
      </c>
      <c r="B12134" s="192" t="s">
        <v>1006</v>
      </c>
      <c r="C12134" s="196">
        <v>0</v>
      </c>
      <c r="D12134" s="196">
        <v>0</v>
      </c>
      <c r="E12134" s="196">
        <v>90800</v>
      </c>
      <c r="F12134" s="196">
        <v>-90800</v>
      </c>
      <c r="G12134" s="196">
        <v>-90800</v>
      </c>
    </row>
    <row r="12135" spans="1:7" x14ac:dyDescent="0.3">
      <c r="A12135" s="198">
        <v>43160506</v>
      </c>
      <c r="B12135" s="192" t="s">
        <v>4666</v>
      </c>
      <c r="C12135" s="196">
        <v>-271000</v>
      </c>
      <c r="D12135" s="196">
        <v>0</v>
      </c>
      <c r="E12135" s="196">
        <v>0</v>
      </c>
      <c r="F12135" s="196">
        <v>0</v>
      </c>
      <c r="G12135" s="196">
        <v>-271000</v>
      </c>
    </row>
    <row r="12136" spans="1:7" x14ac:dyDescent="0.3">
      <c r="A12136" s="198">
        <v>34544897</v>
      </c>
      <c r="B12136" s="192" t="s">
        <v>1017</v>
      </c>
      <c r="C12136" s="196">
        <v>0</v>
      </c>
      <c r="D12136" s="196">
        <v>0</v>
      </c>
      <c r="E12136" s="196">
        <v>67000</v>
      </c>
      <c r="F12136" s="196">
        <v>-67000</v>
      </c>
      <c r="G12136" s="196">
        <v>-67000</v>
      </c>
    </row>
    <row r="12137" spans="1:7" x14ac:dyDescent="0.3">
      <c r="A12137" s="198">
        <v>10265145</v>
      </c>
      <c r="B12137" s="192" t="s">
        <v>4693</v>
      </c>
      <c r="C12137" s="196">
        <v>-56000</v>
      </c>
      <c r="D12137" s="196">
        <v>0</v>
      </c>
      <c r="E12137" s="196">
        <v>0</v>
      </c>
      <c r="F12137" s="196">
        <v>0</v>
      </c>
      <c r="G12137" s="196">
        <v>-56000</v>
      </c>
    </row>
    <row r="12138" spans="1:7" x14ac:dyDescent="0.3">
      <c r="A12138" s="198">
        <v>70901867</v>
      </c>
      <c r="B12138" s="192" t="s">
        <v>7377</v>
      </c>
      <c r="C12138" s="196">
        <v>-64800</v>
      </c>
      <c r="D12138" s="196">
        <v>0</v>
      </c>
      <c r="E12138" s="196">
        <v>0</v>
      </c>
      <c r="F12138" s="196">
        <v>0</v>
      </c>
      <c r="G12138" s="196">
        <v>-64800</v>
      </c>
    </row>
    <row r="12139" spans="1:7" x14ac:dyDescent="0.3">
      <c r="A12139" s="198">
        <v>1020828971</v>
      </c>
      <c r="B12139" s="192" t="s">
        <v>4697</v>
      </c>
      <c r="C12139" s="196">
        <v>-71000</v>
      </c>
      <c r="D12139" s="196">
        <v>0</v>
      </c>
      <c r="E12139" s="196">
        <v>0</v>
      </c>
      <c r="F12139" s="196">
        <v>0</v>
      </c>
      <c r="G12139" s="196">
        <v>-71000</v>
      </c>
    </row>
    <row r="12140" spans="1:7" x14ac:dyDescent="0.3">
      <c r="A12140" s="198">
        <v>71605520</v>
      </c>
      <c r="B12140" s="192" t="s">
        <v>4703</v>
      </c>
      <c r="C12140" s="196">
        <v>-270000</v>
      </c>
      <c r="D12140" s="196">
        <v>0</v>
      </c>
      <c r="E12140" s="196">
        <v>0</v>
      </c>
      <c r="F12140" s="196">
        <v>0</v>
      </c>
      <c r="G12140" s="196">
        <v>-270000</v>
      </c>
    </row>
    <row r="12141" spans="1:7" x14ac:dyDescent="0.3">
      <c r="A12141" s="198">
        <v>71022628</v>
      </c>
      <c r="B12141" s="192" t="s">
        <v>6823</v>
      </c>
      <c r="C12141" s="196">
        <v>-5400</v>
      </c>
      <c r="D12141" s="196">
        <v>0</v>
      </c>
      <c r="E12141" s="196">
        <v>0</v>
      </c>
      <c r="F12141" s="196">
        <v>0</v>
      </c>
      <c r="G12141" s="196">
        <v>-5400</v>
      </c>
    </row>
    <row r="12142" spans="1:7" x14ac:dyDescent="0.3">
      <c r="A12142" s="198">
        <v>70563535</v>
      </c>
      <c r="B12142" s="192" t="s">
        <v>4710</v>
      </c>
      <c r="C12142" s="196">
        <v>-92000</v>
      </c>
      <c r="D12142" s="196">
        <v>0</v>
      </c>
      <c r="E12142" s="196">
        <v>0</v>
      </c>
      <c r="F12142" s="196">
        <v>0</v>
      </c>
      <c r="G12142" s="196">
        <v>-92000</v>
      </c>
    </row>
    <row r="12143" spans="1:7" x14ac:dyDescent="0.3">
      <c r="A12143" s="198">
        <v>1040870902</v>
      </c>
      <c r="B12143" s="192" t="s">
        <v>4712</v>
      </c>
      <c r="C12143" s="196">
        <v>-175000</v>
      </c>
      <c r="D12143" s="196">
        <v>0</v>
      </c>
      <c r="E12143" s="196">
        <v>0</v>
      </c>
      <c r="F12143" s="196">
        <v>0</v>
      </c>
      <c r="G12143" s="196">
        <v>-175000</v>
      </c>
    </row>
    <row r="12144" spans="1:7" x14ac:dyDescent="0.3">
      <c r="A12144" s="198">
        <v>98556045</v>
      </c>
      <c r="B12144" s="192" t="s">
        <v>6825</v>
      </c>
      <c r="C12144" s="196">
        <v>-189200</v>
      </c>
      <c r="D12144" s="196">
        <v>0</v>
      </c>
      <c r="E12144" s="196">
        <v>0</v>
      </c>
      <c r="F12144" s="196">
        <v>0</v>
      </c>
      <c r="G12144" s="196">
        <v>-189200</v>
      </c>
    </row>
    <row r="12145" spans="1:7" x14ac:dyDescent="0.3">
      <c r="A12145" s="198">
        <v>98461887</v>
      </c>
      <c r="B12145" s="192" t="s">
        <v>1023</v>
      </c>
      <c r="C12145" s="196">
        <v>-64800</v>
      </c>
      <c r="D12145" s="196">
        <v>0</v>
      </c>
      <c r="E12145" s="196">
        <v>67000</v>
      </c>
      <c r="F12145" s="196">
        <v>-67000</v>
      </c>
      <c r="G12145" s="196">
        <v>-131800</v>
      </c>
    </row>
    <row r="12146" spans="1:7" x14ac:dyDescent="0.3">
      <c r="A12146" s="198">
        <v>98546376</v>
      </c>
      <c r="B12146" s="192" t="s">
        <v>4724</v>
      </c>
      <c r="C12146" s="196">
        <v>-290000</v>
      </c>
      <c r="D12146" s="196">
        <v>0</v>
      </c>
      <c r="E12146" s="196">
        <v>0</v>
      </c>
      <c r="F12146" s="196">
        <v>0</v>
      </c>
      <c r="G12146" s="196">
        <v>-290000</v>
      </c>
    </row>
    <row r="12147" spans="1:7" x14ac:dyDescent="0.3">
      <c r="A12147" s="198">
        <v>71875229</v>
      </c>
      <c r="B12147" s="192" t="s">
        <v>6827</v>
      </c>
      <c r="C12147" s="196">
        <v>-377000</v>
      </c>
      <c r="D12147" s="196">
        <v>0</v>
      </c>
      <c r="E12147" s="196">
        <v>0</v>
      </c>
      <c r="F12147" s="196">
        <v>0</v>
      </c>
      <c r="G12147" s="196">
        <v>-377000</v>
      </c>
    </row>
    <row r="12148" spans="1:7" x14ac:dyDescent="0.3">
      <c r="A12148" s="198">
        <v>71747420</v>
      </c>
      <c r="B12148" s="192" t="s">
        <v>1027</v>
      </c>
      <c r="C12148" s="196">
        <v>-103000</v>
      </c>
      <c r="D12148" s="196">
        <v>0</v>
      </c>
      <c r="E12148" s="196">
        <v>0</v>
      </c>
      <c r="F12148" s="196">
        <v>0</v>
      </c>
      <c r="G12148" s="196">
        <v>-103000</v>
      </c>
    </row>
    <row r="12149" spans="1:7" x14ac:dyDescent="0.3">
      <c r="A12149" s="198">
        <v>1115062935</v>
      </c>
      <c r="B12149" s="192" t="s">
        <v>4732</v>
      </c>
      <c r="C12149" s="196">
        <v>-175000</v>
      </c>
      <c r="D12149" s="196">
        <v>0</v>
      </c>
      <c r="E12149" s="196">
        <v>0</v>
      </c>
      <c r="F12149" s="196">
        <v>0</v>
      </c>
      <c r="G12149" s="196">
        <v>-175000</v>
      </c>
    </row>
    <row r="12150" spans="1:7" x14ac:dyDescent="0.3">
      <c r="A12150" s="198">
        <v>9311983</v>
      </c>
      <c r="B12150" s="192" t="s">
        <v>4735</v>
      </c>
      <c r="C12150" s="196">
        <v>-7350000</v>
      </c>
      <c r="D12150" s="196">
        <v>0</v>
      </c>
      <c r="E12150" s="196">
        <v>0</v>
      </c>
      <c r="F12150" s="196">
        <v>0</v>
      </c>
      <c r="G12150" s="196">
        <v>-7350000</v>
      </c>
    </row>
    <row r="12151" spans="1:7" x14ac:dyDescent="0.3">
      <c r="A12151" s="198">
        <v>1017224559</v>
      </c>
      <c r="B12151" s="192" t="s">
        <v>4750</v>
      </c>
      <c r="C12151" s="196">
        <v>-175000</v>
      </c>
      <c r="D12151" s="196">
        <v>0</v>
      </c>
      <c r="E12151" s="196">
        <v>0</v>
      </c>
      <c r="F12151" s="196">
        <v>0</v>
      </c>
      <c r="G12151" s="196">
        <v>-175000</v>
      </c>
    </row>
    <row r="12152" spans="1:7" x14ac:dyDescent="0.3">
      <c r="A12152" s="198">
        <v>1039701005</v>
      </c>
      <c r="B12152" s="192" t="s">
        <v>6831</v>
      </c>
      <c r="C12152" s="196">
        <v>-5000</v>
      </c>
      <c r="D12152" s="196">
        <v>0</v>
      </c>
      <c r="E12152" s="196">
        <v>0</v>
      </c>
      <c r="F12152" s="196">
        <v>0</v>
      </c>
      <c r="G12152" s="196">
        <v>-5000</v>
      </c>
    </row>
    <row r="12153" spans="1:7" x14ac:dyDescent="0.3">
      <c r="A12153" s="198">
        <v>1037524504</v>
      </c>
      <c r="B12153" s="192" t="s">
        <v>6833</v>
      </c>
      <c r="C12153" s="196">
        <v>-5000</v>
      </c>
      <c r="D12153" s="196">
        <v>0</v>
      </c>
      <c r="E12153" s="196">
        <v>0</v>
      </c>
      <c r="F12153" s="196">
        <v>0</v>
      </c>
      <c r="G12153" s="196">
        <v>-5000</v>
      </c>
    </row>
    <row r="12154" spans="1:7" x14ac:dyDescent="0.3">
      <c r="A12154" s="198">
        <v>1152212413</v>
      </c>
      <c r="B12154" s="192" t="s">
        <v>6836</v>
      </c>
      <c r="C12154" s="196">
        <v>-5000</v>
      </c>
      <c r="D12154" s="196">
        <v>0</v>
      </c>
      <c r="E12154" s="196">
        <v>0</v>
      </c>
      <c r="F12154" s="196">
        <v>0</v>
      </c>
      <c r="G12154" s="196">
        <v>-5000</v>
      </c>
    </row>
    <row r="12155" spans="1:7" x14ac:dyDescent="0.3">
      <c r="A12155" s="198">
        <v>1152206923</v>
      </c>
      <c r="B12155" s="192" t="s">
        <v>7378</v>
      </c>
      <c r="C12155" s="196">
        <v>-5000</v>
      </c>
      <c r="D12155" s="196">
        <v>0</v>
      </c>
      <c r="E12155" s="196">
        <v>0</v>
      </c>
      <c r="F12155" s="196">
        <v>0</v>
      </c>
      <c r="G12155" s="196">
        <v>-5000</v>
      </c>
    </row>
    <row r="12156" spans="1:7" x14ac:dyDescent="0.3">
      <c r="A12156" s="198">
        <v>1036966067</v>
      </c>
      <c r="B12156" s="192" t="s">
        <v>6838</v>
      </c>
      <c r="C12156" s="196">
        <v>-5000</v>
      </c>
      <c r="D12156" s="196">
        <v>0</v>
      </c>
      <c r="E12156" s="196">
        <v>0</v>
      </c>
      <c r="F12156" s="196">
        <v>0</v>
      </c>
      <c r="G12156" s="196">
        <v>-5000</v>
      </c>
    </row>
    <row r="12157" spans="1:7" x14ac:dyDescent="0.3">
      <c r="A12157" s="198">
        <v>22056652</v>
      </c>
      <c r="B12157" s="192" t="s">
        <v>4774</v>
      </c>
      <c r="C12157" s="196">
        <v>-270000</v>
      </c>
      <c r="D12157" s="196">
        <v>0</v>
      </c>
      <c r="E12157" s="196">
        <v>0</v>
      </c>
      <c r="F12157" s="196">
        <v>0</v>
      </c>
      <c r="G12157" s="196">
        <v>-270000</v>
      </c>
    </row>
    <row r="12158" spans="1:7" x14ac:dyDescent="0.3">
      <c r="A12158" s="198">
        <v>1023625891</v>
      </c>
      <c r="B12158" s="192" t="s">
        <v>1043</v>
      </c>
      <c r="C12158" s="196">
        <v>0</v>
      </c>
      <c r="D12158" s="196">
        <v>0</v>
      </c>
      <c r="E12158" s="196">
        <v>67000</v>
      </c>
      <c r="F12158" s="196">
        <v>-67000</v>
      </c>
      <c r="G12158" s="196">
        <v>-67000</v>
      </c>
    </row>
    <row r="12159" spans="1:7" x14ac:dyDescent="0.3">
      <c r="A12159" s="198">
        <v>1040518695</v>
      </c>
      <c r="B12159" s="192" t="s">
        <v>4778</v>
      </c>
      <c r="C12159" s="196">
        <v>-175000</v>
      </c>
      <c r="D12159" s="196">
        <v>0</v>
      </c>
      <c r="E12159" s="196">
        <v>0</v>
      </c>
      <c r="F12159" s="196">
        <v>0</v>
      </c>
      <c r="G12159" s="196">
        <v>-175000</v>
      </c>
    </row>
    <row r="12160" spans="1:7" x14ac:dyDescent="0.3">
      <c r="A12160" s="198">
        <v>39316446</v>
      </c>
      <c r="B12160" s="192" t="s">
        <v>6844</v>
      </c>
      <c r="C12160" s="196">
        <v>-377000</v>
      </c>
      <c r="D12160" s="196">
        <v>0</v>
      </c>
      <c r="E12160" s="196">
        <v>0</v>
      </c>
      <c r="F12160" s="196">
        <v>0</v>
      </c>
      <c r="G12160" s="196">
        <v>-377000</v>
      </c>
    </row>
    <row r="12161" spans="1:7" x14ac:dyDescent="0.3">
      <c r="A12161" s="198">
        <v>1001376841</v>
      </c>
      <c r="B12161" s="192" t="s">
        <v>6845</v>
      </c>
      <c r="C12161" s="196">
        <v>-5000</v>
      </c>
      <c r="D12161" s="196">
        <v>0</v>
      </c>
      <c r="E12161" s="196">
        <v>0</v>
      </c>
      <c r="F12161" s="196">
        <v>0</v>
      </c>
      <c r="G12161" s="196">
        <v>-5000</v>
      </c>
    </row>
    <row r="12162" spans="1:7" x14ac:dyDescent="0.3">
      <c r="A12162" s="198">
        <v>21998987</v>
      </c>
      <c r="B12162" s="192" t="s">
        <v>1048</v>
      </c>
      <c r="C12162" s="196">
        <v>0</v>
      </c>
      <c r="D12162" s="196">
        <v>0</v>
      </c>
      <c r="E12162" s="196">
        <v>36000</v>
      </c>
      <c r="F12162" s="196">
        <v>-36000</v>
      </c>
      <c r="G12162" s="196">
        <v>-36000</v>
      </c>
    </row>
    <row r="12163" spans="1:7" x14ac:dyDescent="0.3">
      <c r="A12163" s="198">
        <v>42879321</v>
      </c>
      <c r="B12163" s="192" t="s">
        <v>1049</v>
      </c>
      <c r="C12163" s="196">
        <v>0</v>
      </c>
      <c r="D12163" s="196">
        <v>0</v>
      </c>
      <c r="E12163" s="196">
        <v>111000</v>
      </c>
      <c r="F12163" s="196">
        <v>-111000</v>
      </c>
      <c r="G12163" s="196">
        <v>-111000</v>
      </c>
    </row>
    <row r="12164" spans="1:7" x14ac:dyDescent="0.3">
      <c r="A12164" s="198">
        <v>32397574</v>
      </c>
      <c r="B12164" s="192" t="s">
        <v>1050</v>
      </c>
      <c r="C12164" s="196">
        <v>-2472001</v>
      </c>
      <c r="D12164" s="196">
        <v>0</v>
      </c>
      <c r="E12164" s="196">
        <v>0</v>
      </c>
      <c r="F12164" s="196">
        <v>0</v>
      </c>
      <c r="G12164" s="196">
        <v>-2472001</v>
      </c>
    </row>
    <row r="12165" spans="1:7" x14ac:dyDescent="0.3">
      <c r="A12165" s="198">
        <v>42869883</v>
      </c>
      <c r="B12165" s="192" t="s">
        <v>4791</v>
      </c>
      <c r="C12165" s="196">
        <v>-143000</v>
      </c>
      <c r="D12165" s="196">
        <v>0</v>
      </c>
      <c r="E12165" s="196">
        <v>0</v>
      </c>
      <c r="F12165" s="196">
        <v>0</v>
      </c>
      <c r="G12165" s="196">
        <v>-143000</v>
      </c>
    </row>
    <row r="12166" spans="1:7" x14ac:dyDescent="0.3">
      <c r="A12166" s="198">
        <v>32435126</v>
      </c>
      <c r="B12166" s="192" t="s">
        <v>1052</v>
      </c>
      <c r="C12166" s="196">
        <v>0</v>
      </c>
      <c r="D12166" s="196">
        <v>0</v>
      </c>
      <c r="E12166" s="196">
        <v>64800</v>
      </c>
      <c r="F12166" s="196">
        <v>-64800</v>
      </c>
      <c r="G12166" s="196">
        <v>-64800</v>
      </c>
    </row>
    <row r="12167" spans="1:7" x14ac:dyDescent="0.3">
      <c r="A12167" s="198">
        <v>42899001</v>
      </c>
      <c r="B12167" s="192" t="s">
        <v>1053</v>
      </c>
      <c r="C12167" s="196">
        <v>0</v>
      </c>
      <c r="D12167" s="196">
        <v>0</v>
      </c>
      <c r="E12167" s="196">
        <v>290000</v>
      </c>
      <c r="F12167" s="196">
        <v>-290000</v>
      </c>
      <c r="G12167" s="196">
        <v>-290000</v>
      </c>
    </row>
    <row r="12168" spans="1:7" x14ac:dyDescent="0.3">
      <c r="A12168" s="198">
        <v>32430224</v>
      </c>
      <c r="B12168" s="192" t="s">
        <v>1056</v>
      </c>
      <c r="C12168" s="196">
        <v>0</v>
      </c>
      <c r="D12168" s="196">
        <v>0</v>
      </c>
      <c r="E12168" s="196">
        <v>290000</v>
      </c>
      <c r="F12168" s="196">
        <v>-290000</v>
      </c>
      <c r="G12168" s="196">
        <v>-290000</v>
      </c>
    </row>
    <row r="12169" spans="1:7" x14ac:dyDescent="0.3">
      <c r="A12169" s="198">
        <v>43054434</v>
      </c>
      <c r="B12169" s="192" t="s">
        <v>1057</v>
      </c>
      <c r="C12169" s="196">
        <v>0</v>
      </c>
      <c r="D12169" s="196">
        <v>0</v>
      </c>
      <c r="E12169" s="196">
        <v>111000</v>
      </c>
      <c r="F12169" s="196">
        <v>-111000</v>
      </c>
      <c r="G12169" s="196">
        <v>-111000</v>
      </c>
    </row>
    <row r="12170" spans="1:7" x14ac:dyDescent="0.3">
      <c r="A12170" s="198">
        <v>42750545</v>
      </c>
      <c r="B12170" s="192" t="s">
        <v>4815</v>
      </c>
      <c r="C12170" s="196">
        <v>-270000</v>
      </c>
      <c r="D12170" s="196">
        <v>0</v>
      </c>
      <c r="E12170" s="196">
        <v>0</v>
      </c>
      <c r="F12170" s="196">
        <v>0</v>
      </c>
      <c r="G12170" s="196">
        <v>-270000</v>
      </c>
    </row>
    <row r="12171" spans="1:7" x14ac:dyDescent="0.3">
      <c r="A12171" s="198">
        <v>42897900</v>
      </c>
      <c r="B12171" s="192" t="s">
        <v>6854</v>
      </c>
      <c r="C12171" s="196">
        <v>-5000</v>
      </c>
      <c r="D12171" s="196">
        <v>0</v>
      </c>
      <c r="E12171" s="196">
        <v>0</v>
      </c>
      <c r="F12171" s="196">
        <v>0</v>
      </c>
      <c r="G12171" s="196">
        <v>-5000</v>
      </c>
    </row>
    <row r="12172" spans="1:7" x14ac:dyDescent="0.3">
      <c r="A12172" s="198">
        <v>24568350</v>
      </c>
      <c r="B12172" s="192" t="s">
        <v>4819</v>
      </c>
      <c r="C12172" s="196">
        <v>-7350000</v>
      </c>
      <c r="D12172" s="196">
        <v>0</v>
      </c>
      <c r="E12172" s="196">
        <v>0</v>
      </c>
      <c r="F12172" s="196">
        <v>0</v>
      </c>
      <c r="G12172" s="196">
        <v>-7350000</v>
      </c>
    </row>
    <row r="12173" spans="1:7" x14ac:dyDescent="0.3">
      <c r="A12173" s="198">
        <v>1000654854</v>
      </c>
      <c r="B12173" s="192" t="s">
        <v>4831</v>
      </c>
      <c r="C12173" s="196">
        <v>-175000</v>
      </c>
      <c r="D12173" s="196">
        <v>0</v>
      </c>
      <c r="E12173" s="196">
        <v>0</v>
      </c>
      <c r="F12173" s="196">
        <v>0</v>
      </c>
      <c r="G12173" s="196">
        <v>-175000</v>
      </c>
    </row>
    <row r="12174" spans="1:7" x14ac:dyDescent="0.3">
      <c r="A12174" s="198">
        <v>10793227</v>
      </c>
      <c r="B12174" s="192" t="s">
        <v>6857</v>
      </c>
      <c r="C12174" s="196">
        <v>-5000</v>
      </c>
      <c r="D12174" s="196">
        <v>0</v>
      </c>
      <c r="E12174" s="196">
        <v>0</v>
      </c>
      <c r="F12174" s="196">
        <v>0</v>
      </c>
      <c r="G12174" s="196">
        <v>-5000</v>
      </c>
    </row>
    <row r="12175" spans="1:7" x14ac:dyDescent="0.3">
      <c r="A12175" s="198">
        <v>661002215</v>
      </c>
      <c r="B12175" s="192" t="s">
        <v>4832</v>
      </c>
      <c r="C12175" s="196">
        <v>-290000</v>
      </c>
      <c r="D12175" s="196">
        <v>0</v>
      </c>
      <c r="E12175" s="196">
        <v>0</v>
      </c>
      <c r="F12175" s="196">
        <v>0</v>
      </c>
      <c r="G12175" s="196">
        <v>-290000</v>
      </c>
    </row>
    <row r="12176" spans="1:7" x14ac:dyDescent="0.3">
      <c r="A12176" s="198">
        <v>562602222</v>
      </c>
      <c r="B12176" s="192" t="s">
        <v>4840</v>
      </c>
      <c r="C12176" s="196">
        <v>-74000</v>
      </c>
      <c r="D12176" s="196">
        <v>0</v>
      </c>
      <c r="E12176" s="196">
        <v>0</v>
      </c>
      <c r="F12176" s="196">
        <v>0</v>
      </c>
      <c r="G12176" s="196">
        <v>-74000</v>
      </c>
    </row>
    <row r="12177" spans="1:7" x14ac:dyDescent="0.3">
      <c r="A12177" s="198">
        <v>1003286661</v>
      </c>
      <c r="B12177" s="192" t="s">
        <v>1067</v>
      </c>
      <c r="C12177" s="196">
        <v>0</v>
      </c>
      <c r="D12177" s="196">
        <v>0</v>
      </c>
      <c r="E12177" s="196">
        <v>67000</v>
      </c>
      <c r="F12177" s="196">
        <v>-67000</v>
      </c>
      <c r="G12177" s="196">
        <v>-67000</v>
      </c>
    </row>
    <row r="12178" spans="1:7" x14ac:dyDescent="0.3">
      <c r="A12178" s="198">
        <v>21853677</v>
      </c>
      <c r="B12178" s="192" t="s">
        <v>4842</v>
      </c>
      <c r="C12178" s="196">
        <v>-52200</v>
      </c>
      <c r="D12178" s="196">
        <v>0</v>
      </c>
      <c r="E12178" s="196">
        <v>0</v>
      </c>
      <c r="F12178" s="196">
        <v>0</v>
      </c>
      <c r="G12178" s="196">
        <v>-52200</v>
      </c>
    </row>
    <row r="12179" spans="1:7" x14ac:dyDescent="0.3">
      <c r="A12179" s="198">
        <v>1037660051</v>
      </c>
      <c r="B12179" s="192" t="s">
        <v>6863</v>
      </c>
      <c r="C12179" s="196">
        <v>-5000</v>
      </c>
      <c r="D12179" s="196">
        <v>0</v>
      </c>
      <c r="E12179" s="196">
        <v>0</v>
      </c>
      <c r="F12179" s="196">
        <v>0</v>
      </c>
      <c r="G12179" s="196">
        <v>-5000</v>
      </c>
    </row>
    <row r="12180" spans="1:7" x14ac:dyDescent="0.3">
      <c r="A12180" s="198">
        <v>1038540158</v>
      </c>
      <c r="B12180" s="192" t="s">
        <v>1074</v>
      </c>
      <c r="C12180" s="196">
        <v>-175000</v>
      </c>
      <c r="D12180" s="196">
        <v>0</v>
      </c>
      <c r="E12180" s="196">
        <v>0</v>
      </c>
      <c r="F12180" s="196">
        <v>0</v>
      </c>
      <c r="G12180" s="196">
        <v>-175000</v>
      </c>
    </row>
    <row r="12181" spans="1:7" x14ac:dyDescent="0.3">
      <c r="A12181" s="198">
        <v>1000548449</v>
      </c>
      <c r="B12181" s="192" t="s">
        <v>6864</v>
      </c>
      <c r="C12181" s="196">
        <v>-5000</v>
      </c>
      <c r="D12181" s="196">
        <v>0</v>
      </c>
      <c r="E12181" s="196">
        <v>0</v>
      </c>
      <c r="F12181" s="196">
        <v>0</v>
      </c>
      <c r="G12181" s="196">
        <v>-5000</v>
      </c>
    </row>
    <row r="12182" spans="1:7" x14ac:dyDescent="0.3">
      <c r="A12182" s="198">
        <v>1000085863</v>
      </c>
      <c r="B12182" s="192" t="s">
        <v>6866</v>
      </c>
      <c r="C12182" s="196">
        <v>-5000</v>
      </c>
      <c r="D12182" s="196">
        <v>0</v>
      </c>
      <c r="E12182" s="196">
        <v>0</v>
      </c>
      <c r="F12182" s="196">
        <v>0</v>
      </c>
      <c r="G12182" s="196">
        <v>-5000</v>
      </c>
    </row>
    <row r="12183" spans="1:7" x14ac:dyDescent="0.3">
      <c r="A12183" s="198">
        <v>1000752718</v>
      </c>
      <c r="B12183" s="192" t="s">
        <v>6867</v>
      </c>
      <c r="C12183" s="196">
        <v>-5000</v>
      </c>
      <c r="D12183" s="196">
        <v>0</v>
      </c>
      <c r="E12183" s="196">
        <v>0</v>
      </c>
      <c r="F12183" s="196">
        <v>0</v>
      </c>
      <c r="G12183" s="196">
        <v>-5000</v>
      </c>
    </row>
    <row r="12184" spans="1:7" x14ac:dyDescent="0.3">
      <c r="A12184" s="198">
        <v>43155720</v>
      </c>
      <c r="B12184" s="192" t="s">
        <v>4877</v>
      </c>
      <c r="C12184" s="196">
        <v>-270000</v>
      </c>
      <c r="D12184" s="196">
        <v>0</v>
      </c>
      <c r="E12184" s="196">
        <v>0</v>
      </c>
      <c r="F12184" s="196">
        <v>0</v>
      </c>
      <c r="G12184" s="196">
        <v>-270000</v>
      </c>
    </row>
    <row r="12185" spans="1:7" x14ac:dyDescent="0.3">
      <c r="A12185" s="198">
        <v>43188823</v>
      </c>
      <c r="B12185" s="192" t="s">
        <v>1080</v>
      </c>
      <c r="C12185" s="196">
        <v>0</v>
      </c>
      <c r="D12185" s="196">
        <v>0</v>
      </c>
      <c r="E12185" s="196">
        <v>111000</v>
      </c>
      <c r="F12185" s="196">
        <v>-111000</v>
      </c>
      <c r="G12185" s="196">
        <v>-111000</v>
      </c>
    </row>
    <row r="12186" spans="1:7" x14ac:dyDescent="0.3">
      <c r="A12186" s="198">
        <v>1036781794</v>
      </c>
      <c r="B12186" s="192" t="s">
        <v>4891</v>
      </c>
      <c r="C12186" s="196">
        <v>-377000</v>
      </c>
      <c r="D12186" s="196">
        <v>0</v>
      </c>
      <c r="E12186" s="196">
        <v>0</v>
      </c>
      <c r="F12186" s="196">
        <v>0</v>
      </c>
      <c r="G12186" s="196">
        <v>-377000</v>
      </c>
    </row>
    <row r="12187" spans="1:7" x14ac:dyDescent="0.3">
      <c r="A12187" s="198">
        <v>1000922587</v>
      </c>
      <c r="B12187" s="192" t="s">
        <v>4895</v>
      </c>
      <c r="C12187" s="196">
        <v>-214000</v>
      </c>
      <c r="D12187" s="196">
        <v>0</v>
      </c>
      <c r="E12187" s="196">
        <v>0</v>
      </c>
      <c r="F12187" s="196">
        <v>0</v>
      </c>
      <c r="G12187" s="196">
        <v>-214000</v>
      </c>
    </row>
    <row r="12188" spans="1:7" x14ac:dyDescent="0.3">
      <c r="A12188" s="198">
        <v>80194867</v>
      </c>
      <c r="B12188" s="192" t="s">
        <v>4900</v>
      </c>
      <c r="C12188" s="196">
        <v>-62100</v>
      </c>
      <c r="D12188" s="196">
        <v>0</v>
      </c>
      <c r="E12188" s="196">
        <v>0</v>
      </c>
      <c r="F12188" s="196">
        <v>0</v>
      </c>
      <c r="G12188" s="196">
        <v>-62100</v>
      </c>
    </row>
    <row r="12189" spans="1:7" x14ac:dyDescent="0.3">
      <c r="A12189" s="198">
        <v>37787002</v>
      </c>
      <c r="B12189" s="192" t="s">
        <v>4905</v>
      </c>
      <c r="C12189" s="196">
        <v>-175000</v>
      </c>
      <c r="D12189" s="196">
        <v>0</v>
      </c>
      <c r="E12189" s="196">
        <v>0</v>
      </c>
      <c r="F12189" s="196">
        <v>0</v>
      </c>
      <c r="G12189" s="196">
        <v>-175000</v>
      </c>
    </row>
    <row r="12190" spans="1:7" x14ac:dyDescent="0.3">
      <c r="A12190" s="198">
        <v>1037575368</v>
      </c>
      <c r="B12190" s="192" t="s">
        <v>1096</v>
      </c>
      <c r="C12190" s="196">
        <v>0</v>
      </c>
      <c r="D12190" s="196">
        <v>0</v>
      </c>
      <c r="E12190" s="196">
        <v>62100</v>
      </c>
      <c r="F12190" s="196">
        <v>-62100</v>
      </c>
      <c r="G12190" s="196">
        <v>-62100</v>
      </c>
    </row>
    <row r="12191" spans="1:7" x14ac:dyDescent="0.3">
      <c r="A12191" s="198">
        <v>1112228780</v>
      </c>
      <c r="B12191" s="192" t="s">
        <v>6875</v>
      </c>
      <c r="C12191" s="196">
        <v>-5000</v>
      </c>
      <c r="D12191" s="196">
        <v>0</v>
      </c>
      <c r="E12191" s="196">
        <v>0</v>
      </c>
      <c r="F12191" s="196">
        <v>0</v>
      </c>
      <c r="G12191" s="196">
        <v>-5000</v>
      </c>
    </row>
    <row r="12192" spans="1:7" x14ac:dyDescent="0.3">
      <c r="A12192" s="198">
        <v>1035871392</v>
      </c>
      <c r="B12192" s="192" t="s">
        <v>6877</v>
      </c>
      <c r="C12192" s="196">
        <v>-5000</v>
      </c>
      <c r="D12192" s="196">
        <v>0</v>
      </c>
      <c r="E12192" s="196">
        <v>0</v>
      </c>
      <c r="F12192" s="196">
        <v>0</v>
      </c>
      <c r="G12192" s="196">
        <v>-5000</v>
      </c>
    </row>
    <row r="12193" spans="1:7" x14ac:dyDescent="0.3">
      <c r="A12193" s="198">
        <v>1001447524</v>
      </c>
      <c r="B12193" s="192" t="s">
        <v>1103</v>
      </c>
      <c r="C12193" s="196">
        <v>0</v>
      </c>
      <c r="D12193" s="196">
        <v>0</v>
      </c>
      <c r="E12193" s="196">
        <v>5000</v>
      </c>
      <c r="F12193" s="196">
        <v>-5000</v>
      </c>
      <c r="G12193" s="196">
        <v>-5000</v>
      </c>
    </row>
    <row r="12194" spans="1:7" x14ac:dyDescent="0.3">
      <c r="A12194" s="198">
        <v>1001004866</v>
      </c>
      <c r="B12194" s="192" t="s">
        <v>6879</v>
      </c>
      <c r="C12194" s="196">
        <v>-5000</v>
      </c>
      <c r="D12194" s="196">
        <v>0</v>
      </c>
      <c r="E12194" s="196">
        <v>0</v>
      </c>
      <c r="F12194" s="196">
        <v>0</v>
      </c>
      <c r="G12194" s="196">
        <v>-5000</v>
      </c>
    </row>
    <row r="12195" spans="1:7" x14ac:dyDescent="0.3">
      <c r="A12195" s="198">
        <v>1040047438</v>
      </c>
      <c r="B12195" s="192" t="s">
        <v>4932</v>
      </c>
      <c r="C12195" s="196">
        <v>-175000</v>
      </c>
      <c r="D12195" s="196">
        <v>0</v>
      </c>
      <c r="E12195" s="196">
        <v>0</v>
      </c>
      <c r="F12195" s="196">
        <v>0</v>
      </c>
      <c r="G12195" s="196">
        <v>-175000</v>
      </c>
    </row>
    <row r="12196" spans="1:7" x14ac:dyDescent="0.3">
      <c r="A12196" s="198">
        <v>1045528401</v>
      </c>
      <c r="B12196" s="192" t="s">
        <v>1105</v>
      </c>
      <c r="C12196" s="196">
        <v>0</v>
      </c>
      <c r="D12196" s="196">
        <v>0</v>
      </c>
      <c r="E12196" s="196">
        <v>5000</v>
      </c>
      <c r="F12196" s="196">
        <v>-5000</v>
      </c>
      <c r="G12196" s="196">
        <v>-5000</v>
      </c>
    </row>
    <row r="12197" spans="1:7" x14ac:dyDescent="0.3">
      <c r="A12197" s="198">
        <v>1152686479</v>
      </c>
      <c r="B12197" s="192" t="s">
        <v>6882</v>
      </c>
      <c r="C12197" s="196">
        <v>-214000</v>
      </c>
      <c r="D12197" s="196">
        <v>0</v>
      </c>
      <c r="E12197" s="196">
        <v>0</v>
      </c>
      <c r="F12197" s="196">
        <v>0</v>
      </c>
      <c r="G12197" s="196">
        <v>-214000</v>
      </c>
    </row>
    <row r="12198" spans="1:7" x14ac:dyDescent="0.3">
      <c r="A12198" s="198">
        <v>1234988980</v>
      </c>
      <c r="B12198" s="192" t="s">
        <v>1108</v>
      </c>
      <c r="C12198" s="196">
        <v>0</v>
      </c>
      <c r="D12198" s="196">
        <v>0</v>
      </c>
      <c r="E12198" s="196">
        <v>5000</v>
      </c>
      <c r="F12198" s="196">
        <v>-5000</v>
      </c>
      <c r="G12198" s="196">
        <v>-5000</v>
      </c>
    </row>
    <row r="12199" spans="1:7" x14ac:dyDescent="0.3">
      <c r="A12199" s="198">
        <v>1001013998</v>
      </c>
      <c r="B12199" s="192" t="s">
        <v>4937</v>
      </c>
      <c r="C12199" s="196">
        <v>-253000</v>
      </c>
      <c r="D12199" s="196">
        <v>0</v>
      </c>
      <c r="E12199" s="196">
        <v>0</v>
      </c>
      <c r="F12199" s="196">
        <v>0</v>
      </c>
      <c r="G12199" s="196">
        <v>-253000</v>
      </c>
    </row>
    <row r="12200" spans="1:7" x14ac:dyDescent="0.3">
      <c r="A12200" s="198">
        <v>43738583</v>
      </c>
      <c r="B12200" s="192" t="s">
        <v>4939</v>
      </c>
      <c r="C12200" s="196">
        <v>-130200</v>
      </c>
      <c r="D12200" s="196">
        <v>0</v>
      </c>
      <c r="E12200" s="196">
        <v>0</v>
      </c>
      <c r="F12200" s="196">
        <v>0</v>
      </c>
      <c r="G12200" s="196">
        <v>-130200</v>
      </c>
    </row>
    <row r="12201" spans="1:7" x14ac:dyDescent="0.3">
      <c r="A12201" s="198">
        <v>21638029</v>
      </c>
      <c r="B12201" s="192" t="s">
        <v>4940</v>
      </c>
      <c r="C12201" s="196">
        <v>-270000</v>
      </c>
      <c r="D12201" s="196">
        <v>0</v>
      </c>
      <c r="E12201" s="196">
        <v>0</v>
      </c>
      <c r="F12201" s="196">
        <v>0</v>
      </c>
      <c r="G12201" s="196">
        <v>-270000</v>
      </c>
    </row>
    <row r="12202" spans="1:7" x14ac:dyDescent="0.3">
      <c r="A12202" s="192" t="s">
        <v>1110</v>
      </c>
      <c r="B12202" s="192" t="s">
        <v>1111</v>
      </c>
      <c r="C12202" s="196">
        <v>0</v>
      </c>
      <c r="D12202" s="196">
        <v>0</v>
      </c>
      <c r="E12202" s="196">
        <v>290000</v>
      </c>
      <c r="F12202" s="196">
        <v>-290000</v>
      </c>
      <c r="G12202" s="196">
        <v>-290000</v>
      </c>
    </row>
    <row r="12203" spans="1:7" x14ac:dyDescent="0.3">
      <c r="A12203" s="198">
        <v>21823038</v>
      </c>
      <c r="B12203" s="192" t="s">
        <v>1112</v>
      </c>
      <c r="C12203" s="196">
        <v>-270000</v>
      </c>
      <c r="D12203" s="196">
        <v>0</v>
      </c>
      <c r="E12203" s="196">
        <v>0</v>
      </c>
      <c r="F12203" s="196">
        <v>0</v>
      </c>
      <c r="G12203" s="196">
        <v>-270000</v>
      </c>
    </row>
    <row r="12204" spans="1:7" x14ac:dyDescent="0.3">
      <c r="A12204" s="198">
        <v>21810555</v>
      </c>
      <c r="B12204" s="192" t="s">
        <v>6886</v>
      </c>
      <c r="C12204" s="196">
        <v>-5000</v>
      </c>
      <c r="D12204" s="196">
        <v>0</v>
      </c>
      <c r="E12204" s="196">
        <v>0</v>
      </c>
      <c r="F12204" s="196">
        <v>0</v>
      </c>
      <c r="G12204" s="196">
        <v>-5000</v>
      </c>
    </row>
    <row r="12205" spans="1:7" x14ac:dyDescent="0.3">
      <c r="A12205" s="198">
        <v>63393643</v>
      </c>
      <c r="B12205" s="192" t="s">
        <v>1113</v>
      </c>
      <c r="C12205" s="196">
        <v>0</v>
      </c>
      <c r="D12205" s="196">
        <v>0</v>
      </c>
      <c r="E12205" s="196">
        <v>74000</v>
      </c>
      <c r="F12205" s="196">
        <v>-74000</v>
      </c>
      <c r="G12205" s="196">
        <v>-74000</v>
      </c>
    </row>
    <row r="12206" spans="1:7" x14ac:dyDescent="0.3">
      <c r="A12206" s="198">
        <v>1036674220</v>
      </c>
      <c r="B12206" s="192" t="s">
        <v>7284</v>
      </c>
      <c r="C12206" s="196">
        <v>-5000</v>
      </c>
      <c r="D12206" s="196">
        <v>0</v>
      </c>
      <c r="E12206" s="196">
        <v>0</v>
      </c>
      <c r="F12206" s="196">
        <v>0</v>
      </c>
      <c r="G12206" s="196">
        <v>-5000</v>
      </c>
    </row>
    <row r="12207" spans="1:7" x14ac:dyDescent="0.3">
      <c r="A12207" s="198">
        <v>1001420013</v>
      </c>
      <c r="B12207" s="192" t="s">
        <v>1116</v>
      </c>
      <c r="C12207" s="196">
        <v>0</v>
      </c>
      <c r="D12207" s="196">
        <v>0</v>
      </c>
      <c r="E12207" s="196">
        <v>290000</v>
      </c>
      <c r="F12207" s="196">
        <v>-290000</v>
      </c>
      <c r="G12207" s="196">
        <v>-290000</v>
      </c>
    </row>
    <row r="12208" spans="1:7" x14ac:dyDescent="0.3">
      <c r="A12208" s="198">
        <v>1035920357</v>
      </c>
      <c r="B12208" s="192" t="s">
        <v>6891</v>
      </c>
      <c r="C12208" s="196">
        <v>-5000</v>
      </c>
      <c r="D12208" s="196">
        <v>0</v>
      </c>
      <c r="E12208" s="196">
        <v>0</v>
      </c>
      <c r="F12208" s="196">
        <v>0</v>
      </c>
      <c r="G12208" s="196">
        <v>-5000</v>
      </c>
    </row>
    <row r="12209" spans="1:7" x14ac:dyDescent="0.3">
      <c r="A12209" s="198">
        <v>1152215004</v>
      </c>
      <c r="B12209" s="192" t="s">
        <v>4976</v>
      </c>
      <c r="C12209" s="196">
        <v>-78000</v>
      </c>
      <c r="D12209" s="196">
        <v>0</v>
      </c>
      <c r="E12209" s="196">
        <v>0</v>
      </c>
      <c r="F12209" s="196">
        <v>0</v>
      </c>
      <c r="G12209" s="196">
        <v>-78000</v>
      </c>
    </row>
    <row r="12210" spans="1:7" x14ac:dyDescent="0.3">
      <c r="A12210" s="198">
        <v>1003076672</v>
      </c>
      <c r="B12210" s="192" t="s">
        <v>1120</v>
      </c>
      <c r="C12210" s="196">
        <v>0</v>
      </c>
      <c r="D12210" s="196">
        <v>0</v>
      </c>
      <c r="E12210" s="196">
        <v>5000</v>
      </c>
      <c r="F12210" s="196">
        <v>-5000</v>
      </c>
      <c r="G12210" s="196">
        <v>-5000</v>
      </c>
    </row>
    <row r="12211" spans="1:7" x14ac:dyDescent="0.3">
      <c r="A12211" s="198">
        <v>1041440035</v>
      </c>
      <c r="B12211" s="192" t="s">
        <v>1121</v>
      </c>
      <c r="C12211" s="196">
        <v>0</v>
      </c>
      <c r="D12211" s="196">
        <v>0</v>
      </c>
      <c r="E12211" s="196">
        <v>92000</v>
      </c>
      <c r="F12211" s="196">
        <v>-92000</v>
      </c>
      <c r="G12211" s="196">
        <v>-92000</v>
      </c>
    </row>
    <row r="12212" spans="1:7" x14ac:dyDescent="0.3">
      <c r="A12212" s="198">
        <v>1000100909</v>
      </c>
      <c r="B12212" s="192" t="s">
        <v>1122</v>
      </c>
      <c r="C12212" s="196">
        <v>0</v>
      </c>
      <c r="D12212" s="196">
        <v>0</v>
      </c>
      <c r="E12212" s="196">
        <v>5000</v>
      </c>
      <c r="F12212" s="196">
        <v>-5000</v>
      </c>
      <c r="G12212" s="196">
        <v>-5000</v>
      </c>
    </row>
    <row r="12213" spans="1:7" x14ac:dyDescent="0.3">
      <c r="A12213" s="198">
        <v>1037611822</v>
      </c>
      <c r="B12213" s="192" t="s">
        <v>1124</v>
      </c>
      <c r="C12213" s="196">
        <v>-27000</v>
      </c>
      <c r="D12213" s="196">
        <v>0</v>
      </c>
      <c r="E12213" s="196">
        <v>0</v>
      </c>
      <c r="F12213" s="196">
        <v>0</v>
      </c>
      <c r="G12213" s="196">
        <v>-27000</v>
      </c>
    </row>
    <row r="12214" spans="1:7" x14ac:dyDescent="0.3">
      <c r="A12214" s="198">
        <v>32459151</v>
      </c>
      <c r="B12214" s="192" t="s">
        <v>6894</v>
      </c>
      <c r="C12214" s="196">
        <v>-5000</v>
      </c>
      <c r="D12214" s="196">
        <v>0</v>
      </c>
      <c r="E12214" s="196">
        <v>0</v>
      </c>
      <c r="F12214" s="196">
        <v>0</v>
      </c>
      <c r="G12214" s="196">
        <v>-5000</v>
      </c>
    </row>
    <row r="12215" spans="1:7" x14ac:dyDescent="0.3">
      <c r="A12215" s="198">
        <v>1067636707</v>
      </c>
      <c r="B12215" s="192" t="s">
        <v>4988</v>
      </c>
      <c r="C12215" s="196">
        <v>-119200</v>
      </c>
      <c r="D12215" s="196">
        <v>0</v>
      </c>
      <c r="E12215" s="196">
        <v>0</v>
      </c>
      <c r="F12215" s="196">
        <v>0</v>
      </c>
      <c r="G12215" s="196">
        <v>-119200</v>
      </c>
    </row>
    <row r="12216" spans="1:7" x14ac:dyDescent="0.3">
      <c r="A12216" s="198">
        <v>1152205930</v>
      </c>
      <c r="B12216" s="192" t="s">
        <v>4998</v>
      </c>
      <c r="C12216" s="196">
        <v>-175000</v>
      </c>
      <c r="D12216" s="196">
        <v>0</v>
      </c>
      <c r="E12216" s="196">
        <v>0</v>
      </c>
      <c r="F12216" s="196">
        <v>0</v>
      </c>
      <c r="G12216" s="196">
        <v>-175000</v>
      </c>
    </row>
    <row r="12217" spans="1:7" x14ac:dyDescent="0.3">
      <c r="A12217" s="198">
        <v>42866598</v>
      </c>
      <c r="B12217" s="192" t="s">
        <v>5000</v>
      </c>
      <c r="C12217" s="196">
        <v>-290000</v>
      </c>
      <c r="D12217" s="196">
        <v>0</v>
      </c>
      <c r="E12217" s="196">
        <v>0</v>
      </c>
      <c r="F12217" s="196">
        <v>0</v>
      </c>
      <c r="G12217" s="196">
        <v>-290000</v>
      </c>
    </row>
    <row r="12218" spans="1:7" x14ac:dyDescent="0.3">
      <c r="A12218" s="198">
        <v>23196136</v>
      </c>
      <c r="B12218" s="192" t="s">
        <v>1128</v>
      </c>
      <c r="C12218" s="196">
        <v>-2450000</v>
      </c>
      <c r="D12218" s="196">
        <v>0</v>
      </c>
      <c r="E12218" s="196">
        <v>2450000</v>
      </c>
      <c r="F12218" s="196">
        <v>-2450000</v>
      </c>
      <c r="G12218" s="196">
        <v>-4900000</v>
      </c>
    </row>
    <row r="12219" spans="1:7" x14ac:dyDescent="0.3">
      <c r="A12219" s="198">
        <v>1222454908</v>
      </c>
      <c r="B12219" s="192" t="s">
        <v>6900</v>
      </c>
      <c r="C12219" s="196">
        <v>-68000</v>
      </c>
      <c r="D12219" s="196">
        <v>0</v>
      </c>
      <c r="E12219" s="196">
        <v>0</v>
      </c>
      <c r="F12219" s="196">
        <v>0</v>
      </c>
      <c r="G12219" s="196">
        <v>-68000</v>
      </c>
    </row>
    <row r="12220" spans="1:7" x14ac:dyDescent="0.3">
      <c r="A12220" s="198">
        <v>22056651</v>
      </c>
      <c r="B12220" s="192" t="s">
        <v>5019</v>
      </c>
      <c r="C12220" s="196">
        <v>-270000</v>
      </c>
      <c r="D12220" s="196">
        <v>0</v>
      </c>
      <c r="E12220" s="196">
        <v>0</v>
      </c>
      <c r="F12220" s="196">
        <v>0</v>
      </c>
      <c r="G12220" s="196">
        <v>-270000</v>
      </c>
    </row>
    <row r="12221" spans="1:7" x14ac:dyDescent="0.3">
      <c r="A12221" s="198">
        <v>21929400</v>
      </c>
      <c r="B12221" s="192" t="s">
        <v>1134</v>
      </c>
      <c r="C12221" s="196">
        <v>0</v>
      </c>
      <c r="D12221" s="196">
        <v>0</v>
      </c>
      <c r="E12221" s="196">
        <v>5000</v>
      </c>
      <c r="F12221" s="196">
        <v>-5000</v>
      </c>
      <c r="G12221" s="196">
        <v>-5000</v>
      </c>
    </row>
    <row r="12222" spans="1:7" x14ac:dyDescent="0.3">
      <c r="A12222" s="198">
        <v>35499965</v>
      </c>
      <c r="B12222" s="192" t="s">
        <v>5022</v>
      </c>
      <c r="C12222" s="196">
        <v>-270000</v>
      </c>
      <c r="D12222" s="196">
        <v>0</v>
      </c>
      <c r="E12222" s="196">
        <v>0</v>
      </c>
      <c r="F12222" s="196">
        <v>0</v>
      </c>
      <c r="G12222" s="196">
        <v>-270000</v>
      </c>
    </row>
    <row r="12223" spans="1:7" x14ac:dyDescent="0.3">
      <c r="A12223" s="198">
        <v>43180848</v>
      </c>
      <c r="B12223" s="192" t="s">
        <v>7379</v>
      </c>
      <c r="C12223" s="196">
        <v>-70000</v>
      </c>
      <c r="D12223" s="196">
        <v>0</v>
      </c>
      <c r="E12223" s="196">
        <v>0</v>
      </c>
      <c r="F12223" s="196">
        <v>0</v>
      </c>
      <c r="G12223" s="196">
        <v>-70000</v>
      </c>
    </row>
    <row r="12224" spans="1:7" x14ac:dyDescent="0.3">
      <c r="A12224" s="198">
        <v>32503737</v>
      </c>
      <c r="B12224" s="192" t="s">
        <v>1141</v>
      </c>
      <c r="C12224" s="196">
        <v>-19600000</v>
      </c>
      <c r="D12224" s="196">
        <v>0</v>
      </c>
      <c r="E12224" s="196">
        <v>4900000</v>
      </c>
      <c r="F12224" s="196">
        <v>-4900000</v>
      </c>
      <c r="G12224" s="196">
        <v>-24500000</v>
      </c>
    </row>
    <row r="12225" spans="1:7" x14ac:dyDescent="0.3">
      <c r="A12225" s="198">
        <v>51570259</v>
      </c>
      <c r="B12225" s="192" t="s">
        <v>1143</v>
      </c>
      <c r="C12225" s="196">
        <v>-5000</v>
      </c>
      <c r="D12225" s="196">
        <v>0</v>
      </c>
      <c r="E12225" s="196">
        <v>0</v>
      </c>
      <c r="F12225" s="196">
        <v>0</v>
      </c>
      <c r="G12225" s="196">
        <v>-5000</v>
      </c>
    </row>
    <row r="12226" spans="1:7" x14ac:dyDescent="0.3">
      <c r="A12226" s="198">
        <v>38865813</v>
      </c>
      <c r="B12226" s="192" t="s">
        <v>5035</v>
      </c>
      <c r="C12226" s="196">
        <v>-270000</v>
      </c>
      <c r="D12226" s="196">
        <v>0</v>
      </c>
      <c r="E12226" s="196">
        <v>0</v>
      </c>
      <c r="F12226" s="196">
        <v>0</v>
      </c>
      <c r="G12226" s="196">
        <v>-270000</v>
      </c>
    </row>
    <row r="12227" spans="1:7" x14ac:dyDescent="0.3">
      <c r="A12227" s="198">
        <v>42784632</v>
      </c>
      <c r="B12227" s="192" t="s">
        <v>1144</v>
      </c>
      <c r="C12227" s="196">
        <v>0</v>
      </c>
      <c r="D12227" s="196">
        <v>0</v>
      </c>
      <c r="E12227" s="196">
        <v>5000</v>
      </c>
      <c r="F12227" s="196">
        <v>-5000</v>
      </c>
      <c r="G12227" s="196">
        <v>-5000</v>
      </c>
    </row>
    <row r="12228" spans="1:7" x14ac:dyDescent="0.3">
      <c r="A12228" s="198">
        <v>1018240433</v>
      </c>
      <c r="B12228" s="192" t="s">
        <v>1146</v>
      </c>
      <c r="C12228" s="196">
        <v>0</v>
      </c>
      <c r="D12228" s="196">
        <v>0</v>
      </c>
      <c r="E12228" s="196">
        <v>5000</v>
      </c>
      <c r="F12228" s="196">
        <v>-5000</v>
      </c>
      <c r="G12228" s="196">
        <v>-5000</v>
      </c>
    </row>
    <row r="12229" spans="1:7" x14ac:dyDescent="0.3">
      <c r="A12229" s="198">
        <v>1035017393</v>
      </c>
      <c r="B12229" s="192" t="s">
        <v>1147</v>
      </c>
      <c r="C12229" s="196">
        <v>0</v>
      </c>
      <c r="D12229" s="196">
        <v>0</v>
      </c>
      <c r="E12229" s="196">
        <v>67000</v>
      </c>
      <c r="F12229" s="196">
        <v>-67000</v>
      </c>
      <c r="G12229" s="196">
        <v>-67000</v>
      </c>
    </row>
    <row r="12230" spans="1:7" x14ac:dyDescent="0.3">
      <c r="A12230" s="198">
        <v>21926012</v>
      </c>
      <c r="B12230" s="192" t="s">
        <v>1150</v>
      </c>
      <c r="C12230" s="196">
        <v>0</v>
      </c>
      <c r="D12230" s="196">
        <v>0</v>
      </c>
      <c r="E12230" s="196">
        <v>253000</v>
      </c>
      <c r="F12230" s="196">
        <v>-253000</v>
      </c>
      <c r="G12230" s="196">
        <v>-253000</v>
      </c>
    </row>
    <row r="12231" spans="1:7" x14ac:dyDescent="0.3">
      <c r="A12231" s="198">
        <v>21679033</v>
      </c>
      <c r="B12231" s="192" t="s">
        <v>6909</v>
      </c>
      <c r="C12231" s="196">
        <v>-4900000</v>
      </c>
      <c r="D12231" s="196">
        <v>0</v>
      </c>
      <c r="E12231" s="196">
        <v>0</v>
      </c>
      <c r="F12231" s="196">
        <v>0</v>
      </c>
      <c r="G12231" s="196">
        <v>-4900000</v>
      </c>
    </row>
    <row r="12232" spans="1:7" x14ac:dyDescent="0.3">
      <c r="A12232" s="198">
        <v>43527032</v>
      </c>
      <c r="B12232" s="192" t="s">
        <v>1151</v>
      </c>
      <c r="C12232" s="196">
        <v>-506000</v>
      </c>
      <c r="D12232" s="196">
        <v>0</v>
      </c>
      <c r="E12232" s="196">
        <v>0</v>
      </c>
      <c r="F12232" s="196">
        <v>0</v>
      </c>
      <c r="G12232" s="196">
        <v>-506000</v>
      </c>
    </row>
    <row r="12233" spans="1:7" x14ac:dyDescent="0.3">
      <c r="A12233" s="198">
        <v>25093145</v>
      </c>
      <c r="B12233" s="192" t="s">
        <v>5051</v>
      </c>
      <c r="C12233" s="196">
        <v>-2450000</v>
      </c>
      <c r="D12233" s="196">
        <v>0</v>
      </c>
      <c r="E12233" s="196">
        <v>0</v>
      </c>
      <c r="F12233" s="196">
        <v>0</v>
      </c>
      <c r="G12233" s="196">
        <v>-2450000</v>
      </c>
    </row>
    <row r="12234" spans="1:7" x14ac:dyDescent="0.3">
      <c r="A12234" s="198">
        <v>21685449</v>
      </c>
      <c r="B12234" s="192" t="s">
        <v>5052</v>
      </c>
      <c r="C12234" s="196">
        <v>-253000</v>
      </c>
      <c r="D12234" s="196">
        <v>0</v>
      </c>
      <c r="E12234" s="196">
        <v>0</v>
      </c>
      <c r="F12234" s="196">
        <v>0</v>
      </c>
      <c r="G12234" s="196">
        <v>-253000</v>
      </c>
    </row>
    <row r="12235" spans="1:7" x14ac:dyDescent="0.3">
      <c r="A12235" s="198">
        <v>43221221</v>
      </c>
      <c r="B12235" s="192" t="s">
        <v>7380</v>
      </c>
      <c r="C12235" s="196">
        <v>-434000</v>
      </c>
      <c r="D12235" s="196">
        <v>0</v>
      </c>
      <c r="E12235" s="196">
        <v>0</v>
      </c>
      <c r="F12235" s="196">
        <v>0</v>
      </c>
      <c r="G12235" s="196">
        <v>-434000</v>
      </c>
    </row>
    <row r="12236" spans="1:7" x14ac:dyDescent="0.3">
      <c r="A12236" s="198">
        <v>1000099024</v>
      </c>
      <c r="B12236" s="192" t="s">
        <v>1157</v>
      </c>
      <c r="C12236" s="196">
        <v>0</v>
      </c>
      <c r="D12236" s="196">
        <v>0</v>
      </c>
      <c r="E12236" s="196">
        <v>5000</v>
      </c>
      <c r="F12236" s="196">
        <v>-5000</v>
      </c>
      <c r="G12236" s="196">
        <v>-5000</v>
      </c>
    </row>
    <row r="12237" spans="1:7" x14ac:dyDescent="0.3">
      <c r="A12237" s="198">
        <v>1017186063</v>
      </c>
      <c r="B12237" s="192" t="s">
        <v>5076</v>
      </c>
      <c r="C12237" s="196">
        <v>-71000</v>
      </c>
      <c r="D12237" s="196">
        <v>0</v>
      </c>
      <c r="E12237" s="196">
        <v>0</v>
      </c>
      <c r="F12237" s="196">
        <v>0</v>
      </c>
      <c r="G12237" s="196">
        <v>-71000</v>
      </c>
    </row>
    <row r="12238" spans="1:7" x14ac:dyDescent="0.3">
      <c r="A12238" s="198">
        <v>1040870387</v>
      </c>
      <c r="B12238" s="192" t="s">
        <v>5078</v>
      </c>
      <c r="C12238" s="196">
        <v>-175000</v>
      </c>
      <c r="D12238" s="196">
        <v>0</v>
      </c>
      <c r="E12238" s="196">
        <v>0</v>
      </c>
      <c r="F12238" s="196">
        <v>0</v>
      </c>
      <c r="G12238" s="196">
        <v>-175000</v>
      </c>
    </row>
    <row r="12239" spans="1:7" x14ac:dyDescent="0.3">
      <c r="A12239" s="198">
        <v>1095843402</v>
      </c>
      <c r="B12239" s="192" t="s">
        <v>1160</v>
      </c>
      <c r="C12239" s="196">
        <v>0</v>
      </c>
      <c r="D12239" s="196">
        <v>0</v>
      </c>
      <c r="E12239" s="196">
        <v>175000</v>
      </c>
      <c r="F12239" s="196">
        <v>-175000</v>
      </c>
      <c r="G12239" s="196">
        <v>-175000</v>
      </c>
    </row>
    <row r="12240" spans="1:7" x14ac:dyDescent="0.3">
      <c r="A12240" s="198">
        <v>43785139</v>
      </c>
      <c r="B12240" s="192" t="s">
        <v>6913</v>
      </c>
      <c r="C12240" s="196">
        <v>-270000</v>
      </c>
      <c r="D12240" s="196">
        <v>0</v>
      </c>
      <c r="E12240" s="196">
        <v>0</v>
      </c>
      <c r="F12240" s="196">
        <v>0</v>
      </c>
      <c r="G12240" s="196">
        <v>-270000</v>
      </c>
    </row>
    <row r="12241" spans="1:7" x14ac:dyDescent="0.3">
      <c r="A12241" s="198">
        <v>39353922</v>
      </c>
      <c r="B12241" s="192" t="s">
        <v>6914</v>
      </c>
      <c r="C12241" s="196">
        <v>-5000</v>
      </c>
      <c r="D12241" s="196">
        <v>0</v>
      </c>
      <c r="E12241" s="196">
        <v>0</v>
      </c>
      <c r="F12241" s="196">
        <v>0</v>
      </c>
      <c r="G12241" s="196">
        <v>-5000</v>
      </c>
    </row>
    <row r="12242" spans="1:7" x14ac:dyDescent="0.3">
      <c r="A12242" s="198">
        <v>43609825</v>
      </c>
      <c r="B12242" s="192" t="s">
        <v>5100</v>
      </c>
      <c r="C12242" s="196">
        <v>-90800</v>
      </c>
      <c r="D12242" s="196">
        <v>0</v>
      </c>
      <c r="E12242" s="196">
        <v>0</v>
      </c>
      <c r="F12242" s="196">
        <v>0</v>
      </c>
      <c r="G12242" s="196">
        <v>-90800</v>
      </c>
    </row>
    <row r="12243" spans="1:7" x14ac:dyDescent="0.3">
      <c r="A12243" s="198">
        <v>39296670</v>
      </c>
      <c r="B12243" s="192" t="s">
        <v>5103</v>
      </c>
      <c r="C12243" s="196">
        <v>-270000</v>
      </c>
      <c r="D12243" s="196">
        <v>0</v>
      </c>
      <c r="E12243" s="196">
        <v>0</v>
      </c>
      <c r="F12243" s="196">
        <v>0</v>
      </c>
      <c r="G12243" s="196">
        <v>-270000</v>
      </c>
    </row>
    <row r="12244" spans="1:7" x14ac:dyDescent="0.3">
      <c r="A12244" s="198">
        <v>40759477</v>
      </c>
      <c r="B12244" s="192" t="s">
        <v>5108</v>
      </c>
      <c r="C12244" s="196">
        <v>-285000</v>
      </c>
      <c r="D12244" s="196">
        <v>0</v>
      </c>
      <c r="E12244" s="196">
        <v>0</v>
      </c>
      <c r="F12244" s="196">
        <v>0</v>
      </c>
      <c r="G12244" s="196">
        <v>-285000</v>
      </c>
    </row>
    <row r="12245" spans="1:7" x14ac:dyDescent="0.3">
      <c r="A12245" s="198">
        <v>42882239</v>
      </c>
      <c r="B12245" s="192" t="s">
        <v>1168</v>
      </c>
      <c r="C12245" s="196">
        <v>0</v>
      </c>
      <c r="D12245" s="196">
        <v>0</v>
      </c>
      <c r="E12245" s="196">
        <v>290000</v>
      </c>
      <c r="F12245" s="196">
        <v>-290000</v>
      </c>
      <c r="G12245" s="196">
        <v>-290000</v>
      </c>
    </row>
    <row r="12246" spans="1:7" x14ac:dyDescent="0.3">
      <c r="A12246" s="198">
        <v>21363325</v>
      </c>
      <c r="B12246" s="192" t="s">
        <v>5110</v>
      </c>
      <c r="C12246" s="196">
        <v>-270000</v>
      </c>
      <c r="D12246" s="196">
        <v>0</v>
      </c>
      <c r="E12246" s="196">
        <v>0</v>
      </c>
      <c r="F12246" s="196">
        <v>0</v>
      </c>
      <c r="G12246" s="196">
        <v>-270000</v>
      </c>
    </row>
    <row r="12247" spans="1:7" x14ac:dyDescent="0.3">
      <c r="A12247" s="198">
        <v>21256791</v>
      </c>
      <c r="B12247" s="192" t="s">
        <v>7381</v>
      </c>
      <c r="C12247" s="196">
        <v>-2450000</v>
      </c>
      <c r="D12247" s="196">
        <v>0</v>
      </c>
      <c r="E12247" s="196">
        <v>0</v>
      </c>
      <c r="F12247" s="196">
        <v>0</v>
      </c>
      <c r="G12247" s="196">
        <v>-2450000</v>
      </c>
    </row>
    <row r="12248" spans="1:7" x14ac:dyDescent="0.3">
      <c r="A12248" s="198">
        <v>21543015</v>
      </c>
      <c r="B12248" s="192" t="s">
        <v>7382</v>
      </c>
      <c r="C12248" s="196">
        <v>-1236000</v>
      </c>
      <c r="D12248" s="196">
        <v>0</v>
      </c>
      <c r="E12248" s="196">
        <v>0</v>
      </c>
      <c r="F12248" s="196">
        <v>0</v>
      </c>
      <c r="G12248" s="196">
        <v>-1236000</v>
      </c>
    </row>
    <row r="12249" spans="1:7" x14ac:dyDescent="0.3">
      <c r="A12249" s="192" t="s">
        <v>7383</v>
      </c>
      <c r="B12249" s="192" t="s">
        <v>7384</v>
      </c>
      <c r="C12249" s="196">
        <v>-5000</v>
      </c>
      <c r="D12249" s="196">
        <v>0</v>
      </c>
      <c r="E12249" s="196">
        <v>0</v>
      </c>
      <c r="F12249" s="196">
        <v>0</v>
      </c>
      <c r="G12249" s="196">
        <v>-5000</v>
      </c>
    </row>
    <row r="12250" spans="1:7" x14ac:dyDescent="0.3">
      <c r="A12250" s="198">
        <v>1097182276</v>
      </c>
      <c r="B12250" s="192" t="s">
        <v>5117</v>
      </c>
      <c r="C12250" s="196">
        <v>-214000</v>
      </c>
      <c r="D12250" s="196">
        <v>0</v>
      </c>
      <c r="E12250" s="196">
        <v>0</v>
      </c>
      <c r="F12250" s="196">
        <v>0</v>
      </c>
      <c r="G12250" s="196">
        <v>-214000</v>
      </c>
    </row>
    <row r="12251" spans="1:7" x14ac:dyDescent="0.3">
      <c r="A12251" s="198">
        <v>1003343243</v>
      </c>
      <c r="B12251" s="192" t="s">
        <v>5118</v>
      </c>
      <c r="C12251" s="196">
        <v>-175000</v>
      </c>
      <c r="D12251" s="196">
        <v>0</v>
      </c>
      <c r="E12251" s="196">
        <v>0</v>
      </c>
      <c r="F12251" s="196">
        <v>0</v>
      </c>
      <c r="G12251" s="196">
        <v>-175000</v>
      </c>
    </row>
    <row r="12252" spans="1:7" x14ac:dyDescent="0.3">
      <c r="A12252" s="198">
        <v>21305634</v>
      </c>
      <c r="B12252" s="192" t="s">
        <v>5126</v>
      </c>
      <c r="C12252" s="196">
        <v>-270000</v>
      </c>
      <c r="D12252" s="196">
        <v>0</v>
      </c>
      <c r="E12252" s="196">
        <v>0</v>
      </c>
      <c r="F12252" s="196">
        <v>0</v>
      </c>
      <c r="G12252" s="196">
        <v>-270000</v>
      </c>
    </row>
    <row r="12253" spans="1:7" x14ac:dyDescent="0.3">
      <c r="A12253" s="198">
        <v>32328447</v>
      </c>
      <c r="B12253" s="192" t="s">
        <v>1175</v>
      </c>
      <c r="C12253" s="196">
        <v>-270000</v>
      </c>
      <c r="D12253" s="196">
        <v>0</v>
      </c>
      <c r="E12253" s="196">
        <v>0</v>
      </c>
      <c r="F12253" s="196">
        <v>0</v>
      </c>
      <c r="G12253" s="196">
        <v>-270000</v>
      </c>
    </row>
    <row r="12254" spans="1:7" x14ac:dyDescent="0.3">
      <c r="A12254" s="198">
        <v>21396756</v>
      </c>
      <c r="B12254" s="192" t="s">
        <v>6922</v>
      </c>
      <c r="C12254" s="196">
        <v>-5000</v>
      </c>
      <c r="D12254" s="196">
        <v>0</v>
      </c>
      <c r="E12254" s="196">
        <v>0</v>
      </c>
      <c r="F12254" s="196">
        <v>0</v>
      </c>
      <c r="G12254" s="196">
        <v>-5000</v>
      </c>
    </row>
    <row r="12255" spans="1:7" x14ac:dyDescent="0.3">
      <c r="A12255" s="198">
        <v>21701234</v>
      </c>
      <c r="B12255" s="192" t="s">
        <v>6923</v>
      </c>
      <c r="C12255" s="196">
        <v>-5000</v>
      </c>
      <c r="D12255" s="196">
        <v>0</v>
      </c>
      <c r="E12255" s="196">
        <v>0</v>
      </c>
      <c r="F12255" s="196">
        <v>0</v>
      </c>
      <c r="G12255" s="196">
        <v>-5000</v>
      </c>
    </row>
    <row r="12256" spans="1:7" x14ac:dyDescent="0.3">
      <c r="A12256" s="198">
        <v>21851581</v>
      </c>
      <c r="B12256" s="192" t="s">
        <v>5138</v>
      </c>
      <c r="C12256" s="196">
        <v>-270000</v>
      </c>
      <c r="D12256" s="196">
        <v>0</v>
      </c>
      <c r="E12256" s="196">
        <v>0</v>
      </c>
      <c r="F12256" s="196">
        <v>0</v>
      </c>
      <c r="G12256" s="196">
        <v>-270000</v>
      </c>
    </row>
    <row r="12257" spans="1:7" x14ac:dyDescent="0.3">
      <c r="A12257" s="198">
        <v>1039474234</v>
      </c>
      <c r="B12257" s="192" t="s">
        <v>6925</v>
      </c>
      <c r="C12257" s="196">
        <v>-5000</v>
      </c>
      <c r="D12257" s="196">
        <v>0</v>
      </c>
      <c r="E12257" s="196">
        <v>0</v>
      </c>
      <c r="F12257" s="196">
        <v>0</v>
      </c>
      <c r="G12257" s="196">
        <v>-5000</v>
      </c>
    </row>
    <row r="12258" spans="1:7" x14ac:dyDescent="0.3">
      <c r="A12258" s="198">
        <v>1020490082</v>
      </c>
      <c r="B12258" s="192" t="s">
        <v>6926</v>
      </c>
      <c r="C12258" s="196">
        <v>-5000</v>
      </c>
      <c r="D12258" s="196">
        <v>0</v>
      </c>
      <c r="E12258" s="196">
        <v>0</v>
      </c>
      <c r="F12258" s="196">
        <v>0</v>
      </c>
      <c r="G12258" s="196">
        <v>-5000</v>
      </c>
    </row>
    <row r="12259" spans="1:7" x14ac:dyDescent="0.3">
      <c r="A12259" s="198">
        <v>39443579</v>
      </c>
      <c r="B12259" s="192" t="s">
        <v>5147</v>
      </c>
      <c r="C12259" s="196">
        <v>-270000</v>
      </c>
      <c r="D12259" s="196">
        <v>0</v>
      </c>
      <c r="E12259" s="196">
        <v>0</v>
      </c>
      <c r="F12259" s="196">
        <v>0</v>
      </c>
      <c r="G12259" s="196">
        <v>-270000</v>
      </c>
    </row>
    <row r="12260" spans="1:7" x14ac:dyDescent="0.3">
      <c r="A12260" s="198">
        <v>42878119</v>
      </c>
      <c r="B12260" s="192" t="s">
        <v>1183</v>
      </c>
      <c r="C12260" s="196">
        <v>-132800</v>
      </c>
      <c r="D12260" s="196">
        <v>0</v>
      </c>
      <c r="E12260" s="196">
        <v>0</v>
      </c>
      <c r="F12260" s="196">
        <v>0</v>
      </c>
      <c r="G12260" s="196">
        <v>-132800</v>
      </c>
    </row>
    <row r="12261" spans="1:7" x14ac:dyDescent="0.3">
      <c r="A12261" s="198">
        <v>42967780</v>
      </c>
      <c r="B12261" s="192" t="s">
        <v>1184</v>
      </c>
      <c r="C12261" s="196">
        <v>0</v>
      </c>
      <c r="D12261" s="196">
        <v>0</v>
      </c>
      <c r="E12261" s="196">
        <v>5000</v>
      </c>
      <c r="F12261" s="196">
        <v>-5000</v>
      </c>
      <c r="G12261" s="196">
        <v>-5000</v>
      </c>
    </row>
    <row r="12262" spans="1:7" x14ac:dyDescent="0.3">
      <c r="A12262" s="198">
        <v>21335332</v>
      </c>
      <c r="B12262" s="192" t="s">
        <v>1189</v>
      </c>
      <c r="C12262" s="196">
        <v>-412000</v>
      </c>
      <c r="D12262" s="196">
        <v>0</v>
      </c>
      <c r="E12262" s="196">
        <v>412000</v>
      </c>
      <c r="F12262" s="196">
        <v>-412000</v>
      </c>
      <c r="G12262" s="196">
        <v>-824000</v>
      </c>
    </row>
    <row r="12263" spans="1:7" x14ac:dyDescent="0.3">
      <c r="A12263" s="198">
        <v>32419962</v>
      </c>
      <c r="B12263" s="192" t="s">
        <v>1190</v>
      </c>
      <c r="C12263" s="196">
        <v>0</v>
      </c>
      <c r="D12263" s="196">
        <v>0</v>
      </c>
      <c r="E12263" s="196">
        <v>5000</v>
      </c>
      <c r="F12263" s="196">
        <v>-5000</v>
      </c>
      <c r="G12263" s="196">
        <v>-5000</v>
      </c>
    </row>
    <row r="12264" spans="1:7" x14ac:dyDescent="0.3">
      <c r="A12264" s="198">
        <v>22229417</v>
      </c>
      <c r="B12264" s="192" t="s">
        <v>6928</v>
      </c>
      <c r="C12264" s="196">
        <v>-5000</v>
      </c>
      <c r="D12264" s="196">
        <v>0</v>
      </c>
      <c r="E12264" s="196">
        <v>0</v>
      </c>
      <c r="F12264" s="196">
        <v>0</v>
      </c>
      <c r="G12264" s="196">
        <v>-5000</v>
      </c>
    </row>
    <row r="12265" spans="1:7" x14ac:dyDescent="0.3">
      <c r="A12265" s="198">
        <v>1125289305</v>
      </c>
      <c r="B12265" s="192" t="s">
        <v>5160</v>
      </c>
      <c r="C12265" s="196">
        <v>-111400</v>
      </c>
      <c r="D12265" s="196">
        <v>0</v>
      </c>
      <c r="E12265" s="196">
        <v>0</v>
      </c>
      <c r="F12265" s="196">
        <v>0</v>
      </c>
      <c r="G12265" s="196">
        <v>-111400</v>
      </c>
    </row>
    <row r="12266" spans="1:7" x14ac:dyDescent="0.3">
      <c r="A12266" s="198">
        <v>27075301</v>
      </c>
      <c r="B12266" s="192" t="s">
        <v>1192</v>
      </c>
      <c r="C12266" s="196">
        <v>-2416000</v>
      </c>
      <c r="D12266" s="196">
        <v>0</v>
      </c>
      <c r="E12266" s="196">
        <v>416000</v>
      </c>
      <c r="F12266" s="196">
        <v>-416000</v>
      </c>
      <c r="G12266" s="196">
        <v>-2832000</v>
      </c>
    </row>
    <row r="12267" spans="1:7" x14ac:dyDescent="0.3">
      <c r="A12267" s="198">
        <v>1027886553</v>
      </c>
      <c r="B12267" s="192" t="s">
        <v>1193</v>
      </c>
      <c r="C12267" s="196">
        <v>0</v>
      </c>
      <c r="D12267" s="196">
        <v>0</v>
      </c>
      <c r="E12267" s="196">
        <v>141000</v>
      </c>
      <c r="F12267" s="196">
        <v>-141000</v>
      </c>
      <c r="G12267" s="196">
        <v>-141000</v>
      </c>
    </row>
    <row r="12268" spans="1:7" x14ac:dyDescent="0.3">
      <c r="A12268" s="198">
        <v>1007433504</v>
      </c>
      <c r="B12268" s="192" t="s">
        <v>1194</v>
      </c>
      <c r="C12268" s="196">
        <v>0</v>
      </c>
      <c r="D12268" s="196">
        <v>0</v>
      </c>
      <c r="E12268" s="196">
        <v>5000</v>
      </c>
      <c r="F12268" s="196">
        <v>-5000</v>
      </c>
      <c r="G12268" s="196">
        <v>-5000</v>
      </c>
    </row>
    <row r="12269" spans="1:7" x14ac:dyDescent="0.3">
      <c r="A12269" s="198">
        <v>1032328157</v>
      </c>
      <c r="B12269" s="192" t="s">
        <v>6931</v>
      </c>
      <c r="C12269" s="196">
        <v>-5000</v>
      </c>
      <c r="D12269" s="196">
        <v>0</v>
      </c>
      <c r="E12269" s="196">
        <v>0</v>
      </c>
      <c r="F12269" s="196">
        <v>0</v>
      </c>
      <c r="G12269" s="196">
        <v>-5000</v>
      </c>
    </row>
    <row r="12270" spans="1:7" x14ac:dyDescent="0.3">
      <c r="A12270" s="198">
        <v>1025645032</v>
      </c>
      <c r="B12270" s="192" t="s">
        <v>6933</v>
      </c>
      <c r="C12270" s="196">
        <v>-5000</v>
      </c>
      <c r="D12270" s="196">
        <v>0</v>
      </c>
      <c r="E12270" s="196">
        <v>0</v>
      </c>
      <c r="F12270" s="196">
        <v>0</v>
      </c>
      <c r="G12270" s="196">
        <v>-5000</v>
      </c>
    </row>
    <row r="12271" spans="1:7" x14ac:dyDescent="0.3">
      <c r="A12271" s="198">
        <v>1214745819</v>
      </c>
      <c r="B12271" s="192" t="s">
        <v>6935</v>
      </c>
      <c r="C12271" s="196">
        <v>-5000</v>
      </c>
      <c r="D12271" s="196">
        <v>0</v>
      </c>
      <c r="E12271" s="196">
        <v>0</v>
      </c>
      <c r="F12271" s="196">
        <v>0</v>
      </c>
      <c r="G12271" s="196">
        <v>-5000</v>
      </c>
    </row>
    <row r="12272" spans="1:7" x14ac:dyDescent="0.3">
      <c r="A12272" s="198">
        <v>1193514088</v>
      </c>
      <c r="B12272" s="192" t="s">
        <v>6936</v>
      </c>
      <c r="C12272" s="196">
        <v>-5000</v>
      </c>
      <c r="D12272" s="196">
        <v>0</v>
      </c>
      <c r="E12272" s="196">
        <v>0</v>
      </c>
      <c r="F12272" s="196">
        <v>0</v>
      </c>
      <c r="G12272" s="196">
        <v>-5000</v>
      </c>
    </row>
    <row r="12273" spans="1:7" x14ac:dyDescent="0.3">
      <c r="A12273" s="198">
        <v>1020105815</v>
      </c>
      <c r="B12273" s="192" t="s">
        <v>5181</v>
      </c>
      <c r="C12273" s="196">
        <v>-175000</v>
      </c>
      <c r="D12273" s="196">
        <v>0</v>
      </c>
      <c r="E12273" s="196">
        <v>0</v>
      </c>
      <c r="F12273" s="196">
        <v>0</v>
      </c>
      <c r="G12273" s="196">
        <v>-175000</v>
      </c>
    </row>
    <row r="12274" spans="1:7" x14ac:dyDescent="0.3">
      <c r="A12274" s="198">
        <v>1020422815</v>
      </c>
      <c r="B12274" s="192" t="s">
        <v>6938</v>
      </c>
      <c r="C12274" s="196">
        <v>-5000</v>
      </c>
      <c r="D12274" s="196">
        <v>0</v>
      </c>
      <c r="E12274" s="196">
        <v>0</v>
      </c>
      <c r="F12274" s="196">
        <v>0</v>
      </c>
      <c r="G12274" s="196">
        <v>-5000</v>
      </c>
    </row>
    <row r="12275" spans="1:7" x14ac:dyDescent="0.3">
      <c r="A12275" s="198">
        <v>7528822</v>
      </c>
      <c r="B12275" s="192" t="s">
        <v>5190</v>
      </c>
      <c r="C12275" s="196">
        <v>-59400</v>
      </c>
      <c r="D12275" s="196">
        <v>0</v>
      </c>
      <c r="E12275" s="196">
        <v>0</v>
      </c>
      <c r="F12275" s="196">
        <v>0</v>
      </c>
      <c r="G12275" s="196">
        <v>-59400</v>
      </c>
    </row>
    <row r="12276" spans="1:7" x14ac:dyDescent="0.3">
      <c r="A12276" s="198">
        <v>43277317</v>
      </c>
      <c r="B12276" s="192" t="s">
        <v>6939</v>
      </c>
      <c r="C12276" s="196">
        <v>-5000</v>
      </c>
      <c r="D12276" s="196">
        <v>0</v>
      </c>
      <c r="E12276" s="196">
        <v>0</v>
      </c>
      <c r="F12276" s="196">
        <v>0</v>
      </c>
      <c r="G12276" s="196">
        <v>-5000</v>
      </c>
    </row>
    <row r="12277" spans="1:7" x14ac:dyDescent="0.3">
      <c r="A12277" s="198">
        <v>1036392957</v>
      </c>
      <c r="B12277" s="192" t="s">
        <v>6940</v>
      </c>
      <c r="C12277" s="196">
        <v>-5000</v>
      </c>
      <c r="D12277" s="196">
        <v>0</v>
      </c>
      <c r="E12277" s="196">
        <v>0</v>
      </c>
      <c r="F12277" s="196">
        <v>0</v>
      </c>
      <c r="G12277" s="196">
        <v>-5000</v>
      </c>
    </row>
    <row r="12278" spans="1:7" x14ac:dyDescent="0.3">
      <c r="A12278" s="198">
        <v>32220442</v>
      </c>
      <c r="B12278" s="192" t="s">
        <v>6942</v>
      </c>
      <c r="C12278" s="196">
        <v>-5000</v>
      </c>
      <c r="D12278" s="196">
        <v>0</v>
      </c>
      <c r="E12278" s="196">
        <v>0</v>
      </c>
      <c r="F12278" s="196">
        <v>0</v>
      </c>
      <c r="G12278" s="196">
        <v>-5000</v>
      </c>
    </row>
    <row r="12279" spans="1:7" x14ac:dyDescent="0.3">
      <c r="A12279" s="198">
        <v>32427140</v>
      </c>
      <c r="B12279" s="192" t="s">
        <v>1198</v>
      </c>
      <c r="C12279" s="196">
        <v>0</v>
      </c>
      <c r="D12279" s="196">
        <v>0</v>
      </c>
      <c r="E12279" s="196">
        <v>111000</v>
      </c>
      <c r="F12279" s="196">
        <v>-111000</v>
      </c>
      <c r="G12279" s="196">
        <v>-111000</v>
      </c>
    </row>
    <row r="12280" spans="1:7" x14ac:dyDescent="0.3">
      <c r="A12280" s="192" t="s">
        <v>1199</v>
      </c>
      <c r="B12280" s="192" t="s">
        <v>1200</v>
      </c>
      <c r="C12280" s="196">
        <v>0</v>
      </c>
      <c r="D12280" s="196">
        <v>0</v>
      </c>
      <c r="E12280" s="196">
        <v>348000</v>
      </c>
      <c r="F12280" s="196">
        <v>-348000</v>
      </c>
      <c r="G12280" s="196">
        <v>-348000</v>
      </c>
    </row>
    <row r="12281" spans="1:7" x14ac:dyDescent="0.3">
      <c r="A12281" s="198">
        <v>32332130</v>
      </c>
      <c r="B12281" s="192" t="s">
        <v>7385</v>
      </c>
      <c r="C12281" s="196">
        <v>-824000</v>
      </c>
      <c r="D12281" s="196">
        <v>0</v>
      </c>
      <c r="E12281" s="196">
        <v>0</v>
      </c>
      <c r="F12281" s="196">
        <v>0</v>
      </c>
      <c r="G12281" s="196">
        <v>-824000</v>
      </c>
    </row>
    <row r="12282" spans="1:7" x14ac:dyDescent="0.3">
      <c r="A12282" s="198">
        <v>1041230599</v>
      </c>
      <c r="B12282" s="192" t="s">
        <v>2427</v>
      </c>
      <c r="C12282" s="196">
        <v>-1</v>
      </c>
      <c r="D12282" s="196">
        <v>0</v>
      </c>
      <c r="E12282" s="196">
        <v>0</v>
      </c>
      <c r="F12282" s="196">
        <v>0</v>
      </c>
      <c r="G12282" s="196">
        <v>-1</v>
      </c>
    </row>
    <row r="12283" spans="1:7" x14ac:dyDescent="0.3">
      <c r="A12283" s="198">
        <v>51913533</v>
      </c>
      <c r="B12283" s="192" t="s">
        <v>7386</v>
      </c>
      <c r="C12283" s="196">
        <v>-270000</v>
      </c>
      <c r="D12283" s="196">
        <v>0</v>
      </c>
      <c r="E12283" s="196">
        <v>0</v>
      </c>
      <c r="F12283" s="196">
        <v>0</v>
      </c>
      <c r="G12283" s="196">
        <v>-270000</v>
      </c>
    </row>
    <row r="12284" spans="1:7" x14ac:dyDescent="0.3">
      <c r="A12284" s="198">
        <v>43735480</v>
      </c>
      <c r="B12284" s="192" t="s">
        <v>6947</v>
      </c>
      <c r="C12284" s="196">
        <v>-270000</v>
      </c>
      <c r="D12284" s="196">
        <v>0</v>
      </c>
      <c r="E12284" s="196">
        <v>0</v>
      </c>
      <c r="F12284" s="196">
        <v>0</v>
      </c>
      <c r="G12284" s="196">
        <v>-270000</v>
      </c>
    </row>
    <row r="12285" spans="1:7" x14ac:dyDescent="0.3">
      <c r="A12285" s="198">
        <v>43751973</v>
      </c>
      <c r="B12285" s="192" t="s">
        <v>1208</v>
      </c>
      <c r="C12285" s="196">
        <v>0</v>
      </c>
      <c r="D12285" s="196">
        <v>0</v>
      </c>
      <c r="E12285" s="196">
        <v>101000</v>
      </c>
      <c r="F12285" s="196">
        <v>-101000</v>
      </c>
      <c r="G12285" s="196">
        <v>-101000</v>
      </c>
    </row>
    <row r="12286" spans="1:7" x14ac:dyDescent="0.3">
      <c r="A12286" s="198">
        <v>32275964</v>
      </c>
      <c r="B12286" s="192" t="s">
        <v>5208</v>
      </c>
      <c r="C12286" s="196">
        <v>-270000</v>
      </c>
      <c r="D12286" s="196">
        <v>0</v>
      </c>
      <c r="E12286" s="196">
        <v>0</v>
      </c>
      <c r="F12286" s="196">
        <v>0</v>
      </c>
      <c r="G12286" s="196">
        <v>-270000</v>
      </c>
    </row>
    <row r="12287" spans="1:7" x14ac:dyDescent="0.3">
      <c r="A12287" s="192" t="s">
        <v>5209</v>
      </c>
      <c r="B12287" s="192" t="s">
        <v>5210</v>
      </c>
      <c r="C12287" s="196">
        <v>-270000</v>
      </c>
      <c r="D12287" s="196">
        <v>0</v>
      </c>
      <c r="E12287" s="196">
        <v>0</v>
      </c>
      <c r="F12287" s="196">
        <v>0</v>
      </c>
      <c r="G12287" s="196">
        <v>-270000</v>
      </c>
    </row>
    <row r="12288" spans="1:7" x14ac:dyDescent="0.3">
      <c r="A12288" s="198">
        <v>121747574</v>
      </c>
      <c r="B12288" s="192" t="s">
        <v>7387</v>
      </c>
      <c r="C12288" s="196">
        <v>-270000</v>
      </c>
      <c r="D12288" s="196">
        <v>0</v>
      </c>
      <c r="E12288" s="196">
        <v>0</v>
      </c>
      <c r="F12288" s="196">
        <v>0</v>
      </c>
      <c r="G12288" s="196">
        <v>-270000</v>
      </c>
    </row>
    <row r="12289" spans="1:7" x14ac:dyDescent="0.3">
      <c r="A12289" s="198">
        <v>1025645394</v>
      </c>
      <c r="B12289" s="192" t="s">
        <v>1211</v>
      </c>
      <c r="C12289" s="196">
        <v>0</v>
      </c>
      <c r="D12289" s="196">
        <v>0</v>
      </c>
      <c r="E12289" s="196">
        <v>5000</v>
      </c>
      <c r="F12289" s="196">
        <v>-5000</v>
      </c>
      <c r="G12289" s="196">
        <v>-5000</v>
      </c>
    </row>
    <row r="12290" spans="1:7" x14ac:dyDescent="0.3">
      <c r="A12290" s="198">
        <v>42870005</v>
      </c>
      <c r="B12290" s="192" t="s">
        <v>5217</v>
      </c>
      <c r="C12290" s="196">
        <v>-270000</v>
      </c>
      <c r="D12290" s="196">
        <v>0</v>
      </c>
      <c r="E12290" s="196">
        <v>0</v>
      </c>
      <c r="F12290" s="196">
        <v>0</v>
      </c>
      <c r="G12290" s="196">
        <v>-270000</v>
      </c>
    </row>
    <row r="12291" spans="1:7" x14ac:dyDescent="0.3">
      <c r="A12291" s="198">
        <v>37318849</v>
      </c>
      <c r="B12291" s="192" t="s">
        <v>5219</v>
      </c>
      <c r="C12291" s="196">
        <v>-139000</v>
      </c>
      <c r="D12291" s="196">
        <v>0</v>
      </c>
      <c r="E12291" s="196">
        <v>0</v>
      </c>
      <c r="F12291" s="196">
        <v>0</v>
      </c>
      <c r="G12291" s="196">
        <v>-139000</v>
      </c>
    </row>
    <row r="12292" spans="1:7" x14ac:dyDescent="0.3">
      <c r="A12292" s="198">
        <v>43584622</v>
      </c>
      <c r="B12292" s="192" t="s">
        <v>1213</v>
      </c>
      <c r="C12292" s="196">
        <v>0</v>
      </c>
      <c r="D12292" s="196">
        <v>0</v>
      </c>
      <c r="E12292" s="196">
        <v>62100</v>
      </c>
      <c r="F12292" s="196">
        <v>-62100</v>
      </c>
      <c r="G12292" s="196">
        <v>-62100</v>
      </c>
    </row>
    <row r="12293" spans="1:7" x14ac:dyDescent="0.3">
      <c r="A12293" s="198">
        <v>43807293</v>
      </c>
      <c r="B12293" s="192" t="s">
        <v>6949</v>
      </c>
      <c r="C12293" s="196">
        <v>-5000</v>
      </c>
      <c r="D12293" s="196">
        <v>0</v>
      </c>
      <c r="E12293" s="196">
        <v>0</v>
      </c>
      <c r="F12293" s="196">
        <v>0</v>
      </c>
      <c r="G12293" s="196">
        <v>-5000</v>
      </c>
    </row>
    <row r="12294" spans="1:7" x14ac:dyDescent="0.3">
      <c r="A12294" s="198">
        <v>24601616</v>
      </c>
      <c r="B12294" s="192" t="s">
        <v>1217</v>
      </c>
      <c r="C12294" s="196">
        <v>-479200</v>
      </c>
      <c r="D12294" s="196">
        <v>0</v>
      </c>
      <c r="E12294" s="196">
        <v>290000</v>
      </c>
      <c r="F12294" s="196">
        <v>-290000</v>
      </c>
      <c r="G12294" s="196">
        <v>-769200</v>
      </c>
    </row>
    <row r="12295" spans="1:7" x14ac:dyDescent="0.3">
      <c r="A12295" s="198">
        <v>32453643</v>
      </c>
      <c r="B12295" s="192" t="s">
        <v>1219</v>
      </c>
      <c r="C12295" s="196">
        <v>-70000</v>
      </c>
      <c r="D12295" s="196">
        <v>0</v>
      </c>
      <c r="E12295" s="196">
        <v>0</v>
      </c>
      <c r="F12295" s="196">
        <v>0</v>
      </c>
      <c r="G12295" s="196">
        <v>-70000</v>
      </c>
    </row>
    <row r="12296" spans="1:7" x14ac:dyDescent="0.3">
      <c r="A12296" s="198">
        <v>43557944</v>
      </c>
      <c r="B12296" s="192" t="s">
        <v>5242</v>
      </c>
      <c r="C12296" s="196">
        <v>-270000</v>
      </c>
      <c r="D12296" s="196">
        <v>0</v>
      </c>
      <c r="E12296" s="196">
        <v>0</v>
      </c>
      <c r="F12296" s="196">
        <v>0</v>
      </c>
      <c r="G12296" s="196">
        <v>-270000</v>
      </c>
    </row>
    <row r="12297" spans="1:7" x14ac:dyDescent="0.3">
      <c r="A12297" s="198">
        <v>42891583</v>
      </c>
      <c r="B12297" s="192" t="s">
        <v>1221</v>
      </c>
      <c r="C12297" s="196">
        <v>0</v>
      </c>
      <c r="D12297" s="196">
        <v>0</v>
      </c>
      <c r="E12297" s="196">
        <v>71000</v>
      </c>
      <c r="F12297" s="196">
        <v>-71000</v>
      </c>
      <c r="G12297" s="196">
        <v>-71000</v>
      </c>
    </row>
    <row r="12298" spans="1:7" x14ac:dyDescent="0.3">
      <c r="A12298" s="198">
        <v>32443151</v>
      </c>
      <c r="B12298" s="192" t="s">
        <v>7388</v>
      </c>
      <c r="C12298" s="196">
        <v>-824000</v>
      </c>
      <c r="D12298" s="196">
        <v>0</v>
      </c>
      <c r="E12298" s="196">
        <v>0</v>
      </c>
      <c r="F12298" s="196">
        <v>0</v>
      </c>
      <c r="G12298" s="196">
        <v>-824000</v>
      </c>
    </row>
    <row r="12299" spans="1:7" x14ac:dyDescent="0.3">
      <c r="A12299" s="198">
        <v>42794591</v>
      </c>
      <c r="B12299" s="192" t="s">
        <v>5247</v>
      </c>
      <c r="C12299" s="196">
        <v>-270000</v>
      </c>
      <c r="D12299" s="196">
        <v>0</v>
      </c>
      <c r="E12299" s="196">
        <v>0</v>
      </c>
      <c r="F12299" s="196">
        <v>0</v>
      </c>
      <c r="G12299" s="196">
        <v>-270000</v>
      </c>
    </row>
    <row r="12300" spans="1:7" x14ac:dyDescent="0.3">
      <c r="A12300" s="198">
        <v>43677420</v>
      </c>
      <c r="B12300" s="192" t="s">
        <v>6955</v>
      </c>
      <c r="C12300" s="196">
        <v>-270000</v>
      </c>
      <c r="D12300" s="196">
        <v>0</v>
      </c>
      <c r="E12300" s="196">
        <v>0</v>
      </c>
      <c r="F12300" s="196">
        <v>0</v>
      </c>
      <c r="G12300" s="196">
        <v>-270000</v>
      </c>
    </row>
    <row r="12301" spans="1:7" x14ac:dyDescent="0.3">
      <c r="A12301" s="198">
        <v>60325631</v>
      </c>
      <c r="B12301" s="192" t="s">
        <v>1223</v>
      </c>
      <c r="C12301" s="196">
        <v>0</v>
      </c>
      <c r="D12301" s="196">
        <v>0</v>
      </c>
      <c r="E12301" s="196">
        <v>290000</v>
      </c>
      <c r="F12301" s="196">
        <v>-290000</v>
      </c>
      <c r="G12301" s="196">
        <v>-290000</v>
      </c>
    </row>
    <row r="12302" spans="1:7" x14ac:dyDescent="0.3">
      <c r="A12302" s="198">
        <v>646730184</v>
      </c>
      <c r="B12302" s="192" t="s">
        <v>6957</v>
      </c>
      <c r="C12302" s="196">
        <v>-5000</v>
      </c>
      <c r="D12302" s="196">
        <v>0</v>
      </c>
      <c r="E12302" s="196">
        <v>0</v>
      </c>
      <c r="F12302" s="196">
        <v>0</v>
      </c>
      <c r="G12302" s="196">
        <v>-5000</v>
      </c>
    </row>
    <row r="12303" spans="1:7" x14ac:dyDescent="0.3">
      <c r="A12303" s="198">
        <v>43610929</v>
      </c>
      <c r="B12303" s="192" t="s">
        <v>1230</v>
      </c>
      <c r="C12303" s="196">
        <v>-270002</v>
      </c>
      <c r="D12303" s="196">
        <v>0</v>
      </c>
      <c r="E12303" s="196">
        <v>0</v>
      </c>
      <c r="F12303" s="196">
        <v>0</v>
      </c>
      <c r="G12303" s="196">
        <v>-270002</v>
      </c>
    </row>
    <row r="12304" spans="1:7" x14ac:dyDescent="0.3">
      <c r="A12304" s="198">
        <v>1036623625</v>
      </c>
      <c r="B12304" s="192" t="s">
        <v>5284</v>
      </c>
      <c r="C12304" s="196">
        <v>-175000</v>
      </c>
      <c r="D12304" s="196">
        <v>0</v>
      </c>
      <c r="E12304" s="196">
        <v>0</v>
      </c>
      <c r="F12304" s="196">
        <v>0</v>
      </c>
      <c r="G12304" s="196">
        <v>-175000</v>
      </c>
    </row>
    <row r="12305" spans="1:7" x14ac:dyDescent="0.3">
      <c r="A12305" s="198">
        <v>51665107</v>
      </c>
      <c r="B12305" s="192" t="s">
        <v>5286</v>
      </c>
      <c r="C12305" s="196">
        <v>-290000</v>
      </c>
      <c r="D12305" s="196">
        <v>0</v>
      </c>
      <c r="E12305" s="196">
        <v>0</v>
      </c>
      <c r="F12305" s="196">
        <v>0</v>
      </c>
      <c r="G12305" s="196">
        <v>-290000</v>
      </c>
    </row>
    <row r="12306" spans="1:7" x14ac:dyDescent="0.3">
      <c r="A12306" s="198">
        <v>43108729</v>
      </c>
      <c r="B12306" s="192" t="s">
        <v>1232</v>
      </c>
      <c r="C12306" s="196">
        <v>0</v>
      </c>
      <c r="D12306" s="196">
        <v>0</v>
      </c>
      <c r="E12306" s="196">
        <v>5000</v>
      </c>
      <c r="F12306" s="196">
        <v>-5000</v>
      </c>
      <c r="G12306" s="196">
        <v>-5000</v>
      </c>
    </row>
    <row r="12307" spans="1:7" x14ac:dyDescent="0.3">
      <c r="A12307" s="198">
        <v>1094967052</v>
      </c>
      <c r="B12307" s="192" t="s">
        <v>5290</v>
      </c>
      <c r="C12307" s="196">
        <v>-70000</v>
      </c>
      <c r="D12307" s="196">
        <v>0</v>
      </c>
      <c r="E12307" s="196">
        <v>0</v>
      </c>
      <c r="F12307" s="196">
        <v>0</v>
      </c>
      <c r="G12307" s="196">
        <v>-70000</v>
      </c>
    </row>
    <row r="12308" spans="1:7" x14ac:dyDescent="0.3">
      <c r="A12308" s="198">
        <v>1000290427</v>
      </c>
      <c r="B12308" s="192" t="s">
        <v>6962</v>
      </c>
      <c r="C12308" s="196">
        <v>-5000</v>
      </c>
      <c r="D12308" s="196">
        <v>0</v>
      </c>
      <c r="E12308" s="196">
        <v>0</v>
      </c>
      <c r="F12308" s="196">
        <v>0</v>
      </c>
      <c r="G12308" s="196">
        <v>-5000</v>
      </c>
    </row>
    <row r="12309" spans="1:7" x14ac:dyDescent="0.3">
      <c r="A12309" s="198">
        <v>1192807352</v>
      </c>
      <c r="B12309" s="192" t="s">
        <v>6963</v>
      </c>
      <c r="C12309" s="196">
        <v>-5000</v>
      </c>
      <c r="D12309" s="196">
        <v>0</v>
      </c>
      <c r="E12309" s="196">
        <v>0</v>
      </c>
      <c r="F12309" s="196">
        <v>0</v>
      </c>
      <c r="G12309" s="196">
        <v>-5000</v>
      </c>
    </row>
    <row r="12310" spans="1:7" x14ac:dyDescent="0.3">
      <c r="A12310" s="198">
        <v>1034995961</v>
      </c>
      <c r="B12310" s="192" t="s">
        <v>5317</v>
      </c>
      <c r="C12310" s="196">
        <v>-64000</v>
      </c>
      <c r="D12310" s="196">
        <v>0</v>
      </c>
      <c r="E12310" s="196">
        <v>0</v>
      </c>
      <c r="F12310" s="196">
        <v>0</v>
      </c>
      <c r="G12310" s="196">
        <v>-64000</v>
      </c>
    </row>
    <row r="12311" spans="1:7" x14ac:dyDescent="0.3">
      <c r="A12311" s="198">
        <v>1035021061</v>
      </c>
      <c r="B12311" s="192" t="s">
        <v>1241</v>
      </c>
      <c r="C12311" s="196">
        <v>-168500</v>
      </c>
      <c r="D12311" s="196">
        <v>0</v>
      </c>
      <c r="E12311" s="196">
        <v>69000</v>
      </c>
      <c r="F12311" s="196">
        <v>-69000</v>
      </c>
      <c r="G12311" s="196">
        <v>-237500</v>
      </c>
    </row>
    <row r="12312" spans="1:7" x14ac:dyDescent="0.3">
      <c r="A12312" s="198">
        <v>79836914</v>
      </c>
      <c r="B12312" s="192" t="s">
        <v>1250</v>
      </c>
      <c r="C12312" s="196">
        <v>0</v>
      </c>
      <c r="D12312" s="196">
        <v>0</v>
      </c>
      <c r="E12312" s="196">
        <v>62100</v>
      </c>
      <c r="F12312" s="196">
        <v>-62100</v>
      </c>
      <c r="G12312" s="196">
        <v>-62100</v>
      </c>
    </row>
    <row r="12313" spans="1:7" x14ac:dyDescent="0.3">
      <c r="A12313" s="198">
        <v>1143243070</v>
      </c>
      <c r="B12313" s="192" t="s">
        <v>5358</v>
      </c>
      <c r="C12313" s="196">
        <v>-175000</v>
      </c>
      <c r="D12313" s="196">
        <v>0</v>
      </c>
      <c r="E12313" s="196">
        <v>0</v>
      </c>
      <c r="F12313" s="196">
        <v>0</v>
      </c>
      <c r="G12313" s="196">
        <v>-175000</v>
      </c>
    </row>
    <row r="12314" spans="1:7" x14ac:dyDescent="0.3">
      <c r="A12314" s="192" t="s">
        <v>1256</v>
      </c>
      <c r="B12314" s="192" t="s">
        <v>1257</v>
      </c>
      <c r="C12314" s="196">
        <v>-10000</v>
      </c>
      <c r="D12314" s="196">
        <v>0</v>
      </c>
      <c r="E12314" s="196">
        <v>0</v>
      </c>
      <c r="F12314" s="196">
        <v>0</v>
      </c>
      <c r="G12314" s="196">
        <v>-10000</v>
      </c>
    </row>
    <row r="12315" spans="1:7" x14ac:dyDescent="0.3">
      <c r="A12315" s="198">
        <v>901226955</v>
      </c>
      <c r="B12315" s="192" t="s">
        <v>137</v>
      </c>
      <c r="C12315" s="196">
        <v>-5000</v>
      </c>
      <c r="D12315" s="196">
        <v>0</v>
      </c>
      <c r="E12315" s="196">
        <v>0</v>
      </c>
      <c r="F12315" s="196">
        <v>0</v>
      </c>
      <c r="G12315" s="196">
        <v>-5000</v>
      </c>
    </row>
    <row r="12316" spans="1:7" x14ac:dyDescent="0.3">
      <c r="A12316" s="198">
        <v>1000441269</v>
      </c>
      <c r="B12316" s="192" t="s">
        <v>6968</v>
      </c>
      <c r="C12316" s="196">
        <v>-5000</v>
      </c>
      <c r="D12316" s="196">
        <v>0</v>
      </c>
      <c r="E12316" s="196">
        <v>0</v>
      </c>
      <c r="F12316" s="196">
        <v>0</v>
      </c>
      <c r="G12316" s="196">
        <v>-5000</v>
      </c>
    </row>
    <row r="12317" spans="1:7" x14ac:dyDescent="0.3">
      <c r="A12317" s="198">
        <v>1036651210</v>
      </c>
      <c r="B12317" s="192" t="s">
        <v>1261</v>
      </c>
      <c r="C12317" s="196">
        <v>0</v>
      </c>
      <c r="D12317" s="196">
        <v>0</v>
      </c>
      <c r="E12317" s="196">
        <v>5000</v>
      </c>
      <c r="F12317" s="196">
        <v>-5000</v>
      </c>
      <c r="G12317" s="196">
        <v>-5000</v>
      </c>
    </row>
    <row r="12318" spans="1:7" x14ac:dyDescent="0.3">
      <c r="A12318" s="198">
        <v>1042708959</v>
      </c>
      <c r="B12318" s="192" t="s">
        <v>7389</v>
      </c>
      <c r="C12318" s="196">
        <v>-5000</v>
      </c>
      <c r="D12318" s="196">
        <v>0</v>
      </c>
      <c r="E12318" s="196">
        <v>0</v>
      </c>
      <c r="F12318" s="196">
        <v>0</v>
      </c>
      <c r="G12318" s="196">
        <v>-5000</v>
      </c>
    </row>
    <row r="12319" spans="1:7" x14ac:dyDescent="0.3">
      <c r="A12319" s="198">
        <v>30297920</v>
      </c>
      <c r="B12319" s="192" t="s">
        <v>5366</v>
      </c>
      <c r="C12319" s="196">
        <v>-270000</v>
      </c>
      <c r="D12319" s="196">
        <v>0</v>
      </c>
      <c r="E12319" s="196">
        <v>0</v>
      </c>
      <c r="F12319" s="196">
        <v>0</v>
      </c>
      <c r="G12319" s="196">
        <v>-270000</v>
      </c>
    </row>
    <row r="12320" spans="1:7" x14ac:dyDescent="0.3">
      <c r="A12320" s="198">
        <v>1077469089</v>
      </c>
      <c r="B12320" s="192" t="s">
        <v>1265</v>
      </c>
      <c r="C12320" s="196">
        <v>-175000</v>
      </c>
      <c r="D12320" s="196">
        <v>0</v>
      </c>
      <c r="E12320" s="196">
        <v>0</v>
      </c>
      <c r="F12320" s="196">
        <v>0</v>
      </c>
      <c r="G12320" s="196">
        <v>-175000</v>
      </c>
    </row>
    <row r="12321" spans="1:7" x14ac:dyDescent="0.3">
      <c r="A12321" s="192" t="s">
        <v>1266</v>
      </c>
      <c r="B12321" s="192" t="s">
        <v>1267</v>
      </c>
      <c r="C12321" s="196">
        <v>-175000</v>
      </c>
      <c r="D12321" s="196">
        <v>0</v>
      </c>
      <c r="E12321" s="196">
        <v>0</v>
      </c>
      <c r="F12321" s="196">
        <v>0</v>
      </c>
      <c r="G12321" s="196">
        <v>-175000</v>
      </c>
    </row>
    <row r="12322" spans="1:7" x14ac:dyDescent="0.3">
      <c r="A12322" s="192" t="s">
        <v>5376</v>
      </c>
      <c r="B12322" s="192" t="s">
        <v>5377</v>
      </c>
      <c r="C12322" s="196">
        <v>-175000</v>
      </c>
      <c r="D12322" s="196">
        <v>0</v>
      </c>
      <c r="E12322" s="196">
        <v>0</v>
      </c>
      <c r="F12322" s="196">
        <v>0</v>
      </c>
      <c r="G12322" s="196">
        <v>-175000</v>
      </c>
    </row>
    <row r="12323" spans="1:7" x14ac:dyDescent="0.3">
      <c r="A12323" s="192" t="s">
        <v>5378</v>
      </c>
      <c r="B12323" s="192" t="s">
        <v>5379</v>
      </c>
      <c r="C12323" s="196">
        <v>-96000</v>
      </c>
      <c r="D12323" s="196">
        <v>0</v>
      </c>
      <c r="E12323" s="196">
        <v>0</v>
      </c>
      <c r="F12323" s="196">
        <v>0</v>
      </c>
      <c r="G12323" s="196">
        <v>-96000</v>
      </c>
    </row>
    <row r="12324" spans="1:7" x14ac:dyDescent="0.3">
      <c r="A12324" s="198">
        <v>6237830</v>
      </c>
      <c r="B12324" s="192" t="s">
        <v>5381</v>
      </c>
      <c r="C12324" s="196">
        <v>-270000</v>
      </c>
      <c r="D12324" s="196">
        <v>0</v>
      </c>
      <c r="E12324" s="196">
        <v>0</v>
      </c>
      <c r="F12324" s="196">
        <v>0</v>
      </c>
      <c r="G12324" s="196">
        <v>-270000</v>
      </c>
    </row>
    <row r="12325" spans="1:7" x14ac:dyDescent="0.3">
      <c r="A12325" s="198">
        <v>1007495854</v>
      </c>
      <c r="B12325" s="192" t="s">
        <v>6970</v>
      </c>
      <c r="C12325" s="196">
        <v>-5000</v>
      </c>
      <c r="D12325" s="196">
        <v>0</v>
      </c>
      <c r="E12325" s="196">
        <v>0</v>
      </c>
      <c r="F12325" s="196">
        <v>0</v>
      </c>
      <c r="G12325" s="196">
        <v>-5000</v>
      </c>
    </row>
    <row r="12326" spans="1:7" x14ac:dyDescent="0.3">
      <c r="A12326" s="192" t="s">
        <v>1278</v>
      </c>
      <c r="B12326" s="192" t="s">
        <v>1279</v>
      </c>
      <c r="C12326" s="196">
        <v>0</v>
      </c>
      <c r="D12326" s="196">
        <v>0</v>
      </c>
      <c r="E12326" s="196">
        <v>270000</v>
      </c>
      <c r="F12326" s="196">
        <v>-270000</v>
      </c>
      <c r="G12326" s="196">
        <v>-270000</v>
      </c>
    </row>
    <row r="12327" spans="1:7" x14ac:dyDescent="0.3">
      <c r="A12327" s="198">
        <v>21353651</v>
      </c>
      <c r="B12327" s="192" t="s">
        <v>5433</v>
      </c>
      <c r="C12327" s="196">
        <v>-4900000</v>
      </c>
      <c r="D12327" s="196">
        <v>0</v>
      </c>
      <c r="E12327" s="196">
        <v>0</v>
      </c>
      <c r="F12327" s="196">
        <v>0</v>
      </c>
      <c r="G12327" s="196">
        <v>-4900000</v>
      </c>
    </row>
    <row r="12328" spans="1:7" x14ac:dyDescent="0.3">
      <c r="A12328" s="198">
        <v>66776407</v>
      </c>
      <c r="B12328" s="192" t="s">
        <v>1286</v>
      </c>
      <c r="C12328" s="196">
        <v>-776000</v>
      </c>
      <c r="D12328" s="196">
        <v>0</v>
      </c>
      <c r="E12328" s="196">
        <v>0</v>
      </c>
      <c r="F12328" s="196">
        <v>0</v>
      </c>
      <c r="G12328" s="196">
        <v>-776000</v>
      </c>
    </row>
    <row r="12329" spans="1:7" x14ac:dyDescent="0.3">
      <c r="A12329" s="198">
        <v>1037601014</v>
      </c>
      <c r="B12329" s="192" t="s">
        <v>1290</v>
      </c>
      <c r="C12329" s="196">
        <v>0</v>
      </c>
      <c r="D12329" s="196">
        <v>0</v>
      </c>
      <c r="E12329" s="196">
        <v>175000</v>
      </c>
      <c r="F12329" s="196">
        <v>-175000</v>
      </c>
      <c r="G12329" s="196">
        <v>-175000</v>
      </c>
    </row>
    <row r="12330" spans="1:7" x14ac:dyDescent="0.3">
      <c r="A12330" s="198">
        <v>43600849</v>
      </c>
      <c r="B12330" s="192" t="s">
        <v>1291</v>
      </c>
      <c r="C12330" s="196">
        <v>-406800</v>
      </c>
      <c r="D12330" s="196">
        <v>0</v>
      </c>
      <c r="E12330" s="196">
        <v>0</v>
      </c>
      <c r="F12330" s="196">
        <v>0</v>
      </c>
      <c r="G12330" s="196">
        <v>-406800</v>
      </c>
    </row>
    <row r="12331" spans="1:7" x14ac:dyDescent="0.3">
      <c r="A12331" s="198">
        <v>43576492</v>
      </c>
      <c r="B12331" s="192" t="s">
        <v>5472</v>
      </c>
      <c r="C12331" s="196">
        <v>-92000</v>
      </c>
      <c r="D12331" s="196">
        <v>0</v>
      </c>
      <c r="E12331" s="196">
        <v>0</v>
      </c>
      <c r="F12331" s="196">
        <v>0</v>
      </c>
      <c r="G12331" s="196">
        <v>-92000</v>
      </c>
    </row>
    <row r="12332" spans="1:7" x14ac:dyDescent="0.3">
      <c r="A12332" s="198">
        <v>31247760</v>
      </c>
      <c r="B12332" s="192" t="s">
        <v>1293</v>
      </c>
      <c r="C12332" s="196">
        <v>0</v>
      </c>
      <c r="D12332" s="196">
        <v>0</v>
      </c>
      <c r="E12332" s="196">
        <v>290000</v>
      </c>
      <c r="F12332" s="196">
        <v>-290000</v>
      </c>
      <c r="G12332" s="196">
        <v>-290000</v>
      </c>
    </row>
    <row r="12333" spans="1:7" x14ac:dyDescent="0.3">
      <c r="A12333" s="192" t="s">
        <v>5473</v>
      </c>
      <c r="B12333" s="192" t="s">
        <v>5474</v>
      </c>
      <c r="C12333" s="196">
        <v>-304600</v>
      </c>
      <c r="D12333" s="196">
        <v>0</v>
      </c>
      <c r="E12333" s="196">
        <v>0</v>
      </c>
      <c r="F12333" s="196">
        <v>0</v>
      </c>
      <c r="G12333" s="196">
        <v>-304600</v>
      </c>
    </row>
    <row r="12334" spans="1:7" x14ac:dyDescent="0.3">
      <c r="A12334" s="198">
        <v>30237134</v>
      </c>
      <c r="B12334" s="192" t="s">
        <v>5489</v>
      </c>
      <c r="C12334" s="196">
        <v>-62100</v>
      </c>
      <c r="D12334" s="196">
        <v>0</v>
      </c>
      <c r="E12334" s="196">
        <v>0</v>
      </c>
      <c r="F12334" s="196">
        <v>0</v>
      </c>
      <c r="G12334" s="196">
        <v>-62100</v>
      </c>
    </row>
    <row r="12335" spans="1:7" x14ac:dyDescent="0.3">
      <c r="A12335" s="198">
        <v>1128275906</v>
      </c>
      <c r="B12335" s="192" t="s">
        <v>5496</v>
      </c>
      <c r="C12335" s="196">
        <v>-175000</v>
      </c>
      <c r="D12335" s="196">
        <v>0</v>
      </c>
      <c r="E12335" s="196">
        <v>0</v>
      </c>
      <c r="F12335" s="196">
        <v>0</v>
      </c>
      <c r="G12335" s="196">
        <v>-175000</v>
      </c>
    </row>
    <row r="12336" spans="1:7" x14ac:dyDescent="0.3">
      <c r="A12336" s="198">
        <v>1001808958</v>
      </c>
      <c r="B12336" s="192" t="s">
        <v>1298</v>
      </c>
      <c r="C12336" s="196">
        <v>0</v>
      </c>
      <c r="D12336" s="196">
        <v>0</v>
      </c>
      <c r="E12336" s="196">
        <v>175000</v>
      </c>
      <c r="F12336" s="196">
        <v>-175000</v>
      </c>
      <c r="G12336" s="196">
        <v>-175000</v>
      </c>
    </row>
    <row r="12337" spans="1:7" x14ac:dyDescent="0.3">
      <c r="A12337" s="198">
        <v>1012439795</v>
      </c>
      <c r="B12337" s="192" t="s">
        <v>1300</v>
      </c>
      <c r="C12337" s="196">
        <v>0</v>
      </c>
      <c r="D12337" s="196">
        <v>0</v>
      </c>
      <c r="E12337" s="196">
        <v>74000</v>
      </c>
      <c r="F12337" s="196">
        <v>-74000</v>
      </c>
      <c r="G12337" s="196">
        <v>-74000</v>
      </c>
    </row>
    <row r="12338" spans="1:7" x14ac:dyDescent="0.3">
      <c r="A12338" s="198">
        <v>1238940354</v>
      </c>
      <c r="B12338" s="192" t="s">
        <v>5507</v>
      </c>
      <c r="C12338" s="196">
        <v>-175000</v>
      </c>
      <c r="D12338" s="196">
        <v>0</v>
      </c>
      <c r="E12338" s="196">
        <v>0</v>
      </c>
      <c r="F12338" s="196">
        <v>0</v>
      </c>
      <c r="G12338" s="196">
        <v>-175000</v>
      </c>
    </row>
    <row r="12339" spans="1:7" x14ac:dyDescent="0.3">
      <c r="A12339" s="198">
        <v>5442180</v>
      </c>
      <c r="B12339" s="192" t="s">
        <v>6987</v>
      </c>
      <c r="C12339" s="196">
        <v>-5000</v>
      </c>
      <c r="D12339" s="196">
        <v>0</v>
      </c>
      <c r="E12339" s="196">
        <v>0</v>
      </c>
      <c r="F12339" s="196">
        <v>0</v>
      </c>
      <c r="G12339" s="196">
        <v>-5000</v>
      </c>
    </row>
    <row r="12340" spans="1:7" x14ac:dyDescent="0.3">
      <c r="A12340" s="198">
        <v>1020482757</v>
      </c>
      <c r="B12340" s="192" t="s">
        <v>1305</v>
      </c>
      <c r="C12340" s="196">
        <v>0</v>
      </c>
      <c r="D12340" s="196">
        <v>0</v>
      </c>
      <c r="E12340" s="196">
        <v>64800</v>
      </c>
      <c r="F12340" s="196">
        <v>-64800</v>
      </c>
      <c r="G12340" s="196">
        <v>-64800</v>
      </c>
    </row>
    <row r="12341" spans="1:7" x14ac:dyDescent="0.3">
      <c r="A12341" s="198">
        <v>21653865</v>
      </c>
      <c r="B12341" s="192" t="s">
        <v>6988</v>
      </c>
      <c r="C12341" s="196">
        <v>-5000</v>
      </c>
      <c r="D12341" s="196">
        <v>0</v>
      </c>
      <c r="E12341" s="196">
        <v>0</v>
      </c>
      <c r="F12341" s="196">
        <v>0</v>
      </c>
      <c r="G12341" s="196">
        <v>-5000</v>
      </c>
    </row>
    <row r="12342" spans="1:7" x14ac:dyDescent="0.3">
      <c r="A12342" s="192" t="s">
        <v>6989</v>
      </c>
      <c r="B12342" s="192" t="s">
        <v>6990</v>
      </c>
      <c r="C12342" s="196">
        <v>-175000</v>
      </c>
      <c r="D12342" s="196">
        <v>0</v>
      </c>
      <c r="E12342" s="196">
        <v>0</v>
      </c>
      <c r="F12342" s="196">
        <v>0</v>
      </c>
      <c r="G12342" s="196">
        <v>-175000</v>
      </c>
    </row>
    <row r="12343" spans="1:7" x14ac:dyDescent="0.3">
      <c r="A12343" s="198">
        <v>77182383</v>
      </c>
      <c r="B12343" s="192" t="s">
        <v>6991</v>
      </c>
      <c r="C12343" s="196">
        <v>-72000</v>
      </c>
      <c r="D12343" s="196">
        <v>0</v>
      </c>
      <c r="E12343" s="196">
        <v>0</v>
      </c>
      <c r="F12343" s="196">
        <v>0</v>
      </c>
      <c r="G12343" s="196">
        <v>-72000</v>
      </c>
    </row>
    <row r="12344" spans="1:7" x14ac:dyDescent="0.3">
      <c r="A12344" s="198">
        <v>66806924</v>
      </c>
      <c r="B12344" s="192" t="s">
        <v>1312</v>
      </c>
      <c r="C12344" s="196">
        <v>0</v>
      </c>
      <c r="D12344" s="196">
        <v>0</v>
      </c>
      <c r="E12344" s="196">
        <v>290000</v>
      </c>
      <c r="F12344" s="196">
        <v>-290000</v>
      </c>
      <c r="G12344" s="196">
        <v>-290000</v>
      </c>
    </row>
    <row r="12345" spans="1:7" x14ac:dyDescent="0.3">
      <c r="A12345" s="192" t="s">
        <v>1314</v>
      </c>
      <c r="B12345" s="192" t="s">
        <v>1315</v>
      </c>
      <c r="C12345" s="196">
        <v>-214001</v>
      </c>
      <c r="D12345" s="196">
        <v>0</v>
      </c>
      <c r="E12345" s="196">
        <v>0</v>
      </c>
      <c r="F12345" s="196">
        <v>0</v>
      </c>
      <c r="G12345" s="196">
        <v>-214001</v>
      </c>
    </row>
    <row r="12346" spans="1:7" x14ac:dyDescent="0.3">
      <c r="A12346" s="198">
        <v>1110564608</v>
      </c>
      <c r="B12346" s="192" t="s">
        <v>5525</v>
      </c>
      <c r="C12346" s="196">
        <v>-175000</v>
      </c>
      <c r="D12346" s="196">
        <v>0</v>
      </c>
      <c r="E12346" s="196">
        <v>0</v>
      </c>
      <c r="F12346" s="196">
        <v>0</v>
      </c>
      <c r="G12346" s="196">
        <v>-175000</v>
      </c>
    </row>
    <row r="12347" spans="1:7" x14ac:dyDescent="0.3">
      <c r="A12347" s="198">
        <v>1019905653</v>
      </c>
      <c r="B12347" s="192" t="s">
        <v>5534</v>
      </c>
      <c r="C12347" s="196">
        <v>-64800</v>
      </c>
      <c r="D12347" s="196">
        <v>0</v>
      </c>
      <c r="E12347" s="196">
        <v>0</v>
      </c>
      <c r="F12347" s="196">
        <v>0</v>
      </c>
      <c r="G12347" s="196">
        <v>-64800</v>
      </c>
    </row>
    <row r="12348" spans="1:7" x14ac:dyDescent="0.3">
      <c r="A12348" s="198">
        <v>1026571561</v>
      </c>
      <c r="B12348" s="192" t="s">
        <v>5537</v>
      </c>
      <c r="C12348" s="196">
        <v>-175000</v>
      </c>
      <c r="D12348" s="196">
        <v>0</v>
      </c>
      <c r="E12348" s="196">
        <v>0</v>
      </c>
      <c r="F12348" s="196">
        <v>0</v>
      </c>
      <c r="G12348" s="196">
        <v>-175000</v>
      </c>
    </row>
    <row r="12349" spans="1:7" x14ac:dyDescent="0.3">
      <c r="A12349" s="198">
        <v>597358201</v>
      </c>
      <c r="B12349" s="192" t="s">
        <v>1319</v>
      </c>
      <c r="C12349" s="196">
        <v>0</v>
      </c>
      <c r="D12349" s="196">
        <v>0</v>
      </c>
      <c r="E12349" s="196">
        <v>74000</v>
      </c>
      <c r="F12349" s="196">
        <v>-74000</v>
      </c>
      <c r="G12349" s="196">
        <v>-74000</v>
      </c>
    </row>
    <row r="12350" spans="1:7" x14ac:dyDescent="0.3">
      <c r="A12350" s="192" t="s">
        <v>1320</v>
      </c>
      <c r="B12350" s="192" t="s">
        <v>1321</v>
      </c>
      <c r="C12350" s="196">
        <v>0</v>
      </c>
      <c r="D12350" s="196">
        <v>0</v>
      </c>
      <c r="E12350" s="196">
        <v>5000</v>
      </c>
      <c r="F12350" s="196">
        <v>-5000</v>
      </c>
      <c r="G12350" s="196">
        <v>-5000</v>
      </c>
    </row>
    <row r="12351" spans="1:7" x14ac:dyDescent="0.3">
      <c r="A12351" s="198">
        <v>1017122462</v>
      </c>
      <c r="B12351" s="192" t="s">
        <v>6993</v>
      </c>
      <c r="C12351" s="196">
        <v>-5000</v>
      </c>
      <c r="D12351" s="196">
        <v>0</v>
      </c>
      <c r="E12351" s="196">
        <v>0</v>
      </c>
      <c r="F12351" s="196">
        <v>0</v>
      </c>
      <c r="G12351" s="196">
        <v>-5000</v>
      </c>
    </row>
    <row r="12352" spans="1:7" x14ac:dyDescent="0.3">
      <c r="A12352" s="198">
        <v>39273714</v>
      </c>
      <c r="B12352" s="192" t="s">
        <v>5543</v>
      </c>
      <c r="C12352" s="196">
        <v>-270000</v>
      </c>
      <c r="D12352" s="196">
        <v>0</v>
      </c>
      <c r="E12352" s="196">
        <v>0</v>
      </c>
      <c r="F12352" s="196">
        <v>0</v>
      </c>
      <c r="G12352" s="196">
        <v>-270000</v>
      </c>
    </row>
    <row r="12353" spans="1:7" x14ac:dyDescent="0.3">
      <c r="A12353" s="192" t="s">
        <v>6994</v>
      </c>
      <c r="B12353" s="192" t="s">
        <v>6995</v>
      </c>
      <c r="C12353" s="196">
        <v>-5000</v>
      </c>
      <c r="D12353" s="196">
        <v>0</v>
      </c>
      <c r="E12353" s="196">
        <v>0</v>
      </c>
      <c r="F12353" s="196">
        <v>0</v>
      </c>
      <c r="G12353" s="196">
        <v>-5000</v>
      </c>
    </row>
    <row r="12354" spans="1:7" x14ac:dyDescent="0.3">
      <c r="A12354" s="198">
        <v>21366963</v>
      </c>
      <c r="B12354" s="192" t="s">
        <v>6997</v>
      </c>
      <c r="C12354" s="196">
        <v>-5338000</v>
      </c>
      <c r="D12354" s="196">
        <v>0</v>
      </c>
      <c r="E12354" s="196">
        <v>0</v>
      </c>
      <c r="F12354" s="196">
        <v>0</v>
      </c>
      <c r="G12354" s="196">
        <v>-5338000</v>
      </c>
    </row>
    <row r="12355" spans="1:7" x14ac:dyDescent="0.3">
      <c r="A12355" s="198">
        <v>42753782</v>
      </c>
      <c r="B12355" s="192" t="s">
        <v>5553</v>
      </c>
      <c r="C12355" s="196">
        <v>-270000</v>
      </c>
      <c r="D12355" s="196">
        <v>0</v>
      </c>
      <c r="E12355" s="196">
        <v>0</v>
      </c>
      <c r="F12355" s="196">
        <v>0</v>
      </c>
      <c r="G12355" s="196">
        <v>-270000</v>
      </c>
    </row>
    <row r="12356" spans="1:7" x14ac:dyDescent="0.3">
      <c r="A12356" s="198">
        <v>43603644</v>
      </c>
      <c r="B12356" s="192" t="s">
        <v>1326</v>
      </c>
      <c r="C12356" s="196">
        <v>-199000</v>
      </c>
      <c r="D12356" s="196">
        <v>0</v>
      </c>
      <c r="E12356" s="196">
        <v>0</v>
      </c>
      <c r="F12356" s="196">
        <v>0</v>
      </c>
      <c r="G12356" s="196">
        <v>-199000</v>
      </c>
    </row>
    <row r="12357" spans="1:7" x14ac:dyDescent="0.3">
      <c r="A12357" s="198">
        <v>71878327</v>
      </c>
      <c r="B12357" s="192" t="s">
        <v>7000</v>
      </c>
      <c r="C12357" s="196">
        <v>-5000</v>
      </c>
      <c r="D12357" s="196">
        <v>0</v>
      </c>
      <c r="E12357" s="196">
        <v>0</v>
      </c>
      <c r="F12357" s="196">
        <v>0</v>
      </c>
      <c r="G12357" s="196">
        <v>-5000</v>
      </c>
    </row>
    <row r="12358" spans="1:7" x14ac:dyDescent="0.3">
      <c r="A12358" s="198">
        <v>15381444</v>
      </c>
      <c r="B12358" s="192" t="s">
        <v>7001</v>
      </c>
      <c r="C12358" s="196">
        <v>-270000</v>
      </c>
      <c r="D12358" s="196">
        <v>0</v>
      </c>
      <c r="E12358" s="196">
        <v>0</v>
      </c>
      <c r="F12358" s="196">
        <v>0</v>
      </c>
      <c r="G12358" s="196">
        <v>-270000</v>
      </c>
    </row>
    <row r="12359" spans="1:7" x14ac:dyDescent="0.3">
      <c r="A12359" s="198">
        <v>36110068</v>
      </c>
      <c r="B12359" s="192" t="s">
        <v>5560</v>
      </c>
      <c r="C12359" s="196">
        <v>-270000</v>
      </c>
      <c r="D12359" s="196">
        <v>0</v>
      </c>
      <c r="E12359" s="196">
        <v>0</v>
      </c>
      <c r="F12359" s="196">
        <v>0</v>
      </c>
      <c r="G12359" s="196">
        <v>-270000</v>
      </c>
    </row>
    <row r="12360" spans="1:7" x14ac:dyDescent="0.3">
      <c r="A12360" s="198">
        <v>43069418</v>
      </c>
      <c r="B12360" s="192" t="s">
        <v>5563</v>
      </c>
      <c r="C12360" s="196">
        <v>-270000</v>
      </c>
      <c r="D12360" s="196">
        <v>0</v>
      </c>
      <c r="E12360" s="196">
        <v>0</v>
      </c>
      <c r="F12360" s="196">
        <v>0</v>
      </c>
      <c r="G12360" s="196">
        <v>-270000</v>
      </c>
    </row>
    <row r="12361" spans="1:7" x14ac:dyDescent="0.3">
      <c r="A12361" s="198">
        <v>43568430</v>
      </c>
      <c r="B12361" s="192" t="s">
        <v>5566</v>
      </c>
      <c r="C12361" s="196">
        <v>-270000</v>
      </c>
      <c r="D12361" s="196">
        <v>0</v>
      </c>
      <c r="E12361" s="196">
        <v>0</v>
      </c>
      <c r="F12361" s="196">
        <v>0</v>
      </c>
      <c r="G12361" s="196">
        <v>-270000</v>
      </c>
    </row>
    <row r="12362" spans="1:7" x14ac:dyDescent="0.3">
      <c r="A12362" s="198">
        <v>32495128</v>
      </c>
      <c r="B12362" s="192" t="s">
        <v>5569</v>
      </c>
      <c r="C12362" s="196">
        <v>-290000</v>
      </c>
      <c r="D12362" s="196">
        <v>0</v>
      </c>
      <c r="E12362" s="196">
        <v>0</v>
      </c>
      <c r="F12362" s="196">
        <v>0</v>
      </c>
      <c r="G12362" s="196">
        <v>-290000</v>
      </c>
    </row>
    <row r="12363" spans="1:7" x14ac:dyDescent="0.3">
      <c r="A12363" s="198">
        <v>1128268390</v>
      </c>
      <c r="B12363" s="192" t="s">
        <v>5577</v>
      </c>
      <c r="C12363" s="196">
        <v>-52200</v>
      </c>
      <c r="D12363" s="196">
        <v>0</v>
      </c>
      <c r="E12363" s="196">
        <v>0</v>
      </c>
      <c r="F12363" s="196">
        <v>0</v>
      </c>
      <c r="G12363" s="196">
        <v>-52200</v>
      </c>
    </row>
    <row r="12364" spans="1:7" x14ac:dyDescent="0.3">
      <c r="A12364" s="198">
        <v>32469856</v>
      </c>
      <c r="B12364" s="192" t="s">
        <v>1335</v>
      </c>
      <c r="C12364" s="196">
        <v>-270000</v>
      </c>
      <c r="D12364" s="196">
        <v>0</v>
      </c>
      <c r="E12364" s="196">
        <v>0</v>
      </c>
      <c r="F12364" s="196">
        <v>0</v>
      </c>
      <c r="G12364" s="196">
        <v>-270000</v>
      </c>
    </row>
    <row r="12365" spans="1:7" x14ac:dyDescent="0.3">
      <c r="A12365" s="198">
        <v>30573653</v>
      </c>
      <c r="B12365" s="192" t="s">
        <v>1336</v>
      </c>
      <c r="C12365" s="196">
        <v>0</v>
      </c>
      <c r="D12365" s="196">
        <v>0</v>
      </c>
      <c r="E12365" s="196">
        <v>111000</v>
      </c>
      <c r="F12365" s="196">
        <v>-111000</v>
      </c>
      <c r="G12365" s="196">
        <v>-111000</v>
      </c>
    </row>
    <row r="12366" spans="1:7" x14ac:dyDescent="0.3">
      <c r="A12366" s="198">
        <v>43023811</v>
      </c>
      <c r="B12366" s="192" t="s">
        <v>5585</v>
      </c>
      <c r="C12366" s="196">
        <v>-290000</v>
      </c>
      <c r="D12366" s="196">
        <v>0</v>
      </c>
      <c r="E12366" s="196">
        <v>0</v>
      </c>
      <c r="F12366" s="196">
        <v>0</v>
      </c>
      <c r="G12366" s="196">
        <v>-290000</v>
      </c>
    </row>
    <row r="12367" spans="1:7" x14ac:dyDescent="0.3">
      <c r="A12367" s="198">
        <v>8170595</v>
      </c>
      <c r="B12367" s="192" t="s">
        <v>5592</v>
      </c>
      <c r="C12367" s="196">
        <v>-175000</v>
      </c>
      <c r="D12367" s="196">
        <v>0</v>
      </c>
      <c r="E12367" s="196">
        <v>0</v>
      </c>
      <c r="F12367" s="196">
        <v>0</v>
      </c>
      <c r="G12367" s="196">
        <v>-175000</v>
      </c>
    </row>
    <row r="12368" spans="1:7" x14ac:dyDescent="0.3">
      <c r="A12368" s="192" t="s">
        <v>5609</v>
      </c>
      <c r="B12368" s="192" t="s">
        <v>5610</v>
      </c>
      <c r="C12368" s="196">
        <v>-59400</v>
      </c>
      <c r="D12368" s="196">
        <v>0</v>
      </c>
      <c r="E12368" s="196">
        <v>0</v>
      </c>
      <c r="F12368" s="196">
        <v>0</v>
      </c>
      <c r="G12368" s="196">
        <v>-59400</v>
      </c>
    </row>
    <row r="12369" spans="1:7" x14ac:dyDescent="0.3">
      <c r="A12369" s="198">
        <v>32018361</v>
      </c>
      <c r="B12369" s="192" t="s">
        <v>1347</v>
      </c>
      <c r="C12369" s="196">
        <v>-270000</v>
      </c>
      <c r="D12369" s="196">
        <v>0</v>
      </c>
      <c r="E12369" s="196">
        <v>0</v>
      </c>
      <c r="F12369" s="196">
        <v>0</v>
      </c>
      <c r="G12369" s="196">
        <v>-270000</v>
      </c>
    </row>
    <row r="12370" spans="1:7" x14ac:dyDescent="0.3">
      <c r="A12370" s="198">
        <v>71615753</v>
      </c>
      <c r="B12370" s="192" t="s">
        <v>7390</v>
      </c>
      <c r="C12370" s="196">
        <v>-824000</v>
      </c>
      <c r="D12370" s="196">
        <v>0</v>
      </c>
      <c r="E12370" s="196">
        <v>0</v>
      </c>
      <c r="F12370" s="196">
        <v>0</v>
      </c>
      <c r="G12370" s="196">
        <v>-824000</v>
      </c>
    </row>
    <row r="12371" spans="1:7" x14ac:dyDescent="0.3">
      <c r="A12371" s="198">
        <v>15508006</v>
      </c>
      <c r="B12371" s="192" t="s">
        <v>5615</v>
      </c>
      <c r="C12371" s="196">
        <v>-52200</v>
      </c>
      <c r="D12371" s="196">
        <v>0</v>
      </c>
      <c r="E12371" s="196">
        <v>0</v>
      </c>
      <c r="F12371" s="196">
        <v>0</v>
      </c>
      <c r="G12371" s="196">
        <v>-52200</v>
      </c>
    </row>
    <row r="12372" spans="1:7" x14ac:dyDescent="0.3">
      <c r="A12372" s="198">
        <v>70066793</v>
      </c>
      <c r="B12372" s="192" t="s">
        <v>5617</v>
      </c>
      <c r="C12372" s="196">
        <v>-270000</v>
      </c>
      <c r="D12372" s="196">
        <v>0</v>
      </c>
      <c r="E12372" s="196">
        <v>0</v>
      </c>
      <c r="F12372" s="196">
        <v>0</v>
      </c>
      <c r="G12372" s="196">
        <v>-270000</v>
      </c>
    </row>
    <row r="12373" spans="1:7" x14ac:dyDescent="0.3">
      <c r="A12373" s="198">
        <v>1152218891</v>
      </c>
      <c r="B12373" s="192" t="s">
        <v>7010</v>
      </c>
      <c r="C12373" s="196">
        <v>-5000</v>
      </c>
      <c r="D12373" s="196">
        <v>0</v>
      </c>
      <c r="E12373" s="196">
        <v>0</v>
      </c>
      <c r="F12373" s="196">
        <v>0</v>
      </c>
      <c r="G12373" s="196">
        <v>-5000</v>
      </c>
    </row>
    <row r="12374" spans="1:7" x14ac:dyDescent="0.3">
      <c r="A12374" s="198">
        <v>8345531</v>
      </c>
      <c r="B12374" s="192" t="s">
        <v>1350</v>
      </c>
      <c r="C12374" s="196">
        <v>-506000</v>
      </c>
      <c r="D12374" s="196">
        <v>0</v>
      </c>
      <c r="E12374" s="196">
        <v>253000</v>
      </c>
      <c r="F12374" s="196">
        <v>-253000</v>
      </c>
      <c r="G12374" s="196">
        <v>-759000</v>
      </c>
    </row>
    <row r="12375" spans="1:7" x14ac:dyDescent="0.3">
      <c r="A12375" s="198">
        <v>8229300</v>
      </c>
      <c r="B12375" s="192" t="s">
        <v>7013</v>
      </c>
      <c r="C12375" s="196">
        <v>-5000</v>
      </c>
      <c r="D12375" s="196">
        <v>0</v>
      </c>
      <c r="E12375" s="196">
        <v>0</v>
      </c>
      <c r="F12375" s="196">
        <v>0</v>
      </c>
      <c r="G12375" s="196">
        <v>-5000</v>
      </c>
    </row>
    <row r="12376" spans="1:7" x14ac:dyDescent="0.3">
      <c r="A12376" s="198">
        <v>79802212</v>
      </c>
      <c r="B12376" s="192" t="s">
        <v>7391</v>
      </c>
      <c r="C12376" s="196">
        <v>-125700</v>
      </c>
      <c r="D12376" s="196">
        <v>0</v>
      </c>
      <c r="E12376" s="196">
        <v>0</v>
      </c>
      <c r="F12376" s="196">
        <v>0</v>
      </c>
      <c r="G12376" s="196">
        <v>-125700</v>
      </c>
    </row>
    <row r="12377" spans="1:7" x14ac:dyDescent="0.3">
      <c r="A12377" s="198">
        <v>71705398</v>
      </c>
      <c r="B12377" s="192" t="s">
        <v>7014</v>
      </c>
      <c r="C12377" s="196">
        <v>-5000</v>
      </c>
      <c r="D12377" s="196">
        <v>0</v>
      </c>
      <c r="E12377" s="196">
        <v>0</v>
      </c>
      <c r="F12377" s="196">
        <v>0</v>
      </c>
      <c r="G12377" s="196">
        <v>-5000</v>
      </c>
    </row>
    <row r="12378" spans="1:7" x14ac:dyDescent="0.3">
      <c r="A12378" s="198">
        <v>71291256</v>
      </c>
      <c r="B12378" s="192" t="s">
        <v>1355</v>
      </c>
      <c r="C12378" s="196">
        <v>0</v>
      </c>
      <c r="D12378" s="196">
        <v>0</v>
      </c>
      <c r="E12378" s="196">
        <v>448000</v>
      </c>
      <c r="F12378" s="196">
        <v>-448000</v>
      </c>
      <c r="G12378" s="196">
        <v>-448000</v>
      </c>
    </row>
    <row r="12379" spans="1:7" x14ac:dyDescent="0.3">
      <c r="A12379" s="198">
        <v>1067932772</v>
      </c>
      <c r="B12379" s="192" t="s">
        <v>7015</v>
      </c>
      <c r="C12379" s="196">
        <v>-5000</v>
      </c>
      <c r="D12379" s="196">
        <v>0</v>
      </c>
      <c r="E12379" s="196">
        <v>0</v>
      </c>
      <c r="F12379" s="196">
        <v>0</v>
      </c>
      <c r="G12379" s="196">
        <v>-5000</v>
      </c>
    </row>
    <row r="12380" spans="1:7" x14ac:dyDescent="0.3">
      <c r="A12380" s="198">
        <v>31712890</v>
      </c>
      <c r="B12380" s="192" t="s">
        <v>1359</v>
      </c>
      <c r="C12380" s="196">
        <v>0</v>
      </c>
      <c r="D12380" s="196">
        <v>0</v>
      </c>
      <c r="E12380" s="196">
        <v>111000</v>
      </c>
      <c r="F12380" s="196">
        <v>-111000</v>
      </c>
      <c r="G12380" s="196">
        <v>-111000</v>
      </c>
    </row>
    <row r="12381" spans="1:7" x14ac:dyDescent="0.3">
      <c r="A12381" s="198">
        <v>52436862</v>
      </c>
      <c r="B12381" s="192" t="s">
        <v>5639</v>
      </c>
      <c r="C12381" s="196">
        <v>-131400</v>
      </c>
      <c r="D12381" s="196">
        <v>0</v>
      </c>
      <c r="E12381" s="196">
        <v>0</v>
      </c>
      <c r="F12381" s="196">
        <v>0</v>
      </c>
      <c r="G12381" s="196">
        <v>-131400</v>
      </c>
    </row>
    <row r="12382" spans="1:7" x14ac:dyDescent="0.3">
      <c r="A12382" s="198">
        <v>1037237770</v>
      </c>
      <c r="B12382" s="192" t="s">
        <v>5655</v>
      </c>
      <c r="C12382" s="196">
        <v>-175000</v>
      </c>
      <c r="D12382" s="196">
        <v>0</v>
      </c>
      <c r="E12382" s="196">
        <v>0</v>
      </c>
      <c r="F12382" s="196">
        <v>0</v>
      </c>
      <c r="G12382" s="196">
        <v>-175000</v>
      </c>
    </row>
    <row r="12383" spans="1:7" x14ac:dyDescent="0.3">
      <c r="A12383" s="198">
        <v>43578209</v>
      </c>
      <c r="B12383" s="192" t="s">
        <v>7392</v>
      </c>
      <c r="C12383" s="196">
        <v>-270000</v>
      </c>
      <c r="D12383" s="196">
        <v>0</v>
      </c>
      <c r="E12383" s="196">
        <v>0</v>
      </c>
      <c r="F12383" s="196">
        <v>0</v>
      </c>
      <c r="G12383" s="196">
        <v>-270000</v>
      </c>
    </row>
    <row r="12384" spans="1:7" x14ac:dyDescent="0.3">
      <c r="A12384" s="198">
        <v>1026139929</v>
      </c>
      <c r="B12384" s="192" t="s">
        <v>5663</v>
      </c>
      <c r="C12384" s="196">
        <v>-175000</v>
      </c>
      <c r="D12384" s="196">
        <v>0</v>
      </c>
      <c r="E12384" s="196">
        <v>0</v>
      </c>
      <c r="F12384" s="196">
        <v>0</v>
      </c>
      <c r="G12384" s="196">
        <v>-175000</v>
      </c>
    </row>
    <row r="12385" spans="1:7" x14ac:dyDescent="0.3">
      <c r="A12385" s="198">
        <v>1015066037</v>
      </c>
      <c r="B12385" s="192" t="s">
        <v>7022</v>
      </c>
      <c r="C12385" s="196">
        <v>-5000</v>
      </c>
      <c r="D12385" s="196">
        <v>0</v>
      </c>
      <c r="E12385" s="196">
        <v>0</v>
      </c>
      <c r="F12385" s="196">
        <v>0</v>
      </c>
      <c r="G12385" s="196">
        <v>-5000</v>
      </c>
    </row>
    <row r="12386" spans="1:7" x14ac:dyDescent="0.3">
      <c r="A12386" s="198">
        <v>1007480686</v>
      </c>
      <c r="B12386" s="192" t="s">
        <v>5664</v>
      </c>
      <c r="C12386" s="196">
        <v>-175000</v>
      </c>
      <c r="D12386" s="196">
        <v>0</v>
      </c>
      <c r="E12386" s="196">
        <v>0</v>
      </c>
      <c r="F12386" s="196">
        <v>0</v>
      </c>
      <c r="G12386" s="196">
        <v>-175000</v>
      </c>
    </row>
    <row r="12387" spans="1:7" x14ac:dyDescent="0.3">
      <c r="A12387" s="198">
        <v>1040323032</v>
      </c>
      <c r="B12387" s="192" t="s">
        <v>7023</v>
      </c>
      <c r="C12387" s="196">
        <v>-5000</v>
      </c>
      <c r="D12387" s="196">
        <v>0</v>
      </c>
      <c r="E12387" s="196">
        <v>0</v>
      </c>
      <c r="F12387" s="196">
        <v>0</v>
      </c>
      <c r="G12387" s="196">
        <v>-5000</v>
      </c>
    </row>
    <row r="12388" spans="1:7" x14ac:dyDescent="0.3">
      <c r="A12388" s="198">
        <v>1036942476</v>
      </c>
      <c r="B12388" s="192" t="s">
        <v>5666</v>
      </c>
      <c r="C12388" s="196">
        <v>-175000</v>
      </c>
      <c r="D12388" s="196">
        <v>0</v>
      </c>
      <c r="E12388" s="196">
        <v>0</v>
      </c>
      <c r="F12388" s="196">
        <v>0</v>
      </c>
      <c r="G12388" s="196">
        <v>-175000</v>
      </c>
    </row>
    <row r="12389" spans="1:7" x14ac:dyDescent="0.3">
      <c r="A12389" s="198">
        <v>1007986933</v>
      </c>
      <c r="B12389" s="192" t="s">
        <v>1373</v>
      </c>
      <c r="C12389" s="196">
        <v>0</v>
      </c>
      <c r="D12389" s="196">
        <v>0</v>
      </c>
      <c r="E12389" s="196">
        <v>4000</v>
      </c>
      <c r="F12389" s="196">
        <v>-4000</v>
      </c>
      <c r="G12389" s="196">
        <v>-4000</v>
      </c>
    </row>
    <row r="12390" spans="1:7" x14ac:dyDescent="0.3">
      <c r="A12390" s="198">
        <v>352383</v>
      </c>
      <c r="B12390" s="192" t="s">
        <v>1381</v>
      </c>
      <c r="C12390" s="196">
        <v>-270001</v>
      </c>
      <c r="D12390" s="196">
        <v>0</v>
      </c>
      <c r="E12390" s="196">
        <v>0</v>
      </c>
      <c r="F12390" s="196">
        <v>0</v>
      </c>
      <c r="G12390" s="196">
        <v>-270001</v>
      </c>
    </row>
    <row r="12391" spans="1:7" x14ac:dyDescent="0.3">
      <c r="A12391" s="198">
        <v>32443011</v>
      </c>
      <c r="B12391" s="192" t="s">
        <v>5697</v>
      </c>
      <c r="C12391" s="196">
        <v>-210800</v>
      </c>
      <c r="D12391" s="196">
        <v>0</v>
      </c>
      <c r="E12391" s="196">
        <v>0</v>
      </c>
      <c r="F12391" s="196">
        <v>0</v>
      </c>
      <c r="G12391" s="196">
        <v>-210800</v>
      </c>
    </row>
    <row r="12392" spans="1:7" x14ac:dyDescent="0.3">
      <c r="A12392" s="198">
        <v>1017245908</v>
      </c>
      <c r="B12392" s="192" t="s">
        <v>5704</v>
      </c>
      <c r="C12392" s="196">
        <v>-112000</v>
      </c>
      <c r="D12392" s="196">
        <v>0</v>
      </c>
      <c r="E12392" s="196">
        <v>0</v>
      </c>
      <c r="F12392" s="196">
        <v>0</v>
      </c>
      <c r="G12392" s="196">
        <v>-112000</v>
      </c>
    </row>
    <row r="12393" spans="1:7" x14ac:dyDescent="0.3">
      <c r="A12393" s="198">
        <v>8255029</v>
      </c>
      <c r="B12393" s="192" t="s">
        <v>1386</v>
      </c>
      <c r="C12393" s="196">
        <v>-2310000</v>
      </c>
      <c r="D12393" s="196">
        <v>0</v>
      </c>
      <c r="E12393" s="196">
        <v>2310000</v>
      </c>
      <c r="F12393" s="196">
        <v>-2310000</v>
      </c>
      <c r="G12393" s="196">
        <v>-4620000</v>
      </c>
    </row>
    <row r="12394" spans="1:7" x14ac:dyDescent="0.3">
      <c r="A12394" s="198">
        <v>1036641211</v>
      </c>
      <c r="B12394" s="192" t="s">
        <v>1387</v>
      </c>
      <c r="C12394" s="196">
        <v>0</v>
      </c>
      <c r="D12394" s="196">
        <v>0</v>
      </c>
      <c r="E12394" s="196">
        <v>377000</v>
      </c>
      <c r="F12394" s="196">
        <v>-377000</v>
      </c>
      <c r="G12394" s="196">
        <v>-377000</v>
      </c>
    </row>
    <row r="12395" spans="1:7" x14ac:dyDescent="0.3">
      <c r="A12395" s="198">
        <v>17950917</v>
      </c>
      <c r="B12395" s="192" t="s">
        <v>5711</v>
      </c>
      <c r="C12395" s="196">
        <v>-270000</v>
      </c>
      <c r="D12395" s="196">
        <v>0</v>
      </c>
      <c r="E12395" s="196">
        <v>0</v>
      </c>
      <c r="F12395" s="196">
        <v>0</v>
      </c>
      <c r="G12395" s="196">
        <v>-270000</v>
      </c>
    </row>
    <row r="12396" spans="1:7" x14ac:dyDescent="0.3">
      <c r="A12396" s="198">
        <v>1035007785</v>
      </c>
      <c r="B12396" s="192" t="s">
        <v>5712</v>
      </c>
      <c r="C12396" s="196">
        <v>-50600</v>
      </c>
      <c r="D12396" s="196">
        <v>0</v>
      </c>
      <c r="E12396" s="196">
        <v>0</v>
      </c>
      <c r="F12396" s="196">
        <v>0</v>
      </c>
      <c r="G12396" s="196">
        <v>-50600</v>
      </c>
    </row>
    <row r="12397" spans="1:7" x14ac:dyDescent="0.3">
      <c r="A12397" s="198">
        <v>98451584</v>
      </c>
      <c r="B12397" s="192" t="s">
        <v>7026</v>
      </c>
      <c r="C12397" s="196">
        <v>-5000</v>
      </c>
      <c r="D12397" s="196">
        <v>0</v>
      </c>
      <c r="E12397" s="196">
        <v>0</v>
      </c>
      <c r="F12397" s="196">
        <v>0</v>
      </c>
      <c r="G12397" s="196">
        <v>-5000</v>
      </c>
    </row>
    <row r="12398" spans="1:7" x14ac:dyDescent="0.3">
      <c r="A12398" s="192" t="s">
        <v>7027</v>
      </c>
      <c r="B12398" s="192" t="s">
        <v>7028</v>
      </c>
      <c r="C12398" s="196">
        <v>-5000</v>
      </c>
      <c r="D12398" s="196">
        <v>0</v>
      </c>
      <c r="E12398" s="196">
        <v>0</v>
      </c>
      <c r="F12398" s="196">
        <v>0</v>
      </c>
      <c r="G12398" s="196">
        <v>-5000</v>
      </c>
    </row>
    <row r="12399" spans="1:7" x14ac:dyDescent="0.3">
      <c r="A12399" s="198">
        <v>80503932</v>
      </c>
      <c r="B12399" s="192" t="s">
        <v>5725</v>
      </c>
      <c r="C12399" s="196">
        <v>-96000</v>
      </c>
      <c r="D12399" s="196">
        <v>0</v>
      </c>
      <c r="E12399" s="196">
        <v>0</v>
      </c>
      <c r="F12399" s="196">
        <v>0</v>
      </c>
      <c r="G12399" s="196">
        <v>-96000</v>
      </c>
    </row>
    <row r="12400" spans="1:7" x14ac:dyDescent="0.3">
      <c r="A12400" s="192" t="s">
        <v>5732</v>
      </c>
      <c r="B12400" s="192" t="s">
        <v>5733</v>
      </c>
      <c r="C12400" s="196">
        <v>-175000</v>
      </c>
      <c r="D12400" s="196">
        <v>0</v>
      </c>
      <c r="E12400" s="196">
        <v>0</v>
      </c>
      <c r="F12400" s="196">
        <v>0</v>
      </c>
      <c r="G12400" s="196">
        <v>-175000</v>
      </c>
    </row>
    <row r="12401" spans="1:7" x14ac:dyDescent="0.3">
      <c r="A12401" s="198">
        <v>35745085</v>
      </c>
      <c r="B12401" s="192" t="s">
        <v>1397</v>
      </c>
      <c r="C12401" s="196">
        <v>-270000</v>
      </c>
      <c r="D12401" s="196">
        <v>0</v>
      </c>
      <c r="E12401" s="196">
        <v>0</v>
      </c>
      <c r="F12401" s="196">
        <v>0</v>
      </c>
      <c r="G12401" s="196">
        <v>-270000</v>
      </c>
    </row>
    <row r="12402" spans="1:7" x14ac:dyDescent="0.3">
      <c r="A12402" s="198">
        <v>3670838</v>
      </c>
      <c r="B12402" s="192" t="s">
        <v>7029</v>
      </c>
      <c r="C12402" s="196">
        <v>-270000</v>
      </c>
      <c r="D12402" s="196">
        <v>0</v>
      </c>
      <c r="E12402" s="196">
        <v>0</v>
      </c>
      <c r="F12402" s="196">
        <v>0</v>
      </c>
      <c r="G12402" s="196">
        <v>-270000</v>
      </c>
    </row>
    <row r="12403" spans="1:7" x14ac:dyDescent="0.3">
      <c r="A12403" s="198">
        <v>1128265111</v>
      </c>
      <c r="B12403" s="192" t="s">
        <v>5752</v>
      </c>
      <c r="C12403" s="196">
        <v>-59400</v>
      </c>
      <c r="D12403" s="196">
        <v>0</v>
      </c>
      <c r="E12403" s="196">
        <v>0</v>
      </c>
      <c r="F12403" s="196">
        <v>0</v>
      </c>
      <c r="G12403" s="196">
        <v>-59400</v>
      </c>
    </row>
    <row r="12404" spans="1:7" x14ac:dyDescent="0.3">
      <c r="A12404" s="192" t="s">
        <v>144</v>
      </c>
      <c r="B12404" s="192" t="s">
        <v>145</v>
      </c>
      <c r="C12404" s="196">
        <v>-270000</v>
      </c>
      <c r="D12404" s="196">
        <v>0</v>
      </c>
      <c r="E12404" s="196">
        <v>0</v>
      </c>
      <c r="F12404" s="196">
        <v>0</v>
      </c>
      <c r="G12404" s="196">
        <v>-270000</v>
      </c>
    </row>
    <row r="12405" spans="1:7" x14ac:dyDescent="0.3">
      <c r="A12405" s="198">
        <v>15339450</v>
      </c>
      <c r="B12405" s="192" t="s">
        <v>7034</v>
      </c>
      <c r="C12405" s="196">
        <v>-253400</v>
      </c>
      <c r="D12405" s="196">
        <v>0</v>
      </c>
      <c r="E12405" s="196">
        <v>0</v>
      </c>
      <c r="F12405" s="196">
        <v>0</v>
      </c>
      <c r="G12405" s="196">
        <v>-253400</v>
      </c>
    </row>
    <row r="12406" spans="1:7" x14ac:dyDescent="0.3">
      <c r="A12406" s="198">
        <v>54252438</v>
      </c>
      <c r="B12406" s="192" t="s">
        <v>1407</v>
      </c>
      <c r="C12406" s="196">
        <v>0</v>
      </c>
      <c r="D12406" s="196">
        <v>0</v>
      </c>
      <c r="E12406" s="196">
        <v>377000</v>
      </c>
      <c r="F12406" s="196">
        <v>-377000</v>
      </c>
      <c r="G12406" s="196">
        <v>-377000</v>
      </c>
    </row>
    <row r="12407" spans="1:7" x14ac:dyDescent="0.3">
      <c r="A12407" s="198">
        <v>8293155</v>
      </c>
      <c r="B12407" s="192" t="s">
        <v>7393</v>
      </c>
      <c r="C12407" s="196">
        <v>-270000</v>
      </c>
      <c r="D12407" s="196">
        <v>0</v>
      </c>
      <c r="E12407" s="196">
        <v>0</v>
      </c>
      <c r="F12407" s="196">
        <v>0</v>
      </c>
      <c r="G12407" s="196">
        <v>-270000</v>
      </c>
    </row>
    <row r="12408" spans="1:7" x14ac:dyDescent="0.3">
      <c r="A12408" s="192" t="s">
        <v>5785</v>
      </c>
      <c r="B12408" s="192" t="s">
        <v>5786</v>
      </c>
      <c r="C12408" s="196">
        <v>-175000</v>
      </c>
      <c r="D12408" s="196">
        <v>0</v>
      </c>
      <c r="E12408" s="196">
        <v>0</v>
      </c>
      <c r="F12408" s="196">
        <v>0</v>
      </c>
      <c r="G12408" s="196">
        <v>-175000</v>
      </c>
    </row>
    <row r="12409" spans="1:7" x14ac:dyDescent="0.3">
      <c r="A12409" s="198">
        <v>41104413</v>
      </c>
      <c r="B12409" s="192" t="s">
        <v>5791</v>
      </c>
      <c r="C12409" s="196">
        <v>-270000</v>
      </c>
      <c r="D12409" s="196">
        <v>0</v>
      </c>
      <c r="E12409" s="196">
        <v>0</v>
      </c>
      <c r="F12409" s="196">
        <v>0</v>
      </c>
      <c r="G12409" s="196">
        <v>-270000</v>
      </c>
    </row>
    <row r="12410" spans="1:7" x14ac:dyDescent="0.3">
      <c r="A12410" s="198">
        <v>32748971</v>
      </c>
      <c r="B12410" s="192" t="s">
        <v>1415</v>
      </c>
      <c r="C12410" s="196">
        <v>-2</v>
      </c>
      <c r="D12410" s="196">
        <v>0</v>
      </c>
      <c r="E12410" s="196">
        <v>0</v>
      </c>
      <c r="F12410" s="196">
        <v>0</v>
      </c>
      <c r="G12410" s="196">
        <v>-2</v>
      </c>
    </row>
    <row r="12411" spans="1:7" x14ac:dyDescent="0.3">
      <c r="A12411" s="198">
        <v>1023724214</v>
      </c>
      <c r="B12411" s="192" t="s">
        <v>7394</v>
      </c>
      <c r="C12411" s="196">
        <v>-5000</v>
      </c>
      <c r="D12411" s="196">
        <v>0</v>
      </c>
      <c r="E12411" s="196">
        <v>0</v>
      </c>
      <c r="F12411" s="196">
        <v>0</v>
      </c>
      <c r="G12411" s="196">
        <v>-5000</v>
      </c>
    </row>
    <row r="12412" spans="1:7" x14ac:dyDescent="0.3">
      <c r="A12412" s="192" t="s">
        <v>5806</v>
      </c>
      <c r="B12412" s="192" t="s">
        <v>5807</v>
      </c>
      <c r="C12412" s="196">
        <v>-334800</v>
      </c>
      <c r="D12412" s="196">
        <v>0</v>
      </c>
      <c r="E12412" s="196">
        <v>0</v>
      </c>
      <c r="F12412" s="196">
        <v>0</v>
      </c>
      <c r="G12412" s="196">
        <v>-334800</v>
      </c>
    </row>
    <row r="12413" spans="1:7" x14ac:dyDescent="0.3">
      <c r="A12413" s="198">
        <v>900561444</v>
      </c>
      <c r="B12413" s="192" t="s">
        <v>1416</v>
      </c>
      <c r="C12413" s="196">
        <v>-540000</v>
      </c>
      <c r="D12413" s="196">
        <v>0</v>
      </c>
      <c r="E12413" s="196">
        <v>0</v>
      </c>
      <c r="F12413" s="196">
        <v>0</v>
      </c>
      <c r="G12413" s="196">
        <v>-540000</v>
      </c>
    </row>
    <row r="12414" spans="1:7" x14ac:dyDescent="0.3">
      <c r="A12414" s="198">
        <v>60288124</v>
      </c>
      <c r="B12414" s="192" t="s">
        <v>7395</v>
      </c>
      <c r="C12414" s="196">
        <v>-125700</v>
      </c>
      <c r="D12414" s="196">
        <v>0</v>
      </c>
      <c r="E12414" s="196">
        <v>0</v>
      </c>
      <c r="F12414" s="196">
        <v>0</v>
      </c>
      <c r="G12414" s="196">
        <v>-125700</v>
      </c>
    </row>
    <row r="12415" spans="1:7" x14ac:dyDescent="0.3">
      <c r="A12415" s="198">
        <v>1056769612</v>
      </c>
      <c r="B12415" s="192" t="s">
        <v>5821</v>
      </c>
      <c r="C12415" s="196">
        <v>-175000</v>
      </c>
      <c r="D12415" s="196">
        <v>0</v>
      </c>
      <c r="E12415" s="196">
        <v>0</v>
      </c>
      <c r="F12415" s="196">
        <v>0</v>
      </c>
      <c r="G12415" s="196">
        <v>-175000</v>
      </c>
    </row>
    <row r="12416" spans="1:7" x14ac:dyDescent="0.3">
      <c r="A12416" s="198">
        <v>1036452104</v>
      </c>
      <c r="B12416" s="192" t="s">
        <v>7048</v>
      </c>
      <c r="C12416" s="196">
        <v>-5000</v>
      </c>
      <c r="D12416" s="196">
        <v>0</v>
      </c>
      <c r="E12416" s="196">
        <v>0</v>
      </c>
      <c r="F12416" s="196">
        <v>0</v>
      </c>
      <c r="G12416" s="196">
        <v>-5000</v>
      </c>
    </row>
    <row r="12417" spans="1:7" x14ac:dyDescent="0.3">
      <c r="A12417" s="198">
        <v>1000851478</v>
      </c>
      <c r="B12417" s="192" t="s">
        <v>5873</v>
      </c>
      <c r="C12417" s="196">
        <v>-214000</v>
      </c>
      <c r="D12417" s="196">
        <v>0</v>
      </c>
      <c r="E12417" s="196">
        <v>0</v>
      </c>
      <c r="F12417" s="196">
        <v>0</v>
      </c>
      <c r="G12417" s="196">
        <v>-214000</v>
      </c>
    </row>
    <row r="12418" spans="1:7" x14ac:dyDescent="0.3">
      <c r="A12418" s="198">
        <v>1037633834</v>
      </c>
      <c r="B12418" s="192" t="s">
        <v>7049</v>
      </c>
      <c r="C12418" s="196">
        <v>-5000</v>
      </c>
      <c r="D12418" s="196">
        <v>0</v>
      </c>
      <c r="E12418" s="196">
        <v>0</v>
      </c>
      <c r="F12418" s="196">
        <v>0</v>
      </c>
      <c r="G12418" s="196">
        <v>-5000</v>
      </c>
    </row>
    <row r="12419" spans="1:7" x14ac:dyDescent="0.3">
      <c r="A12419" s="198">
        <v>37120928</v>
      </c>
      <c r="B12419" s="192" t="s">
        <v>1439</v>
      </c>
      <c r="C12419" s="196">
        <v>0</v>
      </c>
      <c r="D12419" s="196">
        <v>0</v>
      </c>
      <c r="E12419" s="196">
        <v>111000</v>
      </c>
      <c r="F12419" s="196">
        <v>-111000</v>
      </c>
      <c r="G12419" s="196">
        <v>-111000</v>
      </c>
    </row>
    <row r="12420" spans="1:7" x14ac:dyDescent="0.3">
      <c r="A12420" s="198">
        <v>1128273187</v>
      </c>
      <c r="B12420" s="192" t="s">
        <v>5907</v>
      </c>
      <c r="C12420" s="196">
        <v>-161000</v>
      </c>
      <c r="D12420" s="196">
        <v>0</v>
      </c>
      <c r="E12420" s="196">
        <v>0</v>
      </c>
      <c r="F12420" s="196">
        <v>0</v>
      </c>
      <c r="G12420" s="196">
        <v>-161000</v>
      </c>
    </row>
    <row r="12421" spans="1:7" x14ac:dyDescent="0.3">
      <c r="A12421" s="198">
        <v>1042770889</v>
      </c>
      <c r="B12421" s="192" t="s">
        <v>1442</v>
      </c>
      <c r="C12421" s="196">
        <v>0</v>
      </c>
      <c r="D12421" s="196">
        <v>0</v>
      </c>
      <c r="E12421" s="196">
        <v>175000</v>
      </c>
      <c r="F12421" s="196">
        <v>-175000</v>
      </c>
      <c r="G12421" s="196">
        <v>-175000</v>
      </c>
    </row>
    <row r="12422" spans="1:7" x14ac:dyDescent="0.3">
      <c r="A12422" s="198">
        <v>43190979</v>
      </c>
      <c r="B12422" s="192" t="s">
        <v>7396</v>
      </c>
      <c r="C12422" s="196">
        <v>-37600</v>
      </c>
      <c r="D12422" s="196">
        <v>0</v>
      </c>
      <c r="E12422" s="196">
        <v>0</v>
      </c>
      <c r="F12422" s="196">
        <v>0</v>
      </c>
      <c r="G12422" s="196">
        <v>-37600</v>
      </c>
    </row>
    <row r="12423" spans="1:7" x14ac:dyDescent="0.3">
      <c r="A12423" s="198">
        <v>42131936</v>
      </c>
      <c r="B12423" s="192" t="s">
        <v>5908</v>
      </c>
      <c r="C12423" s="196">
        <v>-270000</v>
      </c>
      <c r="D12423" s="196">
        <v>0</v>
      </c>
      <c r="E12423" s="196">
        <v>0</v>
      </c>
      <c r="F12423" s="196">
        <v>0</v>
      </c>
      <c r="G12423" s="196">
        <v>-270000</v>
      </c>
    </row>
    <row r="12424" spans="1:7" x14ac:dyDescent="0.3">
      <c r="A12424" s="198">
        <v>1007118138</v>
      </c>
      <c r="B12424" s="192" t="s">
        <v>1447</v>
      </c>
      <c r="C12424" s="196">
        <v>-5000</v>
      </c>
      <c r="D12424" s="196">
        <v>0</v>
      </c>
      <c r="E12424" s="196">
        <v>0</v>
      </c>
      <c r="F12424" s="196">
        <v>0</v>
      </c>
      <c r="G12424" s="196">
        <v>-5000</v>
      </c>
    </row>
    <row r="12425" spans="1:7" x14ac:dyDescent="0.3">
      <c r="A12425" s="198">
        <v>1000565171</v>
      </c>
      <c r="B12425" s="192" t="s">
        <v>1450</v>
      </c>
      <c r="C12425" s="196">
        <v>0</v>
      </c>
      <c r="D12425" s="196">
        <v>0</v>
      </c>
      <c r="E12425" s="196">
        <v>5000</v>
      </c>
      <c r="F12425" s="196">
        <v>-5000</v>
      </c>
      <c r="G12425" s="196">
        <v>-5000</v>
      </c>
    </row>
    <row r="12426" spans="1:7" x14ac:dyDescent="0.3">
      <c r="A12426" s="198">
        <v>71370780</v>
      </c>
      <c r="B12426" s="192" t="s">
        <v>5930</v>
      </c>
      <c r="C12426" s="196">
        <v>-175000</v>
      </c>
      <c r="D12426" s="196">
        <v>0</v>
      </c>
      <c r="E12426" s="196">
        <v>0</v>
      </c>
      <c r="F12426" s="196">
        <v>0</v>
      </c>
      <c r="G12426" s="196">
        <v>-175000</v>
      </c>
    </row>
    <row r="12427" spans="1:7" x14ac:dyDescent="0.3">
      <c r="A12427" s="198">
        <v>8426855</v>
      </c>
      <c r="B12427" s="192" t="s">
        <v>7057</v>
      </c>
      <c r="C12427" s="196">
        <v>-5000</v>
      </c>
      <c r="D12427" s="196">
        <v>0</v>
      </c>
      <c r="E12427" s="196">
        <v>0</v>
      </c>
      <c r="F12427" s="196">
        <v>0</v>
      </c>
      <c r="G12427" s="196">
        <v>-5000</v>
      </c>
    </row>
    <row r="12428" spans="1:7" x14ac:dyDescent="0.3">
      <c r="A12428" s="198">
        <v>1000409721</v>
      </c>
      <c r="B12428" s="192" t="s">
        <v>5931</v>
      </c>
      <c r="C12428" s="196">
        <v>-175000</v>
      </c>
      <c r="D12428" s="196">
        <v>0</v>
      </c>
      <c r="E12428" s="196">
        <v>0</v>
      </c>
      <c r="F12428" s="196">
        <v>0</v>
      </c>
      <c r="G12428" s="196">
        <v>-175000</v>
      </c>
    </row>
    <row r="12429" spans="1:7" x14ac:dyDescent="0.3">
      <c r="A12429" s="192" t="s">
        <v>5932</v>
      </c>
      <c r="B12429" s="192" t="s">
        <v>5933</v>
      </c>
      <c r="C12429" s="196">
        <v>-175000</v>
      </c>
      <c r="D12429" s="196">
        <v>0</v>
      </c>
      <c r="E12429" s="196">
        <v>0</v>
      </c>
      <c r="F12429" s="196">
        <v>0</v>
      </c>
      <c r="G12429" s="196">
        <v>-175000</v>
      </c>
    </row>
    <row r="12430" spans="1:7" x14ac:dyDescent="0.3">
      <c r="A12430" s="198">
        <v>1002210832</v>
      </c>
      <c r="B12430" s="192" t="s">
        <v>5936</v>
      </c>
      <c r="C12430" s="196">
        <v>-175000</v>
      </c>
      <c r="D12430" s="196">
        <v>0</v>
      </c>
      <c r="E12430" s="196">
        <v>0</v>
      </c>
      <c r="F12430" s="196">
        <v>0</v>
      </c>
      <c r="G12430" s="196">
        <v>-175000</v>
      </c>
    </row>
    <row r="12431" spans="1:7" x14ac:dyDescent="0.3">
      <c r="A12431" s="198">
        <v>1017192980</v>
      </c>
      <c r="B12431" s="192" t="s">
        <v>1456</v>
      </c>
      <c r="C12431" s="196">
        <v>-263800</v>
      </c>
      <c r="D12431" s="196">
        <v>0</v>
      </c>
      <c r="E12431" s="196">
        <v>19600</v>
      </c>
      <c r="F12431" s="196">
        <v>-19600</v>
      </c>
      <c r="G12431" s="196">
        <v>-283400</v>
      </c>
    </row>
    <row r="12432" spans="1:7" x14ac:dyDescent="0.3">
      <c r="A12432" s="198">
        <v>1045050212</v>
      </c>
      <c r="B12432" s="192" t="s">
        <v>7063</v>
      </c>
      <c r="C12432" s="196">
        <v>-5000</v>
      </c>
      <c r="D12432" s="196">
        <v>0</v>
      </c>
      <c r="E12432" s="196">
        <v>0</v>
      </c>
      <c r="F12432" s="196">
        <v>0</v>
      </c>
      <c r="G12432" s="196">
        <v>-5000</v>
      </c>
    </row>
    <row r="12433" spans="1:7" x14ac:dyDescent="0.3">
      <c r="A12433" s="198">
        <v>1152438873</v>
      </c>
      <c r="B12433" s="192" t="s">
        <v>1459</v>
      </c>
      <c r="C12433" s="196">
        <v>0</v>
      </c>
      <c r="D12433" s="196">
        <v>0</v>
      </c>
      <c r="E12433" s="196">
        <v>36000</v>
      </c>
      <c r="F12433" s="196">
        <v>-36000</v>
      </c>
      <c r="G12433" s="196">
        <v>-36000</v>
      </c>
    </row>
    <row r="12434" spans="1:7" x14ac:dyDescent="0.3">
      <c r="A12434" s="198">
        <v>1011511984</v>
      </c>
      <c r="B12434" s="192" t="s">
        <v>5955</v>
      </c>
      <c r="C12434" s="196">
        <v>-175000</v>
      </c>
      <c r="D12434" s="196">
        <v>0</v>
      </c>
      <c r="E12434" s="196">
        <v>0</v>
      </c>
      <c r="F12434" s="196">
        <v>0</v>
      </c>
      <c r="G12434" s="196">
        <v>-175000</v>
      </c>
    </row>
    <row r="12435" spans="1:7" x14ac:dyDescent="0.3">
      <c r="A12435" s="198">
        <v>1037621765</v>
      </c>
      <c r="B12435" s="192" t="s">
        <v>5956</v>
      </c>
      <c r="C12435" s="196">
        <v>-126200</v>
      </c>
      <c r="D12435" s="196">
        <v>0</v>
      </c>
      <c r="E12435" s="196">
        <v>0</v>
      </c>
      <c r="F12435" s="196">
        <v>0</v>
      </c>
      <c r="G12435" s="196">
        <v>-126200</v>
      </c>
    </row>
    <row r="12436" spans="1:7" x14ac:dyDescent="0.3">
      <c r="A12436" s="198">
        <v>1037653638</v>
      </c>
      <c r="B12436" s="192" t="s">
        <v>5959</v>
      </c>
      <c r="C12436" s="196">
        <v>-175000</v>
      </c>
      <c r="D12436" s="196">
        <v>0</v>
      </c>
      <c r="E12436" s="196">
        <v>0</v>
      </c>
      <c r="F12436" s="196">
        <v>0</v>
      </c>
      <c r="G12436" s="196">
        <v>-175000</v>
      </c>
    </row>
    <row r="12437" spans="1:7" x14ac:dyDescent="0.3">
      <c r="A12437" s="198">
        <v>1001015864</v>
      </c>
      <c r="B12437" s="192" t="s">
        <v>5962</v>
      </c>
      <c r="C12437" s="196">
        <v>-31300</v>
      </c>
      <c r="D12437" s="196">
        <v>0</v>
      </c>
      <c r="E12437" s="196">
        <v>0</v>
      </c>
      <c r="F12437" s="196">
        <v>0</v>
      </c>
      <c r="G12437" s="196">
        <v>-31300</v>
      </c>
    </row>
    <row r="12438" spans="1:7" x14ac:dyDescent="0.3">
      <c r="A12438" s="198">
        <v>1104821872</v>
      </c>
      <c r="B12438" s="192" t="s">
        <v>7064</v>
      </c>
      <c r="C12438" s="196">
        <v>-5000</v>
      </c>
      <c r="D12438" s="196">
        <v>0</v>
      </c>
      <c r="E12438" s="196">
        <v>0</v>
      </c>
      <c r="F12438" s="196">
        <v>0</v>
      </c>
      <c r="G12438" s="196">
        <v>-5000</v>
      </c>
    </row>
    <row r="12439" spans="1:7" x14ac:dyDescent="0.3">
      <c r="A12439" s="192" t="s">
        <v>5978</v>
      </c>
      <c r="B12439" s="192" t="s">
        <v>5979</v>
      </c>
      <c r="C12439" s="196">
        <v>-175000</v>
      </c>
      <c r="D12439" s="196">
        <v>0</v>
      </c>
      <c r="E12439" s="196">
        <v>0</v>
      </c>
      <c r="F12439" s="196">
        <v>0</v>
      </c>
      <c r="G12439" s="196">
        <v>-175000</v>
      </c>
    </row>
    <row r="12440" spans="1:7" x14ac:dyDescent="0.3">
      <c r="A12440" s="192" t="s">
        <v>7066</v>
      </c>
      <c r="B12440" s="192" t="s">
        <v>7067</v>
      </c>
      <c r="C12440" s="196">
        <v>-2154000</v>
      </c>
      <c r="D12440" s="196">
        <v>0</v>
      </c>
      <c r="E12440" s="196">
        <v>0</v>
      </c>
      <c r="F12440" s="196">
        <v>0</v>
      </c>
      <c r="G12440" s="196">
        <v>-2154000</v>
      </c>
    </row>
    <row r="12441" spans="1:7" x14ac:dyDescent="0.3">
      <c r="A12441" s="198">
        <v>1017242646</v>
      </c>
      <c r="B12441" s="192" t="s">
        <v>1463</v>
      </c>
      <c r="C12441" s="196">
        <v>-175000</v>
      </c>
      <c r="D12441" s="196">
        <v>0</v>
      </c>
      <c r="E12441" s="196">
        <v>0</v>
      </c>
      <c r="F12441" s="196">
        <v>0</v>
      </c>
      <c r="G12441" s="196">
        <v>-175000</v>
      </c>
    </row>
    <row r="12442" spans="1:7" x14ac:dyDescent="0.3">
      <c r="A12442" s="198">
        <v>1036448667</v>
      </c>
      <c r="B12442" s="192" t="s">
        <v>7070</v>
      </c>
      <c r="C12442" s="196">
        <v>-5000</v>
      </c>
      <c r="D12442" s="196">
        <v>0</v>
      </c>
      <c r="E12442" s="196">
        <v>0</v>
      </c>
      <c r="F12442" s="196">
        <v>0</v>
      </c>
      <c r="G12442" s="196">
        <v>-5000</v>
      </c>
    </row>
    <row r="12443" spans="1:7" x14ac:dyDescent="0.3">
      <c r="A12443" s="198">
        <v>1036450198</v>
      </c>
      <c r="B12443" s="192" t="s">
        <v>5996</v>
      </c>
      <c r="C12443" s="196">
        <v>-304000</v>
      </c>
      <c r="D12443" s="196">
        <v>0</v>
      </c>
      <c r="E12443" s="196">
        <v>0</v>
      </c>
      <c r="F12443" s="196">
        <v>0</v>
      </c>
      <c r="G12443" s="196">
        <v>-304000</v>
      </c>
    </row>
    <row r="12444" spans="1:7" x14ac:dyDescent="0.3">
      <c r="A12444" s="198">
        <v>1000100365</v>
      </c>
      <c r="B12444" s="192" t="s">
        <v>5997</v>
      </c>
      <c r="C12444" s="196">
        <v>-175000</v>
      </c>
      <c r="D12444" s="196">
        <v>0</v>
      </c>
      <c r="E12444" s="196">
        <v>0</v>
      </c>
      <c r="F12444" s="196">
        <v>0</v>
      </c>
      <c r="G12444" s="196">
        <v>-175000</v>
      </c>
    </row>
    <row r="12445" spans="1:7" x14ac:dyDescent="0.3">
      <c r="A12445" s="198">
        <v>1032398527</v>
      </c>
      <c r="B12445" s="192" t="s">
        <v>6005</v>
      </c>
      <c r="C12445" s="196">
        <v>-175000</v>
      </c>
      <c r="D12445" s="196">
        <v>0</v>
      </c>
      <c r="E12445" s="196">
        <v>0</v>
      </c>
      <c r="F12445" s="196">
        <v>0</v>
      </c>
      <c r="G12445" s="196">
        <v>-175000</v>
      </c>
    </row>
    <row r="12446" spans="1:7" x14ac:dyDescent="0.3">
      <c r="A12446" s="198">
        <v>5533236</v>
      </c>
      <c r="B12446" s="192" t="s">
        <v>1474</v>
      </c>
      <c r="C12446" s="196">
        <v>0</v>
      </c>
      <c r="D12446" s="196">
        <v>0</v>
      </c>
      <c r="E12446" s="196">
        <v>175000</v>
      </c>
      <c r="F12446" s="196">
        <v>-175000</v>
      </c>
      <c r="G12446" s="196">
        <v>-175000</v>
      </c>
    </row>
    <row r="12447" spans="1:7" x14ac:dyDescent="0.3">
      <c r="A12447" s="198">
        <v>1238938083</v>
      </c>
      <c r="B12447" s="192" t="s">
        <v>1475</v>
      </c>
      <c r="C12447" s="196">
        <v>0</v>
      </c>
      <c r="D12447" s="196">
        <v>0</v>
      </c>
      <c r="E12447" s="196">
        <v>5000</v>
      </c>
      <c r="F12447" s="196">
        <v>-5000</v>
      </c>
      <c r="G12447" s="196">
        <v>-5000</v>
      </c>
    </row>
    <row r="12448" spans="1:7" x14ac:dyDescent="0.3">
      <c r="A12448" s="198">
        <v>1026146547</v>
      </c>
      <c r="B12448" s="192" t="s">
        <v>6016</v>
      </c>
      <c r="C12448" s="196">
        <v>-138100</v>
      </c>
      <c r="D12448" s="196">
        <v>0</v>
      </c>
      <c r="E12448" s="196">
        <v>0</v>
      </c>
      <c r="F12448" s="196">
        <v>0</v>
      </c>
      <c r="G12448" s="196">
        <v>-138100</v>
      </c>
    </row>
    <row r="12449" spans="1:7" x14ac:dyDescent="0.3">
      <c r="A12449" s="198">
        <v>1020431916</v>
      </c>
      <c r="B12449" s="192" t="s">
        <v>6017</v>
      </c>
      <c r="C12449" s="196">
        <v>-175000</v>
      </c>
      <c r="D12449" s="196">
        <v>0</v>
      </c>
      <c r="E12449" s="196">
        <v>0</v>
      </c>
      <c r="F12449" s="196">
        <v>0</v>
      </c>
      <c r="G12449" s="196">
        <v>-175000</v>
      </c>
    </row>
    <row r="12450" spans="1:7" x14ac:dyDescent="0.3">
      <c r="A12450" s="198">
        <v>1036659458</v>
      </c>
      <c r="B12450" s="192" t="s">
        <v>6028</v>
      </c>
      <c r="C12450" s="196">
        <v>-64000</v>
      </c>
      <c r="D12450" s="196">
        <v>0</v>
      </c>
      <c r="E12450" s="196">
        <v>0</v>
      </c>
      <c r="F12450" s="196">
        <v>0</v>
      </c>
      <c r="G12450" s="196">
        <v>-64000</v>
      </c>
    </row>
    <row r="12451" spans="1:7" x14ac:dyDescent="0.3">
      <c r="A12451" s="198">
        <v>1062442511</v>
      </c>
      <c r="B12451" s="192" t="s">
        <v>1483</v>
      </c>
      <c r="C12451" s="196">
        <v>0</v>
      </c>
      <c r="D12451" s="196">
        <v>0</v>
      </c>
      <c r="E12451" s="196">
        <v>185000</v>
      </c>
      <c r="F12451" s="196">
        <v>-185000</v>
      </c>
      <c r="G12451" s="196">
        <v>-185000</v>
      </c>
    </row>
    <row r="12452" spans="1:7" x14ac:dyDescent="0.3">
      <c r="A12452" s="198">
        <v>1059709863</v>
      </c>
      <c r="B12452" s="192" t="s">
        <v>7075</v>
      </c>
      <c r="C12452" s="196">
        <v>-5000</v>
      </c>
      <c r="D12452" s="196">
        <v>0</v>
      </c>
      <c r="E12452" s="196">
        <v>0</v>
      </c>
      <c r="F12452" s="196">
        <v>0</v>
      </c>
      <c r="G12452" s="196">
        <v>-5000</v>
      </c>
    </row>
    <row r="12453" spans="1:7" x14ac:dyDescent="0.3">
      <c r="A12453" s="198">
        <v>1082774773</v>
      </c>
      <c r="B12453" s="192" t="s">
        <v>6043</v>
      </c>
      <c r="C12453" s="196">
        <v>-175000</v>
      </c>
      <c r="D12453" s="196">
        <v>0</v>
      </c>
      <c r="E12453" s="196">
        <v>0</v>
      </c>
      <c r="F12453" s="196">
        <v>0</v>
      </c>
      <c r="G12453" s="196">
        <v>-175000</v>
      </c>
    </row>
    <row r="12454" spans="1:7" x14ac:dyDescent="0.3">
      <c r="A12454" s="198">
        <v>50872795</v>
      </c>
      <c r="B12454" s="192" t="s">
        <v>7077</v>
      </c>
      <c r="C12454" s="196">
        <v>-5000</v>
      </c>
      <c r="D12454" s="196">
        <v>0</v>
      </c>
      <c r="E12454" s="196">
        <v>0</v>
      </c>
      <c r="F12454" s="196">
        <v>0</v>
      </c>
      <c r="G12454" s="196">
        <v>-5000</v>
      </c>
    </row>
    <row r="12455" spans="1:7" x14ac:dyDescent="0.3">
      <c r="A12455" s="198">
        <v>1193569496</v>
      </c>
      <c r="B12455" s="192" t="s">
        <v>1490</v>
      </c>
      <c r="C12455" s="196">
        <v>-59400</v>
      </c>
      <c r="D12455" s="196">
        <v>0</v>
      </c>
      <c r="E12455" s="196">
        <v>0</v>
      </c>
      <c r="F12455" s="196">
        <v>0</v>
      </c>
      <c r="G12455" s="196">
        <v>-59400</v>
      </c>
    </row>
    <row r="12456" spans="1:7" x14ac:dyDescent="0.3">
      <c r="A12456" s="198">
        <v>1000416873</v>
      </c>
      <c r="B12456" s="192" t="s">
        <v>7078</v>
      </c>
      <c r="C12456" s="196">
        <v>-175000</v>
      </c>
      <c r="D12456" s="196">
        <v>0</v>
      </c>
      <c r="E12456" s="196">
        <v>0</v>
      </c>
      <c r="F12456" s="196">
        <v>0</v>
      </c>
      <c r="G12456" s="196">
        <v>-175000</v>
      </c>
    </row>
    <row r="12457" spans="1:7" x14ac:dyDescent="0.3">
      <c r="A12457" s="198">
        <v>32320278</v>
      </c>
      <c r="B12457" s="192" t="s">
        <v>7079</v>
      </c>
      <c r="C12457" s="196">
        <v>-5000</v>
      </c>
      <c r="D12457" s="196">
        <v>0</v>
      </c>
      <c r="E12457" s="196">
        <v>0</v>
      </c>
      <c r="F12457" s="196">
        <v>0</v>
      </c>
      <c r="G12457" s="196">
        <v>-5000</v>
      </c>
    </row>
    <row r="12458" spans="1:7" x14ac:dyDescent="0.3">
      <c r="A12458" s="198">
        <v>1094880470</v>
      </c>
      <c r="B12458" s="192" t="s">
        <v>1491</v>
      </c>
      <c r="C12458" s="196">
        <v>0</v>
      </c>
      <c r="D12458" s="196">
        <v>0</v>
      </c>
      <c r="E12458" s="196">
        <v>290000</v>
      </c>
      <c r="F12458" s="196">
        <v>-290000</v>
      </c>
      <c r="G12458" s="196">
        <v>-290000</v>
      </c>
    </row>
    <row r="12459" spans="1:7" x14ac:dyDescent="0.3">
      <c r="A12459" s="198">
        <v>52066465</v>
      </c>
      <c r="B12459" s="192" t="s">
        <v>6078</v>
      </c>
      <c r="C12459" s="196">
        <v>-270000</v>
      </c>
      <c r="D12459" s="196">
        <v>0</v>
      </c>
      <c r="E12459" s="196">
        <v>0</v>
      </c>
      <c r="F12459" s="196">
        <v>0</v>
      </c>
      <c r="G12459" s="196">
        <v>-270000</v>
      </c>
    </row>
    <row r="12460" spans="1:7" x14ac:dyDescent="0.3">
      <c r="A12460" s="192" t="s">
        <v>1495</v>
      </c>
      <c r="B12460" s="192" t="s">
        <v>1496</v>
      </c>
      <c r="C12460" s="196">
        <v>0</v>
      </c>
      <c r="D12460" s="196">
        <v>0</v>
      </c>
      <c r="E12460" s="196">
        <v>175000</v>
      </c>
      <c r="F12460" s="196">
        <v>-175000</v>
      </c>
      <c r="G12460" s="196">
        <v>-175000</v>
      </c>
    </row>
    <row r="12461" spans="1:7" x14ac:dyDescent="0.3">
      <c r="A12461" s="198">
        <v>1035232080</v>
      </c>
      <c r="B12461" s="192" t="s">
        <v>6096</v>
      </c>
      <c r="C12461" s="196">
        <v>-175000</v>
      </c>
      <c r="D12461" s="196">
        <v>0</v>
      </c>
      <c r="E12461" s="196">
        <v>0</v>
      </c>
      <c r="F12461" s="196">
        <v>0</v>
      </c>
      <c r="G12461" s="196">
        <v>-175000</v>
      </c>
    </row>
    <row r="12462" spans="1:7" x14ac:dyDescent="0.3">
      <c r="A12462" s="198">
        <v>29757007</v>
      </c>
      <c r="B12462" s="192" t="s">
        <v>1497</v>
      </c>
      <c r="C12462" s="196">
        <v>0</v>
      </c>
      <c r="D12462" s="196">
        <v>0</v>
      </c>
      <c r="E12462" s="196">
        <v>5000</v>
      </c>
      <c r="F12462" s="196">
        <v>-5000</v>
      </c>
      <c r="G12462" s="196">
        <v>-5000</v>
      </c>
    </row>
    <row r="12463" spans="1:7" x14ac:dyDescent="0.3">
      <c r="A12463" s="198">
        <v>1017213586</v>
      </c>
      <c r="B12463" s="192" t="s">
        <v>7083</v>
      </c>
      <c r="C12463" s="196">
        <v>-5000</v>
      </c>
      <c r="D12463" s="196">
        <v>0</v>
      </c>
      <c r="E12463" s="196">
        <v>0</v>
      </c>
      <c r="F12463" s="196">
        <v>0</v>
      </c>
      <c r="G12463" s="196">
        <v>-5000</v>
      </c>
    </row>
    <row r="12464" spans="1:7" x14ac:dyDescent="0.3">
      <c r="A12464" s="192" t="s">
        <v>7084</v>
      </c>
      <c r="B12464" s="192" t="s">
        <v>7085</v>
      </c>
      <c r="C12464" s="196">
        <v>-175000</v>
      </c>
      <c r="D12464" s="196">
        <v>0</v>
      </c>
      <c r="E12464" s="196">
        <v>0</v>
      </c>
      <c r="F12464" s="196">
        <v>0</v>
      </c>
      <c r="G12464" s="196">
        <v>-175000</v>
      </c>
    </row>
    <row r="12465" spans="1:7" x14ac:dyDescent="0.3">
      <c r="A12465" s="198">
        <v>678656860</v>
      </c>
      <c r="B12465" s="192" t="s">
        <v>6108</v>
      </c>
      <c r="C12465" s="196">
        <v>-175000</v>
      </c>
      <c r="D12465" s="196">
        <v>0</v>
      </c>
      <c r="E12465" s="196">
        <v>0</v>
      </c>
      <c r="F12465" s="196">
        <v>0</v>
      </c>
      <c r="G12465" s="196">
        <v>-175000</v>
      </c>
    </row>
    <row r="12466" spans="1:7" x14ac:dyDescent="0.3">
      <c r="A12466" s="192" t="s">
        <v>1504</v>
      </c>
      <c r="B12466" s="192" t="s">
        <v>1505</v>
      </c>
      <c r="C12466" s="196">
        <v>0</v>
      </c>
      <c r="D12466" s="196">
        <v>0</v>
      </c>
      <c r="E12466" s="196">
        <v>175000</v>
      </c>
      <c r="F12466" s="196">
        <v>-175000</v>
      </c>
      <c r="G12466" s="196">
        <v>-175000</v>
      </c>
    </row>
    <row r="12467" spans="1:7" x14ac:dyDescent="0.3">
      <c r="A12467" s="198">
        <v>1020409600</v>
      </c>
      <c r="B12467" s="192" t="s">
        <v>7088</v>
      </c>
      <c r="C12467" s="196">
        <v>-5000</v>
      </c>
      <c r="D12467" s="196">
        <v>0</v>
      </c>
      <c r="E12467" s="196">
        <v>0</v>
      </c>
      <c r="F12467" s="196">
        <v>0</v>
      </c>
      <c r="G12467" s="196">
        <v>-5000</v>
      </c>
    </row>
    <row r="12468" spans="1:7" x14ac:dyDescent="0.3">
      <c r="A12468" s="198">
        <v>1017265018</v>
      </c>
      <c r="B12468" s="192" t="s">
        <v>1512</v>
      </c>
      <c r="C12468" s="196">
        <v>-175000</v>
      </c>
      <c r="D12468" s="196">
        <v>0</v>
      </c>
      <c r="E12468" s="196">
        <v>0</v>
      </c>
      <c r="F12468" s="196">
        <v>0</v>
      </c>
      <c r="G12468" s="196">
        <v>-175000</v>
      </c>
    </row>
    <row r="12469" spans="1:7" x14ac:dyDescent="0.3">
      <c r="A12469" s="198">
        <v>680221889</v>
      </c>
      <c r="B12469" s="192" t="s">
        <v>6124</v>
      </c>
      <c r="C12469" s="196">
        <v>-214000</v>
      </c>
      <c r="D12469" s="196">
        <v>0</v>
      </c>
      <c r="E12469" s="196">
        <v>0</v>
      </c>
      <c r="F12469" s="196">
        <v>0</v>
      </c>
      <c r="G12469" s="196">
        <v>-214000</v>
      </c>
    </row>
    <row r="12470" spans="1:7" x14ac:dyDescent="0.3">
      <c r="A12470" s="198">
        <v>32475022</v>
      </c>
      <c r="B12470" s="192" t="s">
        <v>1513</v>
      </c>
      <c r="C12470" s="196">
        <v>-290000</v>
      </c>
      <c r="D12470" s="196">
        <v>0</v>
      </c>
      <c r="E12470" s="196">
        <v>0</v>
      </c>
      <c r="F12470" s="196">
        <v>0</v>
      </c>
      <c r="G12470" s="196">
        <v>-290000</v>
      </c>
    </row>
    <row r="12471" spans="1:7" x14ac:dyDescent="0.3">
      <c r="A12471" s="198">
        <v>43466973</v>
      </c>
      <c r="B12471" s="192" t="s">
        <v>7092</v>
      </c>
      <c r="C12471" s="196">
        <v>-5000</v>
      </c>
      <c r="D12471" s="196">
        <v>0</v>
      </c>
      <c r="E12471" s="196">
        <v>0</v>
      </c>
      <c r="F12471" s="196">
        <v>0</v>
      </c>
      <c r="G12471" s="196">
        <v>-5000</v>
      </c>
    </row>
    <row r="12472" spans="1:7" x14ac:dyDescent="0.3">
      <c r="A12472" s="198">
        <v>32461229</v>
      </c>
      <c r="B12472" s="192" t="s">
        <v>1515</v>
      </c>
      <c r="C12472" s="196">
        <v>-4900000</v>
      </c>
      <c r="D12472" s="196">
        <v>0</v>
      </c>
      <c r="E12472" s="196">
        <v>2450000</v>
      </c>
      <c r="F12472" s="196">
        <v>-2450000</v>
      </c>
      <c r="G12472" s="196">
        <v>-7350000</v>
      </c>
    </row>
    <row r="12473" spans="1:7" x14ac:dyDescent="0.3">
      <c r="A12473" s="192" t="s">
        <v>1517</v>
      </c>
      <c r="B12473" s="192" t="s">
        <v>1518</v>
      </c>
      <c r="C12473" s="196">
        <v>-56000</v>
      </c>
      <c r="D12473" s="196">
        <v>0</v>
      </c>
      <c r="E12473" s="196">
        <v>0</v>
      </c>
      <c r="F12473" s="196">
        <v>0</v>
      </c>
      <c r="G12473" s="196">
        <v>-56000</v>
      </c>
    </row>
    <row r="12474" spans="1:7" x14ac:dyDescent="0.3">
      <c r="A12474" s="198">
        <v>80419835</v>
      </c>
      <c r="B12474" s="192" t="s">
        <v>1528</v>
      </c>
      <c r="C12474" s="196">
        <v>0</v>
      </c>
      <c r="D12474" s="196">
        <v>0</v>
      </c>
      <c r="E12474" s="196">
        <v>111000</v>
      </c>
      <c r="F12474" s="196">
        <v>-111000</v>
      </c>
      <c r="G12474" s="196">
        <v>-111000</v>
      </c>
    </row>
    <row r="12475" spans="1:7" x14ac:dyDescent="0.3">
      <c r="A12475" s="198">
        <v>15328620</v>
      </c>
      <c r="B12475" s="192" t="s">
        <v>6156</v>
      </c>
      <c r="C12475" s="196">
        <v>-270000</v>
      </c>
      <c r="D12475" s="196">
        <v>0</v>
      </c>
      <c r="E12475" s="196">
        <v>0</v>
      </c>
      <c r="F12475" s="196">
        <v>0</v>
      </c>
      <c r="G12475" s="196">
        <v>-270000</v>
      </c>
    </row>
    <row r="12476" spans="1:7" x14ac:dyDescent="0.3">
      <c r="A12476" s="198">
        <v>1214748395</v>
      </c>
      <c r="B12476" s="192" t="s">
        <v>1533</v>
      </c>
      <c r="C12476" s="196">
        <v>0</v>
      </c>
      <c r="D12476" s="196">
        <v>0</v>
      </c>
      <c r="E12476" s="196">
        <v>5000</v>
      </c>
      <c r="F12476" s="196">
        <v>-5000</v>
      </c>
      <c r="G12476" s="196">
        <v>-5000</v>
      </c>
    </row>
    <row r="12477" spans="1:7" x14ac:dyDescent="0.3">
      <c r="A12477" s="198">
        <v>1037607480</v>
      </c>
      <c r="B12477" s="192" t="s">
        <v>1538</v>
      </c>
      <c r="C12477" s="196">
        <v>0</v>
      </c>
      <c r="D12477" s="196">
        <v>0</v>
      </c>
      <c r="E12477" s="196">
        <v>64800</v>
      </c>
      <c r="F12477" s="196">
        <v>-64800</v>
      </c>
      <c r="G12477" s="196">
        <v>-64800</v>
      </c>
    </row>
    <row r="12478" spans="1:7" x14ac:dyDescent="0.3">
      <c r="A12478" s="198">
        <v>1039473567</v>
      </c>
      <c r="B12478" s="192" t="s">
        <v>1539</v>
      </c>
      <c r="C12478" s="196">
        <v>-214000</v>
      </c>
      <c r="D12478" s="196">
        <v>0</v>
      </c>
      <c r="E12478" s="196">
        <v>0</v>
      </c>
      <c r="F12478" s="196">
        <v>0</v>
      </c>
      <c r="G12478" s="196">
        <v>-214000</v>
      </c>
    </row>
    <row r="12479" spans="1:7" x14ac:dyDescent="0.3">
      <c r="A12479" s="198">
        <v>1026000891</v>
      </c>
      <c r="B12479" s="192" t="s">
        <v>7101</v>
      </c>
      <c r="C12479" s="196">
        <v>-92000</v>
      </c>
      <c r="D12479" s="196">
        <v>0</v>
      </c>
      <c r="E12479" s="196">
        <v>0</v>
      </c>
      <c r="F12479" s="196">
        <v>0</v>
      </c>
      <c r="G12479" s="196">
        <v>-92000</v>
      </c>
    </row>
    <row r="12480" spans="1:7" x14ac:dyDescent="0.3">
      <c r="A12480" s="198">
        <v>1000535796</v>
      </c>
      <c r="B12480" s="192" t="s">
        <v>6184</v>
      </c>
      <c r="C12480" s="196">
        <v>-175000</v>
      </c>
      <c r="D12480" s="196">
        <v>0</v>
      </c>
      <c r="E12480" s="196">
        <v>0</v>
      </c>
      <c r="F12480" s="196">
        <v>0</v>
      </c>
      <c r="G12480" s="196">
        <v>-175000</v>
      </c>
    </row>
    <row r="12481" spans="1:7" x14ac:dyDescent="0.3">
      <c r="A12481" s="198">
        <v>1234988519</v>
      </c>
      <c r="B12481" s="192" t="s">
        <v>7103</v>
      </c>
      <c r="C12481" s="196">
        <v>-5000</v>
      </c>
      <c r="D12481" s="196">
        <v>0</v>
      </c>
      <c r="E12481" s="196">
        <v>0</v>
      </c>
      <c r="F12481" s="196">
        <v>0</v>
      </c>
      <c r="G12481" s="196">
        <v>-5000</v>
      </c>
    </row>
    <row r="12482" spans="1:7" x14ac:dyDescent="0.3">
      <c r="A12482" s="198">
        <v>1020494358</v>
      </c>
      <c r="B12482" s="192" t="s">
        <v>7104</v>
      </c>
      <c r="C12482" s="196">
        <v>-5000</v>
      </c>
      <c r="D12482" s="196">
        <v>0</v>
      </c>
      <c r="E12482" s="196">
        <v>0</v>
      </c>
      <c r="F12482" s="196">
        <v>0</v>
      </c>
      <c r="G12482" s="196">
        <v>-5000</v>
      </c>
    </row>
    <row r="12483" spans="1:7" x14ac:dyDescent="0.3">
      <c r="A12483" s="198">
        <v>1000402554</v>
      </c>
      <c r="B12483" s="192" t="s">
        <v>7106</v>
      </c>
      <c r="C12483" s="196">
        <v>-5000</v>
      </c>
      <c r="D12483" s="196">
        <v>0</v>
      </c>
      <c r="E12483" s="196">
        <v>0</v>
      </c>
      <c r="F12483" s="196">
        <v>0</v>
      </c>
      <c r="G12483" s="196">
        <v>-5000</v>
      </c>
    </row>
    <row r="12484" spans="1:7" x14ac:dyDescent="0.3">
      <c r="A12484" s="198">
        <v>1015066701</v>
      </c>
      <c r="B12484" s="192" t="s">
        <v>7107</v>
      </c>
      <c r="C12484" s="196">
        <v>-5000</v>
      </c>
      <c r="D12484" s="196">
        <v>0</v>
      </c>
      <c r="E12484" s="196">
        <v>0</v>
      </c>
      <c r="F12484" s="196">
        <v>0</v>
      </c>
      <c r="G12484" s="196">
        <v>-5000</v>
      </c>
    </row>
    <row r="12485" spans="1:7" x14ac:dyDescent="0.3">
      <c r="A12485" s="198">
        <v>1152226624</v>
      </c>
      <c r="B12485" s="192" t="s">
        <v>7397</v>
      </c>
      <c r="C12485" s="196">
        <v>-412400</v>
      </c>
      <c r="D12485" s="196">
        <v>0</v>
      </c>
      <c r="E12485" s="196">
        <v>0</v>
      </c>
      <c r="F12485" s="196">
        <v>0</v>
      </c>
      <c r="G12485" s="196">
        <v>-412400</v>
      </c>
    </row>
    <row r="12486" spans="1:7" x14ac:dyDescent="0.3">
      <c r="A12486" s="198">
        <v>1125639863</v>
      </c>
      <c r="B12486" s="192" t="s">
        <v>6199</v>
      </c>
      <c r="C12486" s="196">
        <v>-133400</v>
      </c>
      <c r="D12486" s="196">
        <v>0</v>
      </c>
      <c r="E12486" s="196">
        <v>0</v>
      </c>
      <c r="F12486" s="196">
        <v>0</v>
      </c>
      <c r="G12486" s="196">
        <v>-133400</v>
      </c>
    </row>
    <row r="12487" spans="1:7" x14ac:dyDescent="0.3">
      <c r="A12487" s="198">
        <v>1002133839</v>
      </c>
      <c r="B12487" s="192" t="s">
        <v>6204</v>
      </c>
      <c r="C12487" s="196">
        <v>-84400</v>
      </c>
      <c r="D12487" s="196">
        <v>0</v>
      </c>
      <c r="E12487" s="196">
        <v>0</v>
      </c>
      <c r="F12487" s="196">
        <v>0</v>
      </c>
      <c r="G12487" s="196">
        <v>-84400</v>
      </c>
    </row>
    <row r="12488" spans="1:7" x14ac:dyDescent="0.3">
      <c r="A12488" s="192" t="s">
        <v>1552</v>
      </c>
      <c r="B12488" s="192" t="s">
        <v>1553</v>
      </c>
      <c r="C12488" s="196">
        <v>0</v>
      </c>
      <c r="D12488" s="196">
        <v>0</v>
      </c>
      <c r="E12488" s="196">
        <v>175000</v>
      </c>
      <c r="F12488" s="196">
        <v>-175000</v>
      </c>
      <c r="G12488" s="196">
        <v>-175000</v>
      </c>
    </row>
    <row r="12489" spans="1:7" x14ac:dyDescent="0.3">
      <c r="A12489" s="198">
        <v>184191505</v>
      </c>
      <c r="B12489" s="192" t="s">
        <v>7398</v>
      </c>
      <c r="C12489" s="196">
        <v>-270000</v>
      </c>
      <c r="D12489" s="196">
        <v>0</v>
      </c>
      <c r="E12489" s="196">
        <v>0</v>
      </c>
      <c r="F12489" s="196">
        <v>0</v>
      </c>
      <c r="G12489" s="196">
        <v>-270000</v>
      </c>
    </row>
    <row r="12490" spans="1:7" x14ac:dyDescent="0.3">
      <c r="A12490" s="198">
        <v>1045111316</v>
      </c>
      <c r="B12490" s="192" t="s">
        <v>7110</v>
      </c>
      <c r="C12490" s="196">
        <v>-5000</v>
      </c>
      <c r="D12490" s="196">
        <v>0</v>
      </c>
      <c r="E12490" s="196">
        <v>0</v>
      </c>
      <c r="F12490" s="196">
        <v>0</v>
      </c>
      <c r="G12490" s="196">
        <v>-5000</v>
      </c>
    </row>
    <row r="12491" spans="1:7" x14ac:dyDescent="0.3">
      <c r="A12491" s="198">
        <v>1033653901</v>
      </c>
      <c r="B12491" s="192" t="s">
        <v>6210</v>
      </c>
      <c r="C12491" s="196">
        <v>-175000</v>
      </c>
      <c r="D12491" s="196">
        <v>0</v>
      </c>
      <c r="E12491" s="196">
        <v>0</v>
      </c>
      <c r="F12491" s="196">
        <v>0</v>
      </c>
      <c r="G12491" s="196">
        <v>-175000</v>
      </c>
    </row>
    <row r="12492" spans="1:7" x14ac:dyDescent="0.3">
      <c r="A12492" s="198">
        <v>1152461952</v>
      </c>
      <c r="B12492" s="192" t="s">
        <v>7112</v>
      </c>
      <c r="C12492" s="196">
        <v>-5000</v>
      </c>
      <c r="D12492" s="196">
        <v>0</v>
      </c>
      <c r="E12492" s="196">
        <v>0</v>
      </c>
      <c r="F12492" s="196">
        <v>0</v>
      </c>
      <c r="G12492" s="196">
        <v>-5000</v>
      </c>
    </row>
    <row r="12493" spans="1:7" x14ac:dyDescent="0.3">
      <c r="A12493" s="198">
        <v>1001748289</v>
      </c>
      <c r="B12493" s="192" t="s">
        <v>7113</v>
      </c>
      <c r="C12493" s="196">
        <v>-5000</v>
      </c>
      <c r="D12493" s="196">
        <v>0</v>
      </c>
      <c r="E12493" s="196">
        <v>0</v>
      </c>
      <c r="F12493" s="196">
        <v>0</v>
      </c>
      <c r="G12493" s="196">
        <v>-5000</v>
      </c>
    </row>
    <row r="12494" spans="1:7" x14ac:dyDescent="0.3">
      <c r="A12494" s="198">
        <v>1022142653</v>
      </c>
      <c r="B12494" s="192" t="s">
        <v>7114</v>
      </c>
      <c r="C12494" s="196">
        <v>-5000</v>
      </c>
      <c r="D12494" s="196">
        <v>0</v>
      </c>
      <c r="E12494" s="196">
        <v>0</v>
      </c>
      <c r="F12494" s="196">
        <v>0</v>
      </c>
      <c r="G12494" s="196">
        <v>-5000</v>
      </c>
    </row>
    <row r="12495" spans="1:7" x14ac:dyDescent="0.3">
      <c r="A12495" s="198">
        <v>1017141944</v>
      </c>
      <c r="B12495" s="192" t="s">
        <v>6212</v>
      </c>
      <c r="C12495" s="196">
        <v>-175000</v>
      </c>
      <c r="D12495" s="196">
        <v>0</v>
      </c>
      <c r="E12495" s="196">
        <v>0</v>
      </c>
      <c r="F12495" s="196">
        <v>0</v>
      </c>
      <c r="G12495" s="196">
        <v>-175000</v>
      </c>
    </row>
    <row r="12496" spans="1:7" x14ac:dyDescent="0.3">
      <c r="A12496" s="198">
        <v>3329860</v>
      </c>
      <c r="B12496" s="192" t="s">
        <v>6214</v>
      </c>
      <c r="C12496" s="196">
        <v>-253000</v>
      </c>
      <c r="D12496" s="196">
        <v>0</v>
      </c>
      <c r="E12496" s="196">
        <v>0</v>
      </c>
      <c r="F12496" s="196">
        <v>0</v>
      </c>
      <c r="G12496" s="196">
        <v>-253000</v>
      </c>
    </row>
    <row r="12497" spans="1:7" x14ac:dyDescent="0.3">
      <c r="A12497" s="198">
        <v>501264</v>
      </c>
      <c r="B12497" s="192" t="s">
        <v>7115</v>
      </c>
      <c r="C12497" s="196">
        <v>-270000</v>
      </c>
      <c r="D12497" s="196">
        <v>0</v>
      </c>
      <c r="E12497" s="196">
        <v>0</v>
      </c>
      <c r="F12497" s="196">
        <v>0</v>
      </c>
      <c r="G12497" s="196">
        <v>-270000</v>
      </c>
    </row>
    <row r="12498" spans="1:7" x14ac:dyDescent="0.3">
      <c r="A12498" s="198">
        <v>70547299</v>
      </c>
      <c r="B12498" s="192" t="s">
        <v>7334</v>
      </c>
      <c r="C12498" s="196">
        <v>-270000</v>
      </c>
      <c r="D12498" s="196">
        <v>0</v>
      </c>
      <c r="E12498" s="196">
        <v>0</v>
      </c>
      <c r="F12498" s="196">
        <v>0</v>
      </c>
      <c r="G12498" s="196">
        <v>-270000</v>
      </c>
    </row>
    <row r="12499" spans="1:7" x14ac:dyDescent="0.3">
      <c r="A12499" s="198">
        <v>42969030</v>
      </c>
      <c r="B12499" s="192" t="s">
        <v>6229</v>
      </c>
      <c r="C12499" s="196">
        <v>-74000</v>
      </c>
      <c r="D12499" s="196">
        <v>0</v>
      </c>
      <c r="E12499" s="196">
        <v>0</v>
      </c>
      <c r="F12499" s="196">
        <v>0</v>
      </c>
      <c r="G12499" s="196">
        <v>-74000</v>
      </c>
    </row>
    <row r="12500" spans="1:7" x14ac:dyDescent="0.3">
      <c r="A12500" s="198">
        <v>1039461528</v>
      </c>
      <c r="B12500" s="192" t="s">
        <v>6230</v>
      </c>
      <c r="C12500" s="196">
        <v>-52200</v>
      </c>
      <c r="D12500" s="196">
        <v>0</v>
      </c>
      <c r="E12500" s="196">
        <v>0</v>
      </c>
      <c r="F12500" s="196">
        <v>0</v>
      </c>
      <c r="G12500" s="196">
        <v>-52200</v>
      </c>
    </row>
    <row r="12501" spans="1:7" x14ac:dyDescent="0.3">
      <c r="A12501" s="198">
        <v>3489146</v>
      </c>
      <c r="B12501" s="192" t="s">
        <v>1563</v>
      </c>
      <c r="C12501" s="196">
        <v>-580000</v>
      </c>
      <c r="D12501" s="196">
        <v>0</v>
      </c>
      <c r="E12501" s="196">
        <v>0</v>
      </c>
      <c r="F12501" s="196">
        <v>0</v>
      </c>
      <c r="G12501" s="196">
        <v>-580000</v>
      </c>
    </row>
    <row r="12502" spans="1:7" x14ac:dyDescent="0.3">
      <c r="A12502" s="198">
        <v>1038101569</v>
      </c>
      <c r="B12502" s="192" t="s">
        <v>1564</v>
      </c>
      <c r="C12502" s="196">
        <v>-175000</v>
      </c>
      <c r="D12502" s="196">
        <v>0</v>
      </c>
      <c r="E12502" s="196">
        <v>0</v>
      </c>
      <c r="F12502" s="196">
        <v>0</v>
      </c>
      <c r="G12502" s="196">
        <v>-175000</v>
      </c>
    </row>
    <row r="12503" spans="1:7" x14ac:dyDescent="0.3">
      <c r="A12503" s="198">
        <v>1000874730</v>
      </c>
      <c r="B12503" s="192" t="s">
        <v>1567</v>
      </c>
      <c r="C12503" s="196">
        <v>0</v>
      </c>
      <c r="D12503" s="196">
        <v>0</v>
      </c>
      <c r="E12503" s="196">
        <v>5000</v>
      </c>
      <c r="F12503" s="196">
        <v>-5000</v>
      </c>
      <c r="G12503" s="196">
        <v>-5000</v>
      </c>
    </row>
    <row r="12504" spans="1:7" x14ac:dyDescent="0.3">
      <c r="A12504" s="198">
        <v>1020466111</v>
      </c>
      <c r="B12504" s="192" t="s">
        <v>7126</v>
      </c>
      <c r="C12504" s="196">
        <v>-5000</v>
      </c>
      <c r="D12504" s="196">
        <v>0</v>
      </c>
      <c r="E12504" s="196">
        <v>0</v>
      </c>
      <c r="F12504" s="196">
        <v>0</v>
      </c>
      <c r="G12504" s="196">
        <v>-5000</v>
      </c>
    </row>
    <row r="12505" spans="1:7" x14ac:dyDescent="0.3">
      <c r="A12505" s="198">
        <v>98539110</v>
      </c>
      <c r="B12505" s="192" t="s">
        <v>1569</v>
      </c>
      <c r="C12505" s="196">
        <v>0</v>
      </c>
      <c r="D12505" s="196">
        <v>0</v>
      </c>
      <c r="E12505" s="196">
        <v>515000</v>
      </c>
      <c r="F12505" s="196">
        <v>-515000</v>
      </c>
      <c r="G12505" s="196">
        <v>-515000</v>
      </c>
    </row>
    <row r="12506" spans="1:7" x14ac:dyDescent="0.3">
      <c r="A12506" s="192" t="s">
        <v>7336</v>
      </c>
      <c r="B12506" s="192" t="s">
        <v>7337</v>
      </c>
      <c r="C12506" s="196">
        <v>-5000</v>
      </c>
      <c r="D12506" s="196">
        <v>0</v>
      </c>
      <c r="E12506" s="196">
        <v>0</v>
      </c>
      <c r="F12506" s="196">
        <v>0</v>
      </c>
      <c r="G12506" s="196">
        <v>-5000</v>
      </c>
    </row>
    <row r="12507" spans="1:7" x14ac:dyDescent="0.3">
      <c r="A12507" s="198">
        <v>8458181</v>
      </c>
      <c r="B12507" s="192" t="s">
        <v>7129</v>
      </c>
      <c r="C12507" s="196">
        <v>-270000</v>
      </c>
      <c r="D12507" s="196">
        <v>0</v>
      </c>
      <c r="E12507" s="196">
        <v>0</v>
      </c>
      <c r="F12507" s="196">
        <v>0</v>
      </c>
      <c r="G12507" s="196">
        <v>-270000</v>
      </c>
    </row>
    <row r="12508" spans="1:7" x14ac:dyDescent="0.3">
      <c r="A12508" s="198">
        <v>70724924</v>
      </c>
      <c r="B12508" s="192" t="s">
        <v>1572</v>
      </c>
      <c r="C12508" s="196">
        <v>-270001</v>
      </c>
      <c r="D12508" s="196">
        <v>0</v>
      </c>
      <c r="E12508" s="196">
        <v>0</v>
      </c>
      <c r="F12508" s="196">
        <v>0</v>
      </c>
      <c r="G12508" s="196">
        <v>-270001</v>
      </c>
    </row>
    <row r="12509" spans="1:7" x14ac:dyDescent="0.3">
      <c r="A12509" s="192" t="s">
        <v>6254</v>
      </c>
      <c r="B12509" s="192" t="s">
        <v>6255</v>
      </c>
      <c r="C12509" s="196">
        <v>-175000</v>
      </c>
      <c r="D12509" s="196">
        <v>0</v>
      </c>
      <c r="E12509" s="196">
        <v>0</v>
      </c>
      <c r="F12509" s="196">
        <v>0</v>
      </c>
      <c r="G12509" s="196">
        <v>-175000</v>
      </c>
    </row>
    <row r="12510" spans="1:7" x14ac:dyDescent="0.3">
      <c r="A12510" s="198">
        <v>1040742687</v>
      </c>
      <c r="B12510" s="192" t="s">
        <v>6256</v>
      </c>
      <c r="C12510" s="196">
        <v>-71000</v>
      </c>
      <c r="D12510" s="196">
        <v>0</v>
      </c>
      <c r="E12510" s="196">
        <v>0</v>
      </c>
      <c r="F12510" s="196">
        <v>0</v>
      </c>
      <c r="G12510" s="196">
        <v>-71000</v>
      </c>
    </row>
    <row r="12511" spans="1:7" x14ac:dyDescent="0.3">
      <c r="A12511" s="198">
        <v>98517581</v>
      </c>
      <c r="B12511" s="192" t="s">
        <v>7399</v>
      </c>
      <c r="C12511" s="196">
        <v>-414700</v>
      </c>
      <c r="D12511" s="196">
        <v>0</v>
      </c>
      <c r="E12511" s="196">
        <v>0</v>
      </c>
      <c r="F12511" s="196">
        <v>0</v>
      </c>
      <c r="G12511" s="196">
        <v>-414700</v>
      </c>
    </row>
    <row r="12512" spans="1:7" x14ac:dyDescent="0.3">
      <c r="A12512" s="198">
        <v>1000908879</v>
      </c>
      <c r="B12512" s="192" t="s">
        <v>7136</v>
      </c>
      <c r="C12512" s="196">
        <v>-5000</v>
      </c>
      <c r="D12512" s="196">
        <v>0</v>
      </c>
      <c r="E12512" s="196">
        <v>0</v>
      </c>
      <c r="F12512" s="196">
        <v>0</v>
      </c>
      <c r="G12512" s="196">
        <v>-5000</v>
      </c>
    </row>
    <row r="12513" spans="1:7" x14ac:dyDescent="0.3">
      <c r="A12513" s="198">
        <v>1096200275</v>
      </c>
      <c r="B12513" s="192" t="s">
        <v>6275</v>
      </c>
      <c r="C12513" s="196">
        <v>-448000</v>
      </c>
      <c r="D12513" s="196">
        <v>0</v>
      </c>
      <c r="E12513" s="196">
        <v>0</v>
      </c>
      <c r="F12513" s="196">
        <v>0</v>
      </c>
      <c r="G12513" s="196">
        <v>-448000</v>
      </c>
    </row>
    <row r="12514" spans="1:7" x14ac:dyDescent="0.3">
      <c r="A12514" s="198">
        <v>1000403360</v>
      </c>
      <c r="B12514" s="192" t="s">
        <v>1688</v>
      </c>
      <c r="C12514" s="196">
        <v>-175000</v>
      </c>
      <c r="D12514" s="196">
        <v>0</v>
      </c>
      <c r="E12514" s="196">
        <v>0</v>
      </c>
      <c r="F12514" s="196">
        <v>0</v>
      </c>
      <c r="G12514" s="196">
        <v>-175000</v>
      </c>
    </row>
    <row r="12515" spans="1:7" x14ac:dyDescent="0.3">
      <c r="A12515" s="198">
        <v>1075253888</v>
      </c>
      <c r="B12515" s="192" t="s">
        <v>1581</v>
      </c>
      <c r="C12515" s="196">
        <v>0</v>
      </c>
      <c r="D12515" s="196">
        <v>0</v>
      </c>
      <c r="E12515" s="196">
        <v>5000</v>
      </c>
      <c r="F12515" s="196">
        <v>-5000</v>
      </c>
      <c r="G12515" s="196">
        <v>-5000</v>
      </c>
    </row>
    <row r="12516" spans="1:7" x14ac:dyDescent="0.3">
      <c r="A12516" s="198">
        <v>1020423559</v>
      </c>
      <c r="B12516" s="192" t="s">
        <v>1582</v>
      </c>
      <c r="C12516" s="196">
        <v>0</v>
      </c>
      <c r="D12516" s="196">
        <v>0</v>
      </c>
      <c r="E12516" s="196">
        <v>5000</v>
      </c>
      <c r="F12516" s="196">
        <v>-5000</v>
      </c>
      <c r="G12516" s="196">
        <v>-5000</v>
      </c>
    </row>
    <row r="12517" spans="1:7" x14ac:dyDescent="0.3">
      <c r="A12517" s="198">
        <v>1121825664</v>
      </c>
      <c r="B12517" s="192" t="s">
        <v>1584</v>
      </c>
      <c r="C12517" s="196">
        <v>-290000</v>
      </c>
      <c r="D12517" s="196">
        <v>0</v>
      </c>
      <c r="E12517" s="196">
        <v>0</v>
      </c>
      <c r="F12517" s="196">
        <v>0</v>
      </c>
      <c r="G12517" s="196">
        <v>-290000</v>
      </c>
    </row>
    <row r="12518" spans="1:7" x14ac:dyDescent="0.3">
      <c r="A12518" s="198">
        <v>43714834</v>
      </c>
      <c r="B12518" s="192" t="s">
        <v>7142</v>
      </c>
      <c r="C12518" s="196">
        <v>-5000</v>
      </c>
      <c r="D12518" s="196">
        <v>0</v>
      </c>
      <c r="E12518" s="196">
        <v>0</v>
      </c>
      <c r="F12518" s="196">
        <v>0</v>
      </c>
      <c r="G12518" s="196">
        <v>-5000</v>
      </c>
    </row>
    <row r="12519" spans="1:7" x14ac:dyDescent="0.3">
      <c r="A12519" s="198">
        <v>39176855</v>
      </c>
      <c r="B12519" s="192" t="s">
        <v>6286</v>
      </c>
      <c r="C12519" s="196">
        <v>-59400</v>
      </c>
      <c r="D12519" s="196">
        <v>0</v>
      </c>
      <c r="E12519" s="196">
        <v>0</v>
      </c>
      <c r="F12519" s="196">
        <v>0</v>
      </c>
      <c r="G12519" s="196">
        <v>-59400</v>
      </c>
    </row>
    <row r="12520" spans="1:7" x14ac:dyDescent="0.3">
      <c r="A12520" s="198">
        <v>1216716213</v>
      </c>
      <c r="B12520" s="192" t="s">
        <v>6291</v>
      </c>
      <c r="C12520" s="196">
        <v>-64000</v>
      </c>
      <c r="D12520" s="196">
        <v>0</v>
      </c>
      <c r="E12520" s="196">
        <v>0</v>
      </c>
      <c r="F12520" s="196">
        <v>0</v>
      </c>
      <c r="G12520" s="196">
        <v>-64000</v>
      </c>
    </row>
    <row r="12521" spans="1:7" x14ac:dyDescent="0.3">
      <c r="A12521" s="198">
        <v>1214740200</v>
      </c>
      <c r="B12521" s="192" t="s">
        <v>7150</v>
      </c>
      <c r="C12521" s="196">
        <v>-5000</v>
      </c>
      <c r="D12521" s="196">
        <v>0</v>
      </c>
      <c r="E12521" s="196">
        <v>0</v>
      </c>
      <c r="F12521" s="196">
        <v>0</v>
      </c>
      <c r="G12521" s="196">
        <v>-5000</v>
      </c>
    </row>
    <row r="12522" spans="1:7" x14ac:dyDescent="0.3">
      <c r="A12522" s="198">
        <v>1020404630</v>
      </c>
      <c r="B12522" s="192" t="s">
        <v>6295</v>
      </c>
      <c r="C12522" s="196">
        <v>-49000</v>
      </c>
      <c r="D12522" s="196">
        <v>0</v>
      </c>
      <c r="E12522" s="196">
        <v>0</v>
      </c>
      <c r="F12522" s="196">
        <v>0</v>
      </c>
      <c r="G12522" s="196">
        <v>-49000</v>
      </c>
    </row>
    <row r="12523" spans="1:7" x14ac:dyDescent="0.3">
      <c r="A12523" s="198">
        <v>1017153165</v>
      </c>
      <c r="B12523" s="192" t="s">
        <v>6297</v>
      </c>
      <c r="C12523" s="196">
        <v>-175000</v>
      </c>
      <c r="D12523" s="196">
        <v>0</v>
      </c>
      <c r="E12523" s="196">
        <v>0</v>
      </c>
      <c r="F12523" s="196">
        <v>0</v>
      </c>
      <c r="G12523" s="196">
        <v>-175000</v>
      </c>
    </row>
    <row r="12524" spans="1:7" x14ac:dyDescent="0.3">
      <c r="A12524" s="198">
        <v>1004012504</v>
      </c>
      <c r="B12524" s="192" t="s">
        <v>1590</v>
      </c>
      <c r="C12524" s="196">
        <v>0</v>
      </c>
      <c r="D12524" s="196">
        <v>0</v>
      </c>
      <c r="E12524" s="196">
        <v>102000</v>
      </c>
      <c r="F12524" s="196">
        <v>-102000</v>
      </c>
      <c r="G12524" s="196">
        <v>-102000</v>
      </c>
    </row>
    <row r="12525" spans="1:7" x14ac:dyDescent="0.3">
      <c r="A12525" s="198">
        <v>71481595</v>
      </c>
      <c r="B12525" s="192" t="s">
        <v>6299</v>
      </c>
      <c r="C12525" s="196">
        <v>-78000</v>
      </c>
      <c r="D12525" s="196">
        <v>0</v>
      </c>
      <c r="E12525" s="196">
        <v>0</v>
      </c>
      <c r="F12525" s="196">
        <v>0</v>
      </c>
      <c r="G12525" s="196">
        <v>-78000</v>
      </c>
    </row>
    <row r="12526" spans="1:7" x14ac:dyDescent="0.3">
      <c r="A12526" s="198">
        <v>1128400877</v>
      </c>
      <c r="B12526" s="192" t="s">
        <v>1591</v>
      </c>
      <c r="C12526" s="196">
        <v>0</v>
      </c>
      <c r="D12526" s="196">
        <v>0</v>
      </c>
      <c r="E12526" s="196">
        <v>5000</v>
      </c>
      <c r="F12526" s="196">
        <v>-5000</v>
      </c>
      <c r="G12526" s="196">
        <v>-5000</v>
      </c>
    </row>
    <row r="12527" spans="1:7" x14ac:dyDescent="0.3">
      <c r="A12527" s="198">
        <v>1044505395</v>
      </c>
      <c r="B12527" s="192" t="s">
        <v>7153</v>
      </c>
      <c r="C12527" s="196">
        <v>-5000</v>
      </c>
      <c r="D12527" s="196">
        <v>0</v>
      </c>
      <c r="E12527" s="196">
        <v>0</v>
      </c>
      <c r="F12527" s="196">
        <v>0</v>
      </c>
      <c r="G12527" s="196">
        <v>-5000</v>
      </c>
    </row>
    <row r="12528" spans="1:7" x14ac:dyDescent="0.3">
      <c r="A12528" s="198">
        <v>1037666529</v>
      </c>
      <c r="B12528" s="192" t="s">
        <v>6301</v>
      </c>
      <c r="C12528" s="196">
        <v>-175000</v>
      </c>
      <c r="D12528" s="196">
        <v>0</v>
      </c>
      <c r="E12528" s="196">
        <v>0</v>
      </c>
      <c r="F12528" s="196">
        <v>0</v>
      </c>
      <c r="G12528" s="196">
        <v>-175000</v>
      </c>
    </row>
    <row r="12529" spans="1:7" x14ac:dyDescent="0.3">
      <c r="A12529" s="198">
        <v>1143386639</v>
      </c>
      <c r="B12529" s="192" t="s">
        <v>7340</v>
      </c>
      <c r="C12529" s="196">
        <v>-5000</v>
      </c>
      <c r="D12529" s="196">
        <v>0</v>
      </c>
      <c r="E12529" s="196">
        <v>0</v>
      </c>
      <c r="F12529" s="196">
        <v>0</v>
      </c>
      <c r="G12529" s="196">
        <v>-5000</v>
      </c>
    </row>
    <row r="12530" spans="1:7" x14ac:dyDescent="0.3">
      <c r="A12530" s="198">
        <v>1152683438</v>
      </c>
      <c r="B12530" s="192" t="s">
        <v>7155</v>
      </c>
      <c r="C12530" s="196">
        <v>-5000</v>
      </c>
      <c r="D12530" s="196">
        <v>0</v>
      </c>
      <c r="E12530" s="196">
        <v>0</v>
      </c>
      <c r="F12530" s="196">
        <v>0</v>
      </c>
      <c r="G12530" s="196">
        <v>-5000</v>
      </c>
    </row>
    <row r="12531" spans="1:7" x14ac:dyDescent="0.3">
      <c r="A12531" s="198">
        <v>5920014</v>
      </c>
      <c r="B12531" s="192" t="s">
        <v>7156</v>
      </c>
      <c r="C12531" s="196">
        <v>-5000</v>
      </c>
      <c r="D12531" s="196">
        <v>0</v>
      </c>
      <c r="E12531" s="196">
        <v>0</v>
      </c>
      <c r="F12531" s="196">
        <v>0</v>
      </c>
      <c r="G12531" s="196">
        <v>-5000</v>
      </c>
    </row>
    <row r="12532" spans="1:7" x14ac:dyDescent="0.3">
      <c r="A12532" s="198">
        <v>1007757399</v>
      </c>
      <c r="B12532" s="192" t="s">
        <v>7157</v>
      </c>
      <c r="C12532" s="196">
        <v>-5000</v>
      </c>
      <c r="D12532" s="196">
        <v>0</v>
      </c>
      <c r="E12532" s="196">
        <v>0</v>
      </c>
      <c r="F12532" s="196">
        <v>0</v>
      </c>
      <c r="G12532" s="196">
        <v>-5000</v>
      </c>
    </row>
    <row r="12533" spans="1:7" x14ac:dyDescent="0.3">
      <c r="A12533" s="198">
        <v>1036641290</v>
      </c>
      <c r="B12533" s="192" t="s">
        <v>7158</v>
      </c>
      <c r="C12533" s="196">
        <v>-5000</v>
      </c>
      <c r="D12533" s="196">
        <v>0</v>
      </c>
      <c r="E12533" s="196">
        <v>0</v>
      </c>
      <c r="F12533" s="196">
        <v>0</v>
      </c>
      <c r="G12533" s="196">
        <v>-5000</v>
      </c>
    </row>
    <row r="12534" spans="1:7" x14ac:dyDescent="0.3">
      <c r="A12534" s="198">
        <v>79899233</v>
      </c>
      <c r="B12534" s="192" t="s">
        <v>6307</v>
      </c>
      <c r="C12534" s="196">
        <v>-377000</v>
      </c>
      <c r="D12534" s="196">
        <v>0</v>
      </c>
      <c r="E12534" s="196">
        <v>0</v>
      </c>
      <c r="F12534" s="196">
        <v>0</v>
      </c>
      <c r="G12534" s="196">
        <v>-377000</v>
      </c>
    </row>
    <row r="12535" spans="1:7" x14ac:dyDescent="0.3">
      <c r="A12535" s="198">
        <v>1001605174</v>
      </c>
      <c r="B12535" s="192" t="s">
        <v>1600</v>
      </c>
      <c r="C12535" s="196">
        <v>0</v>
      </c>
      <c r="D12535" s="196">
        <v>0</v>
      </c>
      <c r="E12535" s="196">
        <v>5000</v>
      </c>
      <c r="F12535" s="196">
        <v>-5000</v>
      </c>
      <c r="G12535" s="196">
        <v>-5000</v>
      </c>
    </row>
    <row r="12536" spans="1:7" x14ac:dyDescent="0.3">
      <c r="A12536" s="198">
        <v>1037593561</v>
      </c>
      <c r="B12536" s="192" t="s">
        <v>6314</v>
      </c>
      <c r="C12536" s="196">
        <v>-178200</v>
      </c>
      <c r="D12536" s="196">
        <v>0</v>
      </c>
      <c r="E12536" s="196">
        <v>0</v>
      </c>
      <c r="F12536" s="196">
        <v>0</v>
      </c>
      <c r="G12536" s="196">
        <v>-178200</v>
      </c>
    </row>
    <row r="12537" spans="1:7" x14ac:dyDescent="0.3">
      <c r="A12537" s="198">
        <v>1335280157</v>
      </c>
      <c r="B12537" s="192" t="s">
        <v>1602</v>
      </c>
      <c r="C12537" s="196">
        <v>0</v>
      </c>
      <c r="D12537" s="196">
        <v>0</v>
      </c>
      <c r="E12537" s="196">
        <v>74000</v>
      </c>
      <c r="F12537" s="196">
        <v>-74000</v>
      </c>
      <c r="G12537" s="196">
        <v>-74000</v>
      </c>
    </row>
    <row r="12538" spans="1:7" x14ac:dyDescent="0.3">
      <c r="A12538" s="198">
        <v>1020475253</v>
      </c>
      <c r="B12538" s="192" t="s">
        <v>7160</v>
      </c>
      <c r="C12538" s="196">
        <v>-5000</v>
      </c>
      <c r="D12538" s="196">
        <v>0</v>
      </c>
      <c r="E12538" s="196">
        <v>0</v>
      </c>
      <c r="F12538" s="196">
        <v>0</v>
      </c>
      <c r="G12538" s="196">
        <v>-5000</v>
      </c>
    </row>
    <row r="12539" spans="1:7" x14ac:dyDescent="0.3">
      <c r="A12539" s="198">
        <v>1001510696</v>
      </c>
      <c r="B12539" s="192" t="s">
        <v>2062</v>
      </c>
      <c r="C12539" s="196">
        <v>-175000</v>
      </c>
      <c r="D12539" s="196">
        <v>0</v>
      </c>
      <c r="E12539" s="196">
        <v>0</v>
      </c>
      <c r="F12539" s="196">
        <v>0</v>
      </c>
      <c r="G12539" s="196">
        <v>-175000</v>
      </c>
    </row>
    <row r="12540" spans="1:7" x14ac:dyDescent="0.3">
      <c r="A12540" s="198">
        <v>1037646932</v>
      </c>
      <c r="B12540" s="192" t="s">
        <v>1605</v>
      </c>
      <c r="C12540" s="196">
        <v>0</v>
      </c>
      <c r="D12540" s="196">
        <v>0</v>
      </c>
      <c r="E12540" s="196">
        <v>92000</v>
      </c>
      <c r="F12540" s="196">
        <v>-92000</v>
      </c>
      <c r="G12540" s="196">
        <v>-92000</v>
      </c>
    </row>
    <row r="12541" spans="1:7" x14ac:dyDescent="0.3">
      <c r="A12541" s="198">
        <v>32728706</v>
      </c>
      <c r="B12541" s="192" t="s">
        <v>7163</v>
      </c>
      <c r="C12541" s="196">
        <v>-5000</v>
      </c>
      <c r="D12541" s="196">
        <v>0</v>
      </c>
      <c r="E12541" s="196">
        <v>0</v>
      </c>
      <c r="F12541" s="196">
        <v>0</v>
      </c>
      <c r="G12541" s="196">
        <v>-5000</v>
      </c>
    </row>
    <row r="12542" spans="1:7" x14ac:dyDescent="0.3">
      <c r="A12542" s="198">
        <v>1017128020</v>
      </c>
      <c r="B12542" s="192" t="s">
        <v>7165</v>
      </c>
      <c r="C12542" s="196">
        <v>-5000</v>
      </c>
      <c r="D12542" s="196">
        <v>0</v>
      </c>
      <c r="E12542" s="196">
        <v>0</v>
      </c>
      <c r="F12542" s="196">
        <v>0</v>
      </c>
      <c r="G12542" s="196">
        <v>-5000</v>
      </c>
    </row>
    <row r="12543" spans="1:7" x14ac:dyDescent="0.3">
      <c r="A12543" s="198">
        <v>1037045197</v>
      </c>
      <c r="B12543" s="192" t="s">
        <v>7166</v>
      </c>
      <c r="C12543" s="196">
        <v>-5000</v>
      </c>
      <c r="D12543" s="196">
        <v>0</v>
      </c>
      <c r="E12543" s="196">
        <v>0</v>
      </c>
      <c r="F12543" s="196">
        <v>0</v>
      </c>
      <c r="G12543" s="196">
        <v>-5000</v>
      </c>
    </row>
    <row r="12544" spans="1:7" x14ac:dyDescent="0.3">
      <c r="A12544" s="198">
        <v>1075232869</v>
      </c>
      <c r="B12544" s="192" t="s">
        <v>1609</v>
      </c>
      <c r="C12544" s="196">
        <v>-500200</v>
      </c>
      <c r="D12544" s="196">
        <v>0</v>
      </c>
      <c r="E12544" s="196">
        <v>0</v>
      </c>
      <c r="F12544" s="196">
        <v>0</v>
      </c>
      <c r="G12544" s="196">
        <v>-500200</v>
      </c>
    </row>
    <row r="12545" spans="1:7" x14ac:dyDescent="0.3">
      <c r="A12545" s="198">
        <v>1001444495</v>
      </c>
      <c r="B12545" s="192" t="s">
        <v>7167</v>
      </c>
      <c r="C12545" s="196">
        <v>-5000</v>
      </c>
      <c r="D12545" s="196">
        <v>0</v>
      </c>
      <c r="E12545" s="196">
        <v>0</v>
      </c>
      <c r="F12545" s="196">
        <v>0</v>
      </c>
      <c r="G12545" s="196">
        <v>-5000</v>
      </c>
    </row>
    <row r="12546" spans="1:7" x14ac:dyDescent="0.3">
      <c r="A12546" s="198">
        <v>1128465112</v>
      </c>
      <c r="B12546" s="192" t="s">
        <v>7170</v>
      </c>
      <c r="C12546" s="196">
        <v>-5000</v>
      </c>
      <c r="D12546" s="196">
        <v>0</v>
      </c>
      <c r="E12546" s="196">
        <v>0</v>
      </c>
      <c r="F12546" s="196">
        <v>0</v>
      </c>
      <c r="G12546" s="196">
        <v>-5000</v>
      </c>
    </row>
    <row r="12547" spans="1:7" x14ac:dyDescent="0.3">
      <c r="A12547" s="198">
        <v>44003020</v>
      </c>
      <c r="B12547" s="192" t="s">
        <v>1611</v>
      </c>
      <c r="C12547" s="196">
        <v>0</v>
      </c>
      <c r="D12547" s="196">
        <v>0</v>
      </c>
      <c r="E12547" s="196">
        <v>111000</v>
      </c>
      <c r="F12547" s="196">
        <v>-111000</v>
      </c>
      <c r="G12547" s="196">
        <v>-111000</v>
      </c>
    </row>
    <row r="12548" spans="1:7" x14ac:dyDescent="0.3">
      <c r="A12548" s="198">
        <v>584029661</v>
      </c>
      <c r="B12548" s="192" t="s">
        <v>6324</v>
      </c>
      <c r="C12548" s="196">
        <v>-175000</v>
      </c>
      <c r="D12548" s="196">
        <v>0</v>
      </c>
      <c r="E12548" s="196">
        <v>0</v>
      </c>
      <c r="F12548" s="196">
        <v>0</v>
      </c>
      <c r="G12548" s="196">
        <v>-175000</v>
      </c>
    </row>
    <row r="12549" spans="1:7" x14ac:dyDescent="0.3">
      <c r="A12549" s="198">
        <v>41651005</v>
      </c>
      <c r="B12549" s="192" t="s">
        <v>7400</v>
      </c>
      <c r="C12549" s="196">
        <v>-1416057953</v>
      </c>
      <c r="D12549" s="196">
        <v>0</v>
      </c>
      <c r="E12549" s="196">
        <v>228497573</v>
      </c>
      <c r="F12549" s="196">
        <v>-228497573</v>
      </c>
      <c r="G12549" s="196">
        <v>-1644555526</v>
      </c>
    </row>
    <row r="12550" spans="1:7" x14ac:dyDescent="0.3">
      <c r="A12550" s="198">
        <v>70546915</v>
      </c>
      <c r="B12550" s="192" t="s">
        <v>160</v>
      </c>
      <c r="C12550" s="196">
        <v>-724000</v>
      </c>
      <c r="D12550" s="196">
        <v>0</v>
      </c>
      <c r="E12550" s="196">
        <v>0</v>
      </c>
      <c r="F12550" s="196">
        <v>0</v>
      </c>
      <c r="G12550" s="196">
        <v>-724000</v>
      </c>
    </row>
    <row r="12551" spans="1:7" x14ac:dyDescent="0.3">
      <c r="A12551" s="198">
        <v>43085722</v>
      </c>
      <c r="B12551" s="192" t="s">
        <v>7401</v>
      </c>
      <c r="C12551" s="196">
        <v>-9800000</v>
      </c>
      <c r="D12551" s="196">
        <v>0</v>
      </c>
      <c r="E12551" s="196">
        <v>0</v>
      </c>
      <c r="F12551" s="196">
        <v>0</v>
      </c>
      <c r="G12551" s="196">
        <v>-9800000</v>
      </c>
    </row>
    <row r="12552" spans="1:7" x14ac:dyDescent="0.3">
      <c r="A12552" s="198">
        <v>79462379</v>
      </c>
      <c r="B12552" s="192" t="s">
        <v>2482</v>
      </c>
      <c r="C12552" s="196">
        <v>-10868000</v>
      </c>
      <c r="D12552" s="196">
        <v>0</v>
      </c>
      <c r="E12552" s="196">
        <v>0</v>
      </c>
      <c r="F12552" s="196">
        <v>0</v>
      </c>
      <c r="G12552" s="196">
        <v>-10868000</v>
      </c>
    </row>
    <row r="12553" spans="1:7" x14ac:dyDescent="0.3">
      <c r="A12553" s="198">
        <v>43759636</v>
      </c>
      <c r="B12553" s="192" t="s">
        <v>7402</v>
      </c>
      <c r="C12553" s="196">
        <v>-4720000</v>
      </c>
      <c r="D12553" s="196">
        <v>0</v>
      </c>
      <c r="E12553" s="196">
        <v>0</v>
      </c>
      <c r="F12553" s="196">
        <v>0</v>
      </c>
      <c r="G12553" s="196">
        <v>-4720000</v>
      </c>
    </row>
    <row r="12554" spans="1:7" x14ac:dyDescent="0.3">
      <c r="A12554" s="198">
        <v>43507408</v>
      </c>
      <c r="B12554" s="192" t="s">
        <v>2496</v>
      </c>
      <c r="C12554" s="196">
        <v>-7238400</v>
      </c>
      <c r="D12554" s="196">
        <v>0</v>
      </c>
      <c r="E12554" s="196">
        <v>0</v>
      </c>
      <c r="F12554" s="196">
        <v>0</v>
      </c>
      <c r="G12554" s="196">
        <v>-7238400</v>
      </c>
    </row>
    <row r="12555" spans="1:7" x14ac:dyDescent="0.3">
      <c r="A12555" s="198">
        <v>43362698</v>
      </c>
      <c r="B12555" s="192" t="s">
        <v>172</v>
      </c>
      <c r="C12555" s="196">
        <v>-4600800</v>
      </c>
      <c r="D12555" s="196">
        <v>0</v>
      </c>
      <c r="E12555" s="196">
        <v>4600000</v>
      </c>
      <c r="F12555" s="196">
        <v>-4600000</v>
      </c>
      <c r="G12555" s="196">
        <v>-9200800</v>
      </c>
    </row>
    <row r="12556" spans="1:7" x14ac:dyDescent="0.3">
      <c r="A12556" s="198">
        <v>43532661</v>
      </c>
      <c r="B12556" s="192" t="s">
        <v>175</v>
      </c>
      <c r="C12556" s="196">
        <v>-10868000</v>
      </c>
      <c r="D12556" s="196">
        <v>0</v>
      </c>
      <c r="E12556" s="196">
        <v>0</v>
      </c>
      <c r="F12556" s="196">
        <v>0</v>
      </c>
      <c r="G12556" s="196">
        <v>-10868000</v>
      </c>
    </row>
    <row r="12557" spans="1:7" x14ac:dyDescent="0.3">
      <c r="A12557" s="198">
        <v>21863551</v>
      </c>
      <c r="B12557" s="192" t="s">
        <v>7403</v>
      </c>
      <c r="C12557" s="196">
        <v>-1500000</v>
      </c>
      <c r="D12557" s="196">
        <v>0</v>
      </c>
      <c r="E12557" s="196">
        <v>0</v>
      </c>
      <c r="F12557" s="196">
        <v>0</v>
      </c>
      <c r="G12557" s="196">
        <v>-1500000</v>
      </c>
    </row>
    <row r="12558" spans="1:7" x14ac:dyDescent="0.3">
      <c r="A12558" s="198">
        <v>82360700</v>
      </c>
      <c r="B12558" s="192" t="s">
        <v>197</v>
      </c>
      <c r="C12558" s="196">
        <v>-140000</v>
      </c>
      <c r="D12558" s="196">
        <v>0</v>
      </c>
      <c r="E12558" s="196">
        <v>0</v>
      </c>
      <c r="F12558" s="196">
        <v>0</v>
      </c>
      <c r="G12558" s="196">
        <v>-140000</v>
      </c>
    </row>
    <row r="12559" spans="1:7" x14ac:dyDescent="0.3">
      <c r="A12559" s="198">
        <v>43759008</v>
      </c>
      <c r="B12559" s="192" t="s">
        <v>2561</v>
      </c>
      <c r="C12559" s="196">
        <v>-8324000</v>
      </c>
      <c r="D12559" s="196">
        <v>0</v>
      </c>
      <c r="E12559" s="196">
        <v>0</v>
      </c>
      <c r="F12559" s="196">
        <v>0</v>
      </c>
      <c r="G12559" s="196">
        <v>-8324000</v>
      </c>
    </row>
    <row r="12560" spans="1:7" x14ac:dyDescent="0.3">
      <c r="A12560" s="198">
        <v>91236049</v>
      </c>
      <c r="B12560" s="192" t="s">
        <v>200</v>
      </c>
      <c r="C12560" s="196">
        <v>-9596000</v>
      </c>
      <c r="D12560" s="196">
        <v>0</v>
      </c>
      <c r="E12560" s="196">
        <v>0</v>
      </c>
      <c r="F12560" s="196">
        <v>0</v>
      </c>
      <c r="G12560" s="196">
        <v>-9596000</v>
      </c>
    </row>
    <row r="12561" spans="1:7" x14ac:dyDescent="0.3">
      <c r="A12561" s="198">
        <v>17161706</v>
      </c>
      <c r="B12561" s="192" t="s">
        <v>7404</v>
      </c>
      <c r="C12561" s="196">
        <v>-2500000</v>
      </c>
      <c r="D12561" s="196">
        <v>0</v>
      </c>
      <c r="E12561" s="196">
        <v>0</v>
      </c>
      <c r="F12561" s="196">
        <v>0</v>
      </c>
      <c r="G12561" s="196">
        <v>-2500000</v>
      </c>
    </row>
    <row r="12562" spans="1:7" x14ac:dyDescent="0.3">
      <c r="A12562" s="192" t="s">
        <v>229</v>
      </c>
      <c r="B12562" s="192" t="s">
        <v>230</v>
      </c>
      <c r="C12562" s="196">
        <v>0</v>
      </c>
      <c r="D12562" s="196">
        <v>0</v>
      </c>
      <c r="E12562" s="196">
        <v>3661000</v>
      </c>
      <c r="F12562" s="196">
        <v>-3661000</v>
      </c>
      <c r="G12562" s="196">
        <v>-3661000</v>
      </c>
    </row>
    <row r="12563" spans="1:7" x14ac:dyDescent="0.3">
      <c r="A12563" s="198">
        <v>43449847</v>
      </c>
      <c r="B12563" s="192" t="s">
        <v>248</v>
      </c>
      <c r="C12563" s="196">
        <v>0</v>
      </c>
      <c r="D12563" s="196">
        <v>0</v>
      </c>
      <c r="E12563" s="196">
        <v>6026000</v>
      </c>
      <c r="F12563" s="196">
        <v>-6026000</v>
      </c>
      <c r="G12563" s="196">
        <v>-6026000</v>
      </c>
    </row>
    <row r="12564" spans="1:7" x14ac:dyDescent="0.3">
      <c r="A12564" s="198">
        <v>32100049</v>
      </c>
      <c r="B12564" s="192" t="s">
        <v>6352</v>
      </c>
      <c r="C12564" s="196">
        <v>-1125800</v>
      </c>
      <c r="D12564" s="196">
        <v>0</v>
      </c>
      <c r="E12564" s="196">
        <v>0</v>
      </c>
      <c r="F12564" s="196">
        <v>0</v>
      </c>
      <c r="G12564" s="196">
        <v>-1125800</v>
      </c>
    </row>
    <row r="12565" spans="1:7" x14ac:dyDescent="0.3">
      <c r="A12565" s="198">
        <v>34042566</v>
      </c>
      <c r="B12565" s="192" t="s">
        <v>250</v>
      </c>
      <c r="C12565" s="196">
        <v>0</v>
      </c>
      <c r="D12565" s="196">
        <v>0</v>
      </c>
      <c r="E12565" s="196">
        <v>3762000</v>
      </c>
      <c r="F12565" s="196">
        <v>-3762000</v>
      </c>
      <c r="G12565" s="196">
        <v>-3762000</v>
      </c>
    </row>
    <row r="12566" spans="1:7" x14ac:dyDescent="0.3">
      <c r="A12566" s="198">
        <v>41546854</v>
      </c>
      <c r="B12566" s="192" t="s">
        <v>2674</v>
      </c>
      <c r="C12566" s="196">
        <v>-9596000</v>
      </c>
      <c r="D12566" s="196">
        <v>0</v>
      </c>
      <c r="E12566" s="196">
        <v>0</v>
      </c>
      <c r="F12566" s="196">
        <v>0</v>
      </c>
      <c r="G12566" s="196">
        <v>-9596000</v>
      </c>
    </row>
    <row r="12567" spans="1:7" x14ac:dyDescent="0.3">
      <c r="A12567" s="198">
        <v>33174309</v>
      </c>
      <c r="B12567" s="192" t="s">
        <v>2683</v>
      </c>
      <c r="C12567" s="196">
        <v>-362000</v>
      </c>
      <c r="D12567" s="196">
        <v>0</v>
      </c>
      <c r="E12567" s="196">
        <v>0</v>
      </c>
      <c r="F12567" s="196">
        <v>0</v>
      </c>
      <c r="G12567" s="196">
        <v>-362000</v>
      </c>
    </row>
    <row r="12568" spans="1:7" x14ac:dyDescent="0.3">
      <c r="A12568" s="198">
        <v>42823856</v>
      </c>
      <c r="B12568" s="192" t="s">
        <v>7352</v>
      </c>
      <c r="C12568" s="196">
        <v>-7788000</v>
      </c>
      <c r="D12568" s="196">
        <v>0</v>
      </c>
      <c r="E12568" s="196">
        <v>0</v>
      </c>
      <c r="F12568" s="196">
        <v>0</v>
      </c>
      <c r="G12568" s="196">
        <v>-7788000</v>
      </c>
    </row>
    <row r="12569" spans="1:7" x14ac:dyDescent="0.3">
      <c r="A12569" s="198">
        <v>1036668463</v>
      </c>
      <c r="B12569" s="192" t="s">
        <v>2749</v>
      </c>
      <c r="C12569" s="196">
        <v>-1500000</v>
      </c>
      <c r="D12569" s="196">
        <v>0</v>
      </c>
      <c r="E12569" s="196">
        <v>0</v>
      </c>
      <c r="F12569" s="196">
        <v>0</v>
      </c>
      <c r="G12569" s="196">
        <v>-1500000</v>
      </c>
    </row>
    <row r="12570" spans="1:7" x14ac:dyDescent="0.3">
      <c r="A12570" s="198">
        <v>1033650578</v>
      </c>
      <c r="B12570" s="192" t="s">
        <v>2758</v>
      </c>
      <c r="C12570" s="196">
        <v>-748000</v>
      </c>
      <c r="D12570" s="196">
        <v>0</v>
      </c>
      <c r="E12570" s="196">
        <v>0</v>
      </c>
      <c r="F12570" s="196">
        <v>0</v>
      </c>
      <c r="G12570" s="196">
        <v>-748000</v>
      </c>
    </row>
    <row r="12571" spans="1:7" x14ac:dyDescent="0.3">
      <c r="A12571" s="198">
        <v>42968482</v>
      </c>
      <c r="B12571" s="192" t="s">
        <v>2786</v>
      </c>
      <c r="C12571" s="196">
        <v>-5434000</v>
      </c>
      <c r="D12571" s="196">
        <v>0</v>
      </c>
      <c r="E12571" s="196">
        <v>0</v>
      </c>
      <c r="F12571" s="196">
        <v>0</v>
      </c>
      <c r="G12571" s="196">
        <v>-5434000</v>
      </c>
    </row>
    <row r="12572" spans="1:7" x14ac:dyDescent="0.3">
      <c r="A12572" s="198">
        <v>32531330</v>
      </c>
      <c r="B12572" s="192" t="s">
        <v>7405</v>
      </c>
      <c r="C12572" s="196">
        <v>-4900000</v>
      </c>
      <c r="D12572" s="196">
        <v>0</v>
      </c>
      <c r="E12572" s="196">
        <v>0</v>
      </c>
      <c r="F12572" s="196">
        <v>0</v>
      </c>
      <c r="G12572" s="196">
        <v>-4900000</v>
      </c>
    </row>
    <row r="12573" spans="1:7" x14ac:dyDescent="0.3">
      <c r="A12573" s="198">
        <v>32409958</v>
      </c>
      <c r="B12573" s="192" t="s">
        <v>6376</v>
      </c>
      <c r="C12573" s="196">
        <v>-396000</v>
      </c>
      <c r="D12573" s="196">
        <v>0</v>
      </c>
      <c r="E12573" s="196">
        <v>0</v>
      </c>
      <c r="F12573" s="196">
        <v>0</v>
      </c>
      <c r="G12573" s="196">
        <v>-396000</v>
      </c>
    </row>
    <row r="12574" spans="1:7" x14ac:dyDescent="0.3">
      <c r="A12574" s="198">
        <v>70419578</v>
      </c>
      <c r="B12574" s="192" t="s">
        <v>6385</v>
      </c>
      <c r="C12574" s="196">
        <v>-10868000</v>
      </c>
      <c r="D12574" s="196">
        <v>0</v>
      </c>
      <c r="E12574" s="196">
        <v>0</v>
      </c>
      <c r="F12574" s="196">
        <v>0</v>
      </c>
      <c r="G12574" s="196">
        <v>-10868000</v>
      </c>
    </row>
    <row r="12575" spans="1:7" x14ac:dyDescent="0.3">
      <c r="A12575" s="198">
        <v>43265192</v>
      </c>
      <c r="B12575" s="192" t="s">
        <v>322</v>
      </c>
      <c r="C12575" s="196">
        <v>-6026000</v>
      </c>
      <c r="D12575" s="196">
        <v>0</v>
      </c>
      <c r="E12575" s="196">
        <v>0</v>
      </c>
      <c r="F12575" s="196">
        <v>0</v>
      </c>
      <c r="G12575" s="196">
        <v>-6026000</v>
      </c>
    </row>
    <row r="12576" spans="1:7" x14ac:dyDescent="0.3">
      <c r="A12576" s="198">
        <v>18108488</v>
      </c>
      <c r="B12576" s="192" t="s">
        <v>6386</v>
      </c>
      <c r="C12576" s="196">
        <v>-9596000</v>
      </c>
      <c r="D12576" s="196">
        <v>0</v>
      </c>
      <c r="E12576" s="196">
        <v>0</v>
      </c>
      <c r="F12576" s="196">
        <v>0</v>
      </c>
      <c r="G12576" s="196">
        <v>-9596000</v>
      </c>
    </row>
    <row r="12577" spans="1:7" x14ac:dyDescent="0.3">
      <c r="A12577" s="198">
        <v>70691514</v>
      </c>
      <c r="B12577" s="192" t="s">
        <v>2881</v>
      </c>
      <c r="C12577" s="196">
        <v>-748000</v>
      </c>
      <c r="D12577" s="196">
        <v>0</v>
      </c>
      <c r="E12577" s="196">
        <v>0</v>
      </c>
      <c r="F12577" s="196">
        <v>0</v>
      </c>
      <c r="G12577" s="196">
        <v>-748000</v>
      </c>
    </row>
    <row r="12578" spans="1:7" x14ac:dyDescent="0.3">
      <c r="A12578" s="198">
        <v>900640334</v>
      </c>
      <c r="B12578" s="192" t="s">
        <v>336</v>
      </c>
      <c r="C12578" s="196">
        <v>-1750905</v>
      </c>
      <c r="D12578" s="196">
        <v>0</v>
      </c>
      <c r="E12578" s="196">
        <v>1750905</v>
      </c>
      <c r="F12578" s="196">
        <v>-1750905</v>
      </c>
      <c r="G12578" s="196">
        <v>-3501810</v>
      </c>
    </row>
    <row r="12579" spans="1:7" x14ac:dyDescent="0.3">
      <c r="A12579" s="198">
        <v>42755787</v>
      </c>
      <c r="B12579" s="192" t="s">
        <v>6392</v>
      </c>
      <c r="C12579" s="196">
        <v>-286000</v>
      </c>
      <c r="D12579" s="196">
        <v>0</v>
      </c>
      <c r="E12579" s="196">
        <v>0</v>
      </c>
      <c r="F12579" s="196">
        <v>0</v>
      </c>
      <c r="G12579" s="196">
        <v>-286000</v>
      </c>
    </row>
    <row r="12580" spans="1:7" x14ac:dyDescent="0.3">
      <c r="A12580" s="198">
        <v>43062123</v>
      </c>
      <c r="B12580" s="192" t="s">
        <v>342</v>
      </c>
      <c r="C12580" s="196">
        <v>-2658000</v>
      </c>
      <c r="D12580" s="196">
        <v>0</v>
      </c>
      <c r="E12580" s="196">
        <v>0</v>
      </c>
      <c r="F12580" s="196">
        <v>0</v>
      </c>
      <c r="G12580" s="196">
        <v>-2658000</v>
      </c>
    </row>
    <row r="12581" spans="1:7" x14ac:dyDescent="0.3">
      <c r="A12581" s="198">
        <v>21714188</v>
      </c>
      <c r="B12581" s="192" t="s">
        <v>343</v>
      </c>
      <c r="C12581" s="196">
        <v>-4188000</v>
      </c>
      <c r="D12581" s="196">
        <v>0</v>
      </c>
      <c r="E12581" s="196">
        <v>0</v>
      </c>
      <c r="F12581" s="196">
        <v>0</v>
      </c>
      <c r="G12581" s="196">
        <v>-4188000</v>
      </c>
    </row>
    <row r="12582" spans="1:7" x14ac:dyDescent="0.3">
      <c r="A12582" s="198">
        <v>42865865</v>
      </c>
      <c r="B12582" s="192" t="s">
        <v>7406</v>
      </c>
      <c r="C12582" s="196">
        <v>-4800000</v>
      </c>
      <c r="D12582" s="196">
        <v>0</v>
      </c>
      <c r="E12582" s="196">
        <v>0</v>
      </c>
      <c r="F12582" s="196">
        <v>0</v>
      </c>
      <c r="G12582" s="196">
        <v>-4800000</v>
      </c>
    </row>
    <row r="12583" spans="1:7" x14ac:dyDescent="0.3">
      <c r="A12583" s="198">
        <v>42870992</v>
      </c>
      <c r="B12583" s="192" t="s">
        <v>346</v>
      </c>
      <c r="C12583" s="196">
        <v>0</v>
      </c>
      <c r="D12583" s="196">
        <v>0</v>
      </c>
      <c r="E12583" s="196">
        <v>4900000</v>
      </c>
      <c r="F12583" s="196">
        <v>-4900000</v>
      </c>
      <c r="G12583" s="196">
        <v>-4900000</v>
      </c>
    </row>
    <row r="12584" spans="1:7" x14ac:dyDescent="0.3">
      <c r="A12584" s="198">
        <v>315321</v>
      </c>
      <c r="B12584" s="192" t="s">
        <v>2912</v>
      </c>
      <c r="C12584" s="196">
        <v>-8324000</v>
      </c>
      <c r="D12584" s="196">
        <v>0</v>
      </c>
      <c r="E12584" s="196">
        <v>0</v>
      </c>
      <c r="F12584" s="196">
        <v>0</v>
      </c>
      <c r="G12584" s="196">
        <v>-8324000</v>
      </c>
    </row>
    <row r="12585" spans="1:7" x14ac:dyDescent="0.3">
      <c r="A12585" s="198">
        <v>42968835</v>
      </c>
      <c r="B12585" s="192" t="s">
        <v>349</v>
      </c>
      <c r="C12585" s="196">
        <v>-2860000</v>
      </c>
      <c r="D12585" s="196">
        <v>0</v>
      </c>
      <c r="E12585" s="196">
        <v>0</v>
      </c>
      <c r="F12585" s="196">
        <v>0</v>
      </c>
      <c r="G12585" s="196">
        <v>-2860000</v>
      </c>
    </row>
    <row r="12586" spans="1:7" x14ac:dyDescent="0.3">
      <c r="A12586" s="198">
        <v>22103904</v>
      </c>
      <c r="B12586" s="192" t="s">
        <v>351</v>
      </c>
      <c r="C12586" s="196">
        <v>0</v>
      </c>
      <c r="D12586" s="196">
        <v>0</v>
      </c>
      <c r="E12586" s="196">
        <v>3542000</v>
      </c>
      <c r="F12586" s="196">
        <v>-3542000</v>
      </c>
      <c r="G12586" s="196">
        <v>-3542000</v>
      </c>
    </row>
    <row r="12587" spans="1:7" x14ac:dyDescent="0.3">
      <c r="A12587" s="198">
        <v>88157555</v>
      </c>
      <c r="B12587" s="192" t="s">
        <v>2916</v>
      </c>
      <c r="C12587" s="196">
        <v>-10868000</v>
      </c>
      <c r="D12587" s="196">
        <v>0</v>
      </c>
      <c r="E12587" s="196">
        <v>0</v>
      </c>
      <c r="F12587" s="196">
        <v>0</v>
      </c>
      <c r="G12587" s="196">
        <v>-10868000</v>
      </c>
    </row>
    <row r="12588" spans="1:7" x14ac:dyDescent="0.3">
      <c r="A12588" s="198">
        <v>22211398</v>
      </c>
      <c r="B12588" s="192" t="s">
        <v>2928</v>
      </c>
      <c r="C12588" s="196">
        <v>-748000</v>
      </c>
      <c r="D12588" s="196">
        <v>0</v>
      </c>
      <c r="E12588" s="196">
        <v>0</v>
      </c>
      <c r="F12588" s="196">
        <v>0</v>
      </c>
      <c r="G12588" s="196">
        <v>-748000</v>
      </c>
    </row>
    <row r="12589" spans="1:7" x14ac:dyDescent="0.3">
      <c r="A12589" s="198">
        <v>52319132</v>
      </c>
      <c r="B12589" s="192" t="s">
        <v>356</v>
      </c>
      <c r="C12589" s="196">
        <v>-9596000</v>
      </c>
      <c r="D12589" s="196">
        <v>0</v>
      </c>
      <c r="E12589" s="196">
        <v>0</v>
      </c>
      <c r="F12589" s="196">
        <v>0</v>
      </c>
      <c r="G12589" s="196">
        <v>-9596000</v>
      </c>
    </row>
    <row r="12590" spans="1:7" x14ac:dyDescent="0.3">
      <c r="A12590" s="198">
        <v>21998652</v>
      </c>
      <c r="B12590" s="192" t="s">
        <v>6401</v>
      </c>
      <c r="C12590" s="196">
        <v>-667000</v>
      </c>
      <c r="D12590" s="196">
        <v>0</v>
      </c>
      <c r="E12590" s="196">
        <v>0</v>
      </c>
      <c r="F12590" s="196">
        <v>0</v>
      </c>
      <c r="G12590" s="196">
        <v>-667000</v>
      </c>
    </row>
    <row r="12591" spans="1:7" x14ac:dyDescent="0.3">
      <c r="A12591" s="198">
        <v>32502431</v>
      </c>
      <c r="B12591" s="192" t="s">
        <v>6402</v>
      </c>
      <c r="C12591" s="196">
        <v>-4900000</v>
      </c>
      <c r="D12591" s="196">
        <v>0</v>
      </c>
      <c r="E12591" s="196">
        <v>0</v>
      </c>
      <c r="F12591" s="196">
        <v>0</v>
      </c>
      <c r="G12591" s="196">
        <v>-4900000</v>
      </c>
    </row>
    <row r="12592" spans="1:7" x14ac:dyDescent="0.3">
      <c r="A12592" s="198">
        <v>32329884</v>
      </c>
      <c r="B12592" s="192" t="s">
        <v>367</v>
      </c>
      <c r="C12592" s="196">
        <v>-724000</v>
      </c>
      <c r="D12592" s="196">
        <v>0</v>
      </c>
      <c r="E12592" s="196">
        <v>0</v>
      </c>
      <c r="F12592" s="196">
        <v>0</v>
      </c>
      <c r="G12592" s="196">
        <v>-724000</v>
      </c>
    </row>
    <row r="12593" spans="1:7" x14ac:dyDescent="0.3">
      <c r="A12593" s="192" t="s">
        <v>2951</v>
      </c>
      <c r="B12593" s="192" t="s">
        <v>2952</v>
      </c>
      <c r="C12593" s="196">
        <v>-8324000</v>
      </c>
      <c r="D12593" s="196">
        <v>0</v>
      </c>
      <c r="E12593" s="196">
        <v>0</v>
      </c>
      <c r="F12593" s="196">
        <v>0</v>
      </c>
      <c r="G12593" s="196">
        <v>-8324000</v>
      </c>
    </row>
    <row r="12594" spans="1:7" x14ac:dyDescent="0.3">
      <c r="A12594" s="198">
        <v>93405068</v>
      </c>
      <c r="B12594" s="192" t="s">
        <v>2985</v>
      </c>
      <c r="C12594" s="196">
        <v>-10868000</v>
      </c>
      <c r="D12594" s="196">
        <v>0</v>
      </c>
      <c r="E12594" s="196">
        <v>0</v>
      </c>
      <c r="F12594" s="196">
        <v>0</v>
      </c>
      <c r="G12594" s="196">
        <v>-10868000</v>
      </c>
    </row>
    <row r="12595" spans="1:7" x14ac:dyDescent="0.3">
      <c r="A12595" s="198">
        <v>8164665</v>
      </c>
      <c r="B12595" s="192" t="s">
        <v>3001</v>
      </c>
      <c r="C12595" s="196">
        <v>-8324000</v>
      </c>
      <c r="D12595" s="196">
        <v>0</v>
      </c>
      <c r="E12595" s="196">
        <v>0</v>
      </c>
      <c r="F12595" s="196">
        <v>0</v>
      </c>
      <c r="G12595" s="196">
        <v>-8324000</v>
      </c>
    </row>
    <row r="12596" spans="1:7" x14ac:dyDescent="0.3">
      <c r="A12596" s="198">
        <v>15379473</v>
      </c>
      <c r="B12596" s="192" t="s">
        <v>3005</v>
      </c>
      <c r="C12596" s="196">
        <v>-10264000</v>
      </c>
      <c r="D12596" s="196">
        <v>0</v>
      </c>
      <c r="E12596" s="196">
        <v>0</v>
      </c>
      <c r="F12596" s="196">
        <v>0</v>
      </c>
      <c r="G12596" s="196">
        <v>-10264000</v>
      </c>
    </row>
    <row r="12597" spans="1:7" x14ac:dyDescent="0.3">
      <c r="A12597" s="198">
        <v>3415919</v>
      </c>
      <c r="B12597" s="192" t="s">
        <v>396</v>
      </c>
      <c r="C12597" s="196">
        <v>-2860001</v>
      </c>
      <c r="D12597" s="196">
        <v>0</v>
      </c>
      <c r="E12597" s="196">
        <v>0</v>
      </c>
      <c r="F12597" s="196">
        <v>0</v>
      </c>
      <c r="G12597" s="196">
        <v>-2860001</v>
      </c>
    </row>
    <row r="12598" spans="1:7" x14ac:dyDescent="0.3">
      <c r="A12598" s="198">
        <v>71579531</v>
      </c>
      <c r="B12598" s="192" t="s">
        <v>7407</v>
      </c>
      <c r="C12598" s="196">
        <v>-1900000</v>
      </c>
      <c r="D12598" s="196">
        <v>0</v>
      </c>
      <c r="E12598" s="196">
        <v>0</v>
      </c>
      <c r="F12598" s="196">
        <v>0</v>
      </c>
      <c r="G12598" s="196">
        <v>-1900000</v>
      </c>
    </row>
    <row r="12599" spans="1:7" x14ac:dyDescent="0.3">
      <c r="A12599" s="198">
        <v>71493047</v>
      </c>
      <c r="B12599" s="192" t="s">
        <v>3098</v>
      </c>
      <c r="C12599" s="196">
        <v>-1166000</v>
      </c>
      <c r="D12599" s="196">
        <v>0</v>
      </c>
      <c r="E12599" s="196">
        <v>0</v>
      </c>
      <c r="F12599" s="196">
        <v>0</v>
      </c>
      <c r="G12599" s="196">
        <v>-1166000</v>
      </c>
    </row>
    <row r="12600" spans="1:7" x14ac:dyDescent="0.3">
      <c r="A12600" s="198">
        <v>42094784</v>
      </c>
      <c r="B12600" s="192" t="s">
        <v>7408</v>
      </c>
      <c r="C12600" s="196">
        <v>-4600000</v>
      </c>
      <c r="D12600" s="196">
        <v>0</v>
      </c>
      <c r="E12600" s="196">
        <v>0</v>
      </c>
      <c r="F12600" s="196">
        <v>0</v>
      </c>
      <c r="G12600" s="196">
        <v>-4600000</v>
      </c>
    </row>
    <row r="12601" spans="1:7" x14ac:dyDescent="0.3">
      <c r="A12601" s="198">
        <v>42883035</v>
      </c>
      <c r="B12601" s="192" t="s">
        <v>6443</v>
      </c>
      <c r="C12601" s="196">
        <v>-9596000</v>
      </c>
      <c r="D12601" s="196">
        <v>0</v>
      </c>
      <c r="E12601" s="196">
        <v>0</v>
      </c>
      <c r="F12601" s="196">
        <v>0</v>
      </c>
      <c r="G12601" s="196">
        <v>-9596000</v>
      </c>
    </row>
    <row r="12602" spans="1:7" x14ac:dyDescent="0.3">
      <c r="A12602" s="198">
        <v>43663534</v>
      </c>
      <c r="B12602" s="192" t="s">
        <v>6444</v>
      </c>
      <c r="C12602" s="196">
        <v>-6300000</v>
      </c>
      <c r="D12602" s="196">
        <v>0</v>
      </c>
      <c r="E12602" s="196">
        <v>0</v>
      </c>
      <c r="F12602" s="196">
        <v>0</v>
      </c>
      <c r="G12602" s="196">
        <v>-6300000</v>
      </c>
    </row>
    <row r="12603" spans="1:7" x14ac:dyDescent="0.3">
      <c r="A12603" s="198">
        <v>21466861</v>
      </c>
      <c r="B12603" s="192" t="s">
        <v>6445</v>
      </c>
      <c r="C12603" s="196">
        <v>-6820000</v>
      </c>
      <c r="D12603" s="196">
        <v>0</v>
      </c>
      <c r="E12603" s="196">
        <v>0</v>
      </c>
      <c r="F12603" s="196">
        <v>0</v>
      </c>
      <c r="G12603" s="196">
        <v>-6820000</v>
      </c>
    </row>
    <row r="12604" spans="1:7" x14ac:dyDescent="0.3">
      <c r="A12604" s="198">
        <v>43438672</v>
      </c>
      <c r="B12604" s="192" t="s">
        <v>7409</v>
      </c>
      <c r="C12604" s="196">
        <v>-9800000</v>
      </c>
      <c r="D12604" s="196">
        <v>0</v>
      </c>
      <c r="E12604" s="196">
        <v>0</v>
      </c>
      <c r="F12604" s="196">
        <v>0</v>
      </c>
      <c r="G12604" s="196">
        <v>-9800000</v>
      </c>
    </row>
    <row r="12605" spans="1:7" x14ac:dyDescent="0.3">
      <c r="A12605" s="198">
        <v>30320179</v>
      </c>
      <c r="B12605" s="192" t="s">
        <v>6447</v>
      </c>
      <c r="C12605" s="196">
        <v>-3150000</v>
      </c>
      <c r="D12605" s="196">
        <v>0</v>
      </c>
      <c r="E12605" s="196">
        <v>0</v>
      </c>
      <c r="F12605" s="196">
        <v>0</v>
      </c>
      <c r="G12605" s="196">
        <v>-3150000</v>
      </c>
    </row>
    <row r="12606" spans="1:7" x14ac:dyDescent="0.3">
      <c r="A12606" s="198">
        <v>43734951</v>
      </c>
      <c r="B12606" s="192" t="s">
        <v>7410</v>
      </c>
      <c r="C12606" s="196">
        <v>-9800000</v>
      </c>
      <c r="D12606" s="196">
        <v>0</v>
      </c>
      <c r="E12606" s="196">
        <v>0</v>
      </c>
      <c r="F12606" s="196">
        <v>0</v>
      </c>
      <c r="G12606" s="196">
        <v>-9800000</v>
      </c>
    </row>
    <row r="12607" spans="1:7" x14ac:dyDescent="0.3">
      <c r="A12607" s="198">
        <v>43623687</v>
      </c>
      <c r="B12607" s="192" t="s">
        <v>3151</v>
      </c>
      <c r="C12607" s="196">
        <v>-9596000</v>
      </c>
      <c r="D12607" s="196">
        <v>0</v>
      </c>
      <c r="E12607" s="196">
        <v>0</v>
      </c>
      <c r="F12607" s="196">
        <v>0</v>
      </c>
      <c r="G12607" s="196">
        <v>-9596000</v>
      </c>
    </row>
    <row r="12608" spans="1:7" x14ac:dyDescent="0.3">
      <c r="A12608" s="198">
        <v>800106339</v>
      </c>
      <c r="B12608" s="192" t="s">
        <v>454</v>
      </c>
      <c r="C12608" s="196">
        <v>-34734420</v>
      </c>
      <c r="D12608" s="196">
        <v>0</v>
      </c>
      <c r="E12608" s="196">
        <v>0</v>
      </c>
      <c r="F12608" s="196">
        <v>0</v>
      </c>
      <c r="G12608" s="196">
        <v>-34734420</v>
      </c>
    </row>
    <row r="12609" spans="1:7" x14ac:dyDescent="0.3">
      <c r="A12609" s="198">
        <v>860002503</v>
      </c>
      <c r="B12609" s="192" t="s">
        <v>455</v>
      </c>
      <c r="C12609" s="196">
        <v>-4279517</v>
      </c>
      <c r="D12609" s="196">
        <v>0</v>
      </c>
      <c r="E12609" s="196">
        <v>17118068</v>
      </c>
      <c r="F12609" s="196">
        <v>-17118068</v>
      </c>
      <c r="G12609" s="196">
        <v>-21397585</v>
      </c>
    </row>
    <row r="12610" spans="1:7" x14ac:dyDescent="0.3">
      <c r="A12610" s="198">
        <v>900901490</v>
      </c>
      <c r="B12610" s="192" t="s">
        <v>459</v>
      </c>
      <c r="C12610" s="196">
        <v>-8324000</v>
      </c>
      <c r="D12610" s="196">
        <v>0</v>
      </c>
      <c r="E12610" s="196">
        <v>0</v>
      </c>
      <c r="F12610" s="196">
        <v>0</v>
      </c>
      <c r="G12610" s="196">
        <v>-8324000</v>
      </c>
    </row>
    <row r="12611" spans="1:7" x14ac:dyDescent="0.3">
      <c r="A12611" s="198">
        <v>39150134</v>
      </c>
      <c r="B12611" s="192" t="s">
        <v>7411</v>
      </c>
      <c r="C12611" s="196">
        <v>-6330000</v>
      </c>
      <c r="D12611" s="196">
        <v>0</v>
      </c>
      <c r="E12611" s="196">
        <v>0</v>
      </c>
      <c r="F12611" s="196">
        <v>0</v>
      </c>
      <c r="G12611" s="196">
        <v>-6330000</v>
      </c>
    </row>
    <row r="12612" spans="1:7" x14ac:dyDescent="0.3">
      <c r="A12612" s="198">
        <v>71607242</v>
      </c>
      <c r="B12612" s="192" t="s">
        <v>466</v>
      </c>
      <c r="C12612" s="196">
        <v>-1713001</v>
      </c>
      <c r="D12612" s="196">
        <v>0</v>
      </c>
      <c r="E12612" s="196">
        <v>0</v>
      </c>
      <c r="F12612" s="196">
        <v>0</v>
      </c>
      <c r="G12612" s="196">
        <v>-1713001</v>
      </c>
    </row>
    <row r="12613" spans="1:7" x14ac:dyDescent="0.3">
      <c r="A12613" s="198">
        <v>60318407</v>
      </c>
      <c r="B12613" s="192" t="s">
        <v>470</v>
      </c>
      <c r="C12613" s="196">
        <v>0</v>
      </c>
      <c r="D12613" s="196">
        <v>0</v>
      </c>
      <c r="E12613" s="196">
        <v>1272000</v>
      </c>
      <c r="F12613" s="196">
        <v>-1272000</v>
      </c>
      <c r="G12613" s="196">
        <v>-1272000</v>
      </c>
    </row>
    <row r="12614" spans="1:7" x14ac:dyDescent="0.3">
      <c r="A12614" s="198">
        <v>1036672398</v>
      </c>
      <c r="B12614" s="192" t="s">
        <v>484</v>
      </c>
      <c r="C12614" s="196">
        <v>0</v>
      </c>
      <c r="D12614" s="196">
        <v>0</v>
      </c>
      <c r="E12614" s="196">
        <v>3910000</v>
      </c>
      <c r="F12614" s="196">
        <v>-3910000</v>
      </c>
      <c r="G12614" s="196">
        <v>-3910000</v>
      </c>
    </row>
    <row r="12615" spans="1:7" x14ac:dyDescent="0.3">
      <c r="A12615" s="198">
        <v>10214390</v>
      </c>
      <c r="B12615" s="192" t="s">
        <v>3243</v>
      </c>
      <c r="C12615" s="196">
        <v>-3424000</v>
      </c>
      <c r="D12615" s="196">
        <v>0</v>
      </c>
      <c r="E12615" s="196">
        <v>0</v>
      </c>
      <c r="F12615" s="196">
        <v>0</v>
      </c>
      <c r="G12615" s="196">
        <v>-3424000</v>
      </c>
    </row>
    <row r="12616" spans="1:7" x14ac:dyDescent="0.3">
      <c r="A12616" s="198">
        <v>3597623</v>
      </c>
      <c r="B12616" s="192" t="s">
        <v>6485</v>
      </c>
      <c r="C12616" s="196">
        <v>-892500</v>
      </c>
      <c r="D12616" s="196">
        <v>0</v>
      </c>
      <c r="E12616" s="196">
        <v>0</v>
      </c>
      <c r="F12616" s="196">
        <v>0</v>
      </c>
      <c r="G12616" s="196">
        <v>-892500</v>
      </c>
    </row>
    <row r="12617" spans="1:7" x14ac:dyDescent="0.3">
      <c r="A12617" s="198">
        <v>75093578</v>
      </c>
      <c r="B12617" s="192" t="s">
        <v>3267</v>
      </c>
      <c r="C12617" s="196">
        <v>-10868000</v>
      </c>
      <c r="D12617" s="196">
        <v>0</v>
      </c>
      <c r="E12617" s="196">
        <v>0</v>
      </c>
      <c r="F12617" s="196">
        <v>0</v>
      </c>
      <c r="G12617" s="196">
        <v>-10868000</v>
      </c>
    </row>
    <row r="12618" spans="1:7" x14ac:dyDescent="0.3">
      <c r="A12618" s="198">
        <v>541147936</v>
      </c>
      <c r="B12618" s="192" t="s">
        <v>507</v>
      </c>
      <c r="C12618" s="196">
        <v>-10868000</v>
      </c>
      <c r="D12618" s="196">
        <v>0</v>
      </c>
      <c r="E12618" s="196">
        <v>0</v>
      </c>
      <c r="F12618" s="196">
        <v>0</v>
      </c>
      <c r="G12618" s="196">
        <v>-10868000</v>
      </c>
    </row>
    <row r="12619" spans="1:7" x14ac:dyDescent="0.3">
      <c r="A12619" s="198">
        <v>42780670</v>
      </c>
      <c r="B12619" s="192" t="s">
        <v>3329</v>
      </c>
      <c r="C12619" s="196">
        <v>-10868000</v>
      </c>
      <c r="D12619" s="196">
        <v>0</v>
      </c>
      <c r="E12619" s="196">
        <v>0</v>
      </c>
      <c r="F12619" s="196">
        <v>0</v>
      </c>
      <c r="G12619" s="196">
        <v>-10868000</v>
      </c>
    </row>
    <row r="12620" spans="1:7" x14ac:dyDescent="0.3">
      <c r="A12620" s="192" t="s">
        <v>6516</v>
      </c>
      <c r="B12620" s="192" t="s">
        <v>3361</v>
      </c>
      <c r="C12620" s="196">
        <v>-140000</v>
      </c>
      <c r="D12620" s="196">
        <v>0</v>
      </c>
      <c r="E12620" s="196">
        <v>0</v>
      </c>
      <c r="F12620" s="196">
        <v>0</v>
      </c>
      <c r="G12620" s="196">
        <v>-140000</v>
      </c>
    </row>
    <row r="12621" spans="1:7" x14ac:dyDescent="0.3">
      <c r="A12621" s="198">
        <v>30279038</v>
      </c>
      <c r="B12621" s="192" t="s">
        <v>7412</v>
      </c>
      <c r="C12621" s="196">
        <v>-3300000</v>
      </c>
      <c r="D12621" s="196">
        <v>0</v>
      </c>
      <c r="E12621" s="196">
        <v>0</v>
      </c>
      <c r="F12621" s="196">
        <v>0</v>
      </c>
      <c r="G12621" s="196">
        <v>-3300000</v>
      </c>
    </row>
    <row r="12622" spans="1:7" x14ac:dyDescent="0.3">
      <c r="A12622" s="192" t="s">
        <v>3368</v>
      </c>
      <c r="B12622" s="192" t="s">
        <v>3369</v>
      </c>
      <c r="C12622" s="196">
        <v>-8324000</v>
      </c>
      <c r="D12622" s="196">
        <v>0</v>
      </c>
      <c r="E12622" s="196">
        <v>0</v>
      </c>
      <c r="F12622" s="196">
        <v>0</v>
      </c>
      <c r="G12622" s="196">
        <v>-8324000</v>
      </c>
    </row>
    <row r="12623" spans="1:7" x14ac:dyDescent="0.3">
      <c r="A12623" s="198">
        <v>42980905</v>
      </c>
      <c r="B12623" s="192" t="s">
        <v>3378</v>
      </c>
      <c r="C12623" s="196">
        <v>-10868000</v>
      </c>
      <c r="D12623" s="196">
        <v>0</v>
      </c>
      <c r="E12623" s="196">
        <v>0</v>
      </c>
      <c r="F12623" s="196">
        <v>0</v>
      </c>
      <c r="G12623" s="196">
        <v>-10868000</v>
      </c>
    </row>
    <row r="12624" spans="1:7" x14ac:dyDescent="0.3">
      <c r="A12624" s="198">
        <v>39160600</v>
      </c>
      <c r="B12624" s="192" t="s">
        <v>2385</v>
      </c>
      <c r="C12624" s="196">
        <v>-6600000</v>
      </c>
      <c r="D12624" s="196">
        <v>0</v>
      </c>
      <c r="E12624" s="196">
        <v>0</v>
      </c>
      <c r="F12624" s="196">
        <v>0</v>
      </c>
      <c r="G12624" s="196">
        <v>-6600000</v>
      </c>
    </row>
    <row r="12625" spans="1:7" x14ac:dyDescent="0.3">
      <c r="A12625" s="198">
        <v>43570820</v>
      </c>
      <c r="B12625" s="192" t="s">
        <v>3447</v>
      </c>
      <c r="C12625" s="196">
        <v>-10868000</v>
      </c>
      <c r="D12625" s="196">
        <v>0</v>
      </c>
      <c r="E12625" s="196">
        <v>0</v>
      </c>
      <c r="F12625" s="196">
        <v>0</v>
      </c>
      <c r="G12625" s="196">
        <v>-10868000</v>
      </c>
    </row>
    <row r="12626" spans="1:7" x14ac:dyDescent="0.3">
      <c r="A12626" s="198">
        <v>43108346</v>
      </c>
      <c r="B12626" s="192" t="s">
        <v>7218</v>
      </c>
      <c r="C12626" s="196">
        <v>-8324000</v>
      </c>
      <c r="D12626" s="196">
        <v>0</v>
      </c>
      <c r="E12626" s="196">
        <v>0</v>
      </c>
      <c r="F12626" s="196">
        <v>0</v>
      </c>
      <c r="G12626" s="196">
        <v>-8324000</v>
      </c>
    </row>
    <row r="12627" spans="1:7" x14ac:dyDescent="0.3">
      <c r="A12627" s="198">
        <v>70220901</v>
      </c>
      <c r="B12627" s="192" t="s">
        <v>3481</v>
      </c>
      <c r="C12627" s="196">
        <v>-9596000</v>
      </c>
      <c r="D12627" s="196">
        <v>0</v>
      </c>
      <c r="E12627" s="196">
        <v>0</v>
      </c>
      <c r="F12627" s="196">
        <v>0</v>
      </c>
      <c r="G12627" s="196">
        <v>-9596000</v>
      </c>
    </row>
    <row r="12628" spans="1:7" x14ac:dyDescent="0.3">
      <c r="A12628" s="198">
        <v>42750620</v>
      </c>
      <c r="B12628" s="192" t="s">
        <v>575</v>
      </c>
      <c r="C12628" s="196">
        <v>0</v>
      </c>
      <c r="D12628" s="196">
        <v>0</v>
      </c>
      <c r="E12628" s="196">
        <v>5512500</v>
      </c>
      <c r="F12628" s="196">
        <v>-5512500</v>
      </c>
      <c r="G12628" s="196">
        <v>-5512500</v>
      </c>
    </row>
    <row r="12629" spans="1:7" x14ac:dyDescent="0.3">
      <c r="A12629" s="198">
        <v>32304448</v>
      </c>
      <c r="B12629" s="192" t="s">
        <v>6543</v>
      </c>
      <c r="C12629" s="196">
        <v>-162500</v>
      </c>
      <c r="D12629" s="196">
        <v>0</v>
      </c>
      <c r="E12629" s="196">
        <v>0</v>
      </c>
      <c r="F12629" s="196">
        <v>0</v>
      </c>
      <c r="G12629" s="196">
        <v>-162500</v>
      </c>
    </row>
    <row r="12630" spans="1:7" x14ac:dyDescent="0.3">
      <c r="A12630" s="192" t="s">
        <v>3571</v>
      </c>
      <c r="B12630" s="192" t="s">
        <v>3572</v>
      </c>
      <c r="C12630" s="196">
        <v>-10868000</v>
      </c>
      <c r="D12630" s="196">
        <v>0</v>
      </c>
      <c r="E12630" s="196">
        <v>0</v>
      </c>
      <c r="F12630" s="196">
        <v>0</v>
      </c>
      <c r="G12630" s="196">
        <v>-10868000</v>
      </c>
    </row>
    <row r="12631" spans="1:7" x14ac:dyDescent="0.3">
      <c r="A12631" s="198">
        <v>900226523</v>
      </c>
      <c r="B12631" s="192" t="s">
        <v>606</v>
      </c>
      <c r="C12631" s="196">
        <v>-10868000</v>
      </c>
      <c r="D12631" s="196">
        <v>0</v>
      </c>
      <c r="E12631" s="196">
        <v>0</v>
      </c>
      <c r="F12631" s="196">
        <v>0</v>
      </c>
      <c r="G12631" s="196">
        <v>-10868000</v>
      </c>
    </row>
    <row r="12632" spans="1:7" x14ac:dyDescent="0.3">
      <c r="A12632" s="198">
        <v>71905003</v>
      </c>
      <c r="B12632" s="192" t="s">
        <v>607</v>
      </c>
      <c r="C12632" s="196">
        <v>0</v>
      </c>
      <c r="D12632" s="196">
        <v>0</v>
      </c>
      <c r="E12632" s="196">
        <v>10868000</v>
      </c>
      <c r="F12632" s="196">
        <v>-10868000</v>
      </c>
      <c r="G12632" s="196">
        <v>-10868000</v>
      </c>
    </row>
    <row r="12633" spans="1:7" x14ac:dyDescent="0.3">
      <c r="A12633" s="198">
        <v>8280141</v>
      </c>
      <c r="B12633" s="192" t="s">
        <v>608</v>
      </c>
      <c r="C12633" s="196">
        <v>-6026000</v>
      </c>
      <c r="D12633" s="196">
        <v>0</v>
      </c>
      <c r="E12633" s="196">
        <v>0</v>
      </c>
      <c r="F12633" s="196">
        <v>0</v>
      </c>
      <c r="G12633" s="196">
        <v>-6026000</v>
      </c>
    </row>
    <row r="12634" spans="1:7" x14ac:dyDescent="0.3">
      <c r="A12634" s="198">
        <v>21393200</v>
      </c>
      <c r="B12634" s="192" t="s">
        <v>614</v>
      </c>
      <c r="C12634" s="196">
        <v>0</v>
      </c>
      <c r="D12634" s="196">
        <v>0</v>
      </c>
      <c r="E12634" s="196">
        <v>2450000</v>
      </c>
      <c r="F12634" s="196">
        <v>-2450000</v>
      </c>
      <c r="G12634" s="196">
        <v>-2450000</v>
      </c>
    </row>
    <row r="12635" spans="1:7" x14ac:dyDescent="0.3">
      <c r="A12635" s="198">
        <v>1362925</v>
      </c>
      <c r="B12635" s="192" t="s">
        <v>620</v>
      </c>
      <c r="C12635" s="196">
        <v>-10868000</v>
      </c>
      <c r="D12635" s="196">
        <v>0</v>
      </c>
      <c r="E12635" s="196">
        <v>0</v>
      </c>
      <c r="F12635" s="196">
        <v>0</v>
      </c>
      <c r="G12635" s="196">
        <v>-10868000</v>
      </c>
    </row>
    <row r="12636" spans="1:7" x14ac:dyDescent="0.3">
      <c r="A12636" s="198">
        <v>8261629</v>
      </c>
      <c r="B12636" s="192" t="s">
        <v>7413</v>
      </c>
      <c r="C12636" s="196">
        <v>-6330000</v>
      </c>
      <c r="D12636" s="196">
        <v>0</v>
      </c>
      <c r="E12636" s="196">
        <v>0</v>
      </c>
      <c r="F12636" s="196">
        <v>0</v>
      </c>
      <c r="G12636" s="196">
        <v>-6330000</v>
      </c>
    </row>
    <row r="12637" spans="1:7" x14ac:dyDescent="0.3">
      <c r="A12637" s="198">
        <v>8078099</v>
      </c>
      <c r="B12637" s="192" t="s">
        <v>3645</v>
      </c>
      <c r="C12637" s="196">
        <v>-8324000</v>
      </c>
      <c r="D12637" s="196">
        <v>0</v>
      </c>
      <c r="E12637" s="196">
        <v>0</v>
      </c>
      <c r="F12637" s="196">
        <v>0</v>
      </c>
      <c r="G12637" s="196">
        <v>-8324000</v>
      </c>
    </row>
    <row r="12638" spans="1:7" x14ac:dyDescent="0.3">
      <c r="A12638" s="198">
        <v>901271950</v>
      </c>
      <c r="B12638" s="192" t="s">
        <v>7364</v>
      </c>
      <c r="C12638" s="196">
        <v>-20464000</v>
      </c>
      <c r="D12638" s="196">
        <v>0</v>
      </c>
      <c r="E12638" s="196">
        <v>0</v>
      </c>
      <c r="F12638" s="196">
        <v>0</v>
      </c>
      <c r="G12638" s="196">
        <v>-20464000</v>
      </c>
    </row>
    <row r="12639" spans="1:7" x14ac:dyDescent="0.3">
      <c r="A12639" s="198">
        <v>13883107</v>
      </c>
      <c r="B12639" s="192" t="s">
        <v>3659</v>
      </c>
      <c r="C12639" s="196">
        <v>-8847095</v>
      </c>
      <c r="D12639" s="196">
        <v>0</v>
      </c>
      <c r="E12639" s="196">
        <v>0</v>
      </c>
      <c r="F12639" s="196">
        <v>0</v>
      </c>
      <c r="G12639" s="196">
        <v>-8847095</v>
      </c>
    </row>
    <row r="12640" spans="1:7" x14ac:dyDescent="0.3">
      <c r="A12640" s="198">
        <v>71593080</v>
      </c>
      <c r="B12640" s="192" t="s">
        <v>7414</v>
      </c>
      <c r="C12640" s="196">
        <v>-4785000</v>
      </c>
      <c r="D12640" s="196">
        <v>0</v>
      </c>
      <c r="E12640" s="196">
        <v>0</v>
      </c>
      <c r="F12640" s="196">
        <v>0</v>
      </c>
      <c r="G12640" s="196">
        <v>-4785000</v>
      </c>
    </row>
    <row r="12641" spans="1:7" x14ac:dyDescent="0.3">
      <c r="A12641" s="198">
        <v>79532253</v>
      </c>
      <c r="B12641" s="192" t="s">
        <v>637</v>
      </c>
      <c r="C12641" s="196">
        <v>0</v>
      </c>
      <c r="D12641" s="196">
        <v>0</v>
      </c>
      <c r="E12641" s="196">
        <v>9596000</v>
      </c>
      <c r="F12641" s="196">
        <v>-9596000</v>
      </c>
      <c r="G12641" s="196">
        <v>-9596000</v>
      </c>
    </row>
    <row r="12642" spans="1:7" x14ac:dyDescent="0.3">
      <c r="A12642" s="198">
        <v>4105038</v>
      </c>
      <c r="B12642" s="192" t="s">
        <v>642</v>
      </c>
      <c r="C12642" s="196">
        <v>0</v>
      </c>
      <c r="D12642" s="196">
        <v>0</v>
      </c>
      <c r="E12642" s="196">
        <v>724000</v>
      </c>
      <c r="F12642" s="196">
        <v>-724000</v>
      </c>
      <c r="G12642" s="196">
        <v>-724000</v>
      </c>
    </row>
    <row r="12643" spans="1:7" x14ac:dyDescent="0.3">
      <c r="A12643" s="198">
        <v>70690007</v>
      </c>
      <c r="B12643" s="192" t="s">
        <v>6572</v>
      </c>
      <c r="C12643" s="196">
        <v>-1125800</v>
      </c>
      <c r="D12643" s="196">
        <v>0</v>
      </c>
      <c r="E12643" s="196">
        <v>0</v>
      </c>
      <c r="F12643" s="196">
        <v>0</v>
      </c>
      <c r="G12643" s="196">
        <v>-1125800</v>
      </c>
    </row>
    <row r="12644" spans="1:7" x14ac:dyDescent="0.3">
      <c r="A12644" s="198">
        <v>8306979</v>
      </c>
      <c r="B12644" s="192" t="s">
        <v>7415</v>
      </c>
      <c r="C12644" s="196">
        <v>-1600000</v>
      </c>
      <c r="D12644" s="196">
        <v>0</v>
      </c>
      <c r="E12644" s="196">
        <v>0</v>
      </c>
      <c r="F12644" s="196">
        <v>0</v>
      </c>
      <c r="G12644" s="196">
        <v>-1600000</v>
      </c>
    </row>
    <row r="12645" spans="1:7" x14ac:dyDescent="0.3">
      <c r="A12645" s="192" t="s">
        <v>3733</v>
      </c>
      <c r="B12645" s="192" t="s">
        <v>3734</v>
      </c>
      <c r="C12645" s="196">
        <v>-9596000</v>
      </c>
      <c r="D12645" s="196">
        <v>0</v>
      </c>
      <c r="E12645" s="196">
        <v>0</v>
      </c>
      <c r="F12645" s="196">
        <v>0</v>
      </c>
      <c r="G12645" s="196">
        <v>-9596000</v>
      </c>
    </row>
    <row r="12646" spans="1:7" x14ac:dyDescent="0.3">
      <c r="A12646" s="198">
        <v>21978728</v>
      </c>
      <c r="B12646" s="192" t="s">
        <v>3751</v>
      </c>
      <c r="C12646" s="196">
        <v>-10868000</v>
      </c>
      <c r="D12646" s="196">
        <v>0</v>
      </c>
      <c r="E12646" s="196">
        <v>0</v>
      </c>
      <c r="F12646" s="196">
        <v>0</v>
      </c>
      <c r="G12646" s="196">
        <v>-10868000</v>
      </c>
    </row>
    <row r="12647" spans="1:7" x14ac:dyDescent="0.3">
      <c r="A12647" s="198">
        <v>42789578</v>
      </c>
      <c r="B12647" s="192" t="s">
        <v>3758</v>
      </c>
      <c r="C12647" s="196">
        <v>-8324000</v>
      </c>
      <c r="D12647" s="196">
        <v>0</v>
      </c>
      <c r="E12647" s="196">
        <v>0</v>
      </c>
      <c r="F12647" s="196">
        <v>0</v>
      </c>
      <c r="G12647" s="196">
        <v>-8324000</v>
      </c>
    </row>
    <row r="12648" spans="1:7" x14ac:dyDescent="0.3">
      <c r="A12648" s="198">
        <v>21928779</v>
      </c>
      <c r="B12648" s="192" t="s">
        <v>6583</v>
      </c>
      <c r="C12648" s="196">
        <v>-1430000</v>
      </c>
      <c r="D12648" s="196">
        <v>0</v>
      </c>
      <c r="E12648" s="196">
        <v>0</v>
      </c>
      <c r="F12648" s="196">
        <v>0</v>
      </c>
      <c r="G12648" s="196">
        <v>-1430000</v>
      </c>
    </row>
    <row r="12649" spans="1:7" x14ac:dyDescent="0.3">
      <c r="A12649" s="198">
        <v>32498836</v>
      </c>
      <c r="B12649" s="192" t="s">
        <v>6584</v>
      </c>
      <c r="C12649" s="196">
        <v>-9600000</v>
      </c>
      <c r="D12649" s="196">
        <v>0</v>
      </c>
      <c r="E12649" s="196">
        <v>0</v>
      </c>
      <c r="F12649" s="196">
        <v>0</v>
      </c>
      <c r="G12649" s="196">
        <v>-9600000</v>
      </c>
    </row>
    <row r="12650" spans="1:7" x14ac:dyDescent="0.3">
      <c r="A12650" s="198">
        <v>37825638</v>
      </c>
      <c r="B12650" s="192" t="s">
        <v>666</v>
      </c>
      <c r="C12650" s="196">
        <v>-748000</v>
      </c>
      <c r="D12650" s="196">
        <v>0</v>
      </c>
      <c r="E12650" s="196">
        <v>0</v>
      </c>
      <c r="F12650" s="196">
        <v>0</v>
      </c>
      <c r="G12650" s="196">
        <v>-748000</v>
      </c>
    </row>
    <row r="12651" spans="1:7" x14ac:dyDescent="0.3">
      <c r="A12651" s="198">
        <v>43530091</v>
      </c>
      <c r="B12651" s="192" t="s">
        <v>673</v>
      </c>
      <c r="C12651" s="196">
        <v>-5232000</v>
      </c>
      <c r="D12651" s="196">
        <v>0</v>
      </c>
      <c r="E12651" s="196">
        <v>0</v>
      </c>
      <c r="F12651" s="196">
        <v>0</v>
      </c>
      <c r="G12651" s="196">
        <v>-5232000</v>
      </c>
    </row>
    <row r="12652" spans="1:7" x14ac:dyDescent="0.3">
      <c r="A12652" s="198">
        <v>21555974</v>
      </c>
      <c r="B12652" s="192" t="s">
        <v>7416</v>
      </c>
      <c r="C12652" s="196">
        <v>-4162000</v>
      </c>
      <c r="D12652" s="196">
        <v>0</v>
      </c>
      <c r="E12652" s="196">
        <v>0</v>
      </c>
      <c r="F12652" s="196">
        <v>0</v>
      </c>
      <c r="G12652" s="196">
        <v>-4162000</v>
      </c>
    </row>
    <row r="12653" spans="1:7" x14ac:dyDescent="0.3">
      <c r="A12653" s="198">
        <v>32309562</v>
      </c>
      <c r="B12653" s="192" t="s">
        <v>6590</v>
      </c>
      <c r="C12653" s="196">
        <v>-3800000</v>
      </c>
      <c r="D12653" s="196">
        <v>0</v>
      </c>
      <c r="E12653" s="196">
        <v>0</v>
      </c>
      <c r="F12653" s="196">
        <v>0</v>
      </c>
      <c r="G12653" s="196">
        <v>-3800000</v>
      </c>
    </row>
    <row r="12654" spans="1:7" x14ac:dyDescent="0.3">
      <c r="A12654" s="198">
        <v>8456075</v>
      </c>
      <c r="B12654" s="192" t="s">
        <v>6592</v>
      </c>
      <c r="C12654" s="196">
        <v>-286000</v>
      </c>
      <c r="D12654" s="196">
        <v>0</v>
      </c>
      <c r="E12654" s="196">
        <v>0</v>
      </c>
      <c r="F12654" s="196">
        <v>0</v>
      </c>
      <c r="G12654" s="196">
        <v>-286000</v>
      </c>
    </row>
    <row r="12655" spans="1:7" x14ac:dyDescent="0.3">
      <c r="A12655" s="198">
        <v>8387506</v>
      </c>
      <c r="B12655" s="192" t="s">
        <v>6593</v>
      </c>
      <c r="C12655" s="196">
        <v>-9800000</v>
      </c>
      <c r="D12655" s="196">
        <v>0</v>
      </c>
      <c r="E12655" s="196">
        <v>0</v>
      </c>
      <c r="F12655" s="196">
        <v>0</v>
      </c>
      <c r="G12655" s="196">
        <v>-9800000</v>
      </c>
    </row>
    <row r="12656" spans="1:7" x14ac:dyDescent="0.3">
      <c r="A12656" s="198">
        <v>3566307</v>
      </c>
      <c r="B12656" s="192" t="s">
        <v>686</v>
      </c>
      <c r="C12656" s="196">
        <v>-9596000</v>
      </c>
      <c r="D12656" s="196">
        <v>0</v>
      </c>
      <c r="E12656" s="196">
        <v>0</v>
      </c>
      <c r="F12656" s="196">
        <v>0</v>
      </c>
      <c r="G12656" s="196">
        <v>-9596000</v>
      </c>
    </row>
    <row r="12657" spans="1:7" x14ac:dyDescent="0.3">
      <c r="A12657" s="192" t="s">
        <v>696</v>
      </c>
      <c r="B12657" s="192" t="s">
        <v>697</v>
      </c>
      <c r="C12657" s="196">
        <v>-4800000</v>
      </c>
      <c r="D12657" s="196">
        <v>0</v>
      </c>
      <c r="E12657" s="196">
        <v>0</v>
      </c>
      <c r="F12657" s="196">
        <v>0</v>
      </c>
      <c r="G12657" s="196">
        <v>-4800000</v>
      </c>
    </row>
    <row r="12658" spans="1:7" x14ac:dyDescent="0.3">
      <c r="A12658" s="198">
        <v>8293924</v>
      </c>
      <c r="B12658" s="192" t="s">
        <v>3842</v>
      </c>
      <c r="C12658" s="196">
        <v>-10868000</v>
      </c>
      <c r="D12658" s="196">
        <v>0</v>
      </c>
      <c r="E12658" s="196">
        <v>0</v>
      </c>
      <c r="F12658" s="196">
        <v>0</v>
      </c>
      <c r="G12658" s="196">
        <v>-10868000</v>
      </c>
    </row>
    <row r="12659" spans="1:7" x14ac:dyDescent="0.3">
      <c r="A12659" s="192" t="s">
        <v>709</v>
      </c>
      <c r="B12659" s="192" t="s">
        <v>710</v>
      </c>
      <c r="C12659" s="196">
        <v>-9596000</v>
      </c>
      <c r="D12659" s="196">
        <v>0</v>
      </c>
      <c r="E12659" s="196">
        <v>0</v>
      </c>
      <c r="F12659" s="196">
        <v>0</v>
      </c>
      <c r="G12659" s="196">
        <v>-9596000</v>
      </c>
    </row>
    <row r="12660" spans="1:7" x14ac:dyDescent="0.3">
      <c r="A12660" s="198">
        <v>70905100</v>
      </c>
      <c r="B12660" s="192" t="s">
        <v>3863</v>
      </c>
      <c r="C12660" s="196">
        <v>-748000</v>
      </c>
      <c r="D12660" s="196">
        <v>0</v>
      </c>
      <c r="E12660" s="196">
        <v>0</v>
      </c>
      <c r="F12660" s="196">
        <v>0</v>
      </c>
      <c r="G12660" s="196">
        <v>-748000</v>
      </c>
    </row>
    <row r="12661" spans="1:7" x14ac:dyDescent="0.3">
      <c r="A12661" s="198">
        <v>21765150</v>
      </c>
      <c r="B12661" s="192" t="s">
        <v>6606</v>
      </c>
      <c r="C12661" s="196">
        <v>-9944000</v>
      </c>
      <c r="D12661" s="196">
        <v>0</v>
      </c>
      <c r="E12661" s="196">
        <v>0</v>
      </c>
      <c r="F12661" s="196">
        <v>0</v>
      </c>
      <c r="G12661" s="196">
        <v>-9944000</v>
      </c>
    </row>
    <row r="12662" spans="1:7" x14ac:dyDescent="0.3">
      <c r="A12662" s="198">
        <v>32304305</v>
      </c>
      <c r="B12662" s="192" t="s">
        <v>717</v>
      </c>
      <c r="C12662" s="196">
        <v>-1</v>
      </c>
      <c r="D12662" s="196">
        <v>0</v>
      </c>
      <c r="E12662" s="196">
        <v>0</v>
      </c>
      <c r="F12662" s="196">
        <v>0</v>
      </c>
      <c r="G12662" s="196">
        <v>-1</v>
      </c>
    </row>
    <row r="12663" spans="1:7" x14ac:dyDescent="0.3">
      <c r="A12663" s="198">
        <v>900163228</v>
      </c>
      <c r="B12663" s="192" t="s">
        <v>722</v>
      </c>
      <c r="C12663" s="196">
        <v>-748000</v>
      </c>
      <c r="D12663" s="196">
        <v>0</v>
      </c>
      <c r="E12663" s="196">
        <v>0</v>
      </c>
      <c r="F12663" s="196">
        <v>0</v>
      </c>
      <c r="G12663" s="196">
        <v>-748000</v>
      </c>
    </row>
    <row r="12664" spans="1:7" x14ac:dyDescent="0.3">
      <c r="A12664" s="198">
        <v>32447962</v>
      </c>
      <c r="B12664" s="192" t="s">
        <v>727</v>
      </c>
      <c r="C12664" s="196">
        <v>0</v>
      </c>
      <c r="D12664" s="196">
        <v>0</v>
      </c>
      <c r="E12664" s="196">
        <v>7125000</v>
      </c>
      <c r="F12664" s="196">
        <v>-7125000</v>
      </c>
      <c r="G12664" s="196">
        <v>-7125000</v>
      </c>
    </row>
    <row r="12665" spans="1:7" x14ac:dyDescent="0.3">
      <c r="A12665" s="198">
        <v>71617619</v>
      </c>
      <c r="B12665" s="192" t="s">
        <v>746</v>
      </c>
      <c r="C12665" s="196">
        <v>-10868000</v>
      </c>
      <c r="D12665" s="196">
        <v>0</v>
      </c>
      <c r="E12665" s="196">
        <v>0</v>
      </c>
      <c r="F12665" s="196">
        <v>0</v>
      </c>
      <c r="G12665" s="196">
        <v>-10868000</v>
      </c>
    </row>
    <row r="12666" spans="1:7" x14ac:dyDescent="0.3">
      <c r="A12666" s="198">
        <v>3227506</v>
      </c>
      <c r="B12666" s="192" t="s">
        <v>758</v>
      </c>
      <c r="C12666" s="196">
        <v>0</v>
      </c>
      <c r="D12666" s="196">
        <v>0</v>
      </c>
      <c r="E12666" s="196">
        <v>3795000</v>
      </c>
      <c r="F12666" s="196">
        <v>-3795000</v>
      </c>
      <c r="G12666" s="196">
        <v>-3795000</v>
      </c>
    </row>
    <row r="12667" spans="1:7" x14ac:dyDescent="0.3">
      <c r="A12667" s="198">
        <v>392250</v>
      </c>
      <c r="B12667" s="192" t="s">
        <v>3998</v>
      </c>
      <c r="C12667" s="196">
        <v>-2615900</v>
      </c>
      <c r="D12667" s="196">
        <v>0</v>
      </c>
      <c r="E12667" s="196">
        <v>0</v>
      </c>
      <c r="F12667" s="196">
        <v>0</v>
      </c>
      <c r="G12667" s="196">
        <v>-2615900</v>
      </c>
    </row>
    <row r="12668" spans="1:7" x14ac:dyDescent="0.3">
      <c r="A12668" s="198">
        <v>4851560</v>
      </c>
      <c r="B12668" s="192" t="s">
        <v>6622</v>
      </c>
      <c r="C12668" s="196">
        <v>-162500</v>
      </c>
      <c r="D12668" s="196">
        <v>0</v>
      </c>
      <c r="E12668" s="196">
        <v>0</v>
      </c>
      <c r="F12668" s="196">
        <v>0</v>
      </c>
      <c r="G12668" s="196">
        <v>-162500</v>
      </c>
    </row>
    <row r="12669" spans="1:7" x14ac:dyDescent="0.3">
      <c r="A12669" s="198">
        <v>642778167</v>
      </c>
      <c r="B12669" s="192" t="s">
        <v>4017</v>
      </c>
      <c r="C12669" s="196">
        <v>-10868000</v>
      </c>
      <c r="D12669" s="196">
        <v>0</v>
      </c>
      <c r="E12669" s="196">
        <v>0</v>
      </c>
      <c r="F12669" s="196">
        <v>0</v>
      </c>
      <c r="G12669" s="196">
        <v>-10868000</v>
      </c>
    </row>
    <row r="12670" spans="1:7" x14ac:dyDescent="0.3">
      <c r="A12670" s="198">
        <v>572995231</v>
      </c>
      <c r="B12670" s="192" t="s">
        <v>4028</v>
      </c>
      <c r="C12670" s="196">
        <v>-10868000</v>
      </c>
      <c r="D12670" s="196">
        <v>0</v>
      </c>
      <c r="E12670" s="196">
        <v>0</v>
      </c>
      <c r="F12670" s="196">
        <v>0</v>
      </c>
      <c r="G12670" s="196">
        <v>-10868000</v>
      </c>
    </row>
    <row r="12671" spans="1:7" x14ac:dyDescent="0.3">
      <c r="A12671" s="198">
        <v>900279888</v>
      </c>
      <c r="B12671" s="192" t="s">
        <v>6645</v>
      </c>
      <c r="C12671" s="196">
        <v>-1712400</v>
      </c>
      <c r="D12671" s="196">
        <v>0</v>
      </c>
      <c r="E12671" s="196">
        <v>0</v>
      </c>
      <c r="F12671" s="196">
        <v>0</v>
      </c>
      <c r="G12671" s="196">
        <v>-1712400</v>
      </c>
    </row>
    <row r="12672" spans="1:7" x14ac:dyDescent="0.3">
      <c r="A12672" s="198">
        <v>3524420</v>
      </c>
      <c r="B12672" s="192" t="s">
        <v>795</v>
      </c>
      <c r="C12672" s="196">
        <v>0</v>
      </c>
      <c r="D12672" s="196">
        <v>0</v>
      </c>
      <c r="E12672" s="196">
        <v>2311500</v>
      </c>
      <c r="F12672" s="196">
        <v>-2311500</v>
      </c>
      <c r="G12672" s="196">
        <v>-2311500</v>
      </c>
    </row>
    <row r="12673" spans="1:7" x14ac:dyDescent="0.3">
      <c r="A12673" s="198">
        <v>70901258</v>
      </c>
      <c r="B12673" s="192" t="s">
        <v>4071</v>
      </c>
      <c r="C12673" s="196">
        <v>-748000</v>
      </c>
      <c r="D12673" s="196">
        <v>0</v>
      </c>
      <c r="E12673" s="196">
        <v>0</v>
      </c>
      <c r="F12673" s="196">
        <v>0</v>
      </c>
      <c r="G12673" s="196">
        <v>-748000</v>
      </c>
    </row>
    <row r="12674" spans="1:7" x14ac:dyDescent="0.3">
      <c r="A12674" s="198">
        <v>7562823</v>
      </c>
      <c r="B12674" s="192" t="s">
        <v>6655</v>
      </c>
      <c r="C12674" s="196">
        <v>-9596000</v>
      </c>
      <c r="D12674" s="196">
        <v>0</v>
      </c>
      <c r="E12674" s="196">
        <v>0</v>
      </c>
      <c r="F12674" s="196">
        <v>0</v>
      </c>
      <c r="G12674" s="196">
        <v>-9596000</v>
      </c>
    </row>
    <row r="12675" spans="1:7" x14ac:dyDescent="0.3">
      <c r="A12675" s="198">
        <v>11705730</v>
      </c>
      <c r="B12675" s="192" t="s">
        <v>798</v>
      </c>
      <c r="C12675" s="196">
        <v>0</v>
      </c>
      <c r="D12675" s="196">
        <v>0</v>
      </c>
      <c r="E12675" s="196">
        <v>8324000</v>
      </c>
      <c r="F12675" s="196">
        <v>-8324000</v>
      </c>
      <c r="G12675" s="196">
        <v>-8324000</v>
      </c>
    </row>
    <row r="12676" spans="1:7" x14ac:dyDescent="0.3">
      <c r="A12676" s="198">
        <v>8046150</v>
      </c>
      <c r="B12676" s="192" t="s">
        <v>4083</v>
      </c>
      <c r="C12676" s="196">
        <v>-1660000</v>
      </c>
      <c r="D12676" s="196">
        <v>0</v>
      </c>
      <c r="E12676" s="196">
        <v>0</v>
      </c>
      <c r="F12676" s="196">
        <v>0</v>
      </c>
      <c r="G12676" s="196">
        <v>-1660000</v>
      </c>
    </row>
    <row r="12677" spans="1:7" x14ac:dyDescent="0.3">
      <c r="A12677" s="198">
        <v>98606788</v>
      </c>
      <c r="B12677" s="192" t="s">
        <v>6672</v>
      </c>
      <c r="C12677" s="196">
        <v>-10868000</v>
      </c>
      <c r="D12677" s="196">
        <v>0</v>
      </c>
      <c r="E12677" s="196">
        <v>0</v>
      </c>
      <c r="F12677" s="196">
        <v>0</v>
      </c>
      <c r="G12677" s="196">
        <v>-10868000</v>
      </c>
    </row>
    <row r="12678" spans="1:7" x14ac:dyDescent="0.3">
      <c r="A12678" s="198">
        <v>45764892</v>
      </c>
      <c r="B12678" s="192" t="s">
        <v>815</v>
      </c>
      <c r="C12678" s="196">
        <v>-1</v>
      </c>
      <c r="D12678" s="196">
        <v>0</v>
      </c>
      <c r="E12678" s="196">
        <v>0</v>
      </c>
      <c r="F12678" s="196">
        <v>0</v>
      </c>
      <c r="G12678" s="196">
        <v>-1</v>
      </c>
    </row>
    <row r="12679" spans="1:7" x14ac:dyDescent="0.3">
      <c r="A12679" s="198">
        <v>71527531</v>
      </c>
      <c r="B12679" s="192" t="s">
        <v>124</v>
      </c>
      <c r="C12679" s="196">
        <v>-1496000</v>
      </c>
      <c r="D12679" s="196">
        <v>0</v>
      </c>
      <c r="E12679" s="196">
        <v>0</v>
      </c>
      <c r="F12679" s="196">
        <v>0</v>
      </c>
      <c r="G12679" s="196">
        <v>-1496000</v>
      </c>
    </row>
    <row r="12680" spans="1:7" x14ac:dyDescent="0.3">
      <c r="A12680" s="198">
        <v>70050393</v>
      </c>
      <c r="B12680" s="192" t="s">
        <v>7417</v>
      </c>
      <c r="C12680" s="196">
        <v>-1600000</v>
      </c>
      <c r="D12680" s="196">
        <v>0</v>
      </c>
      <c r="E12680" s="196">
        <v>0</v>
      </c>
      <c r="F12680" s="196">
        <v>0</v>
      </c>
      <c r="G12680" s="196">
        <v>-1600000</v>
      </c>
    </row>
    <row r="12681" spans="1:7" x14ac:dyDescent="0.3">
      <c r="A12681" s="198">
        <v>71694698</v>
      </c>
      <c r="B12681" s="192" t="s">
        <v>828</v>
      </c>
      <c r="C12681" s="196">
        <v>0</v>
      </c>
      <c r="D12681" s="196">
        <v>0</v>
      </c>
      <c r="E12681" s="196">
        <v>10868000</v>
      </c>
      <c r="F12681" s="196">
        <v>-10868000</v>
      </c>
      <c r="G12681" s="196">
        <v>-10868000</v>
      </c>
    </row>
    <row r="12682" spans="1:7" x14ac:dyDescent="0.3">
      <c r="A12682" s="198">
        <v>70003018</v>
      </c>
      <c r="B12682" s="192" t="s">
        <v>4161</v>
      </c>
      <c r="C12682" s="196">
        <v>-10868000</v>
      </c>
      <c r="D12682" s="196">
        <v>0</v>
      </c>
      <c r="E12682" s="196">
        <v>0</v>
      </c>
      <c r="F12682" s="196">
        <v>0</v>
      </c>
      <c r="G12682" s="196">
        <v>-10868000</v>
      </c>
    </row>
    <row r="12683" spans="1:7" x14ac:dyDescent="0.3">
      <c r="A12683" s="198">
        <v>70091482</v>
      </c>
      <c r="B12683" s="192" t="s">
        <v>6682</v>
      </c>
      <c r="C12683" s="196">
        <v>-4785000</v>
      </c>
      <c r="D12683" s="196">
        <v>0</v>
      </c>
      <c r="E12683" s="196">
        <v>0</v>
      </c>
      <c r="F12683" s="196">
        <v>0</v>
      </c>
      <c r="G12683" s="196">
        <v>-4785000</v>
      </c>
    </row>
    <row r="12684" spans="1:7" x14ac:dyDescent="0.3">
      <c r="A12684" s="198">
        <v>14972000</v>
      </c>
      <c r="B12684" s="192" t="s">
        <v>6693</v>
      </c>
      <c r="C12684" s="196">
        <v>-1160250</v>
      </c>
      <c r="D12684" s="196">
        <v>0</v>
      </c>
      <c r="E12684" s="196">
        <v>0</v>
      </c>
      <c r="F12684" s="196">
        <v>0</v>
      </c>
      <c r="G12684" s="196">
        <v>-1160250</v>
      </c>
    </row>
    <row r="12685" spans="1:7" x14ac:dyDescent="0.3">
      <c r="A12685" s="198">
        <v>15525482</v>
      </c>
      <c r="B12685" s="192" t="s">
        <v>6694</v>
      </c>
      <c r="C12685" s="196">
        <v>-4600000</v>
      </c>
      <c r="D12685" s="196">
        <v>0</v>
      </c>
      <c r="E12685" s="196">
        <v>0</v>
      </c>
      <c r="F12685" s="196">
        <v>0</v>
      </c>
      <c r="G12685" s="196">
        <v>-4600000</v>
      </c>
    </row>
    <row r="12686" spans="1:7" x14ac:dyDescent="0.3">
      <c r="A12686" s="198">
        <v>70556547</v>
      </c>
      <c r="B12686" s="192" t="s">
        <v>7418</v>
      </c>
      <c r="C12686" s="196">
        <v>-5400000</v>
      </c>
      <c r="D12686" s="196">
        <v>0</v>
      </c>
      <c r="E12686" s="196">
        <v>0</v>
      </c>
      <c r="F12686" s="196">
        <v>0</v>
      </c>
      <c r="G12686" s="196">
        <v>-5400000</v>
      </c>
    </row>
    <row r="12687" spans="1:7" x14ac:dyDescent="0.3">
      <c r="A12687" s="198">
        <v>98476086</v>
      </c>
      <c r="B12687" s="192" t="s">
        <v>845</v>
      </c>
      <c r="C12687" s="196">
        <v>-362000</v>
      </c>
      <c r="D12687" s="196">
        <v>0</v>
      </c>
      <c r="E12687" s="196">
        <v>0</v>
      </c>
      <c r="F12687" s="196">
        <v>0</v>
      </c>
      <c r="G12687" s="196">
        <v>-362000</v>
      </c>
    </row>
    <row r="12688" spans="1:7" x14ac:dyDescent="0.3">
      <c r="A12688" s="198">
        <v>98519140</v>
      </c>
      <c r="B12688" s="192" t="s">
        <v>6696</v>
      </c>
      <c r="C12688" s="196">
        <v>-396000</v>
      </c>
      <c r="D12688" s="196">
        <v>0</v>
      </c>
      <c r="E12688" s="196">
        <v>0</v>
      </c>
      <c r="F12688" s="196">
        <v>0</v>
      </c>
      <c r="G12688" s="196">
        <v>-396000</v>
      </c>
    </row>
    <row r="12689" spans="1:7" x14ac:dyDescent="0.3">
      <c r="A12689" s="198">
        <v>23247290</v>
      </c>
      <c r="B12689" s="192" t="s">
        <v>4229</v>
      </c>
      <c r="C12689" s="196">
        <v>-362000</v>
      </c>
      <c r="D12689" s="196">
        <v>0</v>
      </c>
      <c r="E12689" s="196">
        <v>0</v>
      </c>
      <c r="F12689" s="196">
        <v>0</v>
      </c>
      <c r="G12689" s="196">
        <v>-362000</v>
      </c>
    </row>
    <row r="12690" spans="1:7" x14ac:dyDescent="0.3">
      <c r="A12690" s="198">
        <v>1088011369</v>
      </c>
      <c r="B12690" s="192" t="s">
        <v>6698</v>
      </c>
      <c r="C12690" s="196">
        <v>-4900000</v>
      </c>
      <c r="D12690" s="196">
        <v>0</v>
      </c>
      <c r="E12690" s="196">
        <v>0</v>
      </c>
      <c r="F12690" s="196">
        <v>0</v>
      </c>
      <c r="G12690" s="196">
        <v>-4900000</v>
      </c>
    </row>
    <row r="12691" spans="1:7" x14ac:dyDescent="0.3">
      <c r="A12691" s="198">
        <v>7806748</v>
      </c>
      <c r="B12691" s="192" t="s">
        <v>4242</v>
      </c>
      <c r="C12691" s="196">
        <v>-2616000</v>
      </c>
      <c r="D12691" s="196">
        <v>0</v>
      </c>
      <c r="E12691" s="196">
        <v>0</v>
      </c>
      <c r="F12691" s="196">
        <v>0</v>
      </c>
      <c r="G12691" s="196">
        <v>-2616000</v>
      </c>
    </row>
    <row r="12692" spans="1:7" x14ac:dyDescent="0.3">
      <c r="A12692" s="198">
        <v>71581098</v>
      </c>
      <c r="B12692" s="192" t="s">
        <v>855</v>
      </c>
      <c r="C12692" s="196">
        <v>-9570000</v>
      </c>
      <c r="D12692" s="196">
        <v>0</v>
      </c>
      <c r="E12692" s="196">
        <v>0</v>
      </c>
      <c r="F12692" s="196">
        <v>0</v>
      </c>
      <c r="G12692" s="196">
        <v>-9570000</v>
      </c>
    </row>
    <row r="12693" spans="1:7" x14ac:dyDescent="0.3">
      <c r="A12693" s="198">
        <v>71765183</v>
      </c>
      <c r="B12693" s="192" t="s">
        <v>4269</v>
      </c>
      <c r="C12693" s="196">
        <v>-8324000</v>
      </c>
      <c r="D12693" s="196">
        <v>0</v>
      </c>
      <c r="E12693" s="196">
        <v>0</v>
      </c>
      <c r="F12693" s="196">
        <v>0</v>
      </c>
      <c r="G12693" s="196">
        <v>-8324000</v>
      </c>
    </row>
    <row r="12694" spans="1:7" x14ac:dyDescent="0.3">
      <c r="A12694" s="198">
        <v>8028105</v>
      </c>
      <c r="B12694" s="192" t="s">
        <v>7251</v>
      </c>
      <c r="C12694" s="196">
        <v>-3961000</v>
      </c>
      <c r="D12694" s="196">
        <v>0</v>
      </c>
      <c r="E12694" s="196">
        <v>0</v>
      </c>
      <c r="F12694" s="196">
        <v>0</v>
      </c>
      <c r="G12694" s="196">
        <v>-3961000</v>
      </c>
    </row>
    <row r="12695" spans="1:7" x14ac:dyDescent="0.3">
      <c r="A12695" s="198">
        <v>98517307</v>
      </c>
      <c r="B12695" s="192" t="s">
        <v>862</v>
      </c>
      <c r="C12695" s="196">
        <v>0</v>
      </c>
      <c r="D12695" s="196">
        <v>0</v>
      </c>
      <c r="E12695" s="196">
        <v>9800000</v>
      </c>
      <c r="F12695" s="196">
        <v>-9800000</v>
      </c>
      <c r="G12695" s="196">
        <v>-9800000</v>
      </c>
    </row>
    <row r="12696" spans="1:7" x14ac:dyDescent="0.3">
      <c r="A12696" s="198">
        <v>98555964</v>
      </c>
      <c r="B12696" s="192" t="s">
        <v>7419</v>
      </c>
      <c r="C12696" s="196">
        <v>-1430000</v>
      </c>
      <c r="D12696" s="196">
        <v>0</v>
      </c>
      <c r="E12696" s="196">
        <v>0</v>
      </c>
      <c r="F12696" s="196">
        <v>0</v>
      </c>
      <c r="G12696" s="196">
        <v>-1430000</v>
      </c>
    </row>
    <row r="12697" spans="1:7" x14ac:dyDescent="0.3">
      <c r="A12697" s="198">
        <v>3606720</v>
      </c>
      <c r="B12697" s="192" t="s">
        <v>6714</v>
      </c>
      <c r="C12697" s="196">
        <v>-10600800</v>
      </c>
      <c r="D12697" s="196">
        <v>0</v>
      </c>
      <c r="E12697" s="196">
        <v>0</v>
      </c>
      <c r="F12697" s="196">
        <v>0</v>
      </c>
      <c r="G12697" s="196">
        <v>-10600800</v>
      </c>
    </row>
    <row r="12698" spans="1:7" x14ac:dyDescent="0.3">
      <c r="A12698" s="198">
        <v>70055470</v>
      </c>
      <c r="B12698" s="192" t="s">
        <v>4303</v>
      </c>
      <c r="C12698" s="196">
        <v>-1166000</v>
      </c>
      <c r="D12698" s="196">
        <v>0</v>
      </c>
      <c r="E12698" s="196">
        <v>0</v>
      </c>
      <c r="F12698" s="196">
        <v>0</v>
      </c>
      <c r="G12698" s="196">
        <v>-1166000</v>
      </c>
    </row>
    <row r="12699" spans="1:7" x14ac:dyDescent="0.3">
      <c r="A12699" s="198">
        <v>71905054</v>
      </c>
      <c r="B12699" s="192" t="s">
        <v>7420</v>
      </c>
      <c r="C12699" s="196">
        <v>-10000000</v>
      </c>
      <c r="D12699" s="196">
        <v>0</v>
      </c>
      <c r="E12699" s="196">
        <v>0</v>
      </c>
      <c r="F12699" s="196">
        <v>0</v>
      </c>
      <c r="G12699" s="196">
        <v>-10000000</v>
      </c>
    </row>
    <row r="12700" spans="1:7" x14ac:dyDescent="0.3">
      <c r="A12700" s="198">
        <v>98555608</v>
      </c>
      <c r="B12700" s="192" t="s">
        <v>126</v>
      </c>
      <c r="C12700" s="196">
        <v>-850000</v>
      </c>
      <c r="D12700" s="196">
        <v>0</v>
      </c>
      <c r="E12700" s="196">
        <v>0</v>
      </c>
      <c r="F12700" s="196">
        <v>0</v>
      </c>
      <c r="G12700" s="196">
        <v>-850000</v>
      </c>
    </row>
    <row r="12701" spans="1:7" x14ac:dyDescent="0.3">
      <c r="A12701" s="198">
        <v>8269539</v>
      </c>
      <c r="B12701" s="192" t="s">
        <v>7421</v>
      </c>
      <c r="C12701" s="196">
        <v>-1500000</v>
      </c>
      <c r="D12701" s="196">
        <v>0</v>
      </c>
      <c r="E12701" s="196">
        <v>0</v>
      </c>
      <c r="F12701" s="196">
        <v>0</v>
      </c>
      <c r="G12701" s="196">
        <v>-1500000</v>
      </c>
    </row>
    <row r="12702" spans="1:7" x14ac:dyDescent="0.3">
      <c r="A12702" s="198">
        <v>39712952</v>
      </c>
      <c r="B12702" s="192" t="s">
        <v>7256</v>
      </c>
      <c r="C12702" s="196">
        <v>-5231900</v>
      </c>
      <c r="D12702" s="196">
        <v>0</v>
      </c>
      <c r="E12702" s="196">
        <v>0</v>
      </c>
      <c r="F12702" s="196">
        <v>0</v>
      </c>
      <c r="G12702" s="196">
        <v>-5231900</v>
      </c>
    </row>
    <row r="12703" spans="1:7" x14ac:dyDescent="0.3">
      <c r="A12703" s="198">
        <v>10099270</v>
      </c>
      <c r="B12703" s="192" t="s">
        <v>4395</v>
      </c>
      <c r="C12703" s="196">
        <v>-5778000</v>
      </c>
      <c r="D12703" s="196">
        <v>0</v>
      </c>
      <c r="E12703" s="196">
        <v>0</v>
      </c>
      <c r="F12703" s="196">
        <v>0</v>
      </c>
      <c r="G12703" s="196">
        <v>-5778000</v>
      </c>
    </row>
    <row r="12704" spans="1:7" x14ac:dyDescent="0.3">
      <c r="A12704" s="198">
        <v>1018255824</v>
      </c>
      <c r="B12704" s="192" t="s">
        <v>928</v>
      </c>
      <c r="C12704" s="196">
        <v>-1300001</v>
      </c>
      <c r="D12704" s="196">
        <v>0</v>
      </c>
      <c r="E12704" s="196">
        <v>0</v>
      </c>
      <c r="F12704" s="196">
        <v>0</v>
      </c>
      <c r="G12704" s="196">
        <v>-1300001</v>
      </c>
    </row>
    <row r="12705" spans="1:7" x14ac:dyDescent="0.3">
      <c r="A12705" s="192" t="s">
        <v>4440</v>
      </c>
      <c r="B12705" s="192" t="s">
        <v>4441</v>
      </c>
      <c r="C12705" s="196">
        <v>-10868000</v>
      </c>
      <c r="D12705" s="196">
        <v>0</v>
      </c>
      <c r="E12705" s="196">
        <v>0</v>
      </c>
      <c r="F12705" s="196">
        <v>0</v>
      </c>
      <c r="G12705" s="196">
        <v>-10868000</v>
      </c>
    </row>
    <row r="12706" spans="1:7" x14ac:dyDescent="0.3">
      <c r="A12706" s="192" t="s">
        <v>6772</v>
      </c>
      <c r="B12706" s="192" t="s">
        <v>4486</v>
      </c>
      <c r="C12706" s="196">
        <v>-3000000</v>
      </c>
      <c r="D12706" s="196">
        <v>0</v>
      </c>
      <c r="E12706" s="196">
        <v>0</v>
      </c>
      <c r="F12706" s="196">
        <v>0</v>
      </c>
      <c r="G12706" s="196">
        <v>-3000000</v>
      </c>
    </row>
    <row r="12707" spans="1:7" x14ac:dyDescent="0.3">
      <c r="A12707" s="198">
        <v>43805781</v>
      </c>
      <c r="B12707" s="192" t="s">
        <v>6804</v>
      </c>
      <c r="C12707" s="196">
        <v>-4852200</v>
      </c>
      <c r="D12707" s="196">
        <v>0</v>
      </c>
      <c r="E12707" s="196">
        <v>0</v>
      </c>
      <c r="F12707" s="196">
        <v>0</v>
      </c>
      <c r="G12707" s="196">
        <v>-4852200</v>
      </c>
    </row>
    <row r="12708" spans="1:7" x14ac:dyDescent="0.3">
      <c r="A12708" s="198">
        <v>43727157</v>
      </c>
      <c r="B12708" s="192" t="s">
        <v>7264</v>
      </c>
      <c r="C12708" s="196">
        <v>-10200000</v>
      </c>
      <c r="D12708" s="196">
        <v>0</v>
      </c>
      <c r="E12708" s="196">
        <v>0</v>
      </c>
      <c r="F12708" s="196">
        <v>0</v>
      </c>
      <c r="G12708" s="196">
        <v>-10200000</v>
      </c>
    </row>
    <row r="12709" spans="1:7" x14ac:dyDescent="0.3">
      <c r="A12709" s="198">
        <v>32445964</v>
      </c>
      <c r="B12709" s="192" t="s">
        <v>994</v>
      </c>
      <c r="C12709" s="196">
        <v>-748001</v>
      </c>
      <c r="D12709" s="196">
        <v>0</v>
      </c>
      <c r="E12709" s="196">
        <v>0</v>
      </c>
      <c r="F12709" s="196">
        <v>0</v>
      </c>
      <c r="G12709" s="196">
        <v>-748001</v>
      </c>
    </row>
    <row r="12710" spans="1:7" x14ac:dyDescent="0.3">
      <c r="A12710" s="198">
        <v>123162033</v>
      </c>
      <c r="B12710" s="192" t="s">
        <v>4617</v>
      </c>
      <c r="C12710" s="196">
        <v>-10868000</v>
      </c>
      <c r="D12710" s="196">
        <v>0</v>
      </c>
      <c r="E12710" s="196">
        <v>0</v>
      </c>
      <c r="F12710" s="196">
        <v>0</v>
      </c>
      <c r="G12710" s="196">
        <v>-10868000</v>
      </c>
    </row>
    <row r="12711" spans="1:7" x14ac:dyDescent="0.3">
      <c r="A12711" s="198">
        <v>43281632</v>
      </c>
      <c r="B12711" s="192" t="s">
        <v>4622</v>
      </c>
      <c r="C12711" s="196">
        <v>-8324000</v>
      </c>
      <c r="D12711" s="196">
        <v>0</v>
      </c>
      <c r="E12711" s="196">
        <v>0</v>
      </c>
      <c r="F12711" s="196">
        <v>0</v>
      </c>
      <c r="G12711" s="196">
        <v>-8324000</v>
      </c>
    </row>
    <row r="12712" spans="1:7" x14ac:dyDescent="0.3">
      <c r="A12712" s="198">
        <v>43160506</v>
      </c>
      <c r="B12712" s="192" t="s">
        <v>4666</v>
      </c>
      <c r="C12712" s="196">
        <v>-8324000</v>
      </c>
      <c r="D12712" s="196">
        <v>0</v>
      </c>
      <c r="E12712" s="196">
        <v>0</v>
      </c>
      <c r="F12712" s="196">
        <v>0</v>
      </c>
      <c r="G12712" s="196">
        <v>-8324000</v>
      </c>
    </row>
    <row r="12713" spans="1:7" x14ac:dyDescent="0.3">
      <c r="A12713" s="198">
        <v>71605520</v>
      </c>
      <c r="B12713" s="192" t="s">
        <v>4703</v>
      </c>
      <c r="C12713" s="196">
        <v>-5231600</v>
      </c>
      <c r="D12713" s="196">
        <v>0</v>
      </c>
      <c r="E12713" s="196">
        <v>0</v>
      </c>
      <c r="F12713" s="196">
        <v>0</v>
      </c>
      <c r="G12713" s="196">
        <v>-5231600</v>
      </c>
    </row>
    <row r="12714" spans="1:7" x14ac:dyDescent="0.3">
      <c r="A12714" s="198">
        <v>70192556</v>
      </c>
      <c r="B12714" s="192" t="s">
        <v>7422</v>
      </c>
      <c r="C12714" s="196">
        <v>-10600000</v>
      </c>
      <c r="D12714" s="196">
        <v>0</v>
      </c>
      <c r="E12714" s="196">
        <v>0</v>
      </c>
      <c r="F12714" s="196">
        <v>0</v>
      </c>
      <c r="G12714" s="196">
        <v>-10600000</v>
      </c>
    </row>
    <row r="12715" spans="1:7" x14ac:dyDescent="0.3">
      <c r="A12715" s="198">
        <v>71606202</v>
      </c>
      <c r="B12715" s="192" t="s">
        <v>6826</v>
      </c>
      <c r="C12715" s="196">
        <v>-140000</v>
      </c>
      <c r="D12715" s="196">
        <v>0</v>
      </c>
      <c r="E12715" s="196">
        <v>0</v>
      </c>
      <c r="F12715" s="196">
        <v>0</v>
      </c>
      <c r="G12715" s="196">
        <v>-140000</v>
      </c>
    </row>
    <row r="12716" spans="1:7" x14ac:dyDescent="0.3">
      <c r="A12716" s="198">
        <v>98546376</v>
      </c>
      <c r="B12716" s="192" t="s">
        <v>4724</v>
      </c>
      <c r="C12716" s="196">
        <v>-5232000</v>
      </c>
      <c r="D12716" s="196">
        <v>0</v>
      </c>
      <c r="E12716" s="196">
        <v>0</v>
      </c>
      <c r="F12716" s="196">
        <v>0</v>
      </c>
      <c r="G12716" s="196">
        <v>-5232000</v>
      </c>
    </row>
    <row r="12717" spans="1:7" x14ac:dyDescent="0.3">
      <c r="A12717" s="198">
        <v>12973190</v>
      </c>
      <c r="B12717" s="192" t="s">
        <v>1029</v>
      </c>
      <c r="C12717" s="196">
        <v>0</v>
      </c>
      <c r="D12717" s="196">
        <v>0</v>
      </c>
      <c r="E12717" s="196">
        <v>3818000</v>
      </c>
      <c r="F12717" s="196">
        <v>-3818000</v>
      </c>
      <c r="G12717" s="196">
        <v>-3818000</v>
      </c>
    </row>
    <row r="12718" spans="1:7" x14ac:dyDescent="0.3">
      <c r="A12718" s="198">
        <v>22056652</v>
      </c>
      <c r="B12718" s="192" t="s">
        <v>4774</v>
      </c>
      <c r="C12718" s="196">
        <v>-572000</v>
      </c>
      <c r="D12718" s="196">
        <v>0</v>
      </c>
      <c r="E12718" s="196">
        <v>0</v>
      </c>
      <c r="F12718" s="196">
        <v>0</v>
      </c>
      <c r="G12718" s="196">
        <v>-572000</v>
      </c>
    </row>
    <row r="12719" spans="1:7" x14ac:dyDescent="0.3">
      <c r="A12719" s="198">
        <v>42899001</v>
      </c>
      <c r="B12719" s="192" t="s">
        <v>1053</v>
      </c>
      <c r="C12719" s="196">
        <v>0</v>
      </c>
      <c r="D12719" s="196">
        <v>0</v>
      </c>
      <c r="E12719" s="196">
        <v>7240000</v>
      </c>
      <c r="F12719" s="196">
        <v>-7240000</v>
      </c>
      <c r="G12719" s="196">
        <v>-7240000</v>
      </c>
    </row>
    <row r="12720" spans="1:7" x14ac:dyDescent="0.3">
      <c r="A12720" s="198">
        <v>32430224</v>
      </c>
      <c r="B12720" s="192" t="s">
        <v>1056</v>
      </c>
      <c r="C12720" s="196">
        <v>0</v>
      </c>
      <c r="D12720" s="196">
        <v>0</v>
      </c>
      <c r="E12720" s="196">
        <v>2080000</v>
      </c>
      <c r="F12720" s="196">
        <v>-2080000</v>
      </c>
      <c r="G12720" s="196">
        <v>-2080000</v>
      </c>
    </row>
    <row r="12721" spans="1:7" x14ac:dyDescent="0.3">
      <c r="A12721" s="198">
        <v>24804039</v>
      </c>
      <c r="B12721" s="192" t="s">
        <v>6853</v>
      </c>
      <c r="C12721" s="196">
        <v>-1900000</v>
      </c>
      <c r="D12721" s="196">
        <v>0</v>
      </c>
      <c r="E12721" s="196">
        <v>0</v>
      </c>
      <c r="F12721" s="196">
        <v>0</v>
      </c>
      <c r="G12721" s="196">
        <v>-1900000</v>
      </c>
    </row>
    <row r="12722" spans="1:7" x14ac:dyDescent="0.3">
      <c r="A12722" s="198">
        <v>42750545</v>
      </c>
      <c r="B12722" s="192" t="s">
        <v>4815</v>
      </c>
      <c r="C12722" s="196">
        <v>-6026000</v>
      </c>
      <c r="D12722" s="196">
        <v>0</v>
      </c>
      <c r="E12722" s="196">
        <v>0</v>
      </c>
      <c r="F12722" s="196">
        <v>0</v>
      </c>
      <c r="G12722" s="196">
        <v>-6026000</v>
      </c>
    </row>
    <row r="12723" spans="1:7" x14ac:dyDescent="0.3">
      <c r="A12723" s="198">
        <v>21994318</v>
      </c>
      <c r="B12723" s="192" t="s">
        <v>6855</v>
      </c>
      <c r="C12723" s="196">
        <v>-362000</v>
      </c>
      <c r="D12723" s="196">
        <v>0</v>
      </c>
      <c r="E12723" s="196">
        <v>0</v>
      </c>
      <c r="F12723" s="196">
        <v>0</v>
      </c>
      <c r="G12723" s="196">
        <v>-362000</v>
      </c>
    </row>
    <row r="12724" spans="1:7" x14ac:dyDescent="0.3">
      <c r="A12724" s="198">
        <v>39181992</v>
      </c>
      <c r="B12724" s="192" t="s">
        <v>6856</v>
      </c>
      <c r="C12724" s="196">
        <v>-1300000</v>
      </c>
      <c r="D12724" s="196">
        <v>0</v>
      </c>
      <c r="E12724" s="196">
        <v>0</v>
      </c>
      <c r="F12724" s="196">
        <v>0</v>
      </c>
      <c r="G12724" s="196">
        <v>-1300000</v>
      </c>
    </row>
    <row r="12725" spans="1:7" x14ac:dyDescent="0.3">
      <c r="A12725" s="198">
        <v>661002215</v>
      </c>
      <c r="B12725" s="192" t="s">
        <v>4832</v>
      </c>
      <c r="C12725" s="196">
        <v>-8324000</v>
      </c>
      <c r="D12725" s="196">
        <v>0</v>
      </c>
      <c r="E12725" s="196">
        <v>0</v>
      </c>
      <c r="F12725" s="196">
        <v>0</v>
      </c>
      <c r="G12725" s="196">
        <v>-8324000</v>
      </c>
    </row>
    <row r="12726" spans="1:7" x14ac:dyDescent="0.3">
      <c r="A12726" s="198">
        <v>71631991</v>
      </c>
      <c r="B12726" s="192" t="s">
        <v>6861</v>
      </c>
      <c r="C12726" s="196">
        <v>-5035000</v>
      </c>
      <c r="D12726" s="196">
        <v>0</v>
      </c>
      <c r="E12726" s="196">
        <v>0</v>
      </c>
      <c r="F12726" s="196">
        <v>0</v>
      </c>
      <c r="G12726" s="196">
        <v>-5035000</v>
      </c>
    </row>
    <row r="12727" spans="1:7" x14ac:dyDescent="0.3">
      <c r="A12727" s="198">
        <v>43155720</v>
      </c>
      <c r="B12727" s="192" t="s">
        <v>4877</v>
      </c>
      <c r="C12727" s="196">
        <v>-9704400</v>
      </c>
      <c r="D12727" s="196">
        <v>0</v>
      </c>
      <c r="E12727" s="196">
        <v>0</v>
      </c>
      <c r="F12727" s="196">
        <v>0</v>
      </c>
      <c r="G12727" s="196">
        <v>-9704400</v>
      </c>
    </row>
    <row r="12728" spans="1:7" x14ac:dyDescent="0.3">
      <c r="A12728" s="198">
        <v>21638029</v>
      </c>
      <c r="B12728" s="192" t="s">
        <v>4940</v>
      </c>
      <c r="C12728" s="196">
        <v>-8324000</v>
      </c>
      <c r="D12728" s="196">
        <v>0</v>
      </c>
      <c r="E12728" s="196">
        <v>0</v>
      </c>
      <c r="F12728" s="196">
        <v>0</v>
      </c>
      <c r="G12728" s="196">
        <v>-8324000</v>
      </c>
    </row>
    <row r="12729" spans="1:7" x14ac:dyDescent="0.3">
      <c r="A12729" s="192" t="s">
        <v>1110</v>
      </c>
      <c r="B12729" s="192" t="s">
        <v>1111</v>
      </c>
      <c r="C12729" s="196">
        <v>0</v>
      </c>
      <c r="D12729" s="196">
        <v>0</v>
      </c>
      <c r="E12729" s="196">
        <v>10868000</v>
      </c>
      <c r="F12729" s="196">
        <v>-10868000</v>
      </c>
      <c r="G12729" s="196">
        <v>-10868000</v>
      </c>
    </row>
    <row r="12730" spans="1:7" x14ac:dyDescent="0.3">
      <c r="A12730" s="198">
        <v>21823038</v>
      </c>
      <c r="B12730" s="192" t="s">
        <v>1112</v>
      </c>
      <c r="C12730" s="196">
        <v>-1311000</v>
      </c>
      <c r="D12730" s="196">
        <v>0</v>
      </c>
      <c r="E12730" s="196">
        <v>0</v>
      </c>
      <c r="F12730" s="196">
        <v>0</v>
      </c>
      <c r="G12730" s="196">
        <v>-1311000</v>
      </c>
    </row>
    <row r="12731" spans="1:7" x14ac:dyDescent="0.3">
      <c r="A12731" s="198">
        <v>1001420013</v>
      </c>
      <c r="B12731" s="192" t="s">
        <v>1116</v>
      </c>
      <c r="C12731" s="196">
        <v>0</v>
      </c>
      <c r="D12731" s="196">
        <v>0</v>
      </c>
      <c r="E12731" s="196">
        <v>11918000</v>
      </c>
      <c r="F12731" s="196">
        <v>-11918000</v>
      </c>
      <c r="G12731" s="196">
        <v>-11918000</v>
      </c>
    </row>
    <row r="12732" spans="1:7" x14ac:dyDescent="0.3">
      <c r="A12732" s="198">
        <v>42866598</v>
      </c>
      <c r="B12732" s="192" t="s">
        <v>5000</v>
      </c>
      <c r="C12732" s="196">
        <v>-4162000</v>
      </c>
      <c r="D12732" s="196">
        <v>0</v>
      </c>
      <c r="E12732" s="196">
        <v>0</v>
      </c>
      <c r="F12732" s="196">
        <v>0</v>
      </c>
      <c r="G12732" s="196">
        <v>-4162000</v>
      </c>
    </row>
    <row r="12733" spans="1:7" x14ac:dyDescent="0.3">
      <c r="A12733" s="198">
        <v>43009321</v>
      </c>
      <c r="B12733" s="192" t="s">
        <v>6896</v>
      </c>
      <c r="C12733" s="196">
        <v>-5000000</v>
      </c>
      <c r="D12733" s="196">
        <v>0</v>
      </c>
      <c r="E12733" s="196">
        <v>0</v>
      </c>
      <c r="F12733" s="196">
        <v>0</v>
      </c>
      <c r="G12733" s="196">
        <v>-5000000</v>
      </c>
    </row>
    <row r="12734" spans="1:7" x14ac:dyDescent="0.3">
      <c r="A12734" s="198">
        <v>22056651</v>
      </c>
      <c r="B12734" s="192" t="s">
        <v>5019</v>
      </c>
      <c r="C12734" s="196">
        <v>-1496000</v>
      </c>
      <c r="D12734" s="196">
        <v>0</v>
      </c>
      <c r="E12734" s="196">
        <v>0</v>
      </c>
      <c r="F12734" s="196">
        <v>0</v>
      </c>
      <c r="G12734" s="196">
        <v>-1496000</v>
      </c>
    </row>
    <row r="12735" spans="1:7" x14ac:dyDescent="0.3">
      <c r="A12735" s="198">
        <v>35499965</v>
      </c>
      <c r="B12735" s="192" t="s">
        <v>5022</v>
      </c>
      <c r="C12735" s="196">
        <v>-748000</v>
      </c>
      <c r="D12735" s="196">
        <v>0</v>
      </c>
      <c r="E12735" s="196">
        <v>0</v>
      </c>
      <c r="F12735" s="196">
        <v>0</v>
      </c>
      <c r="G12735" s="196">
        <v>-748000</v>
      </c>
    </row>
    <row r="12736" spans="1:7" x14ac:dyDescent="0.3">
      <c r="A12736" s="198">
        <v>32461352</v>
      </c>
      <c r="B12736" s="192" t="s">
        <v>1136</v>
      </c>
      <c r="C12736" s="196">
        <v>-12000000</v>
      </c>
      <c r="D12736" s="196">
        <v>0</v>
      </c>
      <c r="E12736" s="196">
        <v>0</v>
      </c>
      <c r="F12736" s="196">
        <v>0</v>
      </c>
      <c r="G12736" s="196">
        <v>-12000000</v>
      </c>
    </row>
    <row r="12737" spans="1:7" x14ac:dyDescent="0.3">
      <c r="A12737" s="198">
        <v>38865813</v>
      </c>
      <c r="B12737" s="192" t="s">
        <v>5035</v>
      </c>
      <c r="C12737" s="196">
        <v>-8324000</v>
      </c>
      <c r="D12737" s="196">
        <v>0</v>
      </c>
      <c r="E12737" s="196">
        <v>0</v>
      </c>
      <c r="F12737" s="196">
        <v>0</v>
      </c>
      <c r="G12737" s="196">
        <v>-8324000</v>
      </c>
    </row>
    <row r="12738" spans="1:7" x14ac:dyDescent="0.3">
      <c r="A12738" s="198">
        <v>43514199</v>
      </c>
      <c r="B12738" s="192" t="s">
        <v>7423</v>
      </c>
      <c r="C12738" s="196">
        <v>-2200000</v>
      </c>
      <c r="D12738" s="196">
        <v>0</v>
      </c>
      <c r="E12738" s="196">
        <v>0</v>
      </c>
      <c r="F12738" s="196">
        <v>0</v>
      </c>
      <c r="G12738" s="196">
        <v>-2200000</v>
      </c>
    </row>
    <row r="12739" spans="1:7" x14ac:dyDescent="0.3">
      <c r="A12739" s="198">
        <v>32470983</v>
      </c>
      <c r="B12739" s="192" t="s">
        <v>6907</v>
      </c>
      <c r="C12739" s="196">
        <v>-278200</v>
      </c>
      <c r="D12739" s="196">
        <v>0</v>
      </c>
      <c r="E12739" s="196">
        <v>0</v>
      </c>
      <c r="F12739" s="196">
        <v>0</v>
      </c>
      <c r="G12739" s="196">
        <v>-278200</v>
      </c>
    </row>
    <row r="12740" spans="1:7" x14ac:dyDescent="0.3">
      <c r="A12740" s="198">
        <v>42872942</v>
      </c>
      <c r="B12740" s="192" t="s">
        <v>1153</v>
      </c>
      <c r="C12740" s="196">
        <v>0</v>
      </c>
      <c r="D12740" s="196">
        <v>0</v>
      </c>
      <c r="E12740" s="196">
        <v>1430000</v>
      </c>
      <c r="F12740" s="196">
        <v>-1430000</v>
      </c>
      <c r="G12740" s="196">
        <v>-1430000</v>
      </c>
    </row>
    <row r="12741" spans="1:7" x14ac:dyDescent="0.3">
      <c r="A12741" s="198">
        <v>43091427</v>
      </c>
      <c r="B12741" s="192" t="s">
        <v>7424</v>
      </c>
      <c r="C12741" s="196">
        <v>-9800000</v>
      </c>
      <c r="D12741" s="196">
        <v>0</v>
      </c>
      <c r="E12741" s="196">
        <v>0</v>
      </c>
      <c r="F12741" s="196">
        <v>0</v>
      </c>
      <c r="G12741" s="196">
        <v>-9800000</v>
      </c>
    </row>
    <row r="12742" spans="1:7" x14ac:dyDescent="0.3">
      <c r="A12742" s="198">
        <v>43785139</v>
      </c>
      <c r="B12742" s="192" t="s">
        <v>6913</v>
      </c>
      <c r="C12742" s="196">
        <v>-6820000</v>
      </c>
      <c r="D12742" s="196">
        <v>0</v>
      </c>
      <c r="E12742" s="196">
        <v>0</v>
      </c>
      <c r="F12742" s="196">
        <v>0</v>
      </c>
      <c r="G12742" s="196">
        <v>-6820000</v>
      </c>
    </row>
    <row r="12743" spans="1:7" x14ac:dyDescent="0.3">
      <c r="A12743" s="198">
        <v>40759477</v>
      </c>
      <c r="B12743" s="192" t="s">
        <v>5108</v>
      </c>
      <c r="C12743" s="196">
        <v>-6822000</v>
      </c>
      <c r="D12743" s="196">
        <v>0</v>
      </c>
      <c r="E12743" s="196">
        <v>0</v>
      </c>
      <c r="F12743" s="196">
        <v>0</v>
      </c>
      <c r="G12743" s="196">
        <v>-6822000</v>
      </c>
    </row>
    <row r="12744" spans="1:7" x14ac:dyDescent="0.3">
      <c r="A12744" s="198">
        <v>42882239</v>
      </c>
      <c r="B12744" s="192" t="s">
        <v>1168</v>
      </c>
      <c r="C12744" s="196">
        <v>0</v>
      </c>
      <c r="D12744" s="196">
        <v>0</v>
      </c>
      <c r="E12744" s="196">
        <v>5434000</v>
      </c>
      <c r="F12744" s="196">
        <v>-5434000</v>
      </c>
      <c r="G12744" s="196">
        <v>-5434000</v>
      </c>
    </row>
    <row r="12745" spans="1:7" x14ac:dyDescent="0.3">
      <c r="A12745" s="198">
        <v>21363325</v>
      </c>
      <c r="B12745" s="192" t="s">
        <v>5110</v>
      </c>
      <c r="C12745" s="196">
        <v>-362000</v>
      </c>
      <c r="D12745" s="196">
        <v>0</v>
      </c>
      <c r="E12745" s="196">
        <v>0</v>
      </c>
      <c r="F12745" s="196">
        <v>0</v>
      </c>
      <c r="G12745" s="196">
        <v>-362000</v>
      </c>
    </row>
    <row r="12746" spans="1:7" x14ac:dyDescent="0.3">
      <c r="A12746" s="198">
        <v>21305634</v>
      </c>
      <c r="B12746" s="192" t="s">
        <v>5126</v>
      </c>
      <c r="C12746" s="196">
        <v>-1712400</v>
      </c>
      <c r="D12746" s="196">
        <v>0</v>
      </c>
      <c r="E12746" s="196">
        <v>0</v>
      </c>
      <c r="F12746" s="196">
        <v>0</v>
      </c>
      <c r="G12746" s="196">
        <v>-1712400</v>
      </c>
    </row>
    <row r="12747" spans="1:7" x14ac:dyDescent="0.3">
      <c r="A12747" s="198">
        <v>32328447</v>
      </c>
      <c r="B12747" s="192" t="s">
        <v>1175</v>
      </c>
      <c r="C12747" s="196">
        <v>-2210000</v>
      </c>
      <c r="D12747" s="196">
        <v>0</v>
      </c>
      <c r="E12747" s="196">
        <v>0</v>
      </c>
      <c r="F12747" s="196">
        <v>0</v>
      </c>
      <c r="G12747" s="196">
        <v>-2210000</v>
      </c>
    </row>
    <row r="12748" spans="1:7" x14ac:dyDescent="0.3">
      <c r="A12748" s="198">
        <v>25096078</v>
      </c>
      <c r="B12748" s="192" t="s">
        <v>6924</v>
      </c>
      <c r="C12748" s="196">
        <v>-3300000</v>
      </c>
      <c r="D12748" s="196">
        <v>0</v>
      </c>
      <c r="E12748" s="196">
        <v>0</v>
      </c>
      <c r="F12748" s="196">
        <v>0</v>
      </c>
      <c r="G12748" s="196">
        <v>-3300000</v>
      </c>
    </row>
    <row r="12749" spans="1:7" x14ac:dyDescent="0.3">
      <c r="A12749" s="198">
        <v>32449172</v>
      </c>
      <c r="B12749" s="192" t="s">
        <v>5135</v>
      </c>
      <c r="C12749" s="196">
        <v>-835750</v>
      </c>
      <c r="D12749" s="196">
        <v>0</v>
      </c>
      <c r="E12749" s="196">
        <v>0</v>
      </c>
      <c r="F12749" s="196">
        <v>0</v>
      </c>
      <c r="G12749" s="196">
        <v>-835750</v>
      </c>
    </row>
    <row r="12750" spans="1:7" x14ac:dyDescent="0.3">
      <c r="A12750" s="198">
        <v>21851581</v>
      </c>
      <c r="B12750" s="192" t="s">
        <v>5138</v>
      </c>
      <c r="C12750" s="196">
        <v>-748000</v>
      </c>
      <c r="D12750" s="196">
        <v>0</v>
      </c>
      <c r="E12750" s="196">
        <v>0</v>
      </c>
      <c r="F12750" s="196">
        <v>0</v>
      </c>
      <c r="G12750" s="196">
        <v>-748000</v>
      </c>
    </row>
    <row r="12751" spans="1:7" x14ac:dyDescent="0.3">
      <c r="A12751" s="198">
        <v>32522672</v>
      </c>
      <c r="B12751" s="192" t="s">
        <v>1179</v>
      </c>
      <c r="C12751" s="196">
        <v>-4900000</v>
      </c>
      <c r="D12751" s="196">
        <v>0</v>
      </c>
      <c r="E12751" s="196">
        <v>0</v>
      </c>
      <c r="F12751" s="196">
        <v>0</v>
      </c>
      <c r="G12751" s="196">
        <v>-4900000</v>
      </c>
    </row>
    <row r="12752" spans="1:7" x14ac:dyDescent="0.3">
      <c r="A12752" s="198">
        <v>32432362</v>
      </c>
      <c r="B12752" s="192" t="s">
        <v>1180</v>
      </c>
      <c r="C12752" s="196">
        <v>-1900000</v>
      </c>
      <c r="D12752" s="196">
        <v>0</v>
      </c>
      <c r="E12752" s="196">
        <v>1900000</v>
      </c>
      <c r="F12752" s="196">
        <v>-1900000</v>
      </c>
      <c r="G12752" s="196">
        <v>-3800000</v>
      </c>
    </row>
    <row r="12753" spans="1:7" x14ac:dyDescent="0.3">
      <c r="A12753" s="198">
        <v>39443579</v>
      </c>
      <c r="B12753" s="192" t="s">
        <v>5147</v>
      </c>
      <c r="C12753" s="196">
        <v>-2615880</v>
      </c>
      <c r="D12753" s="196">
        <v>0</v>
      </c>
      <c r="E12753" s="196">
        <v>0</v>
      </c>
      <c r="F12753" s="196">
        <v>0</v>
      </c>
      <c r="G12753" s="196">
        <v>-2615880</v>
      </c>
    </row>
    <row r="12754" spans="1:7" x14ac:dyDescent="0.3">
      <c r="A12754" s="198">
        <v>43735480</v>
      </c>
      <c r="B12754" s="192" t="s">
        <v>6947</v>
      </c>
      <c r="C12754" s="196">
        <v>-5232000</v>
      </c>
      <c r="D12754" s="196">
        <v>0</v>
      </c>
      <c r="E12754" s="196">
        <v>0</v>
      </c>
      <c r="F12754" s="196">
        <v>0</v>
      </c>
      <c r="G12754" s="196">
        <v>-5232000</v>
      </c>
    </row>
    <row r="12755" spans="1:7" x14ac:dyDescent="0.3">
      <c r="A12755" s="192" t="s">
        <v>5209</v>
      </c>
      <c r="B12755" s="192" t="s">
        <v>5210</v>
      </c>
      <c r="C12755" s="196">
        <v>-10868000</v>
      </c>
      <c r="D12755" s="196">
        <v>0</v>
      </c>
      <c r="E12755" s="196">
        <v>0</v>
      </c>
      <c r="F12755" s="196">
        <v>0</v>
      </c>
      <c r="G12755" s="196">
        <v>-10868000</v>
      </c>
    </row>
    <row r="12756" spans="1:7" x14ac:dyDescent="0.3">
      <c r="A12756" s="198">
        <v>121747574</v>
      </c>
      <c r="B12756" s="192" t="s">
        <v>7387</v>
      </c>
      <c r="C12756" s="196">
        <v>-4162000</v>
      </c>
      <c r="D12756" s="196">
        <v>0</v>
      </c>
      <c r="E12756" s="196">
        <v>0</v>
      </c>
      <c r="F12756" s="196">
        <v>0</v>
      </c>
      <c r="G12756" s="196">
        <v>-4162000</v>
      </c>
    </row>
    <row r="12757" spans="1:7" x14ac:dyDescent="0.3">
      <c r="A12757" s="198">
        <v>42870005</v>
      </c>
      <c r="B12757" s="192" t="s">
        <v>5217</v>
      </c>
      <c r="C12757" s="196">
        <v>-6820000</v>
      </c>
      <c r="D12757" s="196">
        <v>0</v>
      </c>
      <c r="E12757" s="196">
        <v>0</v>
      </c>
      <c r="F12757" s="196">
        <v>0</v>
      </c>
      <c r="G12757" s="196">
        <v>-6820000</v>
      </c>
    </row>
    <row r="12758" spans="1:7" x14ac:dyDescent="0.3">
      <c r="A12758" s="198">
        <v>43557944</v>
      </c>
      <c r="B12758" s="192" t="s">
        <v>5242</v>
      </c>
      <c r="C12758" s="196">
        <v>-1744000</v>
      </c>
      <c r="D12758" s="196">
        <v>0</v>
      </c>
      <c r="E12758" s="196">
        <v>0</v>
      </c>
      <c r="F12758" s="196">
        <v>0</v>
      </c>
      <c r="G12758" s="196">
        <v>-1744000</v>
      </c>
    </row>
    <row r="12759" spans="1:7" x14ac:dyDescent="0.3">
      <c r="A12759" s="198">
        <v>42794591</v>
      </c>
      <c r="B12759" s="192" t="s">
        <v>5247</v>
      </c>
      <c r="C12759" s="196">
        <v>-9596000</v>
      </c>
      <c r="D12759" s="196">
        <v>0</v>
      </c>
      <c r="E12759" s="196">
        <v>0</v>
      </c>
      <c r="F12759" s="196">
        <v>0</v>
      </c>
      <c r="G12759" s="196">
        <v>-9596000</v>
      </c>
    </row>
    <row r="12760" spans="1:7" x14ac:dyDescent="0.3">
      <c r="A12760" s="198">
        <v>43677420</v>
      </c>
      <c r="B12760" s="192" t="s">
        <v>6955</v>
      </c>
      <c r="C12760" s="196">
        <v>-5232000</v>
      </c>
      <c r="D12760" s="196">
        <v>0</v>
      </c>
      <c r="E12760" s="196">
        <v>0</v>
      </c>
      <c r="F12760" s="196">
        <v>0</v>
      </c>
      <c r="G12760" s="196">
        <v>-5232000</v>
      </c>
    </row>
    <row r="12761" spans="1:7" x14ac:dyDescent="0.3">
      <c r="A12761" s="198">
        <v>60325631</v>
      </c>
      <c r="B12761" s="192" t="s">
        <v>1223</v>
      </c>
      <c r="C12761" s="196">
        <v>0</v>
      </c>
      <c r="D12761" s="196">
        <v>0</v>
      </c>
      <c r="E12761" s="196">
        <v>5232000</v>
      </c>
      <c r="F12761" s="196">
        <v>-5232000</v>
      </c>
      <c r="G12761" s="196">
        <v>-5232000</v>
      </c>
    </row>
    <row r="12762" spans="1:7" x14ac:dyDescent="0.3">
      <c r="A12762" s="198">
        <v>43610929</v>
      </c>
      <c r="B12762" s="192" t="s">
        <v>1230</v>
      </c>
      <c r="C12762" s="196">
        <v>-9596004</v>
      </c>
      <c r="D12762" s="196">
        <v>0</v>
      </c>
      <c r="E12762" s="196">
        <v>0</v>
      </c>
      <c r="F12762" s="196">
        <v>0</v>
      </c>
      <c r="G12762" s="196">
        <v>-9596004</v>
      </c>
    </row>
    <row r="12763" spans="1:7" x14ac:dyDescent="0.3">
      <c r="A12763" s="198">
        <v>901226955</v>
      </c>
      <c r="B12763" s="192" t="s">
        <v>137</v>
      </c>
      <c r="C12763" s="196">
        <v>-1496000</v>
      </c>
      <c r="D12763" s="196">
        <v>0</v>
      </c>
      <c r="E12763" s="196">
        <v>1496000</v>
      </c>
      <c r="F12763" s="196">
        <v>-1496000</v>
      </c>
      <c r="G12763" s="196">
        <v>-2992000</v>
      </c>
    </row>
    <row r="12764" spans="1:7" x14ac:dyDescent="0.3">
      <c r="A12764" s="198">
        <v>900178724</v>
      </c>
      <c r="B12764" s="192" t="s">
        <v>1259</v>
      </c>
      <c r="C12764" s="196">
        <v>-7181583</v>
      </c>
      <c r="D12764" s="196">
        <v>0</v>
      </c>
      <c r="E12764" s="196">
        <v>0</v>
      </c>
      <c r="F12764" s="196">
        <v>0</v>
      </c>
      <c r="G12764" s="196">
        <v>-7181583</v>
      </c>
    </row>
    <row r="12765" spans="1:7" x14ac:dyDescent="0.3">
      <c r="A12765" s="198">
        <v>30297920</v>
      </c>
      <c r="B12765" s="192" t="s">
        <v>5366</v>
      </c>
      <c r="C12765" s="196">
        <v>-9596000</v>
      </c>
      <c r="D12765" s="196">
        <v>0</v>
      </c>
      <c r="E12765" s="196">
        <v>0</v>
      </c>
      <c r="F12765" s="196">
        <v>0</v>
      </c>
      <c r="G12765" s="196">
        <v>-9596000</v>
      </c>
    </row>
    <row r="12766" spans="1:7" x14ac:dyDescent="0.3">
      <c r="A12766" s="198">
        <v>6237830</v>
      </c>
      <c r="B12766" s="192" t="s">
        <v>5381</v>
      </c>
      <c r="C12766" s="196">
        <v>-10868000</v>
      </c>
      <c r="D12766" s="196">
        <v>0</v>
      </c>
      <c r="E12766" s="196">
        <v>0</v>
      </c>
      <c r="F12766" s="196">
        <v>0</v>
      </c>
      <c r="G12766" s="196">
        <v>-10868000</v>
      </c>
    </row>
    <row r="12767" spans="1:7" x14ac:dyDescent="0.3">
      <c r="A12767" s="192" t="s">
        <v>1278</v>
      </c>
      <c r="B12767" s="192" t="s">
        <v>1279</v>
      </c>
      <c r="C12767" s="196">
        <v>0</v>
      </c>
      <c r="D12767" s="196">
        <v>0</v>
      </c>
      <c r="E12767" s="196">
        <v>10868000</v>
      </c>
      <c r="F12767" s="196">
        <v>-10868000</v>
      </c>
      <c r="G12767" s="196">
        <v>-10868000</v>
      </c>
    </row>
    <row r="12768" spans="1:7" x14ac:dyDescent="0.3">
      <c r="A12768" s="198">
        <v>21991686</v>
      </c>
      <c r="B12768" s="192" t="s">
        <v>6972</v>
      </c>
      <c r="C12768" s="196">
        <v>-2000000</v>
      </c>
      <c r="D12768" s="196">
        <v>0</v>
      </c>
      <c r="E12768" s="196">
        <v>0</v>
      </c>
      <c r="F12768" s="196">
        <v>0</v>
      </c>
      <c r="G12768" s="196">
        <v>-2000000</v>
      </c>
    </row>
    <row r="12769" spans="1:7" x14ac:dyDescent="0.3">
      <c r="A12769" s="198">
        <v>66776407</v>
      </c>
      <c r="B12769" s="192" t="s">
        <v>1286</v>
      </c>
      <c r="C12769" s="196">
        <v>-1496000</v>
      </c>
      <c r="D12769" s="196">
        <v>0</v>
      </c>
      <c r="E12769" s="196">
        <v>0</v>
      </c>
      <c r="F12769" s="196">
        <v>0</v>
      </c>
      <c r="G12769" s="196">
        <v>-1496000</v>
      </c>
    </row>
    <row r="12770" spans="1:7" x14ac:dyDescent="0.3">
      <c r="A12770" s="198">
        <v>43600849</v>
      </c>
      <c r="B12770" s="192" t="s">
        <v>1291</v>
      </c>
      <c r="C12770" s="196">
        <v>-10868000</v>
      </c>
      <c r="D12770" s="196">
        <v>0</v>
      </c>
      <c r="E12770" s="196">
        <v>0</v>
      </c>
      <c r="F12770" s="196">
        <v>0</v>
      </c>
      <c r="G12770" s="196">
        <v>-10868000</v>
      </c>
    </row>
    <row r="12771" spans="1:7" x14ac:dyDescent="0.3">
      <c r="A12771" s="198">
        <v>31247760</v>
      </c>
      <c r="B12771" s="192" t="s">
        <v>1293</v>
      </c>
      <c r="C12771" s="196">
        <v>0</v>
      </c>
      <c r="D12771" s="196">
        <v>0</v>
      </c>
      <c r="E12771" s="196">
        <v>396000</v>
      </c>
      <c r="F12771" s="196">
        <v>-396000</v>
      </c>
      <c r="G12771" s="196">
        <v>-396000</v>
      </c>
    </row>
    <row r="12772" spans="1:7" x14ac:dyDescent="0.3">
      <c r="A12772" s="198">
        <v>66806924</v>
      </c>
      <c r="B12772" s="192" t="s">
        <v>1312</v>
      </c>
      <c r="C12772" s="196">
        <v>0</v>
      </c>
      <c r="D12772" s="196">
        <v>0</v>
      </c>
      <c r="E12772" s="196">
        <v>8324000</v>
      </c>
      <c r="F12772" s="196">
        <v>-8324000</v>
      </c>
      <c r="G12772" s="196">
        <v>-8324000</v>
      </c>
    </row>
    <row r="12773" spans="1:7" x14ac:dyDescent="0.3">
      <c r="A12773" s="198">
        <v>39273714</v>
      </c>
      <c r="B12773" s="192" t="s">
        <v>5543</v>
      </c>
      <c r="C12773" s="196">
        <v>-5231800</v>
      </c>
      <c r="D12773" s="196">
        <v>0</v>
      </c>
      <c r="E12773" s="196">
        <v>0</v>
      </c>
      <c r="F12773" s="196">
        <v>0</v>
      </c>
      <c r="G12773" s="196">
        <v>-5231800</v>
      </c>
    </row>
    <row r="12774" spans="1:7" x14ac:dyDescent="0.3">
      <c r="A12774" s="198">
        <v>42753782</v>
      </c>
      <c r="B12774" s="192" t="s">
        <v>5553</v>
      </c>
      <c r="C12774" s="196">
        <v>-9029000</v>
      </c>
      <c r="D12774" s="196">
        <v>0</v>
      </c>
      <c r="E12774" s="196">
        <v>0</v>
      </c>
      <c r="F12774" s="196">
        <v>0</v>
      </c>
      <c r="G12774" s="196">
        <v>-9029000</v>
      </c>
    </row>
    <row r="12775" spans="1:7" x14ac:dyDescent="0.3">
      <c r="A12775" s="198">
        <v>15381444</v>
      </c>
      <c r="B12775" s="192" t="s">
        <v>7001</v>
      </c>
      <c r="C12775" s="196">
        <v>-10868000</v>
      </c>
      <c r="D12775" s="196">
        <v>0</v>
      </c>
      <c r="E12775" s="196">
        <v>0</v>
      </c>
      <c r="F12775" s="196">
        <v>0</v>
      </c>
      <c r="G12775" s="196">
        <v>-10868000</v>
      </c>
    </row>
    <row r="12776" spans="1:7" x14ac:dyDescent="0.3">
      <c r="A12776" s="198">
        <v>36110068</v>
      </c>
      <c r="B12776" s="192" t="s">
        <v>5560</v>
      </c>
      <c r="C12776" s="196">
        <v>-690000</v>
      </c>
      <c r="D12776" s="196">
        <v>0</v>
      </c>
      <c r="E12776" s="196">
        <v>0</v>
      </c>
      <c r="F12776" s="196">
        <v>0</v>
      </c>
      <c r="G12776" s="196">
        <v>-690000</v>
      </c>
    </row>
    <row r="12777" spans="1:7" x14ac:dyDescent="0.3">
      <c r="A12777" s="198">
        <v>21524834</v>
      </c>
      <c r="B12777" s="192" t="s">
        <v>7425</v>
      </c>
      <c r="C12777" s="196">
        <v>-1430000</v>
      </c>
      <c r="D12777" s="196">
        <v>0</v>
      </c>
      <c r="E12777" s="196">
        <v>0</v>
      </c>
      <c r="F12777" s="196">
        <v>0</v>
      </c>
      <c r="G12777" s="196">
        <v>-1430000</v>
      </c>
    </row>
    <row r="12778" spans="1:7" x14ac:dyDescent="0.3">
      <c r="A12778" s="198">
        <v>32516686</v>
      </c>
      <c r="B12778" s="192" t="s">
        <v>7002</v>
      </c>
      <c r="C12778" s="196">
        <v>-2860000</v>
      </c>
      <c r="D12778" s="196">
        <v>0</v>
      </c>
      <c r="E12778" s="196">
        <v>0</v>
      </c>
      <c r="F12778" s="196">
        <v>0</v>
      </c>
      <c r="G12778" s="196">
        <v>-2860000</v>
      </c>
    </row>
    <row r="12779" spans="1:7" x14ac:dyDescent="0.3">
      <c r="A12779" s="198">
        <v>43069418</v>
      </c>
      <c r="B12779" s="192" t="s">
        <v>5563</v>
      </c>
      <c r="C12779" s="196">
        <v>-8324000</v>
      </c>
      <c r="D12779" s="196">
        <v>0</v>
      </c>
      <c r="E12779" s="196">
        <v>0</v>
      </c>
      <c r="F12779" s="196">
        <v>0</v>
      </c>
      <c r="G12779" s="196">
        <v>-8324000</v>
      </c>
    </row>
    <row r="12780" spans="1:7" x14ac:dyDescent="0.3">
      <c r="A12780" s="198">
        <v>43568430</v>
      </c>
      <c r="B12780" s="192" t="s">
        <v>5566</v>
      </c>
      <c r="C12780" s="196">
        <v>-8324000</v>
      </c>
      <c r="D12780" s="196">
        <v>0</v>
      </c>
      <c r="E12780" s="196">
        <v>0</v>
      </c>
      <c r="F12780" s="196">
        <v>0</v>
      </c>
      <c r="G12780" s="196">
        <v>-8324000</v>
      </c>
    </row>
    <row r="12781" spans="1:7" x14ac:dyDescent="0.3">
      <c r="A12781" s="198">
        <v>32495128</v>
      </c>
      <c r="B12781" s="192" t="s">
        <v>5569</v>
      </c>
      <c r="C12781" s="196">
        <v>-5232000</v>
      </c>
      <c r="D12781" s="196">
        <v>0</v>
      </c>
      <c r="E12781" s="196">
        <v>0</v>
      </c>
      <c r="F12781" s="196">
        <v>0</v>
      </c>
      <c r="G12781" s="196">
        <v>-5232000</v>
      </c>
    </row>
    <row r="12782" spans="1:7" x14ac:dyDescent="0.3">
      <c r="A12782" s="198">
        <v>32469856</v>
      </c>
      <c r="B12782" s="192" t="s">
        <v>1335</v>
      </c>
      <c r="C12782" s="196">
        <v>-6026000</v>
      </c>
      <c r="D12782" s="196">
        <v>0</v>
      </c>
      <c r="E12782" s="196">
        <v>0</v>
      </c>
      <c r="F12782" s="196">
        <v>0</v>
      </c>
      <c r="G12782" s="196">
        <v>-6026000</v>
      </c>
    </row>
    <row r="12783" spans="1:7" x14ac:dyDescent="0.3">
      <c r="A12783" s="198">
        <v>43023811</v>
      </c>
      <c r="B12783" s="192" t="s">
        <v>5585</v>
      </c>
      <c r="C12783" s="196">
        <v>-6026000</v>
      </c>
      <c r="D12783" s="196">
        <v>0</v>
      </c>
      <c r="E12783" s="196">
        <v>0</v>
      </c>
      <c r="F12783" s="196">
        <v>0</v>
      </c>
      <c r="G12783" s="196">
        <v>-6026000</v>
      </c>
    </row>
    <row r="12784" spans="1:7" x14ac:dyDescent="0.3">
      <c r="A12784" s="198">
        <v>70066793</v>
      </c>
      <c r="B12784" s="192" t="s">
        <v>5617</v>
      </c>
      <c r="C12784" s="196">
        <v>-8324000</v>
      </c>
      <c r="D12784" s="196">
        <v>0</v>
      </c>
      <c r="E12784" s="196">
        <v>0</v>
      </c>
      <c r="F12784" s="196">
        <v>0</v>
      </c>
      <c r="G12784" s="196">
        <v>-8324000</v>
      </c>
    </row>
    <row r="12785" spans="1:7" x14ac:dyDescent="0.3">
      <c r="A12785" s="198">
        <v>43612135</v>
      </c>
      <c r="B12785" s="192" t="s">
        <v>1365</v>
      </c>
      <c r="C12785" s="196">
        <v>0</v>
      </c>
      <c r="D12785" s="196">
        <v>0</v>
      </c>
      <c r="E12785" s="196">
        <v>4826000</v>
      </c>
      <c r="F12785" s="196">
        <v>-4826000</v>
      </c>
      <c r="G12785" s="196">
        <v>-4826000</v>
      </c>
    </row>
    <row r="12786" spans="1:7" x14ac:dyDescent="0.3">
      <c r="A12786" s="198">
        <v>43578209</v>
      </c>
      <c r="B12786" s="192" t="s">
        <v>7392</v>
      </c>
      <c r="C12786" s="196">
        <v>-5232000</v>
      </c>
      <c r="D12786" s="196">
        <v>0</v>
      </c>
      <c r="E12786" s="196">
        <v>0</v>
      </c>
      <c r="F12786" s="196">
        <v>0</v>
      </c>
      <c r="G12786" s="196">
        <v>-5232000</v>
      </c>
    </row>
    <row r="12787" spans="1:7" x14ac:dyDescent="0.3">
      <c r="A12787" s="198">
        <v>352383</v>
      </c>
      <c r="B12787" s="192" t="s">
        <v>1381</v>
      </c>
      <c r="C12787" s="196">
        <v>-2616001</v>
      </c>
      <c r="D12787" s="196">
        <v>0</v>
      </c>
      <c r="E12787" s="196">
        <v>0</v>
      </c>
      <c r="F12787" s="196">
        <v>0</v>
      </c>
      <c r="G12787" s="196">
        <v>-2616001</v>
      </c>
    </row>
    <row r="12788" spans="1:7" x14ac:dyDescent="0.3">
      <c r="A12788" s="198">
        <v>6695218</v>
      </c>
      <c r="B12788" s="192" t="s">
        <v>1384</v>
      </c>
      <c r="C12788" s="196">
        <v>0</v>
      </c>
      <c r="D12788" s="196">
        <v>0</v>
      </c>
      <c r="E12788" s="196">
        <v>5400000</v>
      </c>
      <c r="F12788" s="196">
        <v>-5400000</v>
      </c>
      <c r="G12788" s="196">
        <v>-5400000</v>
      </c>
    </row>
    <row r="12789" spans="1:7" x14ac:dyDescent="0.3">
      <c r="A12789" s="198">
        <v>17950917</v>
      </c>
      <c r="B12789" s="192" t="s">
        <v>5711</v>
      </c>
      <c r="C12789" s="196">
        <v>-8089000</v>
      </c>
      <c r="D12789" s="196">
        <v>0</v>
      </c>
      <c r="E12789" s="196">
        <v>0</v>
      </c>
      <c r="F12789" s="196">
        <v>0</v>
      </c>
      <c r="G12789" s="196">
        <v>-8089000</v>
      </c>
    </row>
    <row r="12790" spans="1:7" x14ac:dyDescent="0.3">
      <c r="A12790" s="198">
        <v>35745085</v>
      </c>
      <c r="B12790" s="192" t="s">
        <v>1397</v>
      </c>
      <c r="C12790" s="196">
        <v>-748000</v>
      </c>
      <c r="D12790" s="196">
        <v>0</v>
      </c>
      <c r="E12790" s="196">
        <v>0</v>
      </c>
      <c r="F12790" s="196">
        <v>0</v>
      </c>
      <c r="G12790" s="196">
        <v>-748000</v>
      </c>
    </row>
    <row r="12791" spans="1:7" x14ac:dyDescent="0.3">
      <c r="A12791" s="198">
        <v>3670838</v>
      </c>
      <c r="B12791" s="192" t="s">
        <v>7029</v>
      </c>
      <c r="C12791" s="196">
        <v>-1744000</v>
      </c>
      <c r="D12791" s="196">
        <v>0</v>
      </c>
      <c r="E12791" s="196">
        <v>0</v>
      </c>
      <c r="F12791" s="196">
        <v>0</v>
      </c>
      <c r="G12791" s="196">
        <v>-1744000</v>
      </c>
    </row>
    <row r="12792" spans="1:7" x14ac:dyDescent="0.3">
      <c r="A12792" s="192" t="s">
        <v>144</v>
      </c>
      <c r="B12792" s="192" t="s">
        <v>145</v>
      </c>
      <c r="C12792" s="196">
        <v>-8324000</v>
      </c>
      <c r="D12792" s="196">
        <v>0</v>
      </c>
      <c r="E12792" s="196">
        <v>0</v>
      </c>
      <c r="F12792" s="196">
        <v>0</v>
      </c>
      <c r="G12792" s="196">
        <v>-8324000</v>
      </c>
    </row>
    <row r="12793" spans="1:7" x14ac:dyDescent="0.3">
      <c r="A12793" s="198">
        <v>15339450</v>
      </c>
      <c r="B12793" s="192" t="s">
        <v>7034</v>
      </c>
      <c r="C12793" s="196">
        <v>-2000000</v>
      </c>
      <c r="D12793" s="196">
        <v>0</v>
      </c>
      <c r="E12793" s="196">
        <v>0</v>
      </c>
      <c r="F12793" s="196">
        <v>0</v>
      </c>
      <c r="G12793" s="196">
        <v>-2000000</v>
      </c>
    </row>
    <row r="12794" spans="1:7" x14ac:dyDescent="0.3">
      <c r="A12794" s="198">
        <v>8293155</v>
      </c>
      <c r="B12794" s="192" t="s">
        <v>7393</v>
      </c>
      <c r="C12794" s="196">
        <v>-3410000</v>
      </c>
      <c r="D12794" s="196">
        <v>0</v>
      </c>
      <c r="E12794" s="196">
        <v>0</v>
      </c>
      <c r="F12794" s="196">
        <v>0</v>
      </c>
      <c r="G12794" s="196">
        <v>-3410000</v>
      </c>
    </row>
    <row r="12795" spans="1:7" x14ac:dyDescent="0.3">
      <c r="A12795" s="198">
        <v>32336875</v>
      </c>
      <c r="B12795" s="192" t="s">
        <v>7038</v>
      </c>
      <c r="C12795" s="196">
        <v>-1496000</v>
      </c>
      <c r="D12795" s="196">
        <v>0</v>
      </c>
      <c r="E12795" s="196">
        <v>0</v>
      </c>
      <c r="F12795" s="196">
        <v>0</v>
      </c>
      <c r="G12795" s="196">
        <v>-1496000</v>
      </c>
    </row>
    <row r="12796" spans="1:7" x14ac:dyDescent="0.3">
      <c r="A12796" s="198">
        <v>32469455</v>
      </c>
      <c r="B12796" s="192" t="s">
        <v>7039</v>
      </c>
      <c r="C12796" s="196">
        <v>-156000</v>
      </c>
      <c r="D12796" s="196">
        <v>0</v>
      </c>
      <c r="E12796" s="196">
        <v>0</v>
      </c>
      <c r="F12796" s="196">
        <v>0</v>
      </c>
      <c r="G12796" s="196">
        <v>-156000</v>
      </c>
    </row>
    <row r="12797" spans="1:7" x14ac:dyDescent="0.3">
      <c r="A12797" s="198">
        <v>32748971</v>
      </c>
      <c r="B12797" s="192" t="s">
        <v>1415</v>
      </c>
      <c r="C12797" s="196">
        <v>-2</v>
      </c>
      <c r="D12797" s="196">
        <v>0</v>
      </c>
      <c r="E12797" s="196">
        <v>0</v>
      </c>
      <c r="F12797" s="196">
        <v>0</v>
      </c>
      <c r="G12797" s="196">
        <v>-2</v>
      </c>
    </row>
    <row r="12798" spans="1:7" x14ac:dyDescent="0.3">
      <c r="A12798" s="192" t="s">
        <v>5806</v>
      </c>
      <c r="B12798" s="192" t="s">
        <v>5807</v>
      </c>
      <c r="C12798" s="196">
        <v>-9596000</v>
      </c>
      <c r="D12798" s="196">
        <v>0</v>
      </c>
      <c r="E12798" s="196">
        <v>0</v>
      </c>
      <c r="F12798" s="196">
        <v>0</v>
      </c>
      <c r="G12798" s="196">
        <v>-9596000</v>
      </c>
    </row>
    <row r="12799" spans="1:7" x14ac:dyDescent="0.3">
      <c r="A12799" s="198">
        <v>900561444</v>
      </c>
      <c r="B12799" s="192" t="s">
        <v>1416</v>
      </c>
      <c r="C12799" s="196">
        <v>-16911095</v>
      </c>
      <c r="D12799" s="196">
        <v>0</v>
      </c>
      <c r="E12799" s="196">
        <v>0</v>
      </c>
      <c r="F12799" s="196">
        <v>0</v>
      </c>
      <c r="G12799" s="196">
        <v>-16911095</v>
      </c>
    </row>
    <row r="12800" spans="1:7" x14ac:dyDescent="0.3">
      <c r="A12800" s="198">
        <v>21979476</v>
      </c>
      <c r="B12800" s="192" t="s">
        <v>1420</v>
      </c>
      <c r="C12800" s="196">
        <v>0</v>
      </c>
      <c r="D12800" s="196">
        <v>0</v>
      </c>
      <c r="E12800" s="196">
        <v>4600000</v>
      </c>
      <c r="F12800" s="196">
        <v>-4600000</v>
      </c>
      <c r="G12800" s="196">
        <v>-4600000</v>
      </c>
    </row>
    <row r="12801" spans="1:7" x14ac:dyDescent="0.3">
      <c r="A12801" s="198">
        <v>42131936</v>
      </c>
      <c r="B12801" s="192" t="s">
        <v>5908</v>
      </c>
      <c r="C12801" s="196">
        <v>-10868000</v>
      </c>
      <c r="D12801" s="196">
        <v>0</v>
      </c>
      <c r="E12801" s="196">
        <v>0</v>
      </c>
      <c r="F12801" s="196">
        <v>0</v>
      </c>
      <c r="G12801" s="196">
        <v>-10868000</v>
      </c>
    </row>
    <row r="12802" spans="1:7" x14ac:dyDescent="0.3">
      <c r="A12802" s="198">
        <v>890903790</v>
      </c>
      <c r="B12802" s="192" t="s">
        <v>1466</v>
      </c>
      <c r="C12802" s="196">
        <v>-106979605</v>
      </c>
      <c r="D12802" s="196">
        <v>0</v>
      </c>
      <c r="E12802" s="196">
        <v>15000000</v>
      </c>
      <c r="F12802" s="196">
        <v>-15000000</v>
      </c>
      <c r="G12802" s="196">
        <v>-121979605</v>
      </c>
    </row>
    <row r="12803" spans="1:7" x14ac:dyDescent="0.3">
      <c r="A12803" s="198">
        <v>21742667</v>
      </c>
      <c r="B12803" s="192" t="s">
        <v>7072</v>
      </c>
      <c r="C12803" s="196">
        <v>-3545950</v>
      </c>
      <c r="D12803" s="196">
        <v>0</v>
      </c>
      <c r="E12803" s="196">
        <v>0</v>
      </c>
      <c r="F12803" s="196">
        <v>0</v>
      </c>
      <c r="G12803" s="196">
        <v>-3545950</v>
      </c>
    </row>
    <row r="12804" spans="1:7" x14ac:dyDescent="0.3">
      <c r="A12804" s="198">
        <v>1033258803</v>
      </c>
      <c r="B12804" s="192" t="s">
        <v>6063</v>
      </c>
      <c r="C12804" s="196">
        <v>-130000</v>
      </c>
      <c r="D12804" s="196">
        <v>0</v>
      </c>
      <c r="E12804" s="196">
        <v>0</v>
      </c>
      <c r="F12804" s="196">
        <v>0</v>
      </c>
      <c r="G12804" s="196">
        <v>-130000</v>
      </c>
    </row>
    <row r="12805" spans="1:7" x14ac:dyDescent="0.3">
      <c r="A12805" s="198">
        <v>1094880470</v>
      </c>
      <c r="B12805" s="192" t="s">
        <v>1491</v>
      </c>
      <c r="C12805" s="196">
        <v>0</v>
      </c>
      <c r="D12805" s="196">
        <v>0</v>
      </c>
      <c r="E12805" s="196">
        <v>899600</v>
      </c>
      <c r="F12805" s="196">
        <v>-899600</v>
      </c>
      <c r="G12805" s="196">
        <v>-899600</v>
      </c>
    </row>
    <row r="12806" spans="1:7" x14ac:dyDescent="0.3">
      <c r="A12806" s="198">
        <v>52066465</v>
      </c>
      <c r="B12806" s="192" t="s">
        <v>6078</v>
      </c>
      <c r="C12806" s="196">
        <v>-8324000</v>
      </c>
      <c r="D12806" s="196">
        <v>0</v>
      </c>
      <c r="E12806" s="196">
        <v>0</v>
      </c>
      <c r="F12806" s="196">
        <v>0</v>
      </c>
      <c r="G12806" s="196">
        <v>-8324000</v>
      </c>
    </row>
    <row r="12807" spans="1:7" x14ac:dyDescent="0.3">
      <c r="A12807" s="198">
        <v>1040180140</v>
      </c>
      <c r="B12807" s="192" t="s">
        <v>7426</v>
      </c>
      <c r="C12807" s="196">
        <v>-4162000</v>
      </c>
      <c r="D12807" s="196">
        <v>0</v>
      </c>
      <c r="E12807" s="196">
        <v>0</v>
      </c>
      <c r="F12807" s="196">
        <v>0</v>
      </c>
      <c r="G12807" s="196">
        <v>-4162000</v>
      </c>
    </row>
    <row r="12808" spans="1:7" x14ac:dyDescent="0.3">
      <c r="A12808" s="198">
        <v>32475022</v>
      </c>
      <c r="B12808" s="192" t="s">
        <v>1513</v>
      </c>
      <c r="C12808" s="196">
        <v>-2616000</v>
      </c>
      <c r="D12808" s="196">
        <v>0</v>
      </c>
      <c r="E12808" s="196">
        <v>0</v>
      </c>
      <c r="F12808" s="196">
        <v>0</v>
      </c>
      <c r="G12808" s="196">
        <v>-2616000</v>
      </c>
    </row>
    <row r="12809" spans="1:7" x14ac:dyDescent="0.3">
      <c r="A12809" s="198">
        <v>15328620</v>
      </c>
      <c r="B12809" s="192" t="s">
        <v>6156</v>
      </c>
      <c r="C12809" s="196">
        <v>-10868000</v>
      </c>
      <c r="D12809" s="196">
        <v>0</v>
      </c>
      <c r="E12809" s="196">
        <v>0</v>
      </c>
      <c r="F12809" s="196">
        <v>0</v>
      </c>
      <c r="G12809" s="196">
        <v>-10868000</v>
      </c>
    </row>
    <row r="12810" spans="1:7" x14ac:dyDescent="0.3">
      <c r="A12810" s="198">
        <v>184191505</v>
      </c>
      <c r="B12810" s="192" t="s">
        <v>7398</v>
      </c>
      <c r="C12810" s="196">
        <v>-8471360</v>
      </c>
      <c r="D12810" s="196">
        <v>0</v>
      </c>
      <c r="E12810" s="196">
        <v>0</v>
      </c>
      <c r="F12810" s="196">
        <v>0</v>
      </c>
      <c r="G12810" s="196">
        <v>-8471360</v>
      </c>
    </row>
    <row r="12811" spans="1:7" x14ac:dyDescent="0.3">
      <c r="A12811" s="198">
        <v>43220215</v>
      </c>
      <c r="B12811" s="192" t="s">
        <v>1555</v>
      </c>
      <c r="C12811" s="196">
        <v>0</v>
      </c>
      <c r="D12811" s="196">
        <v>0</v>
      </c>
      <c r="E12811" s="196">
        <v>4852000</v>
      </c>
      <c r="F12811" s="196">
        <v>-4852000</v>
      </c>
      <c r="G12811" s="196">
        <v>-4852000</v>
      </c>
    </row>
    <row r="12812" spans="1:7" x14ac:dyDescent="0.3">
      <c r="A12812" s="198">
        <v>28859164</v>
      </c>
      <c r="B12812" s="192" t="s">
        <v>1556</v>
      </c>
      <c r="C12812" s="196">
        <v>-1496000</v>
      </c>
      <c r="D12812" s="196">
        <v>0</v>
      </c>
      <c r="E12812" s="196">
        <v>0</v>
      </c>
      <c r="F12812" s="196">
        <v>0</v>
      </c>
      <c r="G12812" s="196">
        <v>-1496000</v>
      </c>
    </row>
    <row r="12813" spans="1:7" x14ac:dyDescent="0.3">
      <c r="A12813" s="198">
        <v>501264</v>
      </c>
      <c r="B12813" s="192" t="s">
        <v>7115</v>
      </c>
      <c r="C12813" s="196">
        <v>-3795000</v>
      </c>
      <c r="D12813" s="196">
        <v>0</v>
      </c>
      <c r="E12813" s="196">
        <v>0</v>
      </c>
      <c r="F12813" s="196">
        <v>0</v>
      </c>
      <c r="G12813" s="196">
        <v>-3795000</v>
      </c>
    </row>
    <row r="12814" spans="1:7" x14ac:dyDescent="0.3">
      <c r="A12814" s="198">
        <v>1045021359</v>
      </c>
      <c r="B12814" s="192" t="s">
        <v>7116</v>
      </c>
      <c r="C12814" s="196">
        <v>-492900</v>
      </c>
      <c r="D12814" s="196">
        <v>0</v>
      </c>
      <c r="E12814" s="196">
        <v>0</v>
      </c>
      <c r="F12814" s="196">
        <v>0</v>
      </c>
      <c r="G12814" s="196">
        <v>-492900</v>
      </c>
    </row>
    <row r="12815" spans="1:7" x14ac:dyDescent="0.3">
      <c r="A12815" s="198">
        <v>70547299</v>
      </c>
      <c r="B12815" s="192" t="s">
        <v>7334</v>
      </c>
      <c r="C12815" s="196">
        <v>-10868000</v>
      </c>
      <c r="D12815" s="196">
        <v>0</v>
      </c>
      <c r="E12815" s="196">
        <v>0</v>
      </c>
      <c r="F12815" s="196">
        <v>0</v>
      </c>
      <c r="G12815" s="196">
        <v>-10868000</v>
      </c>
    </row>
    <row r="12816" spans="1:7" x14ac:dyDescent="0.3">
      <c r="A12816" s="198">
        <v>3489146</v>
      </c>
      <c r="B12816" s="192" t="s">
        <v>1563</v>
      </c>
      <c r="C12816" s="196">
        <v>-362001</v>
      </c>
      <c r="D12816" s="196">
        <v>0</v>
      </c>
      <c r="E12816" s="196">
        <v>0</v>
      </c>
      <c r="F12816" s="196">
        <v>0</v>
      </c>
      <c r="G12816" s="196">
        <v>-362001</v>
      </c>
    </row>
    <row r="12817" spans="1:7" x14ac:dyDescent="0.3">
      <c r="A12817" s="198">
        <v>8458181</v>
      </c>
      <c r="B12817" s="192" t="s">
        <v>7129</v>
      </c>
      <c r="C12817" s="196">
        <v>-6026000</v>
      </c>
      <c r="D12817" s="196">
        <v>0</v>
      </c>
      <c r="E12817" s="196">
        <v>0</v>
      </c>
      <c r="F12817" s="196">
        <v>0</v>
      </c>
      <c r="G12817" s="196">
        <v>-6026000</v>
      </c>
    </row>
    <row r="12818" spans="1:7" x14ac:dyDescent="0.3">
      <c r="A12818" s="198">
        <v>70724924</v>
      </c>
      <c r="B12818" s="192" t="s">
        <v>1572</v>
      </c>
      <c r="C12818" s="196">
        <v>-10318229</v>
      </c>
      <c r="D12818" s="196">
        <v>0</v>
      </c>
      <c r="E12818" s="196">
        <v>0</v>
      </c>
      <c r="F12818" s="196">
        <v>0</v>
      </c>
      <c r="G12818" s="196">
        <v>-10318229</v>
      </c>
    </row>
    <row r="12819" spans="1:7" x14ac:dyDescent="0.3">
      <c r="A12819" s="198">
        <v>1121825664</v>
      </c>
      <c r="B12819" s="192" t="s">
        <v>1584</v>
      </c>
      <c r="C12819" s="196">
        <v>-5147500</v>
      </c>
      <c r="D12819" s="196">
        <v>0</v>
      </c>
      <c r="E12819" s="196">
        <v>0</v>
      </c>
      <c r="F12819" s="196">
        <v>0</v>
      </c>
      <c r="G12819" s="196">
        <v>-5147500</v>
      </c>
    </row>
    <row r="12820" spans="1:7" x14ac:dyDescent="0.3">
      <c r="A12820" s="197">
        <v>4175</v>
      </c>
      <c r="B12820" s="191" t="s">
        <v>7427</v>
      </c>
      <c r="C12820" s="195">
        <v>1139994</v>
      </c>
      <c r="D12820" s="195">
        <v>0</v>
      </c>
      <c r="E12820" s="195">
        <v>0</v>
      </c>
      <c r="F12820" s="195">
        <v>0</v>
      </c>
      <c r="G12820" s="195">
        <v>1139994</v>
      </c>
    </row>
    <row r="12821" spans="1:7" x14ac:dyDescent="0.3">
      <c r="A12821" s="197">
        <v>417505</v>
      </c>
      <c r="B12821" s="191" t="s">
        <v>7427</v>
      </c>
      <c r="C12821" s="195">
        <v>1139994</v>
      </c>
      <c r="D12821" s="195">
        <v>0</v>
      </c>
      <c r="E12821" s="195">
        <v>0</v>
      </c>
      <c r="F12821" s="195">
        <v>0</v>
      </c>
      <c r="G12821" s="195">
        <v>1139994</v>
      </c>
    </row>
    <row r="12822" spans="1:7" x14ac:dyDescent="0.3">
      <c r="A12822" s="198">
        <v>41750501</v>
      </c>
      <c r="B12822" s="192" t="s">
        <v>7428</v>
      </c>
      <c r="C12822" s="196">
        <v>1139994</v>
      </c>
      <c r="D12822" s="196">
        <v>0</v>
      </c>
      <c r="E12822" s="196">
        <v>0</v>
      </c>
      <c r="F12822" s="196">
        <v>0</v>
      </c>
      <c r="G12822" s="196">
        <v>1139994</v>
      </c>
    </row>
    <row r="12823" spans="1:7" x14ac:dyDescent="0.3">
      <c r="A12823" s="192" t="s">
        <v>515</v>
      </c>
      <c r="B12823" s="192" t="s">
        <v>516</v>
      </c>
      <c r="C12823" s="196">
        <v>579996</v>
      </c>
      <c r="D12823" s="196">
        <v>0</v>
      </c>
      <c r="E12823" s="196">
        <v>0</v>
      </c>
      <c r="F12823" s="196">
        <v>0</v>
      </c>
      <c r="G12823" s="196">
        <v>579996</v>
      </c>
    </row>
    <row r="12824" spans="1:7" x14ac:dyDescent="0.3">
      <c r="A12824" s="192" t="s">
        <v>709</v>
      </c>
      <c r="B12824" s="192" t="s">
        <v>710</v>
      </c>
      <c r="C12824" s="196">
        <v>269999</v>
      </c>
      <c r="D12824" s="196">
        <v>0</v>
      </c>
      <c r="E12824" s="196">
        <v>0</v>
      </c>
      <c r="F12824" s="196">
        <v>0</v>
      </c>
      <c r="G12824" s="196">
        <v>269999</v>
      </c>
    </row>
    <row r="12825" spans="1:7" x14ac:dyDescent="0.3">
      <c r="A12825" s="198">
        <v>3489146</v>
      </c>
      <c r="B12825" s="192" t="s">
        <v>1563</v>
      </c>
      <c r="C12825" s="196">
        <v>289999</v>
      </c>
      <c r="D12825" s="196">
        <v>0</v>
      </c>
      <c r="E12825" s="196">
        <v>0</v>
      </c>
      <c r="F12825" s="196">
        <v>0</v>
      </c>
      <c r="G12825" s="196">
        <v>289999</v>
      </c>
    </row>
    <row r="12826" spans="1:7" x14ac:dyDescent="0.3">
      <c r="A12826" s="197">
        <v>42</v>
      </c>
      <c r="B12826" s="191" t="s">
        <v>7429</v>
      </c>
      <c r="C12826" s="195">
        <v>-123553964</v>
      </c>
      <c r="D12826" s="195">
        <v>342498</v>
      </c>
      <c r="E12826" s="195">
        <v>21727059.16</v>
      </c>
      <c r="F12826" s="195">
        <v>-21384561.16</v>
      </c>
      <c r="G12826" s="195">
        <v>-144938525.16</v>
      </c>
    </row>
    <row r="12827" spans="1:7" x14ac:dyDescent="0.3">
      <c r="A12827" s="197">
        <v>4210</v>
      </c>
      <c r="B12827" s="191" t="s">
        <v>7430</v>
      </c>
      <c r="C12827" s="195">
        <v>-13179908</v>
      </c>
      <c r="D12827" s="195">
        <v>0</v>
      </c>
      <c r="E12827" s="195">
        <v>0</v>
      </c>
      <c r="F12827" s="195">
        <v>0</v>
      </c>
      <c r="G12827" s="195">
        <v>-13179908</v>
      </c>
    </row>
    <row r="12828" spans="1:7" x14ac:dyDescent="0.3">
      <c r="A12828" s="197">
        <v>421005</v>
      </c>
      <c r="B12828" s="191" t="s">
        <v>7431</v>
      </c>
      <c r="C12828" s="195">
        <v>-10023827</v>
      </c>
      <c r="D12828" s="195">
        <v>0</v>
      </c>
      <c r="E12828" s="195">
        <v>0</v>
      </c>
      <c r="F12828" s="195">
        <v>0</v>
      </c>
      <c r="G12828" s="195">
        <v>-10023827</v>
      </c>
    </row>
    <row r="12829" spans="1:7" x14ac:dyDescent="0.3">
      <c r="A12829" s="198">
        <v>42100501</v>
      </c>
      <c r="B12829" s="192" t="s">
        <v>7431</v>
      </c>
      <c r="C12829" s="196">
        <v>-10023827</v>
      </c>
      <c r="D12829" s="196">
        <v>0</v>
      </c>
      <c r="E12829" s="196">
        <v>0</v>
      </c>
      <c r="F12829" s="196">
        <v>0</v>
      </c>
      <c r="G12829" s="196">
        <v>-10023827</v>
      </c>
    </row>
    <row r="12830" spans="1:7" x14ac:dyDescent="0.3">
      <c r="A12830" s="198">
        <v>890903938</v>
      </c>
      <c r="B12830" s="192" t="s">
        <v>1691</v>
      </c>
      <c r="C12830" s="196">
        <v>-23827</v>
      </c>
      <c r="D12830" s="196">
        <v>0</v>
      </c>
      <c r="E12830" s="196">
        <v>0</v>
      </c>
      <c r="F12830" s="196">
        <v>0</v>
      </c>
      <c r="G12830" s="196">
        <v>-23827</v>
      </c>
    </row>
    <row r="12831" spans="1:7" x14ac:dyDescent="0.3">
      <c r="A12831" s="198">
        <v>1144068250</v>
      </c>
      <c r="B12831" s="192" t="s">
        <v>1645</v>
      </c>
      <c r="C12831" s="196">
        <v>-10000000</v>
      </c>
      <c r="D12831" s="196">
        <v>0</v>
      </c>
      <c r="E12831" s="196">
        <v>0</v>
      </c>
      <c r="F12831" s="196">
        <v>0</v>
      </c>
      <c r="G12831" s="196">
        <v>-10000000</v>
      </c>
    </row>
    <row r="12832" spans="1:7" x14ac:dyDescent="0.3">
      <c r="A12832" s="197">
        <v>421095</v>
      </c>
      <c r="B12832" s="191" t="s">
        <v>7432</v>
      </c>
      <c r="C12832" s="195">
        <v>-3156081</v>
      </c>
      <c r="D12832" s="195">
        <v>0</v>
      </c>
      <c r="E12832" s="195">
        <v>0</v>
      </c>
      <c r="F12832" s="195">
        <v>0</v>
      </c>
      <c r="G12832" s="195">
        <v>-3156081</v>
      </c>
    </row>
    <row r="12833" spans="1:7" x14ac:dyDescent="0.3">
      <c r="A12833" s="198">
        <v>42109501</v>
      </c>
      <c r="B12833" s="192" t="s">
        <v>7432</v>
      </c>
      <c r="C12833" s="196">
        <v>-3156081</v>
      </c>
      <c r="D12833" s="196">
        <v>0</v>
      </c>
      <c r="E12833" s="196">
        <v>0</v>
      </c>
      <c r="F12833" s="196">
        <v>0</v>
      </c>
      <c r="G12833" s="196">
        <v>-3156081</v>
      </c>
    </row>
    <row r="12834" spans="1:7" x14ac:dyDescent="0.3">
      <c r="A12834" s="198">
        <v>900640334</v>
      </c>
      <c r="B12834" s="192" t="s">
        <v>336</v>
      </c>
      <c r="C12834" s="196">
        <v>-3156080</v>
      </c>
      <c r="D12834" s="196">
        <v>0</v>
      </c>
      <c r="E12834" s="196">
        <v>0</v>
      </c>
      <c r="F12834" s="196">
        <v>0</v>
      </c>
      <c r="G12834" s="196">
        <v>-3156080</v>
      </c>
    </row>
    <row r="12835" spans="1:7" x14ac:dyDescent="0.3">
      <c r="A12835" s="198">
        <v>71605520</v>
      </c>
      <c r="B12835" s="192" t="s">
        <v>4703</v>
      </c>
      <c r="C12835" s="196">
        <v>-1</v>
      </c>
      <c r="D12835" s="196">
        <v>0</v>
      </c>
      <c r="E12835" s="196">
        <v>0</v>
      </c>
      <c r="F12835" s="196">
        <v>0</v>
      </c>
      <c r="G12835" s="196">
        <v>-1</v>
      </c>
    </row>
    <row r="12836" spans="1:7" x14ac:dyDescent="0.3">
      <c r="A12836" s="197">
        <v>4250</v>
      </c>
      <c r="B12836" s="191" t="s">
        <v>7433</v>
      </c>
      <c r="C12836" s="195">
        <v>-108670514</v>
      </c>
      <c r="D12836" s="195">
        <v>342498</v>
      </c>
      <c r="E12836" s="195">
        <v>21403150</v>
      </c>
      <c r="F12836" s="195">
        <v>-21060652</v>
      </c>
      <c r="G12836" s="195">
        <v>-129731166</v>
      </c>
    </row>
    <row r="12837" spans="1:7" x14ac:dyDescent="0.3">
      <c r="A12837" s="197">
        <v>425010</v>
      </c>
      <c r="B12837" s="191" t="s">
        <v>7434</v>
      </c>
      <c r="C12837" s="195">
        <v>-108670514</v>
      </c>
      <c r="D12837" s="195">
        <v>342498</v>
      </c>
      <c r="E12837" s="195">
        <v>21403150</v>
      </c>
      <c r="F12837" s="195">
        <v>-21060652</v>
      </c>
      <c r="G12837" s="195">
        <v>-129731166</v>
      </c>
    </row>
    <row r="12838" spans="1:7" x14ac:dyDescent="0.3">
      <c r="A12838" s="198">
        <v>42501001</v>
      </c>
      <c r="B12838" s="192" t="s">
        <v>7434</v>
      </c>
      <c r="C12838" s="196">
        <v>-108670514</v>
      </c>
      <c r="D12838" s="196">
        <v>342498</v>
      </c>
      <c r="E12838" s="196">
        <v>21403150</v>
      </c>
      <c r="F12838" s="196">
        <v>-21060652</v>
      </c>
      <c r="G12838" s="196">
        <v>-129731166</v>
      </c>
    </row>
    <row r="12839" spans="1:7" x14ac:dyDescent="0.3">
      <c r="A12839" s="198">
        <v>70546915</v>
      </c>
      <c r="B12839" s="192" t="s">
        <v>160</v>
      </c>
      <c r="C12839" s="196">
        <v>-176200</v>
      </c>
      <c r="D12839" s="196">
        <v>0</v>
      </c>
      <c r="E12839" s="196">
        <v>0</v>
      </c>
      <c r="F12839" s="196">
        <v>0</v>
      </c>
      <c r="G12839" s="196">
        <v>-176200</v>
      </c>
    </row>
    <row r="12840" spans="1:7" x14ac:dyDescent="0.3">
      <c r="A12840" s="198">
        <v>1027884617</v>
      </c>
      <c r="B12840" s="192" t="s">
        <v>6327</v>
      </c>
      <c r="C12840" s="196">
        <v>-238350</v>
      </c>
      <c r="D12840" s="196">
        <v>0</v>
      </c>
      <c r="E12840" s="196">
        <v>0</v>
      </c>
      <c r="F12840" s="196">
        <v>0</v>
      </c>
      <c r="G12840" s="196">
        <v>-238350</v>
      </c>
    </row>
    <row r="12841" spans="1:7" x14ac:dyDescent="0.3">
      <c r="A12841" s="198">
        <v>42890550</v>
      </c>
      <c r="B12841" s="192" t="s">
        <v>6328</v>
      </c>
      <c r="C12841" s="196">
        <v>-176200</v>
      </c>
      <c r="D12841" s="196">
        <v>0</v>
      </c>
      <c r="E12841" s="196">
        <v>0</v>
      </c>
      <c r="F12841" s="196">
        <v>0</v>
      </c>
      <c r="G12841" s="196">
        <v>-176200</v>
      </c>
    </row>
    <row r="12842" spans="1:7" x14ac:dyDescent="0.3">
      <c r="A12842" s="198">
        <v>51756410</v>
      </c>
      <c r="B12842" s="192" t="s">
        <v>6329</v>
      </c>
      <c r="C12842" s="196">
        <v>-105400</v>
      </c>
      <c r="D12842" s="196">
        <v>0</v>
      </c>
      <c r="E12842" s="196">
        <v>0</v>
      </c>
      <c r="F12842" s="196">
        <v>0</v>
      </c>
      <c r="G12842" s="196">
        <v>-105400</v>
      </c>
    </row>
    <row r="12843" spans="1:7" x14ac:dyDescent="0.3">
      <c r="A12843" s="198">
        <v>43362698</v>
      </c>
      <c r="B12843" s="192" t="s">
        <v>172</v>
      </c>
      <c r="C12843" s="196">
        <v>-176200</v>
      </c>
      <c r="D12843" s="196">
        <v>0</v>
      </c>
      <c r="E12843" s="196">
        <v>176200</v>
      </c>
      <c r="F12843" s="196">
        <v>-176200</v>
      </c>
      <c r="G12843" s="196">
        <v>-352400</v>
      </c>
    </row>
    <row r="12844" spans="1:7" x14ac:dyDescent="0.3">
      <c r="A12844" s="198">
        <v>43844642</v>
      </c>
      <c r="B12844" s="192" t="s">
        <v>6330</v>
      </c>
      <c r="C12844" s="196">
        <v>-176200</v>
      </c>
      <c r="D12844" s="196">
        <v>0</v>
      </c>
      <c r="E12844" s="196">
        <v>0</v>
      </c>
      <c r="F12844" s="196">
        <v>0</v>
      </c>
      <c r="G12844" s="196">
        <v>-176200</v>
      </c>
    </row>
    <row r="12845" spans="1:7" x14ac:dyDescent="0.3">
      <c r="A12845" s="198">
        <v>43532661</v>
      </c>
      <c r="B12845" s="192" t="s">
        <v>175</v>
      </c>
      <c r="C12845" s="196">
        <v>-176200</v>
      </c>
      <c r="D12845" s="196">
        <v>0</v>
      </c>
      <c r="E12845" s="196">
        <v>0</v>
      </c>
      <c r="F12845" s="196">
        <v>0</v>
      </c>
      <c r="G12845" s="196">
        <v>-176200</v>
      </c>
    </row>
    <row r="12846" spans="1:7" x14ac:dyDescent="0.3">
      <c r="A12846" s="198">
        <v>43118498</v>
      </c>
      <c r="B12846" s="192" t="s">
        <v>179</v>
      </c>
      <c r="C12846" s="196">
        <v>0</v>
      </c>
      <c r="D12846" s="196">
        <v>0</v>
      </c>
      <c r="E12846" s="196">
        <v>176200</v>
      </c>
      <c r="F12846" s="196">
        <v>-176200</v>
      </c>
      <c r="G12846" s="196">
        <v>-176200</v>
      </c>
    </row>
    <row r="12847" spans="1:7" x14ac:dyDescent="0.3">
      <c r="A12847" s="198">
        <v>43455485</v>
      </c>
      <c r="B12847" s="192" t="s">
        <v>6333</v>
      </c>
      <c r="C12847" s="196">
        <v>-238350</v>
      </c>
      <c r="D12847" s="196">
        <v>0</v>
      </c>
      <c r="E12847" s="196">
        <v>0</v>
      </c>
      <c r="F12847" s="196">
        <v>0</v>
      </c>
      <c r="G12847" s="196">
        <v>-238350</v>
      </c>
    </row>
    <row r="12848" spans="1:7" x14ac:dyDescent="0.3">
      <c r="A12848" s="198">
        <v>25991867</v>
      </c>
      <c r="B12848" s="192" t="s">
        <v>189</v>
      </c>
      <c r="C12848" s="196">
        <v>0</v>
      </c>
      <c r="D12848" s="196">
        <v>0</v>
      </c>
      <c r="E12848" s="196">
        <v>176200</v>
      </c>
      <c r="F12848" s="196">
        <v>-176200</v>
      </c>
      <c r="G12848" s="196">
        <v>-176200</v>
      </c>
    </row>
    <row r="12849" spans="1:7" x14ac:dyDescent="0.3">
      <c r="A12849" s="198">
        <v>21401905</v>
      </c>
      <c r="B12849" s="192" t="s">
        <v>191</v>
      </c>
      <c r="C12849" s="196">
        <v>0</v>
      </c>
      <c r="D12849" s="196">
        <v>0</v>
      </c>
      <c r="E12849" s="196">
        <v>177000</v>
      </c>
      <c r="F12849" s="196">
        <v>-177000</v>
      </c>
      <c r="G12849" s="196">
        <v>-177000</v>
      </c>
    </row>
    <row r="12850" spans="1:7" x14ac:dyDescent="0.3">
      <c r="A12850" s="198">
        <v>43729250</v>
      </c>
      <c r="B12850" s="192" t="s">
        <v>6334</v>
      </c>
      <c r="C12850" s="196">
        <v>-176200</v>
      </c>
      <c r="D12850" s="196">
        <v>0</v>
      </c>
      <c r="E12850" s="196">
        <v>0</v>
      </c>
      <c r="F12850" s="196">
        <v>0</v>
      </c>
      <c r="G12850" s="196">
        <v>-176200</v>
      </c>
    </row>
    <row r="12851" spans="1:7" x14ac:dyDescent="0.3">
      <c r="A12851" s="198">
        <v>43062175</v>
      </c>
      <c r="B12851" s="192" t="s">
        <v>6335</v>
      </c>
      <c r="C12851" s="196">
        <v>-176200</v>
      </c>
      <c r="D12851" s="196">
        <v>0</v>
      </c>
      <c r="E12851" s="196">
        <v>0</v>
      </c>
      <c r="F12851" s="196">
        <v>0</v>
      </c>
      <c r="G12851" s="196">
        <v>-176200</v>
      </c>
    </row>
    <row r="12852" spans="1:7" x14ac:dyDescent="0.3">
      <c r="A12852" s="198">
        <v>82360700</v>
      </c>
      <c r="B12852" s="192" t="s">
        <v>197</v>
      </c>
      <c r="C12852" s="196">
        <v>-176200</v>
      </c>
      <c r="D12852" s="196">
        <v>0</v>
      </c>
      <c r="E12852" s="196">
        <v>0</v>
      </c>
      <c r="F12852" s="196">
        <v>0</v>
      </c>
      <c r="G12852" s="196">
        <v>-176200</v>
      </c>
    </row>
    <row r="12853" spans="1:7" x14ac:dyDescent="0.3">
      <c r="A12853" s="198">
        <v>43111273</v>
      </c>
      <c r="B12853" s="192" t="s">
        <v>6337</v>
      </c>
      <c r="C12853" s="196">
        <v>-176200</v>
      </c>
      <c r="D12853" s="196">
        <v>0</v>
      </c>
      <c r="E12853" s="196">
        <v>0</v>
      </c>
      <c r="F12853" s="196">
        <v>0</v>
      </c>
      <c r="G12853" s="196">
        <v>-176200</v>
      </c>
    </row>
    <row r="12854" spans="1:7" x14ac:dyDescent="0.3">
      <c r="A12854" s="198">
        <v>142038600</v>
      </c>
      <c r="B12854" s="192" t="s">
        <v>6338</v>
      </c>
      <c r="C12854" s="196">
        <v>-176200</v>
      </c>
      <c r="D12854" s="196">
        <v>0</v>
      </c>
      <c r="E12854" s="196">
        <v>0</v>
      </c>
      <c r="F12854" s="196">
        <v>0</v>
      </c>
      <c r="G12854" s="196">
        <v>-176200</v>
      </c>
    </row>
    <row r="12855" spans="1:7" x14ac:dyDescent="0.3">
      <c r="A12855" s="198">
        <v>43759008</v>
      </c>
      <c r="B12855" s="192" t="s">
        <v>2561</v>
      </c>
      <c r="C12855" s="196">
        <v>-176200</v>
      </c>
      <c r="D12855" s="196">
        <v>0</v>
      </c>
      <c r="E12855" s="196">
        <v>0</v>
      </c>
      <c r="F12855" s="196">
        <v>0</v>
      </c>
      <c r="G12855" s="196">
        <v>-176200</v>
      </c>
    </row>
    <row r="12856" spans="1:7" x14ac:dyDescent="0.3">
      <c r="A12856" s="198">
        <v>1143399563</v>
      </c>
      <c r="B12856" s="192" t="s">
        <v>208</v>
      </c>
      <c r="C12856" s="196">
        <v>-1</v>
      </c>
      <c r="D12856" s="196">
        <v>0</v>
      </c>
      <c r="E12856" s="196">
        <v>0</v>
      </c>
      <c r="F12856" s="196">
        <v>0</v>
      </c>
      <c r="G12856" s="196">
        <v>-1</v>
      </c>
    </row>
    <row r="12857" spans="1:7" x14ac:dyDescent="0.3">
      <c r="A12857" s="198">
        <v>1214713422</v>
      </c>
      <c r="B12857" s="192" t="s">
        <v>1855</v>
      </c>
      <c r="C12857" s="196">
        <v>-457800</v>
      </c>
      <c r="D12857" s="196">
        <v>0</v>
      </c>
      <c r="E12857" s="196">
        <v>0</v>
      </c>
      <c r="F12857" s="196">
        <v>0</v>
      </c>
      <c r="G12857" s="196">
        <v>-457800</v>
      </c>
    </row>
    <row r="12858" spans="1:7" x14ac:dyDescent="0.3">
      <c r="A12858" s="198">
        <v>1013536190</v>
      </c>
      <c r="B12858" s="192" t="s">
        <v>211</v>
      </c>
      <c r="C12858" s="196">
        <v>0</v>
      </c>
      <c r="D12858" s="196">
        <v>0</v>
      </c>
      <c r="E12858" s="196">
        <v>238350</v>
      </c>
      <c r="F12858" s="196">
        <v>-238350</v>
      </c>
      <c r="G12858" s="196">
        <v>-238350</v>
      </c>
    </row>
    <row r="12859" spans="1:7" x14ac:dyDescent="0.3">
      <c r="A12859" s="198">
        <v>98504804</v>
      </c>
      <c r="B12859" s="192" t="s">
        <v>6344</v>
      </c>
      <c r="C12859" s="196">
        <v>-176200</v>
      </c>
      <c r="D12859" s="196">
        <v>0</v>
      </c>
      <c r="E12859" s="196">
        <v>0</v>
      </c>
      <c r="F12859" s="196">
        <v>0</v>
      </c>
      <c r="G12859" s="196">
        <v>-176200</v>
      </c>
    </row>
    <row r="12860" spans="1:7" x14ac:dyDescent="0.3">
      <c r="A12860" s="198">
        <v>18517738</v>
      </c>
      <c r="B12860" s="192" t="s">
        <v>212</v>
      </c>
      <c r="C12860" s="196">
        <v>0</v>
      </c>
      <c r="D12860" s="196">
        <v>0</v>
      </c>
      <c r="E12860" s="196">
        <v>176200</v>
      </c>
      <c r="F12860" s="196">
        <v>-176200</v>
      </c>
      <c r="G12860" s="196">
        <v>-176200</v>
      </c>
    </row>
    <row r="12861" spans="1:7" x14ac:dyDescent="0.3">
      <c r="A12861" s="198">
        <v>42938863</v>
      </c>
      <c r="B12861" s="192" t="s">
        <v>2599</v>
      </c>
      <c r="C12861" s="196">
        <v>-176200</v>
      </c>
      <c r="D12861" s="196">
        <v>0</v>
      </c>
      <c r="E12861" s="196">
        <v>0</v>
      </c>
      <c r="F12861" s="196">
        <v>0</v>
      </c>
      <c r="G12861" s="196">
        <v>-176200</v>
      </c>
    </row>
    <row r="12862" spans="1:7" x14ac:dyDescent="0.3">
      <c r="A12862" s="192" t="s">
        <v>6345</v>
      </c>
      <c r="B12862" s="192" t="s">
        <v>6346</v>
      </c>
      <c r="C12862" s="196">
        <v>-176200</v>
      </c>
      <c r="D12862" s="196">
        <v>0</v>
      </c>
      <c r="E12862" s="196">
        <v>0</v>
      </c>
      <c r="F12862" s="196">
        <v>0</v>
      </c>
      <c r="G12862" s="196">
        <v>-176200</v>
      </c>
    </row>
    <row r="12863" spans="1:7" x14ac:dyDescent="0.3">
      <c r="A12863" s="198">
        <v>43728136</v>
      </c>
      <c r="B12863" s="192" t="s">
        <v>215</v>
      </c>
      <c r="C12863" s="196">
        <v>0</v>
      </c>
      <c r="D12863" s="196">
        <v>0</v>
      </c>
      <c r="E12863" s="196">
        <v>176200</v>
      </c>
      <c r="F12863" s="196">
        <v>-176200</v>
      </c>
      <c r="G12863" s="196">
        <v>-176200</v>
      </c>
    </row>
    <row r="12864" spans="1:7" x14ac:dyDescent="0.3">
      <c r="A12864" s="198">
        <v>70037186</v>
      </c>
      <c r="B12864" s="192" t="s">
        <v>6348</v>
      </c>
      <c r="C12864" s="196">
        <v>-176200</v>
      </c>
      <c r="D12864" s="196">
        <v>0</v>
      </c>
      <c r="E12864" s="196">
        <v>0</v>
      </c>
      <c r="F12864" s="196">
        <v>0</v>
      </c>
      <c r="G12864" s="196">
        <v>-176200</v>
      </c>
    </row>
    <row r="12865" spans="1:7" x14ac:dyDescent="0.3">
      <c r="A12865" s="198">
        <v>43032520</v>
      </c>
      <c r="B12865" s="192" t="s">
        <v>225</v>
      </c>
      <c r="C12865" s="196">
        <v>0</v>
      </c>
      <c r="D12865" s="196">
        <v>0</v>
      </c>
      <c r="E12865" s="196">
        <v>237100</v>
      </c>
      <c r="F12865" s="196">
        <v>-237100</v>
      </c>
      <c r="G12865" s="196">
        <v>-237100</v>
      </c>
    </row>
    <row r="12866" spans="1:7" x14ac:dyDescent="0.3">
      <c r="A12866" s="192" t="s">
        <v>229</v>
      </c>
      <c r="B12866" s="192" t="s">
        <v>230</v>
      </c>
      <c r="C12866" s="196">
        <v>0</v>
      </c>
      <c r="D12866" s="196">
        <v>0</v>
      </c>
      <c r="E12866" s="196">
        <v>176200</v>
      </c>
      <c r="F12866" s="196">
        <v>-176200</v>
      </c>
      <c r="G12866" s="196">
        <v>-176200</v>
      </c>
    </row>
    <row r="12867" spans="1:7" x14ac:dyDescent="0.3">
      <c r="A12867" s="198">
        <v>98541227</v>
      </c>
      <c r="B12867" s="192" t="s">
        <v>6349</v>
      </c>
      <c r="C12867" s="196">
        <v>-176200</v>
      </c>
      <c r="D12867" s="196">
        <v>0</v>
      </c>
      <c r="E12867" s="196">
        <v>0</v>
      </c>
      <c r="F12867" s="196">
        <v>0</v>
      </c>
      <c r="G12867" s="196">
        <v>-176200</v>
      </c>
    </row>
    <row r="12868" spans="1:7" x14ac:dyDescent="0.3">
      <c r="A12868" s="198">
        <v>32495547</v>
      </c>
      <c r="B12868" s="192" t="s">
        <v>6351</v>
      </c>
      <c r="C12868" s="196">
        <v>-176200</v>
      </c>
      <c r="D12868" s="196">
        <v>0</v>
      </c>
      <c r="E12868" s="196">
        <v>0</v>
      </c>
      <c r="F12868" s="196">
        <v>0</v>
      </c>
      <c r="G12868" s="196">
        <v>-176200</v>
      </c>
    </row>
    <row r="12869" spans="1:7" x14ac:dyDescent="0.3">
      <c r="A12869" s="198">
        <v>32100049</v>
      </c>
      <c r="B12869" s="192" t="s">
        <v>6352</v>
      </c>
      <c r="C12869" s="196">
        <v>-176200</v>
      </c>
      <c r="D12869" s="196">
        <v>0</v>
      </c>
      <c r="E12869" s="196">
        <v>0</v>
      </c>
      <c r="F12869" s="196">
        <v>0</v>
      </c>
      <c r="G12869" s="196">
        <v>-176200</v>
      </c>
    </row>
    <row r="12870" spans="1:7" x14ac:dyDescent="0.3">
      <c r="A12870" s="198">
        <v>21230962</v>
      </c>
      <c r="B12870" s="192" t="s">
        <v>6353</v>
      </c>
      <c r="C12870" s="196">
        <v>-352400</v>
      </c>
      <c r="D12870" s="196">
        <v>0</v>
      </c>
      <c r="E12870" s="196">
        <v>0</v>
      </c>
      <c r="F12870" s="196">
        <v>0</v>
      </c>
      <c r="G12870" s="196">
        <v>-352400</v>
      </c>
    </row>
    <row r="12871" spans="1:7" x14ac:dyDescent="0.3">
      <c r="A12871" s="198">
        <v>32435215</v>
      </c>
      <c r="B12871" s="192" t="s">
        <v>2678</v>
      </c>
      <c r="C12871" s="196">
        <v>-176200</v>
      </c>
      <c r="D12871" s="196">
        <v>0</v>
      </c>
      <c r="E12871" s="196">
        <v>0</v>
      </c>
      <c r="F12871" s="196">
        <v>0</v>
      </c>
      <c r="G12871" s="196">
        <v>-176200</v>
      </c>
    </row>
    <row r="12872" spans="1:7" x14ac:dyDescent="0.3">
      <c r="A12872" s="198">
        <v>33174309</v>
      </c>
      <c r="B12872" s="192" t="s">
        <v>2683</v>
      </c>
      <c r="C12872" s="196">
        <v>-176200</v>
      </c>
      <c r="D12872" s="196">
        <v>0</v>
      </c>
      <c r="E12872" s="196">
        <v>0</v>
      </c>
      <c r="F12872" s="196">
        <v>0</v>
      </c>
      <c r="G12872" s="196">
        <v>-176200</v>
      </c>
    </row>
    <row r="12873" spans="1:7" x14ac:dyDescent="0.3">
      <c r="A12873" s="198">
        <v>32105878</v>
      </c>
      <c r="B12873" s="192" t="s">
        <v>6357</v>
      </c>
      <c r="C12873" s="196">
        <v>-176200</v>
      </c>
      <c r="D12873" s="196">
        <v>0</v>
      </c>
      <c r="E12873" s="196">
        <v>0</v>
      </c>
      <c r="F12873" s="196">
        <v>0</v>
      </c>
      <c r="G12873" s="196">
        <v>-176200</v>
      </c>
    </row>
    <row r="12874" spans="1:7" x14ac:dyDescent="0.3">
      <c r="A12874" s="198">
        <v>43205122</v>
      </c>
      <c r="B12874" s="192" t="s">
        <v>262</v>
      </c>
      <c r="C12874" s="196">
        <v>0</v>
      </c>
      <c r="D12874" s="196">
        <v>0</v>
      </c>
      <c r="E12874" s="196">
        <v>176200</v>
      </c>
      <c r="F12874" s="196">
        <v>-176200</v>
      </c>
      <c r="G12874" s="196">
        <v>-176200</v>
      </c>
    </row>
    <row r="12875" spans="1:7" x14ac:dyDescent="0.3">
      <c r="A12875" s="198">
        <v>1040033426</v>
      </c>
      <c r="B12875" s="192" t="s">
        <v>266</v>
      </c>
      <c r="C12875" s="196">
        <v>0</v>
      </c>
      <c r="D12875" s="196">
        <v>0</v>
      </c>
      <c r="E12875" s="196">
        <v>176200</v>
      </c>
      <c r="F12875" s="196">
        <v>-176200</v>
      </c>
      <c r="G12875" s="196">
        <v>-176200</v>
      </c>
    </row>
    <row r="12876" spans="1:7" x14ac:dyDescent="0.3">
      <c r="A12876" s="198">
        <v>43879409</v>
      </c>
      <c r="B12876" s="192" t="s">
        <v>272</v>
      </c>
      <c r="C12876" s="196">
        <v>0</v>
      </c>
      <c r="D12876" s="196">
        <v>0</v>
      </c>
      <c r="E12876" s="196">
        <v>176200</v>
      </c>
      <c r="F12876" s="196">
        <v>-176200</v>
      </c>
      <c r="G12876" s="196">
        <v>-176200</v>
      </c>
    </row>
    <row r="12877" spans="1:7" x14ac:dyDescent="0.3">
      <c r="A12877" s="198">
        <v>1033650578</v>
      </c>
      <c r="B12877" s="192" t="s">
        <v>2758</v>
      </c>
      <c r="C12877" s="196">
        <v>-237100</v>
      </c>
      <c r="D12877" s="196">
        <v>0</v>
      </c>
      <c r="E12877" s="196">
        <v>0</v>
      </c>
      <c r="F12877" s="196">
        <v>0</v>
      </c>
      <c r="G12877" s="196">
        <v>-237100</v>
      </c>
    </row>
    <row r="12878" spans="1:7" x14ac:dyDescent="0.3">
      <c r="A12878" s="198">
        <v>71318611</v>
      </c>
      <c r="B12878" s="192" t="s">
        <v>6368</v>
      </c>
      <c r="C12878" s="196">
        <v>-176200</v>
      </c>
      <c r="D12878" s="196">
        <v>0</v>
      </c>
      <c r="E12878" s="196">
        <v>0</v>
      </c>
      <c r="F12878" s="196">
        <v>0</v>
      </c>
      <c r="G12878" s="196">
        <v>-176200</v>
      </c>
    </row>
    <row r="12879" spans="1:7" x14ac:dyDescent="0.3">
      <c r="A12879" s="198">
        <v>1065629811</v>
      </c>
      <c r="B12879" s="192" t="s">
        <v>6369</v>
      </c>
      <c r="C12879" s="196">
        <v>-176200</v>
      </c>
      <c r="D12879" s="196">
        <v>0</v>
      </c>
      <c r="E12879" s="196">
        <v>0</v>
      </c>
      <c r="F12879" s="196">
        <v>0</v>
      </c>
      <c r="G12879" s="196">
        <v>-176200</v>
      </c>
    </row>
    <row r="12880" spans="1:7" x14ac:dyDescent="0.3">
      <c r="A12880" s="198">
        <v>39433638</v>
      </c>
      <c r="B12880" s="192" t="s">
        <v>6371</v>
      </c>
      <c r="C12880" s="196">
        <v>-176200</v>
      </c>
      <c r="D12880" s="196">
        <v>0</v>
      </c>
      <c r="E12880" s="196">
        <v>0</v>
      </c>
      <c r="F12880" s="196">
        <v>0</v>
      </c>
      <c r="G12880" s="196">
        <v>-176200</v>
      </c>
    </row>
    <row r="12881" spans="1:7" x14ac:dyDescent="0.3">
      <c r="A12881" s="198">
        <v>32336434</v>
      </c>
      <c r="B12881" s="192" t="s">
        <v>6372</v>
      </c>
      <c r="C12881" s="196">
        <v>-176200</v>
      </c>
      <c r="D12881" s="196">
        <v>0</v>
      </c>
      <c r="E12881" s="196">
        <v>0</v>
      </c>
      <c r="F12881" s="196">
        <v>0</v>
      </c>
      <c r="G12881" s="196">
        <v>-176200</v>
      </c>
    </row>
    <row r="12882" spans="1:7" x14ac:dyDescent="0.3">
      <c r="A12882" s="198">
        <v>42893135</v>
      </c>
      <c r="B12882" s="192" t="s">
        <v>6373</v>
      </c>
      <c r="C12882" s="196">
        <v>-176200</v>
      </c>
      <c r="D12882" s="196">
        <v>0</v>
      </c>
      <c r="E12882" s="196">
        <v>0</v>
      </c>
      <c r="F12882" s="196">
        <v>0</v>
      </c>
      <c r="G12882" s="196">
        <v>-176200</v>
      </c>
    </row>
    <row r="12883" spans="1:7" x14ac:dyDescent="0.3">
      <c r="A12883" s="198">
        <v>42893144</v>
      </c>
      <c r="B12883" s="192" t="s">
        <v>6374</v>
      </c>
      <c r="C12883" s="196">
        <v>-176200</v>
      </c>
      <c r="D12883" s="196">
        <v>0</v>
      </c>
      <c r="E12883" s="196">
        <v>0</v>
      </c>
      <c r="F12883" s="196">
        <v>0</v>
      </c>
      <c r="G12883" s="196">
        <v>-176200</v>
      </c>
    </row>
    <row r="12884" spans="1:7" x14ac:dyDescent="0.3">
      <c r="A12884" s="198">
        <v>32409958</v>
      </c>
      <c r="B12884" s="192" t="s">
        <v>6376</v>
      </c>
      <c r="C12884" s="196">
        <v>-176200</v>
      </c>
      <c r="D12884" s="196">
        <v>0</v>
      </c>
      <c r="E12884" s="196">
        <v>0</v>
      </c>
      <c r="F12884" s="196">
        <v>0</v>
      </c>
      <c r="G12884" s="196">
        <v>-176200</v>
      </c>
    </row>
    <row r="12885" spans="1:7" x14ac:dyDescent="0.3">
      <c r="A12885" s="198">
        <v>70419578</v>
      </c>
      <c r="B12885" s="192" t="s">
        <v>6385</v>
      </c>
      <c r="C12885" s="196">
        <v>-176200</v>
      </c>
      <c r="D12885" s="196">
        <v>0</v>
      </c>
      <c r="E12885" s="196">
        <v>0</v>
      </c>
      <c r="F12885" s="196">
        <v>0</v>
      </c>
      <c r="G12885" s="196">
        <v>-176200</v>
      </c>
    </row>
    <row r="12886" spans="1:7" x14ac:dyDescent="0.3">
      <c r="A12886" s="198">
        <v>3468828</v>
      </c>
      <c r="B12886" s="192" t="s">
        <v>321</v>
      </c>
      <c r="C12886" s="196">
        <v>-176201</v>
      </c>
      <c r="D12886" s="196">
        <v>0</v>
      </c>
      <c r="E12886" s="196">
        <v>0</v>
      </c>
      <c r="F12886" s="196">
        <v>0</v>
      </c>
      <c r="G12886" s="196">
        <v>-176201</v>
      </c>
    </row>
    <row r="12887" spans="1:7" x14ac:dyDescent="0.3">
      <c r="A12887" s="198">
        <v>18108488</v>
      </c>
      <c r="B12887" s="192" t="s">
        <v>6386</v>
      </c>
      <c r="C12887" s="196">
        <v>-176200</v>
      </c>
      <c r="D12887" s="196">
        <v>0</v>
      </c>
      <c r="E12887" s="196">
        <v>0</v>
      </c>
      <c r="F12887" s="196">
        <v>0</v>
      </c>
      <c r="G12887" s="196">
        <v>-176200</v>
      </c>
    </row>
    <row r="12888" spans="1:7" x14ac:dyDescent="0.3">
      <c r="A12888" s="198">
        <v>7630104</v>
      </c>
      <c r="B12888" s="192" t="s">
        <v>6387</v>
      </c>
      <c r="C12888" s="196">
        <v>-238350</v>
      </c>
      <c r="D12888" s="196">
        <v>0</v>
      </c>
      <c r="E12888" s="196">
        <v>0</v>
      </c>
      <c r="F12888" s="196">
        <v>0</v>
      </c>
      <c r="G12888" s="196">
        <v>-238350</v>
      </c>
    </row>
    <row r="12889" spans="1:7" x14ac:dyDescent="0.3">
      <c r="A12889" s="198">
        <v>1037571092</v>
      </c>
      <c r="B12889" s="192" t="s">
        <v>6391</v>
      </c>
      <c r="C12889" s="196">
        <v>-176200</v>
      </c>
      <c r="D12889" s="196">
        <v>0</v>
      </c>
      <c r="E12889" s="196">
        <v>0</v>
      </c>
      <c r="F12889" s="196">
        <v>0</v>
      </c>
      <c r="G12889" s="196">
        <v>-176200</v>
      </c>
    </row>
    <row r="12890" spans="1:7" x14ac:dyDescent="0.3">
      <c r="A12890" s="198">
        <v>70691514</v>
      </c>
      <c r="B12890" s="192" t="s">
        <v>2881</v>
      </c>
      <c r="C12890" s="196">
        <v>-176200</v>
      </c>
      <c r="D12890" s="196">
        <v>0</v>
      </c>
      <c r="E12890" s="196">
        <v>0</v>
      </c>
      <c r="F12890" s="196">
        <v>0</v>
      </c>
      <c r="G12890" s="196">
        <v>-176200</v>
      </c>
    </row>
    <row r="12891" spans="1:7" x14ac:dyDescent="0.3">
      <c r="A12891" s="198">
        <v>42755787</v>
      </c>
      <c r="B12891" s="192" t="s">
        <v>6392</v>
      </c>
      <c r="C12891" s="196">
        <v>-159800</v>
      </c>
      <c r="D12891" s="196">
        <v>0</v>
      </c>
      <c r="E12891" s="196">
        <v>0</v>
      </c>
      <c r="F12891" s="196">
        <v>0</v>
      </c>
      <c r="G12891" s="196">
        <v>-159800</v>
      </c>
    </row>
    <row r="12892" spans="1:7" x14ac:dyDescent="0.3">
      <c r="A12892" s="198">
        <v>43062123</v>
      </c>
      <c r="B12892" s="192" t="s">
        <v>342</v>
      </c>
      <c r="C12892" s="196">
        <v>-176200</v>
      </c>
      <c r="D12892" s="196">
        <v>0</v>
      </c>
      <c r="E12892" s="196">
        <v>0</v>
      </c>
      <c r="F12892" s="196">
        <v>0</v>
      </c>
      <c r="G12892" s="196">
        <v>-176200</v>
      </c>
    </row>
    <row r="12893" spans="1:7" x14ac:dyDescent="0.3">
      <c r="A12893" s="198">
        <v>43616292</v>
      </c>
      <c r="B12893" s="192" t="s">
        <v>6396</v>
      </c>
      <c r="C12893" s="196">
        <v>-176200</v>
      </c>
      <c r="D12893" s="196">
        <v>0</v>
      </c>
      <c r="E12893" s="196">
        <v>0</v>
      </c>
      <c r="F12893" s="196">
        <v>0</v>
      </c>
      <c r="G12893" s="196">
        <v>-176200</v>
      </c>
    </row>
    <row r="12894" spans="1:7" x14ac:dyDescent="0.3">
      <c r="A12894" s="198">
        <v>24836512</v>
      </c>
      <c r="B12894" s="192" t="s">
        <v>6397</v>
      </c>
      <c r="C12894" s="196">
        <v>-352400</v>
      </c>
      <c r="D12894" s="196">
        <v>0</v>
      </c>
      <c r="E12894" s="196">
        <v>0</v>
      </c>
      <c r="F12894" s="196">
        <v>0</v>
      </c>
      <c r="G12894" s="196">
        <v>-352400</v>
      </c>
    </row>
    <row r="12895" spans="1:7" x14ac:dyDescent="0.3">
      <c r="A12895" s="198">
        <v>42898784</v>
      </c>
      <c r="B12895" s="192" t="s">
        <v>6398</v>
      </c>
      <c r="C12895" s="196">
        <v>-176200</v>
      </c>
      <c r="D12895" s="196">
        <v>0</v>
      </c>
      <c r="E12895" s="196">
        <v>0</v>
      </c>
      <c r="F12895" s="196">
        <v>0</v>
      </c>
      <c r="G12895" s="196">
        <v>-176200</v>
      </c>
    </row>
    <row r="12896" spans="1:7" x14ac:dyDescent="0.3">
      <c r="A12896" s="198">
        <v>43682834</v>
      </c>
      <c r="B12896" s="192" t="s">
        <v>2911</v>
      </c>
      <c r="C12896" s="196">
        <v>-176200</v>
      </c>
      <c r="D12896" s="196">
        <v>0</v>
      </c>
      <c r="E12896" s="196">
        <v>0</v>
      </c>
      <c r="F12896" s="196">
        <v>0</v>
      </c>
      <c r="G12896" s="196">
        <v>-176200</v>
      </c>
    </row>
    <row r="12897" spans="1:7" x14ac:dyDescent="0.3">
      <c r="A12897" s="198">
        <v>22103904</v>
      </c>
      <c r="B12897" s="192" t="s">
        <v>351</v>
      </c>
      <c r="C12897" s="196">
        <v>0</v>
      </c>
      <c r="D12897" s="196">
        <v>0</v>
      </c>
      <c r="E12897" s="196">
        <v>176200</v>
      </c>
      <c r="F12897" s="196">
        <v>-176200</v>
      </c>
      <c r="G12897" s="196">
        <v>-176200</v>
      </c>
    </row>
    <row r="12898" spans="1:7" x14ac:dyDescent="0.3">
      <c r="A12898" s="198">
        <v>88157555</v>
      </c>
      <c r="B12898" s="192" t="s">
        <v>2916</v>
      </c>
      <c r="C12898" s="196">
        <v>-176200</v>
      </c>
      <c r="D12898" s="196">
        <v>0</v>
      </c>
      <c r="E12898" s="196">
        <v>0</v>
      </c>
      <c r="F12898" s="196">
        <v>0</v>
      </c>
      <c r="G12898" s="196">
        <v>-176200</v>
      </c>
    </row>
    <row r="12899" spans="1:7" x14ac:dyDescent="0.3">
      <c r="A12899" s="198">
        <v>22211398</v>
      </c>
      <c r="B12899" s="192" t="s">
        <v>2928</v>
      </c>
      <c r="C12899" s="196">
        <v>-176200</v>
      </c>
      <c r="D12899" s="196">
        <v>0</v>
      </c>
      <c r="E12899" s="196">
        <v>0</v>
      </c>
      <c r="F12899" s="196">
        <v>0</v>
      </c>
      <c r="G12899" s="196">
        <v>-176200</v>
      </c>
    </row>
    <row r="12900" spans="1:7" x14ac:dyDescent="0.3">
      <c r="A12900" s="198">
        <v>901630573</v>
      </c>
      <c r="B12900" s="192" t="s">
        <v>107</v>
      </c>
      <c r="C12900" s="196">
        <v>-4509601</v>
      </c>
      <c r="D12900" s="196">
        <v>0</v>
      </c>
      <c r="E12900" s="196">
        <v>0</v>
      </c>
      <c r="F12900" s="196">
        <v>0</v>
      </c>
      <c r="G12900" s="196">
        <v>-4509601</v>
      </c>
    </row>
    <row r="12901" spans="1:7" x14ac:dyDescent="0.3">
      <c r="A12901" s="198">
        <v>43475947</v>
      </c>
      <c r="B12901" s="192" t="s">
        <v>362</v>
      </c>
      <c r="C12901" s="196">
        <v>0</v>
      </c>
      <c r="D12901" s="196">
        <v>0</v>
      </c>
      <c r="E12901" s="196">
        <v>176200</v>
      </c>
      <c r="F12901" s="196">
        <v>-176200</v>
      </c>
      <c r="G12901" s="196">
        <v>-176200</v>
      </c>
    </row>
    <row r="12902" spans="1:7" x14ac:dyDescent="0.3">
      <c r="A12902" s="198">
        <v>21998652</v>
      </c>
      <c r="B12902" s="192" t="s">
        <v>6401</v>
      </c>
      <c r="C12902" s="196">
        <v>-237100</v>
      </c>
      <c r="D12902" s="196">
        <v>0</v>
      </c>
      <c r="E12902" s="196">
        <v>0</v>
      </c>
      <c r="F12902" s="196">
        <v>0</v>
      </c>
      <c r="G12902" s="196">
        <v>-237100</v>
      </c>
    </row>
    <row r="12903" spans="1:7" x14ac:dyDescent="0.3">
      <c r="A12903" s="198">
        <v>24366085</v>
      </c>
      <c r="B12903" s="192" t="s">
        <v>6403</v>
      </c>
      <c r="C12903" s="196">
        <v>-176200</v>
      </c>
      <c r="D12903" s="196">
        <v>0</v>
      </c>
      <c r="E12903" s="196">
        <v>0</v>
      </c>
      <c r="F12903" s="196">
        <v>0</v>
      </c>
      <c r="G12903" s="196">
        <v>-176200</v>
      </c>
    </row>
    <row r="12904" spans="1:7" x14ac:dyDescent="0.3">
      <c r="A12904" s="198">
        <v>43746429</v>
      </c>
      <c r="B12904" s="192" t="s">
        <v>366</v>
      </c>
      <c r="C12904" s="196">
        <v>0</v>
      </c>
      <c r="D12904" s="196">
        <v>0</v>
      </c>
      <c r="E12904" s="196">
        <v>176200</v>
      </c>
      <c r="F12904" s="196">
        <v>-176200</v>
      </c>
      <c r="G12904" s="196">
        <v>-176200</v>
      </c>
    </row>
    <row r="12905" spans="1:7" x14ac:dyDescent="0.3">
      <c r="A12905" s="198">
        <v>21418744</v>
      </c>
      <c r="B12905" s="192" t="s">
        <v>6404</v>
      </c>
      <c r="C12905" s="196">
        <v>-176200</v>
      </c>
      <c r="D12905" s="196">
        <v>0</v>
      </c>
      <c r="E12905" s="196">
        <v>0</v>
      </c>
      <c r="F12905" s="196">
        <v>0</v>
      </c>
      <c r="G12905" s="196">
        <v>-176200</v>
      </c>
    </row>
    <row r="12906" spans="1:7" x14ac:dyDescent="0.3">
      <c r="A12906" s="198">
        <v>43085137</v>
      </c>
      <c r="B12906" s="192" t="s">
        <v>368</v>
      </c>
      <c r="C12906" s="196">
        <v>0</v>
      </c>
      <c r="D12906" s="196">
        <v>0</v>
      </c>
      <c r="E12906" s="196">
        <v>176200</v>
      </c>
      <c r="F12906" s="196">
        <v>-176200</v>
      </c>
      <c r="G12906" s="196">
        <v>-176200</v>
      </c>
    </row>
    <row r="12907" spans="1:7" x14ac:dyDescent="0.3">
      <c r="A12907" s="192" t="s">
        <v>2951</v>
      </c>
      <c r="B12907" s="192" t="s">
        <v>2952</v>
      </c>
      <c r="C12907" s="196">
        <v>-176200</v>
      </c>
      <c r="D12907" s="196">
        <v>0</v>
      </c>
      <c r="E12907" s="196">
        <v>0</v>
      </c>
      <c r="F12907" s="196">
        <v>0</v>
      </c>
      <c r="G12907" s="196">
        <v>-176200</v>
      </c>
    </row>
    <row r="12908" spans="1:7" x14ac:dyDescent="0.3">
      <c r="A12908" s="198">
        <v>43739652</v>
      </c>
      <c r="B12908" s="192" t="s">
        <v>6409</v>
      </c>
      <c r="C12908" s="196">
        <v>-176200</v>
      </c>
      <c r="D12908" s="196">
        <v>0</v>
      </c>
      <c r="E12908" s="196">
        <v>0</v>
      </c>
      <c r="F12908" s="196">
        <v>0</v>
      </c>
      <c r="G12908" s="196">
        <v>-176200</v>
      </c>
    </row>
    <row r="12909" spans="1:7" x14ac:dyDescent="0.3">
      <c r="A12909" s="198">
        <v>1035223185</v>
      </c>
      <c r="B12909" s="192" t="s">
        <v>6414</v>
      </c>
      <c r="C12909" s="196">
        <v>-238350</v>
      </c>
      <c r="D12909" s="196">
        <v>0</v>
      </c>
      <c r="E12909" s="196">
        <v>0</v>
      </c>
      <c r="F12909" s="196">
        <v>0</v>
      </c>
      <c r="G12909" s="196">
        <v>-238350</v>
      </c>
    </row>
    <row r="12910" spans="1:7" x14ac:dyDescent="0.3">
      <c r="A12910" s="198">
        <v>8164665</v>
      </c>
      <c r="B12910" s="192" t="s">
        <v>3001</v>
      </c>
      <c r="C12910" s="196">
        <v>-176200</v>
      </c>
      <c r="D12910" s="196">
        <v>0</v>
      </c>
      <c r="E12910" s="196">
        <v>0</v>
      </c>
      <c r="F12910" s="196">
        <v>0</v>
      </c>
      <c r="G12910" s="196">
        <v>-176200</v>
      </c>
    </row>
    <row r="12911" spans="1:7" x14ac:dyDescent="0.3">
      <c r="A12911" s="198">
        <v>70076810</v>
      </c>
      <c r="B12911" s="192" t="s">
        <v>6417</v>
      </c>
      <c r="C12911" s="196">
        <v>-176200</v>
      </c>
      <c r="D12911" s="196">
        <v>0</v>
      </c>
      <c r="E12911" s="196">
        <v>0</v>
      </c>
      <c r="F12911" s="196">
        <v>0</v>
      </c>
      <c r="G12911" s="196">
        <v>-176200</v>
      </c>
    </row>
    <row r="12912" spans="1:7" x14ac:dyDescent="0.3">
      <c r="A12912" s="198">
        <v>71691545</v>
      </c>
      <c r="B12912" s="192" t="s">
        <v>6422</v>
      </c>
      <c r="C12912" s="196">
        <v>-159800</v>
      </c>
      <c r="D12912" s="196">
        <v>0</v>
      </c>
      <c r="E12912" s="196">
        <v>0</v>
      </c>
      <c r="F12912" s="196">
        <v>0</v>
      </c>
      <c r="G12912" s="196">
        <v>-159800</v>
      </c>
    </row>
    <row r="12913" spans="1:7" x14ac:dyDescent="0.3">
      <c r="A12913" s="198">
        <v>103890992</v>
      </c>
      <c r="B12913" s="192" t="s">
        <v>6423</v>
      </c>
      <c r="C12913" s="196">
        <v>-176200</v>
      </c>
      <c r="D12913" s="196">
        <v>0</v>
      </c>
      <c r="E12913" s="196">
        <v>0</v>
      </c>
      <c r="F12913" s="196">
        <v>0</v>
      </c>
      <c r="G12913" s="196">
        <v>-176200</v>
      </c>
    </row>
    <row r="12914" spans="1:7" x14ac:dyDescent="0.3">
      <c r="A12914" s="198">
        <v>43087378</v>
      </c>
      <c r="B12914" s="192" t="s">
        <v>6429</v>
      </c>
      <c r="C12914" s="196">
        <v>-352400</v>
      </c>
      <c r="D12914" s="196">
        <v>0</v>
      </c>
      <c r="E12914" s="196">
        <v>0</v>
      </c>
      <c r="F12914" s="196">
        <v>0</v>
      </c>
      <c r="G12914" s="196">
        <v>-352400</v>
      </c>
    </row>
    <row r="12915" spans="1:7" x14ac:dyDescent="0.3">
      <c r="A12915" s="198">
        <v>32207106</v>
      </c>
      <c r="B12915" s="192" t="s">
        <v>409</v>
      </c>
      <c r="C12915" s="196">
        <v>0</v>
      </c>
      <c r="D12915" s="196">
        <v>0</v>
      </c>
      <c r="E12915" s="196">
        <v>176200</v>
      </c>
      <c r="F12915" s="196">
        <v>-176200</v>
      </c>
      <c r="G12915" s="196">
        <v>-176200</v>
      </c>
    </row>
    <row r="12916" spans="1:7" x14ac:dyDescent="0.3">
      <c r="A12916" s="198">
        <v>52387762</v>
      </c>
      <c r="B12916" s="192" t="s">
        <v>410</v>
      </c>
      <c r="C12916" s="196">
        <v>0</v>
      </c>
      <c r="D12916" s="196">
        <v>0</v>
      </c>
      <c r="E12916" s="196">
        <v>176200</v>
      </c>
      <c r="F12916" s="196">
        <v>-176200</v>
      </c>
      <c r="G12916" s="196">
        <v>-176200</v>
      </c>
    </row>
    <row r="12917" spans="1:7" x14ac:dyDescent="0.3">
      <c r="A12917" s="198">
        <v>260988</v>
      </c>
      <c r="B12917" s="192" t="s">
        <v>6435</v>
      </c>
      <c r="C12917" s="196">
        <v>-176200</v>
      </c>
      <c r="D12917" s="196">
        <v>0</v>
      </c>
      <c r="E12917" s="196">
        <v>0</v>
      </c>
      <c r="F12917" s="196">
        <v>0</v>
      </c>
      <c r="G12917" s="196">
        <v>-176200</v>
      </c>
    </row>
    <row r="12918" spans="1:7" x14ac:dyDescent="0.3">
      <c r="A12918" s="198">
        <v>43085591</v>
      </c>
      <c r="B12918" s="192" t="s">
        <v>418</v>
      </c>
      <c r="C12918" s="196">
        <v>-159801</v>
      </c>
      <c r="D12918" s="196">
        <v>0</v>
      </c>
      <c r="E12918" s="196">
        <v>0</v>
      </c>
      <c r="F12918" s="196">
        <v>0</v>
      </c>
      <c r="G12918" s="196">
        <v>-159801</v>
      </c>
    </row>
    <row r="12919" spans="1:7" x14ac:dyDescent="0.3">
      <c r="A12919" s="198">
        <v>43740573</v>
      </c>
      <c r="B12919" s="192" t="s">
        <v>6436</v>
      </c>
      <c r="C12919" s="196">
        <v>-176200</v>
      </c>
      <c r="D12919" s="196">
        <v>0</v>
      </c>
      <c r="E12919" s="196">
        <v>0</v>
      </c>
      <c r="F12919" s="196">
        <v>0</v>
      </c>
      <c r="G12919" s="196">
        <v>-176200</v>
      </c>
    </row>
    <row r="12920" spans="1:7" x14ac:dyDescent="0.3">
      <c r="A12920" s="198">
        <v>32351888</v>
      </c>
      <c r="B12920" s="192" t="s">
        <v>420</v>
      </c>
      <c r="C12920" s="196">
        <v>0</v>
      </c>
      <c r="D12920" s="196">
        <v>0</v>
      </c>
      <c r="E12920" s="196">
        <v>176200</v>
      </c>
      <c r="F12920" s="196">
        <v>-176200</v>
      </c>
      <c r="G12920" s="196">
        <v>-176200</v>
      </c>
    </row>
    <row r="12921" spans="1:7" x14ac:dyDescent="0.3">
      <c r="A12921" s="198">
        <v>71493047</v>
      </c>
      <c r="B12921" s="192" t="s">
        <v>3098</v>
      </c>
      <c r="C12921" s="196">
        <v>-176200</v>
      </c>
      <c r="D12921" s="196">
        <v>0</v>
      </c>
      <c r="E12921" s="196">
        <v>0</v>
      </c>
      <c r="F12921" s="196">
        <v>0</v>
      </c>
      <c r="G12921" s="196">
        <v>-176200</v>
      </c>
    </row>
    <row r="12922" spans="1:7" x14ac:dyDescent="0.3">
      <c r="A12922" s="198">
        <v>900411816</v>
      </c>
      <c r="B12922" s="192" t="s">
        <v>6440</v>
      </c>
      <c r="C12922" s="196">
        <v>-176200</v>
      </c>
      <c r="D12922" s="196">
        <v>0</v>
      </c>
      <c r="E12922" s="196">
        <v>0</v>
      </c>
      <c r="F12922" s="196">
        <v>0</v>
      </c>
      <c r="G12922" s="196">
        <v>-176200</v>
      </c>
    </row>
    <row r="12923" spans="1:7" x14ac:dyDescent="0.3">
      <c r="A12923" s="198">
        <v>42883035</v>
      </c>
      <c r="B12923" s="192" t="s">
        <v>6443</v>
      </c>
      <c r="C12923" s="196">
        <v>-176200</v>
      </c>
      <c r="D12923" s="196">
        <v>0</v>
      </c>
      <c r="E12923" s="196">
        <v>0</v>
      </c>
      <c r="F12923" s="196">
        <v>0</v>
      </c>
      <c r="G12923" s="196">
        <v>-176200</v>
      </c>
    </row>
    <row r="12924" spans="1:7" x14ac:dyDescent="0.3">
      <c r="A12924" s="198">
        <v>43663534</v>
      </c>
      <c r="B12924" s="192" t="s">
        <v>6444</v>
      </c>
      <c r="C12924" s="196">
        <v>-176200</v>
      </c>
      <c r="D12924" s="196">
        <v>0</v>
      </c>
      <c r="E12924" s="196">
        <v>0</v>
      </c>
      <c r="F12924" s="196">
        <v>0</v>
      </c>
      <c r="G12924" s="196">
        <v>-176200</v>
      </c>
    </row>
    <row r="12925" spans="1:7" x14ac:dyDescent="0.3">
      <c r="A12925" s="198">
        <v>21466861</v>
      </c>
      <c r="B12925" s="192" t="s">
        <v>6445</v>
      </c>
      <c r="C12925" s="196">
        <v>-176200</v>
      </c>
      <c r="D12925" s="196">
        <v>0</v>
      </c>
      <c r="E12925" s="196">
        <v>0</v>
      </c>
      <c r="F12925" s="196">
        <v>0</v>
      </c>
      <c r="G12925" s="196">
        <v>-176200</v>
      </c>
    </row>
    <row r="12926" spans="1:7" x14ac:dyDescent="0.3">
      <c r="A12926" s="198">
        <v>39786587</v>
      </c>
      <c r="B12926" s="192" t="s">
        <v>6449</v>
      </c>
      <c r="C12926" s="196">
        <v>-311650</v>
      </c>
      <c r="D12926" s="196">
        <v>0</v>
      </c>
      <c r="E12926" s="196">
        <v>0</v>
      </c>
      <c r="F12926" s="196">
        <v>0</v>
      </c>
      <c r="G12926" s="196">
        <v>-311650</v>
      </c>
    </row>
    <row r="12927" spans="1:7" x14ac:dyDescent="0.3">
      <c r="A12927" s="198">
        <v>900901490</v>
      </c>
      <c r="B12927" s="192" t="s">
        <v>459</v>
      </c>
      <c r="C12927" s="196">
        <v>-176200</v>
      </c>
      <c r="D12927" s="196">
        <v>0</v>
      </c>
      <c r="E12927" s="196">
        <v>0</v>
      </c>
      <c r="F12927" s="196">
        <v>0</v>
      </c>
      <c r="G12927" s="196">
        <v>-176200</v>
      </c>
    </row>
    <row r="12928" spans="1:7" x14ac:dyDescent="0.3">
      <c r="A12928" s="198">
        <v>71607242</v>
      </c>
      <c r="B12928" s="192" t="s">
        <v>466</v>
      </c>
      <c r="C12928" s="196">
        <v>-176201</v>
      </c>
      <c r="D12928" s="196">
        <v>0</v>
      </c>
      <c r="E12928" s="196">
        <v>0</v>
      </c>
      <c r="F12928" s="196">
        <v>0</v>
      </c>
      <c r="G12928" s="196">
        <v>-176201</v>
      </c>
    </row>
    <row r="12929" spans="1:7" x14ac:dyDescent="0.3">
      <c r="A12929" s="198">
        <v>33992271</v>
      </c>
      <c r="B12929" s="192" t="s">
        <v>6456</v>
      </c>
      <c r="C12929" s="196">
        <v>-176200</v>
      </c>
      <c r="D12929" s="196">
        <v>0</v>
      </c>
      <c r="E12929" s="196">
        <v>0</v>
      </c>
      <c r="F12929" s="196">
        <v>0</v>
      </c>
      <c r="G12929" s="196">
        <v>-176200</v>
      </c>
    </row>
    <row r="12930" spans="1:7" x14ac:dyDescent="0.3">
      <c r="A12930" s="198">
        <v>41581574</v>
      </c>
      <c r="B12930" s="192" t="s">
        <v>6458</v>
      </c>
      <c r="C12930" s="196">
        <v>-176200</v>
      </c>
      <c r="D12930" s="196">
        <v>0</v>
      </c>
      <c r="E12930" s="196">
        <v>0</v>
      </c>
      <c r="F12930" s="196">
        <v>0</v>
      </c>
      <c r="G12930" s="196">
        <v>-176200</v>
      </c>
    </row>
    <row r="12931" spans="1:7" x14ac:dyDescent="0.3">
      <c r="A12931" s="198">
        <v>43428288</v>
      </c>
      <c r="B12931" s="192" t="s">
        <v>469</v>
      </c>
      <c r="C12931" s="196">
        <v>0</v>
      </c>
      <c r="D12931" s="196">
        <v>0</v>
      </c>
      <c r="E12931" s="196">
        <v>176200</v>
      </c>
      <c r="F12931" s="196">
        <v>-176200</v>
      </c>
      <c r="G12931" s="196">
        <v>-176200</v>
      </c>
    </row>
    <row r="12932" spans="1:7" x14ac:dyDescent="0.3">
      <c r="A12932" s="198">
        <v>3399066</v>
      </c>
      <c r="B12932" s="192" t="s">
        <v>471</v>
      </c>
      <c r="C12932" s="196">
        <v>0</v>
      </c>
      <c r="D12932" s="196">
        <v>0</v>
      </c>
      <c r="E12932" s="196">
        <v>176200</v>
      </c>
      <c r="F12932" s="196">
        <v>-176200</v>
      </c>
      <c r="G12932" s="196">
        <v>-176200</v>
      </c>
    </row>
    <row r="12933" spans="1:7" x14ac:dyDescent="0.3">
      <c r="A12933" s="198">
        <v>1000162609</v>
      </c>
      <c r="B12933" s="192" t="s">
        <v>6471</v>
      </c>
      <c r="C12933" s="196">
        <v>-96000</v>
      </c>
      <c r="D12933" s="196">
        <v>0</v>
      </c>
      <c r="E12933" s="196">
        <v>0</v>
      </c>
      <c r="F12933" s="196">
        <v>0</v>
      </c>
      <c r="G12933" s="196">
        <v>-96000</v>
      </c>
    </row>
    <row r="12934" spans="1:7" x14ac:dyDescent="0.3">
      <c r="A12934" s="198">
        <v>1036672398</v>
      </c>
      <c r="B12934" s="192" t="s">
        <v>484</v>
      </c>
      <c r="C12934" s="196">
        <v>0</v>
      </c>
      <c r="D12934" s="196">
        <v>0</v>
      </c>
      <c r="E12934" s="196">
        <v>176200</v>
      </c>
      <c r="F12934" s="196">
        <v>-176200</v>
      </c>
      <c r="G12934" s="196">
        <v>-176200</v>
      </c>
    </row>
    <row r="12935" spans="1:7" x14ac:dyDescent="0.3">
      <c r="A12935" s="198">
        <v>3597623</v>
      </c>
      <c r="B12935" s="192" t="s">
        <v>6485</v>
      </c>
      <c r="C12935" s="196">
        <v>-176200</v>
      </c>
      <c r="D12935" s="196">
        <v>0</v>
      </c>
      <c r="E12935" s="196">
        <v>0</v>
      </c>
      <c r="F12935" s="196">
        <v>0</v>
      </c>
      <c r="G12935" s="196">
        <v>-176200</v>
      </c>
    </row>
    <row r="12936" spans="1:7" x14ac:dyDescent="0.3">
      <c r="A12936" s="198">
        <v>75093578</v>
      </c>
      <c r="B12936" s="192" t="s">
        <v>3267</v>
      </c>
      <c r="C12936" s="196">
        <v>-176200</v>
      </c>
      <c r="D12936" s="196">
        <v>0</v>
      </c>
      <c r="E12936" s="196">
        <v>0</v>
      </c>
      <c r="F12936" s="196">
        <v>0</v>
      </c>
      <c r="G12936" s="196">
        <v>-176200</v>
      </c>
    </row>
    <row r="12937" spans="1:7" x14ac:dyDescent="0.3">
      <c r="A12937" s="198">
        <v>8296845</v>
      </c>
      <c r="B12937" s="192" t="s">
        <v>512</v>
      </c>
      <c r="C12937" s="196">
        <v>0</v>
      </c>
      <c r="D12937" s="196">
        <v>0</v>
      </c>
      <c r="E12937" s="196">
        <v>176200</v>
      </c>
      <c r="F12937" s="196">
        <v>-176200</v>
      </c>
      <c r="G12937" s="196">
        <v>-176200</v>
      </c>
    </row>
    <row r="12938" spans="1:7" x14ac:dyDescent="0.3">
      <c r="A12938" s="198">
        <v>1037570042</v>
      </c>
      <c r="B12938" s="192" t="s">
        <v>6504</v>
      </c>
      <c r="C12938" s="196">
        <v>-176200</v>
      </c>
      <c r="D12938" s="196">
        <v>0</v>
      </c>
      <c r="E12938" s="196">
        <v>0</v>
      </c>
      <c r="F12938" s="196">
        <v>0</v>
      </c>
      <c r="G12938" s="196">
        <v>-176200</v>
      </c>
    </row>
    <row r="12939" spans="1:7" x14ac:dyDescent="0.3">
      <c r="A12939" s="198">
        <v>42771242</v>
      </c>
      <c r="B12939" s="192" t="s">
        <v>529</v>
      </c>
      <c r="C12939" s="196">
        <v>0</v>
      </c>
      <c r="D12939" s="196">
        <v>0</v>
      </c>
      <c r="E12939" s="196">
        <v>176200</v>
      </c>
      <c r="F12939" s="196">
        <v>-176200</v>
      </c>
      <c r="G12939" s="196">
        <v>-176200</v>
      </c>
    </row>
    <row r="12940" spans="1:7" x14ac:dyDescent="0.3">
      <c r="A12940" s="198">
        <v>43533369</v>
      </c>
      <c r="B12940" s="192" t="s">
        <v>6508</v>
      </c>
      <c r="C12940" s="196">
        <v>-237100</v>
      </c>
      <c r="D12940" s="196">
        <v>0</v>
      </c>
      <c r="E12940" s="196">
        <v>0</v>
      </c>
      <c r="F12940" s="196">
        <v>0</v>
      </c>
      <c r="G12940" s="196">
        <v>-237100</v>
      </c>
    </row>
    <row r="12941" spans="1:7" x14ac:dyDescent="0.3">
      <c r="A12941" s="198">
        <v>43925386</v>
      </c>
      <c r="B12941" s="192" t="s">
        <v>6510</v>
      </c>
      <c r="C12941" s="196">
        <v>-176200</v>
      </c>
      <c r="D12941" s="196">
        <v>0</v>
      </c>
      <c r="E12941" s="196">
        <v>0</v>
      </c>
      <c r="F12941" s="196">
        <v>0</v>
      </c>
      <c r="G12941" s="196">
        <v>-176200</v>
      </c>
    </row>
    <row r="12942" spans="1:7" x14ac:dyDescent="0.3">
      <c r="A12942" s="198">
        <v>1056049</v>
      </c>
      <c r="B12942" s="192" t="s">
        <v>6511</v>
      </c>
      <c r="C12942" s="196">
        <v>-176200</v>
      </c>
      <c r="D12942" s="196">
        <v>0</v>
      </c>
      <c r="E12942" s="196">
        <v>0</v>
      </c>
      <c r="F12942" s="196">
        <v>0</v>
      </c>
      <c r="G12942" s="196">
        <v>-176200</v>
      </c>
    </row>
    <row r="12943" spans="1:7" x14ac:dyDescent="0.3">
      <c r="A12943" s="198">
        <v>98761413</v>
      </c>
      <c r="B12943" s="192" t="s">
        <v>3358</v>
      </c>
      <c r="C12943" s="196">
        <v>-176200</v>
      </c>
      <c r="D12943" s="196">
        <v>0</v>
      </c>
      <c r="E12943" s="196">
        <v>0</v>
      </c>
      <c r="F12943" s="196">
        <v>0</v>
      </c>
      <c r="G12943" s="196">
        <v>-176200</v>
      </c>
    </row>
    <row r="12944" spans="1:7" x14ac:dyDescent="0.3">
      <c r="A12944" s="192" t="s">
        <v>6516</v>
      </c>
      <c r="B12944" s="192" t="s">
        <v>3361</v>
      </c>
      <c r="C12944" s="196">
        <v>-176200</v>
      </c>
      <c r="D12944" s="196">
        <v>0</v>
      </c>
      <c r="E12944" s="196">
        <v>0</v>
      </c>
      <c r="F12944" s="196">
        <v>0</v>
      </c>
      <c r="G12944" s="196">
        <v>-176200</v>
      </c>
    </row>
    <row r="12945" spans="1:7" x14ac:dyDescent="0.3">
      <c r="A12945" s="192" t="s">
        <v>3368</v>
      </c>
      <c r="B12945" s="192" t="s">
        <v>3369</v>
      </c>
      <c r="C12945" s="196">
        <v>-176200</v>
      </c>
      <c r="D12945" s="196">
        <v>0</v>
      </c>
      <c r="E12945" s="196">
        <v>0</v>
      </c>
      <c r="F12945" s="196">
        <v>0</v>
      </c>
      <c r="G12945" s="196">
        <v>-176200</v>
      </c>
    </row>
    <row r="12946" spans="1:7" x14ac:dyDescent="0.3">
      <c r="A12946" s="198">
        <v>39211389</v>
      </c>
      <c r="B12946" s="192" t="s">
        <v>6517</v>
      </c>
      <c r="C12946" s="196">
        <v>-176200</v>
      </c>
      <c r="D12946" s="196">
        <v>0</v>
      </c>
      <c r="E12946" s="196">
        <v>0</v>
      </c>
      <c r="F12946" s="196">
        <v>0</v>
      </c>
      <c r="G12946" s="196">
        <v>-176200</v>
      </c>
    </row>
    <row r="12947" spans="1:7" x14ac:dyDescent="0.3">
      <c r="A12947" s="198">
        <v>39160600</v>
      </c>
      <c r="B12947" s="192" t="s">
        <v>2385</v>
      </c>
      <c r="C12947" s="196">
        <v>-176200</v>
      </c>
      <c r="D12947" s="196">
        <v>0</v>
      </c>
      <c r="E12947" s="196">
        <v>0</v>
      </c>
      <c r="F12947" s="196">
        <v>0</v>
      </c>
      <c r="G12947" s="196">
        <v>-176200</v>
      </c>
    </row>
    <row r="12948" spans="1:7" x14ac:dyDescent="0.3">
      <c r="A12948" s="198">
        <v>32141758</v>
      </c>
      <c r="B12948" s="192" t="s">
        <v>6533</v>
      </c>
      <c r="C12948" s="196">
        <v>-176200</v>
      </c>
      <c r="D12948" s="196">
        <v>0</v>
      </c>
      <c r="E12948" s="196">
        <v>0</v>
      </c>
      <c r="F12948" s="196">
        <v>0</v>
      </c>
      <c r="G12948" s="196">
        <v>-176200</v>
      </c>
    </row>
    <row r="12949" spans="1:7" x14ac:dyDescent="0.3">
      <c r="A12949" s="198">
        <v>43101772</v>
      </c>
      <c r="B12949" s="192" t="s">
        <v>559</v>
      </c>
      <c r="C12949" s="196">
        <v>0</v>
      </c>
      <c r="D12949" s="196">
        <v>0</v>
      </c>
      <c r="E12949" s="196">
        <v>176200</v>
      </c>
      <c r="F12949" s="196">
        <v>-176200</v>
      </c>
      <c r="G12949" s="196">
        <v>-176200</v>
      </c>
    </row>
    <row r="12950" spans="1:7" x14ac:dyDescent="0.3">
      <c r="A12950" s="198">
        <v>42694448</v>
      </c>
      <c r="B12950" s="192" t="s">
        <v>568</v>
      </c>
      <c r="C12950" s="196">
        <v>0</v>
      </c>
      <c r="D12950" s="196">
        <v>0</v>
      </c>
      <c r="E12950" s="196">
        <v>176200</v>
      </c>
      <c r="F12950" s="196">
        <v>-176200</v>
      </c>
      <c r="G12950" s="196">
        <v>-176200</v>
      </c>
    </row>
    <row r="12951" spans="1:7" x14ac:dyDescent="0.3">
      <c r="A12951" s="198">
        <v>27760730</v>
      </c>
      <c r="B12951" s="192" t="s">
        <v>573</v>
      </c>
      <c r="C12951" s="196">
        <v>0</v>
      </c>
      <c r="D12951" s="196">
        <v>0</v>
      </c>
      <c r="E12951" s="196">
        <v>176200</v>
      </c>
      <c r="F12951" s="196">
        <v>-176200</v>
      </c>
      <c r="G12951" s="196">
        <v>-176200</v>
      </c>
    </row>
    <row r="12952" spans="1:7" x14ac:dyDescent="0.3">
      <c r="A12952" s="198">
        <v>1023304227</v>
      </c>
      <c r="B12952" s="192" t="s">
        <v>592</v>
      </c>
      <c r="C12952" s="196">
        <v>-270900</v>
      </c>
      <c r="D12952" s="196">
        <v>0</v>
      </c>
      <c r="E12952" s="196">
        <v>0</v>
      </c>
      <c r="F12952" s="196">
        <v>0</v>
      </c>
      <c r="G12952" s="196">
        <v>-270900</v>
      </c>
    </row>
    <row r="12953" spans="1:7" x14ac:dyDescent="0.3">
      <c r="A12953" s="198">
        <v>1002106959</v>
      </c>
      <c r="B12953" s="192" t="s">
        <v>6546</v>
      </c>
      <c r="C12953" s="196">
        <v>-176200</v>
      </c>
      <c r="D12953" s="196">
        <v>0</v>
      </c>
      <c r="E12953" s="196">
        <v>0</v>
      </c>
      <c r="F12953" s="196">
        <v>0</v>
      </c>
      <c r="G12953" s="196">
        <v>-176200</v>
      </c>
    </row>
    <row r="12954" spans="1:7" x14ac:dyDescent="0.3">
      <c r="A12954" s="192" t="s">
        <v>3571</v>
      </c>
      <c r="B12954" s="192" t="s">
        <v>3572</v>
      </c>
      <c r="C12954" s="196">
        <v>-176200</v>
      </c>
      <c r="D12954" s="196">
        <v>0</v>
      </c>
      <c r="E12954" s="196">
        <v>0</v>
      </c>
      <c r="F12954" s="196">
        <v>0</v>
      </c>
      <c r="G12954" s="196">
        <v>-176200</v>
      </c>
    </row>
    <row r="12955" spans="1:7" x14ac:dyDescent="0.3">
      <c r="A12955" s="198">
        <v>33106365</v>
      </c>
      <c r="B12955" s="192" t="s">
        <v>6549</v>
      </c>
      <c r="C12955" s="196">
        <v>-237100</v>
      </c>
      <c r="D12955" s="196">
        <v>0</v>
      </c>
      <c r="E12955" s="196">
        <v>0</v>
      </c>
      <c r="F12955" s="196">
        <v>0</v>
      </c>
      <c r="G12955" s="196">
        <v>-237100</v>
      </c>
    </row>
    <row r="12956" spans="1:7" x14ac:dyDescent="0.3">
      <c r="A12956" s="198">
        <v>98555992</v>
      </c>
      <c r="B12956" s="192" t="s">
        <v>6552</v>
      </c>
      <c r="C12956" s="196">
        <v>-176200</v>
      </c>
      <c r="D12956" s="196">
        <v>0</v>
      </c>
      <c r="E12956" s="196">
        <v>0</v>
      </c>
      <c r="F12956" s="196">
        <v>0</v>
      </c>
      <c r="G12956" s="196">
        <v>-176200</v>
      </c>
    </row>
    <row r="12957" spans="1:7" x14ac:dyDescent="0.3">
      <c r="A12957" s="198">
        <v>1077464654</v>
      </c>
      <c r="B12957" s="192" t="s">
        <v>600</v>
      </c>
      <c r="C12957" s="196">
        <v>0</v>
      </c>
      <c r="D12957" s="196">
        <v>0</v>
      </c>
      <c r="E12957" s="196">
        <v>105400</v>
      </c>
      <c r="F12957" s="196">
        <v>-105400</v>
      </c>
      <c r="G12957" s="196">
        <v>-105400</v>
      </c>
    </row>
    <row r="12958" spans="1:7" x14ac:dyDescent="0.3">
      <c r="A12958" s="198">
        <v>1090391698</v>
      </c>
      <c r="B12958" s="192" t="s">
        <v>6553</v>
      </c>
      <c r="C12958" s="196">
        <v>-105400</v>
      </c>
      <c r="D12958" s="196">
        <v>0</v>
      </c>
      <c r="E12958" s="196">
        <v>0</v>
      </c>
      <c r="F12958" s="196">
        <v>0</v>
      </c>
      <c r="G12958" s="196">
        <v>-105400</v>
      </c>
    </row>
    <row r="12959" spans="1:7" x14ac:dyDescent="0.3">
      <c r="A12959" s="198">
        <v>1072717106</v>
      </c>
      <c r="B12959" s="192" t="s">
        <v>6556</v>
      </c>
      <c r="C12959" s="196">
        <v>-176200</v>
      </c>
      <c r="D12959" s="196">
        <v>0</v>
      </c>
      <c r="E12959" s="196">
        <v>0</v>
      </c>
      <c r="F12959" s="196">
        <v>0</v>
      </c>
      <c r="G12959" s="196">
        <v>-176200</v>
      </c>
    </row>
    <row r="12960" spans="1:7" x14ac:dyDescent="0.3">
      <c r="A12960" s="198">
        <v>32501728</v>
      </c>
      <c r="B12960" s="192" t="s">
        <v>6558</v>
      </c>
      <c r="C12960" s="196">
        <v>-176200</v>
      </c>
      <c r="D12960" s="196">
        <v>0</v>
      </c>
      <c r="E12960" s="196">
        <v>0</v>
      </c>
      <c r="F12960" s="196">
        <v>0</v>
      </c>
      <c r="G12960" s="196">
        <v>-176200</v>
      </c>
    </row>
    <row r="12961" spans="1:7" x14ac:dyDescent="0.3">
      <c r="A12961" s="198">
        <v>901503425</v>
      </c>
      <c r="B12961" s="192" t="s">
        <v>118</v>
      </c>
      <c r="C12961" s="196">
        <v>-1376800</v>
      </c>
      <c r="D12961" s="196">
        <v>0</v>
      </c>
      <c r="E12961" s="196">
        <v>0</v>
      </c>
      <c r="F12961" s="196">
        <v>0</v>
      </c>
      <c r="G12961" s="196">
        <v>-1376800</v>
      </c>
    </row>
    <row r="12962" spans="1:7" x14ac:dyDescent="0.3">
      <c r="A12962" s="198">
        <v>8280141</v>
      </c>
      <c r="B12962" s="192" t="s">
        <v>608</v>
      </c>
      <c r="C12962" s="196">
        <v>-352400</v>
      </c>
      <c r="D12962" s="196">
        <v>0</v>
      </c>
      <c r="E12962" s="196">
        <v>0</v>
      </c>
      <c r="F12962" s="196">
        <v>0</v>
      </c>
      <c r="G12962" s="196">
        <v>-352400</v>
      </c>
    </row>
    <row r="12963" spans="1:7" x14ac:dyDescent="0.3">
      <c r="A12963" s="198">
        <v>70162142</v>
      </c>
      <c r="B12963" s="192" t="s">
        <v>6562</v>
      </c>
      <c r="C12963" s="196">
        <v>-176200</v>
      </c>
      <c r="D12963" s="196">
        <v>0</v>
      </c>
      <c r="E12963" s="196">
        <v>0</v>
      </c>
      <c r="F12963" s="196">
        <v>0</v>
      </c>
      <c r="G12963" s="196">
        <v>-176200</v>
      </c>
    </row>
    <row r="12964" spans="1:7" x14ac:dyDescent="0.3">
      <c r="A12964" s="198">
        <v>71786508</v>
      </c>
      <c r="B12964" s="192" t="s">
        <v>7435</v>
      </c>
      <c r="C12964" s="196">
        <v>-165000</v>
      </c>
      <c r="D12964" s="196">
        <v>0</v>
      </c>
      <c r="E12964" s="196">
        <v>0</v>
      </c>
      <c r="F12964" s="196">
        <v>0</v>
      </c>
      <c r="G12964" s="196">
        <v>-165000</v>
      </c>
    </row>
    <row r="12965" spans="1:7" x14ac:dyDescent="0.3">
      <c r="A12965" s="198">
        <v>1362925</v>
      </c>
      <c r="B12965" s="192" t="s">
        <v>620</v>
      </c>
      <c r="C12965" s="196">
        <v>-159800</v>
      </c>
      <c r="D12965" s="196">
        <v>0</v>
      </c>
      <c r="E12965" s="196">
        <v>0</v>
      </c>
      <c r="F12965" s="196">
        <v>0</v>
      </c>
      <c r="G12965" s="196">
        <v>-159800</v>
      </c>
    </row>
    <row r="12966" spans="1:7" x14ac:dyDescent="0.3">
      <c r="A12966" s="198">
        <v>8078099</v>
      </c>
      <c r="B12966" s="192" t="s">
        <v>3645</v>
      </c>
      <c r="C12966" s="196">
        <v>-176200</v>
      </c>
      <c r="D12966" s="196">
        <v>0</v>
      </c>
      <c r="E12966" s="196">
        <v>0</v>
      </c>
      <c r="F12966" s="196">
        <v>0</v>
      </c>
      <c r="G12966" s="196">
        <v>-176200</v>
      </c>
    </row>
    <row r="12967" spans="1:7" x14ac:dyDescent="0.3">
      <c r="A12967" s="198">
        <v>79532253</v>
      </c>
      <c r="B12967" s="192" t="s">
        <v>637</v>
      </c>
      <c r="C12967" s="196">
        <v>0</v>
      </c>
      <c r="D12967" s="196">
        <v>0</v>
      </c>
      <c r="E12967" s="196">
        <v>176200</v>
      </c>
      <c r="F12967" s="196">
        <v>-176200</v>
      </c>
      <c r="G12967" s="196">
        <v>-176200</v>
      </c>
    </row>
    <row r="12968" spans="1:7" x14ac:dyDescent="0.3">
      <c r="A12968" s="198">
        <v>4105038</v>
      </c>
      <c r="B12968" s="192" t="s">
        <v>642</v>
      </c>
      <c r="C12968" s="196">
        <v>0</v>
      </c>
      <c r="D12968" s="196">
        <v>0</v>
      </c>
      <c r="E12968" s="196">
        <v>176200</v>
      </c>
      <c r="F12968" s="196">
        <v>-176200</v>
      </c>
      <c r="G12968" s="196">
        <v>-176200</v>
      </c>
    </row>
    <row r="12969" spans="1:7" x14ac:dyDescent="0.3">
      <c r="A12969" s="198">
        <v>70690007</v>
      </c>
      <c r="B12969" s="192" t="s">
        <v>6572</v>
      </c>
      <c r="C12969" s="196">
        <v>-176200</v>
      </c>
      <c r="D12969" s="196">
        <v>0</v>
      </c>
      <c r="E12969" s="196">
        <v>0</v>
      </c>
      <c r="F12969" s="196">
        <v>0</v>
      </c>
      <c r="G12969" s="196">
        <v>-176200</v>
      </c>
    </row>
    <row r="12970" spans="1:7" x14ac:dyDescent="0.3">
      <c r="A12970" s="192" t="s">
        <v>3733</v>
      </c>
      <c r="B12970" s="192" t="s">
        <v>3734</v>
      </c>
      <c r="C12970" s="196">
        <v>-176200</v>
      </c>
      <c r="D12970" s="196">
        <v>0</v>
      </c>
      <c r="E12970" s="196">
        <v>0</v>
      </c>
      <c r="F12970" s="196">
        <v>0</v>
      </c>
      <c r="G12970" s="196">
        <v>-176200</v>
      </c>
    </row>
    <row r="12971" spans="1:7" x14ac:dyDescent="0.3">
      <c r="A12971" s="198">
        <v>32347611</v>
      </c>
      <c r="B12971" s="192" t="s">
        <v>6579</v>
      </c>
      <c r="C12971" s="196">
        <v>-176200</v>
      </c>
      <c r="D12971" s="196">
        <v>0</v>
      </c>
      <c r="E12971" s="196">
        <v>0</v>
      </c>
      <c r="F12971" s="196">
        <v>0</v>
      </c>
      <c r="G12971" s="196">
        <v>-176200</v>
      </c>
    </row>
    <row r="12972" spans="1:7" x14ac:dyDescent="0.3">
      <c r="A12972" s="198">
        <v>32286525</v>
      </c>
      <c r="B12972" s="192" t="s">
        <v>6580</v>
      </c>
      <c r="C12972" s="196">
        <v>-176200</v>
      </c>
      <c r="D12972" s="196">
        <v>0</v>
      </c>
      <c r="E12972" s="196">
        <v>0</v>
      </c>
      <c r="F12972" s="196">
        <v>0</v>
      </c>
      <c r="G12972" s="196">
        <v>-176200</v>
      </c>
    </row>
    <row r="12973" spans="1:7" x14ac:dyDescent="0.3">
      <c r="A12973" s="198">
        <v>42842670</v>
      </c>
      <c r="B12973" s="192" t="s">
        <v>6581</v>
      </c>
      <c r="C12973" s="196">
        <v>-176200</v>
      </c>
      <c r="D12973" s="196">
        <v>0</v>
      </c>
      <c r="E12973" s="196">
        <v>0</v>
      </c>
      <c r="F12973" s="196">
        <v>0</v>
      </c>
      <c r="G12973" s="196">
        <v>-176200</v>
      </c>
    </row>
    <row r="12974" spans="1:7" x14ac:dyDescent="0.3">
      <c r="A12974" s="198">
        <v>43101094</v>
      </c>
      <c r="B12974" s="192" t="s">
        <v>6582</v>
      </c>
      <c r="C12974" s="196">
        <v>-176200</v>
      </c>
      <c r="D12974" s="196">
        <v>0</v>
      </c>
      <c r="E12974" s="196">
        <v>0</v>
      </c>
      <c r="F12974" s="196">
        <v>0</v>
      </c>
      <c r="G12974" s="196">
        <v>-176200</v>
      </c>
    </row>
    <row r="12975" spans="1:7" x14ac:dyDescent="0.3">
      <c r="A12975" s="198">
        <v>37825638</v>
      </c>
      <c r="B12975" s="192" t="s">
        <v>666</v>
      </c>
      <c r="C12975" s="196">
        <v>-237100</v>
      </c>
      <c r="D12975" s="196">
        <v>0</v>
      </c>
      <c r="E12975" s="196">
        <v>0</v>
      </c>
      <c r="F12975" s="196">
        <v>0</v>
      </c>
      <c r="G12975" s="196">
        <v>-237100</v>
      </c>
    </row>
    <row r="12976" spans="1:7" x14ac:dyDescent="0.3">
      <c r="A12976" s="198">
        <v>21394950</v>
      </c>
      <c r="B12976" s="192" t="s">
        <v>6587</v>
      </c>
      <c r="C12976" s="196">
        <v>-176200</v>
      </c>
      <c r="D12976" s="196">
        <v>0</v>
      </c>
      <c r="E12976" s="196">
        <v>0</v>
      </c>
      <c r="F12976" s="196">
        <v>0</v>
      </c>
      <c r="G12976" s="196">
        <v>-176200</v>
      </c>
    </row>
    <row r="12977" spans="1:7" x14ac:dyDescent="0.3">
      <c r="A12977" s="198">
        <v>21438362</v>
      </c>
      <c r="B12977" s="192" t="s">
        <v>6588</v>
      </c>
      <c r="C12977" s="196">
        <v>-176200</v>
      </c>
      <c r="D12977" s="196">
        <v>0</v>
      </c>
      <c r="E12977" s="196">
        <v>0</v>
      </c>
      <c r="F12977" s="196">
        <v>0</v>
      </c>
      <c r="G12977" s="196">
        <v>-176200</v>
      </c>
    </row>
    <row r="12978" spans="1:7" x14ac:dyDescent="0.3">
      <c r="A12978" s="198">
        <v>42780766</v>
      </c>
      <c r="B12978" s="192" t="s">
        <v>6589</v>
      </c>
      <c r="C12978" s="196">
        <v>-176200</v>
      </c>
      <c r="D12978" s="196">
        <v>0</v>
      </c>
      <c r="E12978" s="196">
        <v>0</v>
      </c>
      <c r="F12978" s="196">
        <v>0</v>
      </c>
      <c r="G12978" s="196">
        <v>-176200</v>
      </c>
    </row>
    <row r="12979" spans="1:7" x14ac:dyDescent="0.3">
      <c r="A12979" s="198">
        <v>32309562</v>
      </c>
      <c r="B12979" s="192" t="s">
        <v>6590</v>
      </c>
      <c r="C12979" s="196">
        <v>-352400</v>
      </c>
      <c r="D12979" s="196">
        <v>0</v>
      </c>
      <c r="E12979" s="196">
        <v>0</v>
      </c>
      <c r="F12979" s="196">
        <v>0</v>
      </c>
      <c r="G12979" s="196">
        <v>-352400</v>
      </c>
    </row>
    <row r="12980" spans="1:7" x14ac:dyDescent="0.3">
      <c r="A12980" s="198">
        <v>8456075</v>
      </c>
      <c r="B12980" s="192" t="s">
        <v>6592</v>
      </c>
      <c r="C12980" s="196">
        <v>-176200</v>
      </c>
      <c r="D12980" s="196">
        <v>0</v>
      </c>
      <c r="E12980" s="196">
        <v>0</v>
      </c>
      <c r="F12980" s="196">
        <v>0</v>
      </c>
      <c r="G12980" s="196">
        <v>-176200</v>
      </c>
    </row>
    <row r="12981" spans="1:7" x14ac:dyDescent="0.3">
      <c r="A12981" s="198">
        <v>120665021</v>
      </c>
      <c r="B12981" s="192" t="s">
        <v>6596</v>
      </c>
      <c r="C12981" s="196">
        <v>-105400</v>
      </c>
      <c r="D12981" s="196">
        <v>0</v>
      </c>
      <c r="E12981" s="196">
        <v>0</v>
      </c>
      <c r="F12981" s="196">
        <v>0</v>
      </c>
      <c r="G12981" s="196">
        <v>-105400</v>
      </c>
    </row>
    <row r="12982" spans="1:7" x14ac:dyDescent="0.3">
      <c r="A12982" s="192" t="s">
        <v>696</v>
      </c>
      <c r="B12982" s="192" t="s">
        <v>697</v>
      </c>
      <c r="C12982" s="196">
        <v>-356200</v>
      </c>
      <c r="D12982" s="196">
        <v>0</v>
      </c>
      <c r="E12982" s="196">
        <v>0</v>
      </c>
      <c r="F12982" s="196">
        <v>0</v>
      </c>
      <c r="G12982" s="196">
        <v>-356200</v>
      </c>
    </row>
    <row r="12983" spans="1:7" x14ac:dyDescent="0.3">
      <c r="A12983" s="198">
        <v>71270675</v>
      </c>
      <c r="B12983" s="192" t="s">
        <v>6600</v>
      </c>
      <c r="C12983" s="196">
        <v>-238350</v>
      </c>
      <c r="D12983" s="196">
        <v>0</v>
      </c>
      <c r="E12983" s="196">
        <v>0</v>
      </c>
      <c r="F12983" s="196">
        <v>0</v>
      </c>
      <c r="G12983" s="196">
        <v>-238350</v>
      </c>
    </row>
    <row r="12984" spans="1:7" x14ac:dyDescent="0.3">
      <c r="A12984" s="198">
        <v>8293924</v>
      </c>
      <c r="B12984" s="192" t="s">
        <v>3842</v>
      </c>
      <c r="C12984" s="196">
        <v>-176200</v>
      </c>
      <c r="D12984" s="196">
        <v>0</v>
      </c>
      <c r="E12984" s="196">
        <v>0</v>
      </c>
      <c r="F12984" s="196">
        <v>0</v>
      </c>
      <c r="G12984" s="196">
        <v>-176200</v>
      </c>
    </row>
    <row r="12985" spans="1:7" x14ac:dyDescent="0.3">
      <c r="A12985" s="192" t="s">
        <v>709</v>
      </c>
      <c r="B12985" s="192" t="s">
        <v>710</v>
      </c>
      <c r="C12985" s="196">
        <v>-352400</v>
      </c>
      <c r="D12985" s="196">
        <v>0</v>
      </c>
      <c r="E12985" s="196">
        <v>0</v>
      </c>
      <c r="F12985" s="196">
        <v>0</v>
      </c>
      <c r="G12985" s="196">
        <v>-352400</v>
      </c>
    </row>
    <row r="12986" spans="1:7" x14ac:dyDescent="0.3">
      <c r="A12986" s="198">
        <v>70905100</v>
      </c>
      <c r="B12986" s="192" t="s">
        <v>3863</v>
      </c>
      <c r="C12986" s="196">
        <v>-237100</v>
      </c>
      <c r="D12986" s="196">
        <v>0</v>
      </c>
      <c r="E12986" s="196">
        <v>0</v>
      </c>
      <c r="F12986" s="196">
        <v>0</v>
      </c>
      <c r="G12986" s="196">
        <v>-237100</v>
      </c>
    </row>
    <row r="12987" spans="1:7" x14ac:dyDescent="0.3">
      <c r="A12987" s="198">
        <v>42893230</v>
      </c>
      <c r="B12987" s="192" t="s">
        <v>6605</v>
      </c>
      <c r="C12987" s="196">
        <v>-176200</v>
      </c>
      <c r="D12987" s="196">
        <v>0</v>
      </c>
      <c r="E12987" s="196">
        <v>0</v>
      </c>
      <c r="F12987" s="196">
        <v>0</v>
      </c>
      <c r="G12987" s="196">
        <v>-176200</v>
      </c>
    </row>
    <row r="12988" spans="1:7" x14ac:dyDescent="0.3">
      <c r="A12988" s="198">
        <v>32304305</v>
      </c>
      <c r="B12988" s="192" t="s">
        <v>717</v>
      </c>
      <c r="C12988" s="196">
        <v>-176200</v>
      </c>
      <c r="D12988" s="196">
        <v>0</v>
      </c>
      <c r="E12988" s="196">
        <v>0</v>
      </c>
      <c r="F12988" s="196">
        <v>0</v>
      </c>
      <c r="G12988" s="196">
        <v>-176200</v>
      </c>
    </row>
    <row r="12989" spans="1:7" x14ac:dyDescent="0.3">
      <c r="A12989" s="198">
        <v>1152196904</v>
      </c>
      <c r="B12989" s="192" t="s">
        <v>729</v>
      </c>
      <c r="C12989" s="196">
        <v>0</v>
      </c>
      <c r="D12989" s="196">
        <v>0</v>
      </c>
      <c r="E12989" s="196">
        <v>176200</v>
      </c>
      <c r="F12989" s="196">
        <v>-176200</v>
      </c>
      <c r="G12989" s="196">
        <v>-176200</v>
      </c>
    </row>
    <row r="12990" spans="1:7" x14ac:dyDescent="0.3">
      <c r="A12990" s="198">
        <v>1017942451</v>
      </c>
      <c r="B12990" s="192" t="s">
        <v>6612</v>
      </c>
      <c r="C12990" s="196">
        <v>-176200</v>
      </c>
      <c r="D12990" s="196">
        <v>0</v>
      </c>
      <c r="E12990" s="196">
        <v>0</v>
      </c>
      <c r="F12990" s="196">
        <v>0</v>
      </c>
      <c r="G12990" s="196">
        <v>-176200</v>
      </c>
    </row>
    <row r="12991" spans="1:7" x14ac:dyDescent="0.3">
      <c r="A12991" s="198">
        <v>70070147</v>
      </c>
      <c r="B12991" s="192" t="s">
        <v>6613</v>
      </c>
      <c r="C12991" s="196">
        <v>-176200</v>
      </c>
      <c r="D12991" s="196">
        <v>0</v>
      </c>
      <c r="E12991" s="196">
        <v>0</v>
      </c>
      <c r="F12991" s="196">
        <v>0</v>
      </c>
      <c r="G12991" s="196">
        <v>-176200</v>
      </c>
    </row>
    <row r="12992" spans="1:7" x14ac:dyDescent="0.3">
      <c r="A12992" s="198">
        <v>1015079920</v>
      </c>
      <c r="B12992" s="192" t="s">
        <v>6617</v>
      </c>
      <c r="C12992" s="196">
        <v>-176200</v>
      </c>
      <c r="D12992" s="196">
        <v>0</v>
      </c>
      <c r="E12992" s="196">
        <v>0</v>
      </c>
      <c r="F12992" s="196">
        <v>0</v>
      </c>
      <c r="G12992" s="196">
        <v>-176200</v>
      </c>
    </row>
    <row r="12993" spans="1:7" x14ac:dyDescent="0.3">
      <c r="A12993" s="198">
        <v>78753145</v>
      </c>
      <c r="B12993" s="192" t="s">
        <v>6619</v>
      </c>
      <c r="C12993" s="196">
        <v>-528600</v>
      </c>
      <c r="D12993" s="196">
        <v>0</v>
      </c>
      <c r="E12993" s="196">
        <v>0</v>
      </c>
      <c r="F12993" s="196">
        <v>0</v>
      </c>
      <c r="G12993" s="196">
        <v>-528600</v>
      </c>
    </row>
    <row r="12994" spans="1:7" x14ac:dyDescent="0.3">
      <c r="A12994" s="198">
        <v>392250</v>
      </c>
      <c r="B12994" s="192" t="s">
        <v>3998</v>
      </c>
      <c r="C12994" s="196">
        <v>-176200</v>
      </c>
      <c r="D12994" s="196">
        <v>0</v>
      </c>
      <c r="E12994" s="196">
        <v>0</v>
      </c>
      <c r="F12994" s="196">
        <v>0</v>
      </c>
      <c r="G12994" s="196">
        <v>-176200</v>
      </c>
    </row>
    <row r="12995" spans="1:7" x14ac:dyDescent="0.3">
      <c r="A12995" s="198">
        <v>8341639</v>
      </c>
      <c r="B12995" s="192" t="s">
        <v>6621</v>
      </c>
      <c r="C12995" s="196">
        <v>-176200</v>
      </c>
      <c r="D12995" s="196">
        <v>0</v>
      </c>
      <c r="E12995" s="196">
        <v>0</v>
      </c>
      <c r="F12995" s="196">
        <v>0</v>
      </c>
      <c r="G12995" s="196">
        <v>-176200</v>
      </c>
    </row>
    <row r="12996" spans="1:7" x14ac:dyDescent="0.3">
      <c r="A12996" s="198">
        <v>71678963</v>
      </c>
      <c r="B12996" s="192" t="s">
        <v>763</v>
      </c>
      <c r="C12996" s="196">
        <v>0</v>
      </c>
      <c r="D12996" s="196">
        <v>0</v>
      </c>
      <c r="E12996" s="196">
        <v>176200</v>
      </c>
      <c r="F12996" s="196">
        <v>-176200</v>
      </c>
      <c r="G12996" s="196">
        <v>-176200</v>
      </c>
    </row>
    <row r="12997" spans="1:7" x14ac:dyDescent="0.3">
      <c r="A12997" s="198">
        <v>8041256</v>
      </c>
      <c r="B12997" s="192" t="s">
        <v>6629</v>
      </c>
      <c r="C12997" s="196">
        <v>-176200</v>
      </c>
      <c r="D12997" s="196">
        <v>0</v>
      </c>
      <c r="E12997" s="196">
        <v>0</v>
      </c>
      <c r="F12997" s="196">
        <v>0</v>
      </c>
      <c r="G12997" s="196">
        <v>-176200</v>
      </c>
    </row>
    <row r="12998" spans="1:7" x14ac:dyDescent="0.3">
      <c r="A12998" s="198">
        <v>572995231</v>
      </c>
      <c r="B12998" s="192" t="s">
        <v>4028</v>
      </c>
      <c r="C12998" s="196">
        <v>-319600</v>
      </c>
      <c r="D12998" s="196">
        <v>0</v>
      </c>
      <c r="E12998" s="196">
        <v>0</v>
      </c>
      <c r="F12998" s="196">
        <v>0</v>
      </c>
      <c r="G12998" s="196">
        <v>-319600</v>
      </c>
    </row>
    <row r="12999" spans="1:7" x14ac:dyDescent="0.3">
      <c r="A12999" s="198">
        <v>1074187632</v>
      </c>
      <c r="B12999" s="192" t="s">
        <v>771</v>
      </c>
      <c r="C12999" s="196">
        <v>-105400</v>
      </c>
      <c r="D12999" s="196">
        <v>0</v>
      </c>
      <c r="E12999" s="196">
        <v>0</v>
      </c>
      <c r="F12999" s="196">
        <v>0</v>
      </c>
      <c r="G12999" s="196">
        <v>-105400</v>
      </c>
    </row>
    <row r="13000" spans="1:7" x14ac:dyDescent="0.3">
      <c r="A13000" s="198">
        <v>1129904878</v>
      </c>
      <c r="B13000" s="192" t="s">
        <v>6635</v>
      </c>
      <c r="C13000" s="196">
        <v>-237100</v>
      </c>
      <c r="D13000" s="196">
        <v>0</v>
      </c>
      <c r="E13000" s="196">
        <v>0</v>
      </c>
      <c r="F13000" s="196">
        <v>0</v>
      </c>
      <c r="G13000" s="196">
        <v>-237100</v>
      </c>
    </row>
    <row r="13001" spans="1:7" x14ac:dyDescent="0.3">
      <c r="A13001" s="192" t="s">
        <v>6636</v>
      </c>
      <c r="B13001" s="192" t="s">
        <v>6637</v>
      </c>
      <c r="C13001" s="196">
        <v>-105400</v>
      </c>
      <c r="D13001" s="196">
        <v>0</v>
      </c>
      <c r="E13001" s="196">
        <v>0</v>
      </c>
      <c r="F13001" s="196">
        <v>0</v>
      </c>
      <c r="G13001" s="196">
        <v>-105400</v>
      </c>
    </row>
    <row r="13002" spans="1:7" x14ac:dyDescent="0.3">
      <c r="A13002" s="198">
        <v>900279888</v>
      </c>
      <c r="B13002" s="192" t="s">
        <v>6645</v>
      </c>
      <c r="C13002" s="196">
        <v>-176200</v>
      </c>
      <c r="D13002" s="196">
        <v>0</v>
      </c>
      <c r="E13002" s="196">
        <v>0</v>
      </c>
      <c r="F13002" s="196">
        <v>0</v>
      </c>
      <c r="G13002" s="196">
        <v>-176200</v>
      </c>
    </row>
    <row r="13003" spans="1:7" x14ac:dyDescent="0.3">
      <c r="A13003" s="198">
        <v>3524420</v>
      </c>
      <c r="B13003" s="192" t="s">
        <v>795</v>
      </c>
      <c r="C13003" s="196">
        <v>0</v>
      </c>
      <c r="D13003" s="196">
        <v>0</v>
      </c>
      <c r="E13003" s="196">
        <v>176200</v>
      </c>
      <c r="F13003" s="196">
        <v>-176200</v>
      </c>
      <c r="G13003" s="196">
        <v>-176200</v>
      </c>
    </row>
    <row r="13004" spans="1:7" x14ac:dyDescent="0.3">
      <c r="A13004" s="198">
        <v>70901258</v>
      </c>
      <c r="B13004" s="192" t="s">
        <v>4071</v>
      </c>
      <c r="C13004" s="196">
        <v>-176200</v>
      </c>
      <c r="D13004" s="196">
        <v>0</v>
      </c>
      <c r="E13004" s="196">
        <v>0</v>
      </c>
      <c r="F13004" s="196">
        <v>0</v>
      </c>
      <c r="G13004" s="196">
        <v>-176200</v>
      </c>
    </row>
    <row r="13005" spans="1:7" x14ac:dyDescent="0.3">
      <c r="A13005" s="198">
        <v>71374687</v>
      </c>
      <c r="B13005" s="192" t="s">
        <v>6653</v>
      </c>
      <c r="C13005" s="196">
        <v>-159800</v>
      </c>
      <c r="D13005" s="196">
        <v>0</v>
      </c>
      <c r="E13005" s="196">
        <v>0</v>
      </c>
      <c r="F13005" s="196">
        <v>0</v>
      </c>
      <c r="G13005" s="196">
        <v>-159800</v>
      </c>
    </row>
    <row r="13006" spans="1:7" x14ac:dyDescent="0.3">
      <c r="A13006" s="198">
        <v>1128453783</v>
      </c>
      <c r="B13006" s="192" t="s">
        <v>6654</v>
      </c>
      <c r="C13006" s="196">
        <v>-105400</v>
      </c>
      <c r="D13006" s="196">
        <v>0</v>
      </c>
      <c r="E13006" s="196">
        <v>0</v>
      </c>
      <c r="F13006" s="196">
        <v>0</v>
      </c>
      <c r="G13006" s="196">
        <v>-105400</v>
      </c>
    </row>
    <row r="13007" spans="1:7" x14ac:dyDescent="0.3">
      <c r="A13007" s="198">
        <v>7562823</v>
      </c>
      <c r="B13007" s="192" t="s">
        <v>6655</v>
      </c>
      <c r="C13007" s="196">
        <v>-176200</v>
      </c>
      <c r="D13007" s="196">
        <v>0</v>
      </c>
      <c r="E13007" s="196">
        <v>0</v>
      </c>
      <c r="F13007" s="196">
        <v>0</v>
      </c>
      <c r="G13007" s="196">
        <v>-176200</v>
      </c>
    </row>
    <row r="13008" spans="1:7" x14ac:dyDescent="0.3">
      <c r="A13008" s="198">
        <v>11705730</v>
      </c>
      <c r="B13008" s="192" t="s">
        <v>798</v>
      </c>
      <c r="C13008" s="196">
        <v>0</v>
      </c>
      <c r="D13008" s="196">
        <v>0</v>
      </c>
      <c r="E13008" s="196">
        <v>352400</v>
      </c>
      <c r="F13008" s="196">
        <v>-352400</v>
      </c>
      <c r="G13008" s="196">
        <v>-352400</v>
      </c>
    </row>
    <row r="13009" spans="1:7" x14ac:dyDescent="0.3">
      <c r="A13009" s="198">
        <v>71625486</v>
      </c>
      <c r="B13009" s="192" t="s">
        <v>799</v>
      </c>
      <c r="C13009" s="196">
        <v>0</v>
      </c>
      <c r="D13009" s="196">
        <v>0</v>
      </c>
      <c r="E13009" s="196">
        <v>176200</v>
      </c>
      <c r="F13009" s="196">
        <v>-176200</v>
      </c>
      <c r="G13009" s="196">
        <v>-176200</v>
      </c>
    </row>
    <row r="13010" spans="1:7" x14ac:dyDescent="0.3">
      <c r="A13010" s="198">
        <v>15515038</v>
      </c>
      <c r="B13010" s="192" t="s">
        <v>6657</v>
      </c>
      <c r="C13010" s="196">
        <v>-176200</v>
      </c>
      <c r="D13010" s="196">
        <v>0</v>
      </c>
      <c r="E13010" s="196">
        <v>0</v>
      </c>
      <c r="F13010" s="196">
        <v>0</v>
      </c>
      <c r="G13010" s="196">
        <v>-176200</v>
      </c>
    </row>
    <row r="13011" spans="1:7" x14ac:dyDescent="0.3">
      <c r="A13011" s="198">
        <v>98606788</v>
      </c>
      <c r="B13011" s="192" t="s">
        <v>6672</v>
      </c>
      <c r="C13011" s="196">
        <v>-176200</v>
      </c>
      <c r="D13011" s="196">
        <v>0</v>
      </c>
      <c r="E13011" s="196">
        <v>0</v>
      </c>
      <c r="F13011" s="196">
        <v>0</v>
      </c>
      <c r="G13011" s="196">
        <v>-176200</v>
      </c>
    </row>
    <row r="13012" spans="1:7" x14ac:dyDescent="0.3">
      <c r="A13012" s="198">
        <v>70927822</v>
      </c>
      <c r="B13012" s="192" t="s">
        <v>6674</v>
      </c>
      <c r="C13012" s="196">
        <v>-176200</v>
      </c>
      <c r="D13012" s="196">
        <v>0</v>
      </c>
      <c r="E13012" s="196">
        <v>0</v>
      </c>
      <c r="F13012" s="196">
        <v>0</v>
      </c>
      <c r="G13012" s="196">
        <v>-176200</v>
      </c>
    </row>
    <row r="13013" spans="1:7" x14ac:dyDescent="0.3">
      <c r="A13013" s="198">
        <v>45764892</v>
      </c>
      <c r="B13013" s="192" t="s">
        <v>815</v>
      </c>
      <c r="C13013" s="196">
        <v>-1</v>
      </c>
      <c r="D13013" s="196">
        <v>0</v>
      </c>
      <c r="E13013" s="196">
        <v>0</v>
      </c>
      <c r="F13013" s="196">
        <v>0</v>
      </c>
      <c r="G13013" s="196">
        <v>-1</v>
      </c>
    </row>
    <row r="13014" spans="1:7" x14ac:dyDescent="0.3">
      <c r="A13014" s="198">
        <v>71527531</v>
      </c>
      <c r="B13014" s="192" t="s">
        <v>124</v>
      </c>
      <c r="C13014" s="196">
        <v>-31431004</v>
      </c>
      <c r="D13014" s="196">
        <v>237099</v>
      </c>
      <c r="E13014" s="196">
        <v>8225700</v>
      </c>
      <c r="F13014" s="196">
        <v>-7988601</v>
      </c>
      <c r="G13014" s="196">
        <v>-39419605</v>
      </c>
    </row>
    <row r="13015" spans="1:7" x14ac:dyDescent="0.3">
      <c r="A13015" s="198">
        <v>1010076257</v>
      </c>
      <c r="B13015" s="192" t="s">
        <v>816</v>
      </c>
      <c r="C13015" s="196">
        <v>0</v>
      </c>
      <c r="D13015" s="196">
        <v>0</v>
      </c>
      <c r="E13015" s="196">
        <v>176200</v>
      </c>
      <c r="F13015" s="196">
        <v>-176200</v>
      </c>
      <c r="G13015" s="196">
        <v>-176200</v>
      </c>
    </row>
    <row r="13016" spans="1:7" x14ac:dyDescent="0.3">
      <c r="A13016" s="198">
        <v>70557708</v>
      </c>
      <c r="B13016" s="192" t="s">
        <v>818</v>
      </c>
      <c r="C13016" s="196">
        <v>0</v>
      </c>
      <c r="D13016" s="196">
        <v>0</v>
      </c>
      <c r="E13016" s="196">
        <v>176200</v>
      </c>
      <c r="F13016" s="196">
        <v>-176200</v>
      </c>
      <c r="G13016" s="196">
        <v>-176200</v>
      </c>
    </row>
    <row r="13017" spans="1:7" x14ac:dyDescent="0.3">
      <c r="A13017" s="198">
        <v>70003018</v>
      </c>
      <c r="B13017" s="192" t="s">
        <v>4161</v>
      </c>
      <c r="C13017" s="196">
        <v>-176200</v>
      </c>
      <c r="D13017" s="196">
        <v>0</v>
      </c>
      <c r="E13017" s="196">
        <v>0</v>
      </c>
      <c r="F13017" s="196">
        <v>0</v>
      </c>
      <c r="G13017" s="196">
        <v>-176200</v>
      </c>
    </row>
    <row r="13018" spans="1:7" x14ac:dyDescent="0.3">
      <c r="A13018" s="198">
        <v>1062398663</v>
      </c>
      <c r="B13018" s="192" t="s">
        <v>6683</v>
      </c>
      <c r="C13018" s="196">
        <v>-105400</v>
      </c>
      <c r="D13018" s="196">
        <v>0</v>
      </c>
      <c r="E13018" s="196">
        <v>0</v>
      </c>
      <c r="F13018" s="196">
        <v>0</v>
      </c>
      <c r="G13018" s="196">
        <v>-105400</v>
      </c>
    </row>
    <row r="13019" spans="1:7" x14ac:dyDescent="0.3">
      <c r="A13019" s="198">
        <v>98555313</v>
      </c>
      <c r="B13019" s="192" t="s">
        <v>6692</v>
      </c>
      <c r="C13019" s="196">
        <v>-176200</v>
      </c>
      <c r="D13019" s="196">
        <v>0</v>
      </c>
      <c r="E13019" s="196">
        <v>0</v>
      </c>
      <c r="F13019" s="196">
        <v>0</v>
      </c>
      <c r="G13019" s="196">
        <v>-176200</v>
      </c>
    </row>
    <row r="13020" spans="1:7" x14ac:dyDescent="0.3">
      <c r="A13020" s="198">
        <v>14972000</v>
      </c>
      <c r="B13020" s="192" t="s">
        <v>6693</v>
      </c>
      <c r="C13020" s="196">
        <v>-237100</v>
      </c>
      <c r="D13020" s="196">
        <v>0</v>
      </c>
      <c r="E13020" s="196">
        <v>0</v>
      </c>
      <c r="F13020" s="196">
        <v>0</v>
      </c>
      <c r="G13020" s="196">
        <v>-237100</v>
      </c>
    </row>
    <row r="13021" spans="1:7" x14ac:dyDescent="0.3">
      <c r="A13021" s="198">
        <v>15525482</v>
      </c>
      <c r="B13021" s="192" t="s">
        <v>6694</v>
      </c>
      <c r="C13021" s="196">
        <v>-176200</v>
      </c>
      <c r="D13021" s="196">
        <v>0</v>
      </c>
      <c r="E13021" s="196">
        <v>0</v>
      </c>
      <c r="F13021" s="196">
        <v>0</v>
      </c>
      <c r="G13021" s="196">
        <v>-176200</v>
      </c>
    </row>
    <row r="13022" spans="1:7" x14ac:dyDescent="0.3">
      <c r="A13022" s="198">
        <v>98476086</v>
      </c>
      <c r="B13022" s="192" t="s">
        <v>845</v>
      </c>
      <c r="C13022" s="196">
        <v>-237100</v>
      </c>
      <c r="D13022" s="196">
        <v>0</v>
      </c>
      <c r="E13022" s="196">
        <v>0</v>
      </c>
      <c r="F13022" s="196">
        <v>0</v>
      </c>
      <c r="G13022" s="196">
        <v>-237100</v>
      </c>
    </row>
    <row r="13023" spans="1:7" x14ac:dyDescent="0.3">
      <c r="A13023" s="198">
        <v>3672654</v>
      </c>
      <c r="B13023" s="192" t="s">
        <v>4209</v>
      </c>
      <c r="C13023" s="196">
        <v>-176200</v>
      </c>
      <c r="D13023" s="196">
        <v>0</v>
      </c>
      <c r="E13023" s="196">
        <v>0</v>
      </c>
      <c r="F13023" s="196">
        <v>0</v>
      </c>
      <c r="G13023" s="196">
        <v>-176200</v>
      </c>
    </row>
    <row r="13024" spans="1:7" x14ac:dyDescent="0.3">
      <c r="A13024" s="198">
        <v>1017256508</v>
      </c>
      <c r="B13024" s="192" t="s">
        <v>7436</v>
      </c>
      <c r="C13024" s="196">
        <v>-48000</v>
      </c>
      <c r="D13024" s="196">
        <v>0</v>
      </c>
      <c r="E13024" s="196">
        <v>0</v>
      </c>
      <c r="F13024" s="196">
        <v>0</v>
      </c>
      <c r="G13024" s="196">
        <v>-48000</v>
      </c>
    </row>
    <row r="13025" spans="1:7" x14ac:dyDescent="0.3">
      <c r="A13025" s="198">
        <v>98519140</v>
      </c>
      <c r="B13025" s="192" t="s">
        <v>6696</v>
      </c>
      <c r="C13025" s="196">
        <v>-176200</v>
      </c>
      <c r="D13025" s="196">
        <v>0</v>
      </c>
      <c r="E13025" s="196">
        <v>0</v>
      </c>
      <c r="F13025" s="196">
        <v>0</v>
      </c>
      <c r="G13025" s="196">
        <v>-176200</v>
      </c>
    </row>
    <row r="13026" spans="1:7" x14ac:dyDescent="0.3">
      <c r="A13026" s="198">
        <v>23247290</v>
      </c>
      <c r="B13026" s="192" t="s">
        <v>4229</v>
      </c>
      <c r="C13026" s="196">
        <v>-176200</v>
      </c>
      <c r="D13026" s="196">
        <v>0</v>
      </c>
      <c r="E13026" s="196">
        <v>0</v>
      </c>
      <c r="F13026" s="196">
        <v>0</v>
      </c>
      <c r="G13026" s="196">
        <v>-176200</v>
      </c>
    </row>
    <row r="13027" spans="1:7" x14ac:dyDescent="0.3">
      <c r="A13027" s="198">
        <v>8430478</v>
      </c>
      <c r="B13027" s="192" t="s">
        <v>847</v>
      </c>
      <c r="C13027" s="196">
        <v>-176200</v>
      </c>
      <c r="D13027" s="196">
        <v>0</v>
      </c>
      <c r="E13027" s="196">
        <v>0</v>
      </c>
      <c r="F13027" s="196">
        <v>0</v>
      </c>
      <c r="G13027" s="196">
        <v>-176200</v>
      </c>
    </row>
    <row r="13028" spans="1:7" x14ac:dyDescent="0.3">
      <c r="A13028" s="198">
        <v>7806748</v>
      </c>
      <c r="B13028" s="192" t="s">
        <v>4242</v>
      </c>
      <c r="C13028" s="196">
        <v>-176200</v>
      </c>
      <c r="D13028" s="196">
        <v>0</v>
      </c>
      <c r="E13028" s="196">
        <v>0</v>
      </c>
      <c r="F13028" s="196">
        <v>0</v>
      </c>
      <c r="G13028" s="196">
        <v>-176200</v>
      </c>
    </row>
    <row r="13029" spans="1:7" x14ac:dyDescent="0.3">
      <c r="A13029" s="198">
        <v>1128264965</v>
      </c>
      <c r="B13029" s="192" t="s">
        <v>125</v>
      </c>
      <c r="C13029" s="196">
        <v>-1585800</v>
      </c>
      <c r="D13029" s="196">
        <v>0</v>
      </c>
      <c r="E13029" s="196">
        <v>528600</v>
      </c>
      <c r="F13029" s="196">
        <v>-528600</v>
      </c>
      <c r="G13029" s="196">
        <v>-2114400</v>
      </c>
    </row>
    <row r="13030" spans="1:7" x14ac:dyDescent="0.3">
      <c r="A13030" s="198">
        <v>71581098</v>
      </c>
      <c r="B13030" s="192" t="s">
        <v>855</v>
      </c>
      <c r="C13030" s="196">
        <v>0</v>
      </c>
      <c r="D13030" s="196">
        <v>0</v>
      </c>
      <c r="E13030" s="196">
        <v>176200</v>
      </c>
      <c r="F13030" s="196">
        <v>-176200</v>
      </c>
      <c r="G13030" s="196">
        <v>-176200</v>
      </c>
    </row>
    <row r="13031" spans="1:7" x14ac:dyDescent="0.3">
      <c r="A13031" s="198">
        <v>1001216949</v>
      </c>
      <c r="B13031" s="192" t="s">
        <v>6706</v>
      </c>
      <c r="C13031" s="196">
        <v>-105400</v>
      </c>
      <c r="D13031" s="196">
        <v>0</v>
      </c>
      <c r="E13031" s="196">
        <v>0</v>
      </c>
      <c r="F13031" s="196">
        <v>0</v>
      </c>
      <c r="G13031" s="196">
        <v>-105400</v>
      </c>
    </row>
    <row r="13032" spans="1:7" x14ac:dyDescent="0.3">
      <c r="A13032" s="198">
        <v>1035911057</v>
      </c>
      <c r="B13032" s="192" t="s">
        <v>869</v>
      </c>
      <c r="C13032" s="196">
        <v>-176200</v>
      </c>
      <c r="D13032" s="196">
        <v>0</v>
      </c>
      <c r="E13032" s="196">
        <v>0</v>
      </c>
      <c r="F13032" s="196">
        <v>0</v>
      </c>
      <c r="G13032" s="196">
        <v>-176200</v>
      </c>
    </row>
    <row r="13033" spans="1:7" x14ac:dyDescent="0.3">
      <c r="A13033" s="198">
        <v>1029720332</v>
      </c>
      <c r="B13033" s="192" t="s">
        <v>6707</v>
      </c>
      <c r="C13033" s="196">
        <v>-105400</v>
      </c>
      <c r="D13033" s="196">
        <v>0</v>
      </c>
      <c r="E13033" s="196">
        <v>0</v>
      </c>
      <c r="F13033" s="196">
        <v>0</v>
      </c>
      <c r="G13033" s="196">
        <v>-105400</v>
      </c>
    </row>
    <row r="13034" spans="1:7" x14ac:dyDescent="0.3">
      <c r="A13034" s="198">
        <v>71774003</v>
      </c>
      <c r="B13034" s="192" t="s">
        <v>6711</v>
      </c>
      <c r="C13034" s="196">
        <v>-105400</v>
      </c>
      <c r="D13034" s="196">
        <v>0</v>
      </c>
      <c r="E13034" s="196">
        <v>0</v>
      </c>
      <c r="F13034" s="196">
        <v>0</v>
      </c>
      <c r="G13034" s="196">
        <v>-105400</v>
      </c>
    </row>
    <row r="13035" spans="1:7" x14ac:dyDescent="0.3">
      <c r="A13035" s="198">
        <v>71657364</v>
      </c>
      <c r="B13035" s="192" t="s">
        <v>6713</v>
      </c>
      <c r="C13035" s="196">
        <v>-176200</v>
      </c>
      <c r="D13035" s="196">
        <v>0</v>
      </c>
      <c r="E13035" s="196">
        <v>0</v>
      </c>
      <c r="F13035" s="196">
        <v>0</v>
      </c>
      <c r="G13035" s="196">
        <v>-176200</v>
      </c>
    </row>
    <row r="13036" spans="1:7" x14ac:dyDescent="0.3">
      <c r="A13036" s="198">
        <v>3606720</v>
      </c>
      <c r="B13036" s="192" t="s">
        <v>6714</v>
      </c>
      <c r="C13036" s="196">
        <v>-352400</v>
      </c>
      <c r="D13036" s="196">
        <v>0</v>
      </c>
      <c r="E13036" s="196">
        <v>0</v>
      </c>
      <c r="F13036" s="196">
        <v>0</v>
      </c>
      <c r="G13036" s="196">
        <v>-352400</v>
      </c>
    </row>
    <row r="13037" spans="1:7" x14ac:dyDescent="0.3">
      <c r="A13037" s="198">
        <v>71645344</v>
      </c>
      <c r="B13037" s="192" t="s">
        <v>4304</v>
      </c>
      <c r="C13037" s="196">
        <v>-176200</v>
      </c>
      <c r="D13037" s="196">
        <v>0</v>
      </c>
      <c r="E13037" s="196">
        <v>0</v>
      </c>
      <c r="F13037" s="196">
        <v>0</v>
      </c>
      <c r="G13037" s="196">
        <v>-176200</v>
      </c>
    </row>
    <row r="13038" spans="1:7" x14ac:dyDescent="0.3">
      <c r="A13038" s="198">
        <v>1017926973</v>
      </c>
      <c r="B13038" s="192" t="s">
        <v>895</v>
      </c>
      <c r="C13038" s="196">
        <v>0</v>
      </c>
      <c r="D13038" s="196">
        <v>0</v>
      </c>
      <c r="E13038" s="196">
        <v>105400</v>
      </c>
      <c r="F13038" s="196">
        <v>-105400</v>
      </c>
      <c r="G13038" s="196">
        <v>-105400</v>
      </c>
    </row>
    <row r="13039" spans="1:7" x14ac:dyDescent="0.3">
      <c r="A13039" s="198">
        <v>1050718887</v>
      </c>
      <c r="B13039" s="192" t="s">
        <v>898</v>
      </c>
      <c r="C13039" s="196">
        <v>0</v>
      </c>
      <c r="D13039" s="196">
        <v>0</v>
      </c>
      <c r="E13039" s="196">
        <v>105400</v>
      </c>
      <c r="F13039" s="196">
        <v>-105400</v>
      </c>
      <c r="G13039" s="196">
        <v>-105400</v>
      </c>
    </row>
    <row r="13040" spans="1:7" x14ac:dyDescent="0.3">
      <c r="A13040" s="198">
        <v>1018238004</v>
      </c>
      <c r="B13040" s="192" t="s">
        <v>6723</v>
      </c>
      <c r="C13040" s="196">
        <v>-105400</v>
      </c>
      <c r="D13040" s="196">
        <v>0</v>
      </c>
      <c r="E13040" s="196">
        <v>0</v>
      </c>
      <c r="F13040" s="196">
        <v>0</v>
      </c>
      <c r="G13040" s="196">
        <v>-105400</v>
      </c>
    </row>
    <row r="13041" spans="1:7" x14ac:dyDescent="0.3">
      <c r="A13041" s="198">
        <v>1020305203</v>
      </c>
      <c r="B13041" s="192" t="s">
        <v>916</v>
      </c>
      <c r="C13041" s="196">
        <v>-238350</v>
      </c>
      <c r="D13041" s="196">
        <v>0</v>
      </c>
      <c r="E13041" s="196">
        <v>0</v>
      </c>
      <c r="F13041" s="196">
        <v>0</v>
      </c>
      <c r="G13041" s="196">
        <v>-238350</v>
      </c>
    </row>
    <row r="13042" spans="1:7" x14ac:dyDescent="0.3">
      <c r="A13042" s="198">
        <v>10099270</v>
      </c>
      <c r="B13042" s="192" t="s">
        <v>4395</v>
      </c>
      <c r="C13042" s="196">
        <v>-176200</v>
      </c>
      <c r="D13042" s="196">
        <v>0</v>
      </c>
      <c r="E13042" s="196">
        <v>0</v>
      </c>
      <c r="F13042" s="196">
        <v>0</v>
      </c>
      <c r="G13042" s="196">
        <v>-176200</v>
      </c>
    </row>
    <row r="13043" spans="1:7" x14ac:dyDescent="0.3">
      <c r="A13043" s="198">
        <v>1090387904</v>
      </c>
      <c r="B13043" s="192" t="s">
        <v>4396</v>
      </c>
      <c r="C13043" s="196">
        <v>-176200</v>
      </c>
      <c r="D13043" s="196">
        <v>0</v>
      </c>
      <c r="E13043" s="196">
        <v>0</v>
      </c>
      <c r="F13043" s="196">
        <v>0</v>
      </c>
      <c r="G13043" s="196">
        <v>-176200</v>
      </c>
    </row>
    <row r="13044" spans="1:7" x14ac:dyDescent="0.3">
      <c r="A13044" s="198">
        <v>43877078</v>
      </c>
      <c r="B13044" s="192" t="s">
        <v>926</v>
      </c>
      <c r="C13044" s="196">
        <v>0</v>
      </c>
      <c r="D13044" s="196">
        <v>0</v>
      </c>
      <c r="E13044" s="196">
        <v>176200</v>
      </c>
      <c r="F13044" s="196">
        <v>-176200</v>
      </c>
      <c r="G13044" s="196">
        <v>-176200</v>
      </c>
    </row>
    <row r="13045" spans="1:7" x14ac:dyDescent="0.3">
      <c r="A13045" s="198">
        <v>1018255824</v>
      </c>
      <c r="B13045" s="192" t="s">
        <v>928</v>
      </c>
      <c r="C13045" s="196">
        <v>-237101</v>
      </c>
      <c r="D13045" s="196">
        <v>0</v>
      </c>
      <c r="E13045" s="196">
        <v>0</v>
      </c>
      <c r="F13045" s="196">
        <v>0</v>
      </c>
      <c r="G13045" s="196">
        <v>-237101</v>
      </c>
    </row>
    <row r="13046" spans="1:7" x14ac:dyDescent="0.3">
      <c r="A13046" s="192" t="s">
        <v>4440</v>
      </c>
      <c r="B13046" s="192" t="s">
        <v>4441</v>
      </c>
      <c r="C13046" s="196">
        <v>-176200</v>
      </c>
      <c r="D13046" s="196">
        <v>0</v>
      </c>
      <c r="E13046" s="196">
        <v>0</v>
      </c>
      <c r="F13046" s="196">
        <v>0</v>
      </c>
      <c r="G13046" s="196">
        <v>-176200</v>
      </c>
    </row>
    <row r="13047" spans="1:7" x14ac:dyDescent="0.3">
      <c r="A13047" s="198">
        <v>1030536052</v>
      </c>
      <c r="B13047" s="192" t="s">
        <v>6748</v>
      </c>
      <c r="C13047" s="196">
        <v>-176200</v>
      </c>
      <c r="D13047" s="196">
        <v>0</v>
      </c>
      <c r="E13047" s="196">
        <v>0</v>
      </c>
      <c r="F13047" s="196">
        <v>0</v>
      </c>
      <c r="G13047" s="196">
        <v>-176200</v>
      </c>
    </row>
    <row r="13048" spans="1:7" x14ac:dyDescent="0.3">
      <c r="A13048" s="198">
        <v>1144102470</v>
      </c>
      <c r="B13048" s="192" t="s">
        <v>4447</v>
      </c>
      <c r="C13048" s="196">
        <v>-176200</v>
      </c>
      <c r="D13048" s="196">
        <v>0</v>
      </c>
      <c r="E13048" s="196">
        <v>0</v>
      </c>
      <c r="F13048" s="196">
        <v>0</v>
      </c>
      <c r="G13048" s="196">
        <v>-176200</v>
      </c>
    </row>
    <row r="13049" spans="1:7" x14ac:dyDescent="0.3">
      <c r="A13049" s="192" t="s">
        <v>6770</v>
      </c>
      <c r="B13049" s="192" t="s">
        <v>6771</v>
      </c>
      <c r="C13049" s="196">
        <v>-176200</v>
      </c>
      <c r="D13049" s="196">
        <v>0</v>
      </c>
      <c r="E13049" s="196">
        <v>0</v>
      </c>
      <c r="F13049" s="196">
        <v>0</v>
      </c>
      <c r="G13049" s="196">
        <v>-176200</v>
      </c>
    </row>
    <row r="13050" spans="1:7" x14ac:dyDescent="0.3">
      <c r="A13050" s="198">
        <v>1035970625</v>
      </c>
      <c r="B13050" s="192" t="s">
        <v>4491</v>
      </c>
      <c r="C13050" s="196">
        <v>-105400</v>
      </c>
      <c r="D13050" s="196">
        <v>0</v>
      </c>
      <c r="E13050" s="196">
        <v>0</v>
      </c>
      <c r="F13050" s="196">
        <v>0</v>
      </c>
      <c r="G13050" s="196">
        <v>-105400</v>
      </c>
    </row>
    <row r="13051" spans="1:7" x14ac:dyDescent="0.3">
      <c r="A13051" s="198">
        <v>1040180863</v>
      </c>
      <c r="B13051" s="192" t="s">
        <v>6775</v>
      </c>
      <c r="C13051" s="196">
        <v>-176200</v>
      </c>
      <c r="D13051" s="196">
        <v>0</v>
      </c>
      <c r="E13051" s="196">
        <v>0</v>
      </c>
      <c r="F13051" s="196">
        <v>0</v>
      </c>
      <c r="G13051" s="196">
        <v>-176200</v>
      </c>
    </row>
    <row r="13052" spans="1:7" x14ac:dyDescent="0.3">
      <c r="A13052" s="198">
        <v>1017142884</v>
      </c>
      <c r="B13052" s="192" t="s">
        <v>128</v>
      </c>
      <c r="C13052" s="196">
        <v>-105400</v>
      </c>
      <c r="D13052" s="196">
        <v>0</v>
      </c>
      <c r="E13052" s="196">
        <v>0</v>
      </c>
      <c r="F13052" s="196">
        <v>0</v>
      </c>
      <c r="G13052" s="196">
        <v>-105400</v>
      </c>
    </row>
    <row r="13053" spans="1:7" x14ac:dyDescent="0.3">
      <c r="A13053" s="198">
        <v>1044505380</v>
      </c>
      <c r="B13053" s="192" t="s">
        <v>6789</v>
      </c>
      <c r="C13053" s="196">
        <v>-105400</v>
      </c>
      <c r="D13053" s="196">
        <v>0</v>
      </c>
      <c r="E13053" s="196">
        <v>0</v>
      </c>
      <c r="F13053" s="196">
        <v>0</v>
      </c>
      <c r="G13053" s="196">
        <v>-105400</v>
      </c>
    </row>
    <row r="13054" spans="1:7" x14ac:dyDescent="0.3">
      <c r="A13054" s="198">
        <v>1128445015</v>
      </c>
      <c r="B13054" s="192" t="s">
        <v>970</v>
      </c>
      <c r="C13054" s="196">
        <v>-176200</v>
      </c>
      <c r="D13054" s="196">
        <v>0</v>
      </c>
      <c r="E13054" s="196">
        <v>0</v>
      </c>
      <c r="F13054" s="196">
        <v>0</v>
      </c>
      <c r="G13054" s="196">
        <v>-176200</v>
      </c>
    </row>
    <row r="13055" spans="1:7" x14ac:dyDescent="0.3">
      <c r="A13055" s="198">
        <v>1020436720</v>
      </c>
      <c r="B13055" s="192" t="s">
        <v>6794</v>
      </c>
      <c r="C13055" s="196">
        <v>-176200</v>
      </c>
      <c r="D13055" s="196">
        <v>0</v>
      </c>
      <c r="E13055" s="196">
        <v>0</v>
      </c>
      <c r="F13055" s="196">
        <v>0</v>
      </c>
      <c r="G13055" s="196">
        <v>-176200</v>
      </c>
    </row>
    <row r="13056" spans="1:7" x14ac:dyDescent="0.3">
      <c r="A13056" s="198">
        <v>1010155067</v>
      </c>
      <c r="B13056" s="192" t="s">
        <v>6796</v>
      </c>
      <c r="C13056" s="196">
        <v>-105400</v>
      </c>
      <c r="D13056" s="196">
        <v>0</v>
      </c>
      <c r="E13056" s="196">
        <v>0</v>
      </c>
      <c r="F13056" s="196">
        <v>0</v>
      </c>
      <c r="G13056" s="196">
        <v>-105400</v>
      </c>
    </row>
    <row r="13057" spans="1:7" x14ac:dyDescent="0.3">
      <c r="A13057" s="198">
        <v>43712747</v>
      </c>
      <c r="B13057" s="192" t="s">
        <v>4577</v>
      </c>
      <c r="C13057" s="196">
        <v>-176200</v>
      </c>
      <c r="D13057" s="196">
        <v>0</v>
      </c>
      <c r="E13057" s="196">
        <v>0</v>
      </c>
      <c r="F13057" s="196">
        <v>0</v>
      </c>
      <c r="G13057" s="196">
        <v>-176200</v>
      </c>
    </row>
    <row r="13058" spans="1:7" x14ac:dyDescent="0.3">
      <c r="A13058" s="198">
        <v>32220167</v>
      </c>
      <c r="B13058" s="192" t="s">
        <v>6800</v>
      </c>
      <c r="C13058" s="196">
        <v>-176200</v>
      </c>
      <c r="D13058" s="196">
        <v>0</v>
      </c>
      <c r="E13058" s="196">
        <v>0</v>
      </c>
      <c r="F13058" s="196">
        <v>0</v>
      </c>
      <c r="G13058" s="196">
        <v>-176200</v>
      </c>
    </row>
    <row r="13059" spans="1:7" x14ac:dyDescent="0.3">
      <c r="A13059" s="198">
        <v>24498634</v>
      </c>
      <c r="B13059" s="192" t="s">
        <v>6802</v>
      </c>
      <c r="C13059" s="196">
        <v>-176200</v>
      </c>
      <c r="D13059" s="196">
        <v>0</v>
      </c>
      <c r="E13059" s="196">
        <v>0</v>
      </c>
      <c r="F13059" s="196">
        <v>0</v>
      </c>
      <c r="G13059" s="196">
        <v>-176200</v>
      </c>
    </row>
    <row r="13060" spans="1:7" x14ac:dyDescent="0.3">
      <c r="A13060" s="198">
        <v>43805781</v>
      </c>
      <c r="B13060" s="192" t="s">
        <v>6804</v>
      </c>
      <c r="C13060" s="196">
        <v>-176200</v>
      </c>
      <c r="D13060" s="196">
        <v>0</v>
      </c>
      <c r="E13060" s="196">
        <v>0</v>
      </c>
      <c r="F13060" s="196">
        <v>0</v>
      </c>
      <c r="G13060" s="196">
        <v>-176200</v>
      </c>
    </row>
    <row r="13061" spans="1:7" x14ac:dyDescent="0.3">
      <c r="A13061" s="198">
        <v>43554279</v>
      </c>
      <c r="B13061" s="192" t="s">
        <v>6813</v>
      </c>
      <c r="C13061" s="196">
        <v>-159800</v>
      </c>
      <c r="D13061" s="196">
        <v>0</v>
      </c>
      <c r="E13061" s="196">
        <v>0</v>
      </c>
      <c r="F13061" s="196">
        <v>0</v>
      </c>
      <c r="G13061" s="196">
        <v>-159800</v>
      </c>
    </row>
    <row r="13062" spans="1:7" x14ac:dyDescent="0.3">
      <c r="A13062" s="198">
        <v>123162033</v>
      </c>
      <c r="B13062" s="192" t="s">
        <v>4617</v>
      </c>
      <c r="C13062" s="196">
        <v>-159800</v>
      </c>
      <c r="D13062" s="196">
        <v>0</v>
      </c>
      <c r="E13062" s="196">
        <v>0</v>
      </c>
      <c r="F13062" s="196">
        <v>0</v>
      </c>
      <c r="G13062" s="196">
        <v>-159800</v>
      </c>
    </row>
    <row r="13063" spans="1:7" x14ac:dyDescent="0.3">
      <c r="A13063" s="198">
        <v>26047226</v>
      </c>
      <c r="B13063" s="192" t="s">
        <v>6821</v>
      </c>
      <c r="C13063" s="196">
        <v>-319600</v>
      </c>
      <c r="D13063" s="196">
        <v>0</v>
      </c>
      <c r="E13063" s="196">
        <v>0</v>
      </c>
      <c r="F13063" s="196">
        <v>0</v>
      </c>
      <c r="G13063" s="196">
        <v>-319600</v>
      </c>
    </row>
    <row r="13064" spans="1:7" x14ac:dyDescent="0.3">
      <c r="A13064" s="198">
        <v>3595906</v>
      </c>
      <c r="B13064" s="192" t="s">
        <v>6822</v>
      </c>
      <c r="C13064" s="196">
        <v>-176200</v>
      </c>
      <c r="D13064" s="196">
        <v>0</v>
      </c>
      <c r="E13064" s="196">
        <v>0</v>
      </c>
      <c r="F13064" s="196">
        <v>0</v>
      </c>
      <c r="G13064" s="196">
        <v>-176200</v>
      </c>
    </row>
    <row r="13065" spans="1:7" x14ac:dyDescent="0.3">
      <c r="A13065" s="198">
        <v>71605520</v>
      </c>
      <c r="B13065" s="192" t="s">
        <v>4703</v>
      </c>
      <c r="C13065" s="196">
        <v>-176200</v>
      </c>
      <c r="D13065" s="196">
        <v>0</v>
      </c>
      <c r="E13065" s="196">
        <v>0</v>
      </c>
      <c r="F13065" s="196">
        <v>0</v>
      </c>
      <c r="G13065" s="196">
        <v>-176200</v>
      </c>
    </row>
    <row r="13066" spans="1:7" x14ac:dyDescent="0.3">
      <c r="A13066" s="198">
        <v>71022628</v>
      </c>
      <c r="B13066" s="192" t="s">
        <v>6823</v>
      </c>
      <c r="C13066" s="196">
        <v>-176200</v>
      </c>
      <c r="D13066" s="196">
        <v>0</v>
      </c>
      <c r="E13066" s="196">
        <v>0</v>
      </c>
      <c r="F13066" s="196">
        <v>0</v>
      </c>
      <c r="G13066" s="196">
        <v>-176200</v>
      </c>
    </row>
    <row r="13067" spans="1:7" x14ac:dyDescent="0.3">
      <c r="A13067" s="198">
        <v>98551899</v>
      </c>
      <c r="B13067" s="192" t="s">
        <v>4716</v>
      </c>
      <c r="C13067" s="196">
        <v>-176200</v>
      </c>
      <c r="D13067" s="196">
        <v>0</v>
      </c>
      <c r="E13067" s="196">
        <v>0</v>
      </c>
      <c r="F13067" s="196">
        <v>0</v>
      </c>
      <c r="G13067" s="196">
        <v>-176200</v>
      </c>
    </row>
    <row r="13068" spans="1:7" x14ac:dyDescent="0.3">
      <c r="A13068" s="198">
        <v>1037828242</v>
      </c>
      <c r="B13068" s="192" t="s">
        <v>1025</v>
      </c>
      <c r="C13068" s="196">
        <v>-105400</v>
      </c>
      <c r="D13068" s="196">
        <v>0</v>
      </c>
      <c r="E13068" s="196">
        <v>0</v>
      </c>
      <c r="F13068" s="196">
        <v>0</v>
      </c>
      <c r="G13068" s="196">
        <v>-105400</v>
      </c>
    </row>
    <row r="13069" spans="1:7" x14ac:dyDescent="0.3">
      <c r="A13069" s="198">
        <v>71606202</v>
      </c>
      <c r="B13069" s="192" t="s">
        <v>6826</v>
      </c>
      <c r="C13069" s="196">
        <v>-176200</v>
      </c>
      <c r="D13069" s="196">
        <v>0</v>
      </c>
      <c r="E13069" s="196">
        <v>0</v>
      </c>
      <c r="F13069" s="196">
        <v>0</v>
      </c>
      <c r="G13069" s="196">
        <v>-176200</v>
      </c>
    </row>
    <row r="13070" spans="1:7" x14ac:dyDescent="0.3">
      <c r="A13070" s="198">
        <v>98546376</v>
      </c>
      <c r="B13070" s="192" t="s">
        <v>4724</v>
      </c>
      <c r="C13070" s="196">
        <v>-176200</v>
      </c>
      <c r="D13070" s="196">
        <v>0</v>
      </c>
      <c r="E13070" s="196">
        <v>0</v>
      </c>
      <c r="F13070" s="196">
        <v>0</v>
      </c>
      <c r="G13070" s="196">
        <v>-176200</v>
      </c>
    </row>
    <row r="13071" spans="1:7" x14ac:dyDescent="0.3">
      <c r="A13071" s="198">
        <v>71875229</v>
      </c>
      <c r="B13071" s="192" t="s">
        <v>6827</v>
      </c>
      <c r="C13071" s="196">
        <v>-176200</v>
      </c>
      <c r="D13071" s="196">
        <v>0</v>
      </c>
      <c r="E13071" s="196">
        <v>0</v>
      </c>
      <c r="F13071" s="196">
        <v>0</v>
      </c>
      <c r="G13071" s="196">
        <v>-176200</v>
      </c>
    </row>
    <row r="13072" spans="1:7" x14ac:dyDescent="0.3">
      <c r="A13072" s="198">
        <v>900784595</v>
      </c>
      <c r="B13072" s="192" t="s">
        <v>1030</v>
      </c>
      <c r="C13072" s="196">
        <v>-176200</v>
      </c>
      <c r="D13072" s="196">
        <v>0</v>
      </c>
      <c r="E13072" s="196">
        <v>0</v>
      </c>
      <c r="F13072" s="196">
        <v>0</v>
      </c>
      <c r="G13072" s="196">
        <v>-176200</v>
      </c>
    </row>
    <row r="13073" spans="1:7" x14ac:dyDescent="0.3">
      <c r="A13073" s="198">
        <v>22668601</v>
      </c>
      <c r="B13073" s="192" t="s">
        <v>6829</v>
      </c>
      <c r="C13073" s="196">
        <v>-176200</v>
      </c>
      <c r="D13073" s="196">
        <v>0</v>
      </c>
      <c r="E13073" s="196">
        <v>0</v>
      </c>
      <c r="F13073" s="196">
        <v>0</v>
      </c>
      <c r="G13073" s="196">
        <v>-176200</v>
      </c>
    </row>
    <row r="13074" spans="1:7" x14ac:dyDescent="0.3">
      <c r="A13074" s="198">
        <v>1061698686</v>
      </c>
      <c r="B13074" s="192" t="s">
        <v>1038</v>
      </c>
      <c r="C13074" s="196">
        <v>0</v>
      </c>
      <c r="D13074" s="196">
        <v>0</v>
      </c>
      <c r="E13074" s="196">
        <v>237100</v>
      </c>
      <c r="F13074" s="196">
        <v>-237100</v>
      </c>
      <c r="G13074" s="196">
        <v>-237100</v>
      </c>
    </row>
    <row r="13075" spans="1:7" x14ac:dyDescent="0.3">
      <c r="A13075" s="198">
        <v>22056652</v>
      </c>
      <c r="B13075" s="192" t="s">
        <v>4774</v>
      </c>
      <c r="C13075" s="196">
        <v>-159800</v>
      </c>
      <c r="D13075" s="196">
        <v>0</v>
      </c>
      <c r="E13075" s="196">
        <v>0</v>
      </c>
      <c r="F13075" s="196">
        <v>0</v>
      </c>
      <c r="G13075" s="196">
        <v>-159800</v>
      </c>
    </row>
    <row r="13076" spans="1:7" x14ac:dyDescent="0.3">
      <c r="A13076" s="198">
        <v>43515037</v>
      </c>
      <c r="B13076" s="192" t="s">
        <v>4779</v>
      </c>
      <c r="C13076" s="196">
        <v>-176200</v>
      </c>
      <c r="D13076" s="196">
        <v>0</v>
      </c>
      <c r="E13076" s="196">
        <v>0</v>
      </c>
      <c r="F13076" s="196">
        <v>0</v>
      </c>
      <c r="G13076" s="196">
        <v>-176200</v>
      </c>
    </row>
    <row r="13077" spans="1:7" x14ac:dyDescent="0.3">
      <c r="A13077" s="198">
        <v>1001376841</v>
      </c>
      <c r="B13077" s="192" t="s">
        <v>6845</v>
      </c>
      <c r="C13077" s="196">
        <v>-105400</v>
      </c>
      <c r="D13077" s="196">
        <v>0</v>
      </c>
      <c r="E13077" s="196">
        <v>0</v>
      </c>
      <c r="F13077" s="196">
        <v>0</v>
      </c>
      <c r="G13077" s="196">
        <v>-105400</v>
      </c>
    </row>
    <row r="13078" spans="1:7" x14ac:dyDescent="0.3">
      <c r="A13078" s="198">
        <v>1036404478</v>
      </c>
      <c r="B13078" s="192" t="s">
        <v>1047</v>
      </c>
      <c r="C13078" s="196">
        <v>-105400</v>
      </c>
      <c r="D13078" s="196">
        <v>105399</v>
      </c>
      <c r="E13078" s="196">
        <v>0</v>
      </c>
      <c r="F13078" s="196">
        <v>105399</v>
      </c>
      <c r="G13078" s="196">
        <v>-1</v>
      </c>
    </row>
    <row r="13079" spans="1:7" x14ac:dyDescent="0.3">
      <c r="A13079" s="198">
        <v>42879321</v>
      </c>
      <c r="B13079" s="192" t="s">
        <v>1049</v>
      </c>
      <c r="C13079" s="196">
        <v>0</v>
      </c>
      <c r="D13079" s="196">
        <v>0</v>
      </c>
      <c r="E13079" s="196">
        <v>176200</v>
      </c>
      <c r="F13079" s="196">
        <v>-176200</v>
      </c>
      <c r="G13079" s="196">
        <v>-176200</v>
      </c>
    </row>
    <row r="13080" spans="1:7" x14ac:dyDescent="0.3">
      <c r="A13080" s="198">
        <v>22229760</v>
      </c>
      <c r="B13080" s="192" t="s">
        <v>1054</v>
      </c>
      <c r="C13080" s="196">
        <v>-237100</v>
      </c>
      <c r="D13080" s="196">
        <v>0</v>
      </c>
      <c r="E13080" s="196">
        <v>0</v>
      </c>
      <c r="F13080" s="196">
        <v>0</v>
      </c>
      <c r="G13080" s="196">
        <v>-237100</v>
      </c>
    </row>
    <row r="13081" spans="1:7" x14ac:dyDescent="0.3">
      <c r="A13081" s="198">
        <v>32430224</v>
      </c>
      <c r="B13081" s="192" t="s">
        <v>1056</v>
      </c>
      <c r="C13081" s="196">
        <v>0</v>
      </c>
      <c r="D13081" s="196">
        <v>0</v>
      </c>
      <c r="E13081" s="196">
        <v>176200</v>
      </c>
      <c r="F13081" s="196">
        <v>-176200</v>
      </c>
      <c r="G13081" s="196">
        <v>-176200</v>
      </c>
    </row>
    <row r="13082" spans="1:7" x14ac:dyDescent="0.3">
      <c r="A13082" s="198">
        <v>43054434</v>
      </c>
      <c r="B13082" s="192" t="s">
        <v>1057</v>
      </c>
      <c r="C13082" s="196">
        <v>0</v>
      </c>
      <c r="D13082" s="196">
        <v>0</v>
      </c>
      <c r="E13082" s="196">
        <v>176200</v>
      </c>
      <c r="F13082" s="196">
        <v>-176200</v>
      </c>
      <c r="G13082" s="196">
        <v>-176200</v>
      </c>
    </row>
    <row r="13083" spans="1:7" x14ac:dyDescent="0.3">
      <c r="A13083" s="198">
        <v>24804039</v>
      </c>
      <c r="B13083" s="192" t="s">
        <v>6853</v>
      </c>
      <c r="C13083" s="196">
        <v>-176200</v>
      </c>
      <c r="D13083" s="196">
        <v>0</v>
      </c>
      <c r="E13083" s="196">
        <v>0</v>
      </c>
      <c r="F13083" s="196">
        <v>0</v>
      </c>
      <c r="G13083" s="196">
        <v>-176200</v>
      </c>
    </row>
    <row r="13084" spans="1:7" x14ac:dyDescent="0.3">
      <c r="A13084" s="198">
        <v>42897900</v>
      </c>
      <c r="B13084" s="192" t="s">
        <v>6854</v>
      </c>
      <c r="C13084" s="196">
        <v>-176200</v>
      </c>
      <c r="D13084" s="196">
        <v>0</v>
      </c>
      <c r="E13084" s="196">
        <v>0</v>
      </c>
      <c r="F13084" s="196">
        <v>0</v>
      </c>
      <c r="G13084" s="196">
        <v>-176200</v>
      </c>
    </row>
    <row r="13085" spans="1:7" x14ac:dyDescent="0.3">
      <c r="A13085" s="198">
        <v>21994318</v>
      </c>
      <c r="B13085" s="192" t="s">
        <v>6855</v>
      </c>
      <c r="C13085" s="196">
        <v>-237100</v>
      </c>
      <c r="D13085" s="196">
        <v>0</v>
      </c>
      <c r="E13085" s="196">
        <v>0</v>
      </c>
      <c r="F13085" s="196">
        <v>0</v>
      </c>
      <c r="G13085" s="196">
        <v>-237100</v>
      </c>
    </row>
    <row r="13086" spans="1:7" x14ac:dyDescent="0.3">
      <c r="A13086" s="198">
        <v>32257083</v>
      </c>
      <c r="B13086" s="192" t="s">
        <v>1063</v>
      </c>
      <c r="C13086" s="196">
        <v>0</v>
      </c>
      <c r="D13086" s="196">
        <v>0</v>
      </c>
      <c r="E13086" s="196">
        <v>176200</v>
      </c>
      <c r="F13086" s="196">
        <v>-176200</v>
      </c>
      <c r="G13086" s="196">
        <v>-176200</v>
      </c>
    </row>
    <row r="13087" spans="1:7" x14ac:dyDescent="0.3">
      <c r="A13087" s="198">
        <v>10793227</v>
      </c>
      <c r="B13087" s="192" t="s">
        <v>6857</v>
      </c>
      <c r="C13087" s="196">
        <v>-176200</v>
      </c>
      <c r="D13087" s="196">
        <v>0</v>
      </c>
      <c r="E13087" s="196">
        <v>0</v>
      </c>
      <c r="F13087" s="196">
        <v>0</v>
      </c>
      <c r="G13087" s="196">
        <v>-176200</v>
      </c>
    </row>
    <row r="13088" spans="1:7" x14ac:dyDescent="0.3">
      <c r="A13088" s="198">
        <v>661002215</v>
      </c>
      <c r="B13088" s="192" t="s">
        <v>4832</v>
      </c>
      <c r="C13088" s="196">
        <v>-176200</v>
      </c>
      <c r="D13088" s="196">
        <v>0</v>
      </c>
      <c r="E13088" s="196">
        <v>0</v>
      </c>
      <c r="F13088" s="196">
        <v>0</v>
      </c>
      <c r="G13088" s="196">
        <v>-176200</v>
      </c>
    </row>
    <row r="13089" spans="1:7" x14ac:dyDescent="0.3">
      <c r="A13089" s="198">
        <v>1001003635</v>
      </c>
      <c r="B13089" s="192" t="s">
        <v>6865</v>
      </c>
      <c r="C13089" s="196">
        <v>-238350</v>
      </c>
      <c r="D13089" s="196">
        <v>0</v>
      </c>
      <c r="E13089" s="196">
        <v>0</v>
      </c>
      <c r="F13089" s="196">
        <v>0</v>
      </c>
      <c r="G13089" s="196">
        <v>-238350</v>
      </c>
    </row>
    <row r="13090" spans="1:7" x14ac:dyDescent="0.3">
      <c r="A13090" s="198">
        <v>43866085</v>
      </c>
      <c r="B13090" s="192" t="s">
        <v>1081</v>
      </c>
      <c r="C13090" s="196">
        <v>-176200</v>
      </c>
      <c r="D13090" s="196">
        <v>0</v>
      </c>
      <c r="E13090" s="196">
        <v>0</v>
      </c>
      <c r="F13090" s="196">
        <v>0</v>
      </c>
      <c r="G13090" s="196">
        <v>-176200</v>
      </c>
    </row>
    <row r="13091" spans="1:7" x14ac:dyDescent="0.3">
      <c r="A13091" s="198">
        <v>42752123</v>
      </c>
      <c r="B13091" s="192" t="s">
        <v>6873</v>
      </c>
      <c r="C13091" s="196">
        <v>-237100</v>
      </c>
      <c r="D13091" s="196">
        <v>0</v>
      </c>
      <c r="E13091" s="196">
        <v>0</v>
      </c>
      <c r="F13091" s="196">
        <v>0</v>
      </c>
      <c r="G13091" s="196">
        <v>-237100</v>
      </c>
    </row>
    <row r="13092" spans="1:7" x14ac:dyDescent="0.3">
      <c r="A13092" s="198">
        <v>43722394</v>
      </c>
      <c r="B13092" s="192" t="s">
        <v>6874</v>
      </c>
      <c r="C13092" s="196">
        <v>-176200</v>
      </c>
      <c r="D13092" s="196">
        <v>0</v>
      </c>
      <c r="E13092" s="196">
        <v>0</v>
      </c>
      <c r="F13092" s="196">
        <v>0</v>
      </c>
      <c r="G13092" s="196">
        <v>-176200</v>
      </c>
    </row>
    <row r="13093" spans="1:7" x14ac:dyDescent="0.3">
      <c r="A13093" s="198">
        <v>21514441</v>
      </c>
      <c r="B13093" s="192" t="s">
        <v>1099</v>
      </c>
      <c r="C13093" s="196">
        <v>0</v>
      </c>
      <c r="D13093" s="196">
        <v>0</v>
      </c>
      <c r="E13093" s="196">
        <v>176200</v>
      </c>
      <c r="F13093" s="196">
        <v>-176200</v>
      </c>
      <c r="G13093" s="196">
        <v>-176200</v>
      </c>
    </row>
    <row r="13094" spans="1:7" x14ac:dyDescent="0.3">
      <c r="A13094" s="198">
        <v>42756480</v>
      </c>
      <c r="B13094" s="192" t="s">
        <v>6876</v>
      </c>
      <c r="C13094" s="196">
        <v>-159800</v>
      </c>
      <c r="D13094" s="196">
        <v>0</v>
      </c>
      <c r="E13094" s="196">
        <v>0</v>
      </c>
      <c r="F13094" s="196">
        <v>0</v>
      </c>
      <c r="G13094" s="196">
        <v>-159800</v>
      </c>
    </row>
    <row r="13095" spans="1:7" x14ac:dyDescent="0.3">
      <c r="A13095" s="198">
        <v>1040747206</v>
      </c>
      <c r="B13095" s="192" t="s">
        <v>1687</v>
      </c>
      <c r="C13095" s="196">
        <v>-105400</v>
      </c>
      <c r="D13095" s="196">
        <v>0</v>
      </c>
      <c r="E13095" s="196">
        <v>0</v>
      </c>
      <c r="F13095" s="196">
        <v>0</v>
      </c>
      <c r="G13095" s="196">
        <v>-105400</v>
      </c>
    </row>
    <row r="13096" spans="1:7" x14ac:dyDescent="0.3">
      <c r="A13096" s="192" t="s">
        <v>1110</v>
      </c>
      <c r="B13096" s="192" t="s">
        <v>1111</v>
      </c>
      <c r="C13096" s="196">
        <v>0</v>
      </c>
      <c r="D13096" s="196">
        <v>0</v>
      </c>
      <c r="E13096" s="196">
        <v>176200</v>
      </c>
      <c r="F13096" s="196">
        <v>-176200</v>
      </c>
      <c r="G13096" s="196">
        <v>-176200</v>
      </c>
    </row>
    <row r="13097" spans="1:7" x14ac:dyDescent="0.3">
      <c r="A13097" s="198">
        <v>21810555</v>
      </c>
      <c r="B13097" s="192" t="s">
        <v>6886</v>
      </c>
      <c r="C13097" s="196">
        <v>-176200</v>
      </c>
      <c r="D13097" s="196">
        <v>0</v>
      </c>
      <c r="E13097" s="196">
        <v>0</v>
      </c>
      <c r="F13097" s="196">
        <v>0</v>
      </c>
      <c r="G13097" s="196">
        <v>-176200</v>
      </c>
    </row>
    <row r="13098" spans="1:7" x14ac:dyDescent="0.3">
      <c r="A13098" s="198">
        <v>1113693083</v>
      </c>
      <c r="B13098" s="192" t="s">
        <v>6887</v>
      </c>
      <c r="C13098" s="196">
        <v>-105400</v>
      </c>
      <c r="D13098" s="196">
        <v>0</v>
      </c>
      <c r="E13098" s="196">
        <v>0</v>
      </c>
      <c r="F13098" s="196">
        <v>0</v>
      </c>
      <c r="G13098" s="196">
        <v>-105400</v>
      </c>
    </row>
    <row r="13099" spans="1:7" x14ac:dyDescent="0.3">
      <c r="A13099" s="198">
        <v>1001420013</v>
      </c>
      <c r="B13099" s="192" t="s">
        <v>1116</v>
      </c>
      <c r="C13099" s="196">
        <v>0</v>
      </c>
      <c r="D13099" s="196">
        <v>0</v>
      </c>
      <c r="E13099" s="196">
        <v>176200</v>
      </c>
      <c r="F13099" s="196">
        <v>-176200</v>
      </c>
      <c r="G13099" s="196">
        <v>-176200</v>
      </c>
    </row>
    <row r="13100" spans="1:7" x14ac:dyDescent="0.3">
      <c r="A13100" s="198">
        <v>32459151</v>
      </c>
      <c r="B13100" s="192" t="s">
        <v>6894</v>
      </c>
      <c r="C13100" s="196">
        <v>-176200</v>
      </c>
      <c r="D13100" s="196">
        <v>0</v>
      </c>
      <c r="E13100" s="196">
        <v>0</v>
      </c>
      <c r="F13100" s="196">
        <v>0</v>
      </c>
      <c r="G13100" s="196">
        <v>-176200</v>
      </c>
    </row>
    <row r="13101" spans="1:7" x14ac:dyDescent="0.3">
      <c r="A13101" s="198">
        <v>42938356</v>
      </c>
      <c r="B13101" s="192" t="s">
        <v>6895</v>
      </c>
      <c r="C13101" s="196">
        <v>-176200</v>
      </c>
      <c r="D13101" s="196">
        <v>0</v>
      </c>
      <c r="E13101" s="196">
        <v>0</v>
      </c>
      <c r="F13101" s="196">
        <v>0</v>
      </c>
      <c r="G13101" s="196">
        <v>-176200</v>
      </c>
    </row>
    <row r="13102" spans="1:7" x14ac:dyDescent="0.3">
      <c r="A13102" s="198">
        <v>32336360</v>
      </c>
      <c r="B13102" s="192" t="s">
        <v>6899</v>
      </c>
      <c r="C13102" s="196">
        <v>-176200</v>
      </c>
      <c r="D13102" s="196">
        <v>0</v>
      </c>
      <c r="E13102" s="196">
        <v>0</v>
      </c>
      <c r="F13102" s="196">
        <v>0</v>
      </c>
      <c r="G13102" s="196">
        <v>-176200</v>
      </c>
    </row>
    <row r="13103" spans="1:7" x14ac:dyDescent="0.3">
      <c r="A13103" s="198">
        <v>22056651</v>
      </c>
      <c r="B13103" s="192" t="s">
        <v>5019</v>
      </c>
      <c r="C13103" s="196">
        <v>-176200</v>
      </c>
      <c r="D13103" s="196">
        <v>0</v>
      </c>
      <c r="E13103" s="196">
        <v>0</v>
      </c>
      <c r="F13103" s="196">
        <v>0</v>
      </c>
      <c r="G13103" s="196">
        <v>-176200</v>
      </c>
    </row>
    <row r="13104" spans="1:7" x14ac:dyDescent="0.3">
      <c r="A13104" s="198">
        <v>21929400</v>
      </c>
      <c r="B13104" s="192" t="s">
        <v>1134</v>
      </c>
      <c r="C13104" s="196">
        <v>0</v>
      </c>
      <c r="D13104" s="196">
        <v>0</v>
      </c>
      <c r="E13104" s="196">
        <v>176200</v>
      </c>
      <c r="F13104" s="196">
        <v>-176200</v>
      </c>
      <c r="G13104" s="196">
        <v>-176200</v>
      </c>
    </row>
    <row r="13105" spans="1:7" x14ac:dyDescent="0.3">
      <c r="A13105" s="198">
        <v>22115821</v>
      </c>
      <c r="B13105" s="192" t="s">
        <v>1135</v>
      </c>
      <c r="C13105" s="196">
        <v>-105400</v>
      </c>
      <c r="D13105" s="196">
        <v>0</v>
      </c>
      <c r="E13105" s="196">
        <v>0</v>
      </c>
      <c r="F13105" s="196">
        <v>0</v>
      </c>
      <c r="G13105" s="196">
        <v>-105400</v>
      </c>
    </row>
    <row r="13106" spans="1:7" x14ac:dyDescent="0.3">
      <c r="A13106" s="198">
        <v>43005509</v>
      </c>
      <c r="B13106" s="192" t="s">
        <v>6903</v>
      </c>
      <c r="C13106" s="196">
        <v>-176200</v>
      </c>
      <c r="D13106" s="196">
        <v>0</v>
      </c>
      <c r="E13106" s="196">
        <v>0</v>
      </c>
      <c r="F13106" s="196">
        <v>0</v>
      </c>
      <c r="G13106" s="196">
        <v>-176200</v>
      </c>
    </row>
    <row r="13107" spans="1:7" x14ac:dyDescent="0.3">
      <c r="A13107" s="198">
        <v>21990502</v>
      </c>
      <c r="B13107" s="192" t="s">
        <v>6904</v>
      </c>
      <c r="C13107" s="196">
        <v>-117000</v>
      </c>
      <c r="D13107" s="196">
        <v>0</v>
      </c>
      <c r="E13107" s="196">
        <v>0</v>
      </c>
      <c r="F13107" s="196">
        <v>0</v>
      </c>
      <c r="G13107" s="196">
        <v>-117000</v>
      </c>
    </row>
    <row r="13108" spans="1:7" x14ac:dyDescent="0.3">
      <c r="A13108" s="198">
        <v>38865813</v>
      </c>
      <c r="B13108" s="192" t="s">
        <v>5035</v>
      </c>
      <c r="C13108" s="196">
        <v>-176200</v>
      </c>
      <c r="D13108" s="196">
        <v>0</v>
      </c>
      <c r="E13108" s="196">
        <v>0</v>
      </c>
      <c r="F13108" s="196">
        <v>0</v>
      </c>
      <c r="G13108" s="196">
        <v>-176200</v>
      </c>
    </row>
    <row r="13109" spans="1:7" x14ac:dyDescent="0.3">
      <c r="A13109" s="198">
        <v>43583379</v>
      </c>
      <c r="B13109" s="192" t="s">
        <v>6905</v>
      </c>
      <c r="C13109" s="196">
        <v>-176200</v>
      </c>
      <c r="D13109" s="196">
        <v>0</v>
      </c>
      <c r="E13109" s="196">
        <v>0</v>
      </c>
      <c r="F13109" s="196">
        <v>0</v>
      </c>
      <c r="G13109" s="196">
        <v>-176200</v>
      </c>
    </row>
    <row r="13110" spans="1:7" x14ac:dyDescent="0.3">
      <c r="A13110" s="198">
        <v>32470983</v>
      </c>
      <c r="B13110" s="192" t="s">
        <v>6907</v>
      </c>
      <c r="C13110" s="196">
        <v>-237100</v>
      </c>
      <c r="D13110" s="196">
        <v>0</v>
      </c>
      <c r="E13110" s="196">
        <v>0</v>
      </c>
      <c r="F13110" s="196">
        <v>0</v>
      </c>
      <c r="G13110" s="196">
        <v>-237100</v>
      </c>
    </row>
    <row r="13111" spans="1:7" x14ac:dyDescent="0.3">
      <c r="A13111" s="198">
        <v>42784632</v>
      </c>
      <c r="B13111" s="192" t="s">
        <v>1144</v>
      </c>
      <c r="C13111" s="196">
        <v>0</v>
      </c>
      <c r="D13111" s="196">
        <v>0</v>
      </c>
      <c r="E13111" s="196">
        <v>176200</v>
      </c>
      <c r="F13111" s="196">
        <v>-176200</v>
      </c>
      <c r="G13111" s="196">
        <v>-176200</v>
      </c>
    </row>
    <row r="13112" spans="1:7" x14ac:dyDescent="0.3">
      <c r="A13112" s="198">
        <v>43785139</v>
      </c>
      <c r="B13112" s="192" t="s">
        <v>6913</v>
      </c>
      <c r="C13112" s="196">
        <v>-176200</v>
      </c>
      <c r="D13112" s="196">
        <v>0</v>
      </c>
      <c r="E13112" s="196">
        <v>0</v>
      </c>
      <c r="F13112" s="196">
        <v>0</v>
      </c>
      <c r="G13112" s="196">
        <v>-176200</v>
      </c>
    </row>
    <row r="13113" spans="1:7" x14ac:dyDescent="0.3">
      <c r="A13113" s="198">
        <v>39296670</v>
      </c>
      <c r="B13113" s="192" t="s">
        <v>5103</v>
      </c>
      <c r="C13113" s="196">
        <v>-237100</v>
      </c>
      <c r="D13113" s="196">
        <v>0</v>
      </c>
      <c r="E13113" s="196">
        <v>0</v>
      </c>
      <c r="F13113" s="196">
        <v>0</v>
      </c>
      <c r="G13113" s="196">
        <v>-237100</v>
      </c>
    </row>
    <row r="13114" spans="1:7" x14ac:dyDescent="0.3">
      <c r="A13114" s="198">
        <v>1152221738</v>
      </c>
      <c r="B13114" s="192" t="s">
        <v>6915</v>
      </c>
      <c r="C13114" s="196">
        <v>-176200</v>
      </c>
      <c r="D13114" s="196">
        <v>0</v>
      </c>
      <c r="E13114" s="196">
        <v>0</v>
      </c>
      <c r="F13114" s="196">
        <v>0</v>
      </c>
      <c r="G13114" s="196">
        <v>-176200</v>
      </c>
    </row>
    <row r="13115" spans="1:7" x14ac:dyDescent="0.3">
      <c r="A13115" s="198">
        <v>40759477</v>
      </c>
      <c r="B13115" s="192" t="s">
        <v>5108</v>
      </c>
      <c r="C13115" s="196">
        <v>-176200</v>
      </c>
      <c r="D13115" s="196">
        <v>0</v>
      </c>
      <c r="E13115" s="196">
        <v>0</v>
      </c>
      <c r="F13115" s="196">
        <v>0</v>
      </c>
      <c r="G13115" s="196">
        <v>-176200</v>
      </c>
    </row>
    <row r="13116" spans="1:7" x14ac:dyDescent="0.3">
      <c r="A13116" s="198">
        <v>66752160</v>
      </c>
      <c r="B13116" s="192" t="s">
        <v>1167</v>
      </c>
      <c r="C13116" s="196">
        <v>0</v>
      </c>
      <c r="D13116" s="196">
        <v>0</v>
      </c>
      <c r="E13116" s="196">
        <v>176200</v>
      </c>
      <c r="F13116" s="196">
        <v>-176200</v>
      </c>
      <c r="G13116" s="196">
        <v>-176200</v>
      </c>
    </row>
    <row r="13117" spans="1:7" x14ac:dyDescent="0.3">
      <c r="A13117" s="198">
        <v>42882239</v>
      </c>
      <c r="B13117" s="192" t="s">
        <v>1168</v>
      </c>
      <c r="C13117" s="196">
        <v>0</v>
      </c>
      <c r="D13117" s="196">
        <v>0</v>
      </c>
      <c r="E13117" s="196">
        <v>176200</v>
      </c>
      <c r="F13117" s="196">
        <v>-176200</v>
      </c>
      <c r="G13117" s="196">
        <v>-176200</v>
      </c>
    </row>
    <row r="13118" spans="1:7" x14ac:dyDescent="0.3">
      <c r="A13118" s="198">
        <v>21363325</v>
      </c>
      <c r="B13118" s="192" t="s">
        <v>5110</v>
      </c>
      <c r="C13118" s="196">
        <v>-176200</v>
      </c>
      <c r="D13118" s="196">
        <v>0</v>
      </c>
      <c r="E13118" s="196">
        <v>0</v>
      </c>
      <c r="F13118" s="196">
        <v>0</v>
      </c>
      <c r="G13118" s="196">
        <v>-176200</v>
      </c>
    </row>
    <row r="13119" spans="1:7" x14ac:dyDescent="0.3">
      <c r="A13119" s="198">
        <v>42982846</v>
      </c>
      <c r="B13119" s="192" t="s">
        <v>6916</v>
      </c>
      <c r="C13119" s="196">
        <v>-237100</v>
      </c>
      <c r="D13119" s="196">
        <v>0</v>
      </c>
      <c r="E13119" s="196">
        <v>0</v>
      </c>
      <c r="F13119" s="196">
        <v>0</v>
      </c>
      <c r="G13119" s="196">
        <v>-237100</v>
      </c>
    </row>
    <row r="13120" spans="1:7" x14ac:dyDescent="0.3">
      <c r="A13120" s="198">
        <v>22031992</v>
      </c>
      <c r="B13120" s="192" t="s">
        <v>6918</v>
      </c>
      <c r="C13120" s="196">
        <v>-176200</v>
      </c>
      <c r="D13120" s="196">
        <v>0</v>
      </c>
      <c r="E13120" s="196">
        <v>0</v>
      </c>
      <c r="F13120" s="196">
        <v>0</v>
      </c>
      <c r="G13120" s="196">
        <v>-176200</v>
      </c>
    </row>
    <row r="13121" spans="1:7" x14ac:dyDescent="0.3">
      <c r="A13121" s="198">
        <v>43032096</v>
      </c>
      <c r="B13121" s="192" t="s">
        <v>1170</v>
      </c>
      <c r="C13121" s="196">
        <v>-176200</v>
      </c>
      <c r="D13121" s="196">
        <v>0</v>
      </c>
      <c r="E13121" s="196">
        <v>0</v>
      </c>
      <c r="F13121" s="196">
        <v>0</v>
      </c>
      <c r="G13121" s="196">
        <v>-176200</v>
      </c>
    </row>
    <row r="13122" spans="1:7" x14ac:dyDescent="0.3">
      <c r="A13122" s="198">
        <v>1021930710</v>
      </c>
      <c r="B13122" s="192" t="s">
        <v>6921</v>
      </c>
      <c r="C13122" s="196">
        <v>-238350</v>
      </c>
      <c r="D13122" s="196">
        <v>0</v>
      </c>
      <c r="E13122" s="196">
        <v>0</v>
      </c>
      <c r="F13122" s="196">
        <v>0</v>
      </c>
      <c r="G13122" s="196">
        <v>-238350</v>
      </c>
    </row>
    <row r="13123" spans="1:7" x14ac:dyDescent="0.3">
      <c r="A13123" s="198">
        <v>21305634</v>
      </c>
      <c r="B13123" s="192" t="s">
        <v>5126</v>
      </c>
      <c r="C13123" s="196">
        <v>-176200</v>
      </c>
      <c r="D13123" s="196">
        <v>0</v>
      </c>
      <c r="E13123" s="196">
        <v>0</v>
      </c>
      <c r="F13123" s="196">
        <v>0</v>
      </c>
      <c r="G13123" s="196">
        <v>-176200</v>
      </c>
    </row>
    <row r="13124" spans="1:7" x14ac:dyDescent="0.3">
      <c r="A13124" s="198">
        <v>21396756</v>
      </c>
      <c r="B13124" s="192" t="s">
        <v>6922</v>
      </c>
      <c r="C13124" s="196">
        <v>-176200</v>
      </c>
      <c r="D13124" s="196">
        <v>0</v>
      </c>
      <c r="E13124" s="196">
        <v>0</v>
      </c>
      <c r="F13124" s="196">
        <v>0</v>
      </c>
      <c r="G13124" s="196">
        <v>-176200</v>
      </c>
    </row>
    <row r="13125" spans="1:7" x14ac:dyDescent="0.3">
      <c r="A13125" s="198">
        <v>21701234</v>
      </c>
      <c r="B13125" s="192" t="s">
        <v>6923</v>
      </c>
      <c r="C13125" s="196">
        <v>-176200</v>
      </c>
      <c r="D13125" s="196">
        <v>0</v>
      </c>
      <c r="E13125" s="196">
        <v>0</v>
      </c>
      <c r="F13125" s="196">
        <v>0</v>
      </c>
      <c r="G13125" s="196">
        <v>-176200</v>
      </c>
    </row>
    <row r="13126" spans="1:7" x14ac:dyDescent="0.3">
      <c r="A13126" s="198">
        <v>25096078</v>
      </c>
      <c r="B13126" s="192" t="s">
        <v>6924</v>
      </c>
      <c r="C13126" s="196">
        <v>-237100</v>
      </c>
      <c r="D13126" s="196">
        <v>0</v>
      </c>
      <c r="E13126" s="196">
        <v>0</v>
      </c>
      <c r="F13126" s="196">
        <v>0</v>
      </c>
      <c r="G13126" s="196">
        <v>-237100</v>
      </c>
    </row>
    <row r="13127" spans="1:7" x14ac:dyDescent="0.3">
      <c r="A13127" s="198">
        <v>21851581</v>
      </c>
      <c r="B13127" s="192" t="s">
        <v>5138</v>
      </c>
      <c r="C13127" s="196">
        <v>-176200</v>
      </c>
      <c r="D13127" s="196">
        <v>0</v>
      </c>
      <c r="E13127" s="196">
        <v>0</v>
      </c>
      <c r="F13127" s="196">
        <v>0</v>
      </c>
      <c r="G13127" s="196">
        <v>-176200</v>
      </c>
    </row>
    <row r="13128" spans="1:7" x14ac:dyDescent="0.3">
      <c r="A13128" s="198">
        <v>1020490082</v>
      </c>
      <c r="B13128" s="192" t="s">
        <v>6926</v>
      </c>
      <c r="C13128" s="196">
        <v>-105400</v>
      </c>
      <c r="D13128" s="196">
        <v>0</v>
      </c>
      <c r="E13128" s="196">
        <v>0</v>
      </c>
      <c r="F13128" s="196">
        <v>0</v>
      </c>
      <c r="G13128" s="196">
        <v>-105400</v>
      </c>
    </row>
    <row r="13129" spans="1:7" x14ac:dyDescent="0.3">
      <c r="A13129" s="198">
        <v>39443579</v>
      </c>
      <c r="B13129" s="192" t="s">
        <v>5147</v>
      </c>
      <c r="C13129" s="196">
        <v>-176200</v>
      </c>
      <c r="D13129" s="196">
        <v>0</v>
      </c>
      <c r="E13129" s="196">
        <v>0</v>
      </c>
      <c r="F13129" s="196">
        <v>0</v>
      </c>
      <c r="G13129" s="196">
        <v>-176200</v>
      </c>
    </row>
    <row r="13130" spans="1:7" x14ac:dyDescent="0.3">
      <c r="A13130" s="198">
        <v>42967780</v>
      </c>
      <c r="B13130" s="192" t="s">
        <v>1184</v>
      </c>
      <c r="C13130" s="196">
        <v>0</v>
      </c>
      <c r="D13130" s="196">
        <v>0</v>
      </c>
      <c r="E13130" s="196">
        <v>176200</v>
      </c>
      <c r="F13130" s="196">
        <v>-176200</v>
      </c>
      <c r="G13130" s="196">
        <v>-176200</v>
      </c>
    </row>
    <row r="13131" spans="1:7" x14ac:dyDescent="0.3">
      <c r="A13131" s="198">
        <v>1039624238</v>
      </c>
      <c r="B13131" s="192" t="s">
        <v>6927</v>
      </c>
      <c r="C13131" s="196">
        <v>-176200</v>
      </c>
      <c r="D13131" s="196">
        <v>0</v>
      </c>
      <c r="E13131" s="196">
        <v>0</v>
      </c>
      <c r="F13131" s="196">
        <v>0</v>
      </c>
      <c r="G13131" s="196">
        <v>-176200</v>
      </c>
    </row>
    <row r="13132" spans="1:7" x14ac:dyDescent="0.3">
      <c r="A13132" s="198">
        <v>43634940</v>
      </c>
      <c r="B13132" s="192" t="s">
        <v>1187</v>
      </c>
      <c r="C13132" s="196">
        <v>-238350</v>
      </c>
      <c r="D13132" s="196">
        <v>0</v>
      </c>
      <c r="E13132" s="196">
        <v>0</v>
      </c>
      <c r="F13132" s="196">
        <v>0</v>
      </c>
      <c r="G13132" s="196">
        <v>-238350</v>
      </c>
    </row>
    <row r="13133" spans="1:7" x14ac:dyDescent="0.3">
      <c r="A13133" s="198">
        <v>22229417</v>
      </c>
      <c r="B13133" s="192" t="s">
        <v>6928</v>
      </c>
      <c r="C13133" s="196">
        <v>-176200</v>
      </c>
      <c r="D13133" s="196">
        <v>0</v>
      </c>
      <c r="E13133" s="196">
        <v>0</v>
      </c>
      <c r="F13133" s="196">
        <v>0</v>
      </c>
      <c r="G13133" s="196">
        <v>-176200</v>
      </c>
    </row>
    <row r="13134" spans="1:7" x14ac:dyDescent="0.3">
      <c r="A13134" s="198">
        <v>1004519774</v>
      </c>
      <c r="B13134" s="192" t="s">
        <v>6934</v>
      </c>
      <c r="C13134" s="196">
        <v>-105400</v>
      </c>
      <c r="D13134" s="196">
        <v>0</v>
      </c>
      <c r="E13134" s="196">
        <v>0</v>
      </c>
      <c r="F13134" s="196">
        <v>0</v>
      </c>
      <c r="G13134" s="196">
        <v>-105400</v>
      </c>
    </row>
    <row r="13135" spans="1:7" x14ac:dyDescent="0.3">
      <c r="A13135" s="198">
        <v>43277317</v>
      </c>
      <c r="B13135" s="192" t="s">
        <v>6939</v>
      </c>
      <c r="C13135" s="196">
        <v>-105400</v>
      </c>
      <c r="D13135" s="196">
        <v>0</v>
      </c>
      <c r="E13135" s="196">
        <v>0</v>
      </c>
      <c r="F13135" s="196">
        <v>0</v>
      </c>
      <c r="G13135" s="196">
        <v>-105400</v>
      </c>
    </row>
    <row r="13136" spans="1:7" x14ac:dyDescent="0.3">
      <c r="A13136" s="198">
        <v>22019410</v>
      </c>
      <c r="B13136" s="192" t="s">
        <v>6943</v>
      </c>
      <c r="C13136" s="196">
        <v>-176200</v>
      </c>
      <c r="D13136" s="196">
        <v>0</v>
      </c>
      <c r="E13136" s="196">
        <v>0</v>
      </c>
      <c r="F13136" s="196">
        <v>0</v>
      </c>
      <c r="G13136" s="196">
        <v>-176200</v>
      </c>
    </row>
    <row r="13137" spans="1:7" x14ac:dyDescent="0.3">
      <c r="A13137" s="198">
        <v>42995652</v>
      </c>
      <c r="B13137" s="192" t="s">
        <v>6944</v>
      </c>
      <c r="C13137" s="196">
        <v>-176200</v>
      </c>
      <c r="D13137" s="196">
        <v>0</v>
      </c>
      <c r="E13137" s="196">
        <v>0</v>
      </c>
      <c r="F13137" s="196">
        <v>0</v>
      </c>
      <c r="G13137" s="196">
        <v>-176200</v>
      </c>
    </row>
    <row r="13138" spans="1:7" x14ac:dyDescent="0.3">
      <c r="A13138" s="198">
        <v>43735480</v>
      </c>
      <c r="B13138" s="192" t="s">
        <v>6947</v>
      </c>
      <c r="C13138" s="196">
        <v>-176200</v>
      </c>
      <c r="D13138" s="196">
        <v>0</v>
      </c>
      <c r="E13138" s="196">
        <v>0</v>
      </c>
      <c r="F13138" s="196">
        <v>0</v>
      </c>
      <c r="G13138" s="196">
        <v>-176200</v>
      </c>
    </row>
    <row r="13139" spans="1:7" x14ac:dyDescent="0.3">
      <c r="A13139" s="192" t="s">
        <v>5209</v>
      </c>
      <c r="B13139" s="192" t="s">
        <v>5210</v>
      </c>
      <c r="C13139" s="196">
        <v>-176200</v>
      </c>
      <c r="D13139" s="196">
        <v>0</v>
      </c>
      <c r="E13139" s="196">
        <v>0</v>
      </c>
      <c r="F13139" s="196">
        <v>0</v>
      </c>
      <c r="G13139" s="196">
        <v>-176200</v>
      </c>
    </row>
    <row r="13140" spans="1:7" x14ac:dyDescent="0.3">
      <c r="A13140" s="198">
        <v>45505492</v>
      </c>
      <c r="B13140" s="192" t="s">
        <v>6950</v>
      </c>
      <c r="C13140" s="196">
        <v>-105400</v>
      </c>
      <c r="D13140" s="196">
        <v>0</v>
      </c>
      <c r="E13140" s="196">
        <v>0</v>
      </c>
      <c r="F13140" s="196">
        <v>0</v>
      </c>
      <c r="G13140" s="196">
        <v>-105400</v>
      </c>
    </row>
    <row r="13141" spans="1:7" x14ac:dyDescent="0.3">
      <c r="A13141" s="198">
        <v>43072147</v>
      </c>
      <c r="B13141" s="192" t="s">
        <v>1220</v>
      </c>
      <c r="C13141" s="196">
        <v>0</v>
      </c>
      <c r="D13141" s="196">
        <v>0</v>
      </c>
      <c r="E13141" s="196">
        <v>176200</v>
      </c>
      <c r="F13141" s="196">
        <v>-176200</v>
      </c>
      <c r="G13141" s="196">
        <v>-176200</v>
      </c>
    </row>
    <row r="13142" spans="1:7" x14ac:dyDescent="0.3">
      <c r="A13142" s="198">
        <v>43557944</v>
      </c>
      <c r="B13142" s="192" t="s">
        <v>5242</v>
      </c>
      <c r="C13142" s="196">
        <v>-176000</v>
      </c>
      <c r="D13142" s="196">
        <v>0</v>
      </c>
      <c r="E13142" s="196">
        <v>0</v>
      </c>
      <c r="F13142" s="196">
        <v>0</v>
      </c>
      <c r="G13142" s="196">
        <v>-176000</v>
      </c>
    </row>
    <row r="13143" spans="1:7" x14ac:dyDescent="0.3">
      <c r="A13143" s="198">
        <v>43677420</v>
      </c>
      <c r="B13143" s="192" t="s">
        <v>6955</v>
      </c>
      <c r="C13143" s="196">
        <v>-176200</v>
      </c>
      <c r="D13143" s="196">
        <v>0</v>
      </c>
      <c r="E13143" s="196">
        <v>0</v>
      </c>
      <c r="F13143" s="196">
        <v>0</v>
      </c>
      <c r="G13143" s="196">
        <v>-176200</v>
      </c>
    </row>
    <row r="13144" spans="1:7" x14ac:dyDescent="0.3">
      <c r="A13144" s="198">
        <v>646730184</v>
      </c>
      <c r="B13144" s="192" t="s">
        <v>6957</v>
      </c>
      <c r="C13144" s="196">
        <v>-176200</v>
      </c>
      <c r="D13144" s="196">
        <v>0</v>
      </c>
      <c r="E13144" s="196">
        <v>0</v>
      </c>
      <c r="F13144" s="196">
        <v>0</v>
      </c>
      <c r="G13144" s="196">
        <v>-176200</v>
      </c>
    </row>
    <row r="13145" spans="1:7" x14ac:dyDescent="0.3">
      <c r="A13145" s="198">
        <v>43610929</v>
      </c>
      <c r="B13145" s="192" t="s">
        <v>1230</v>
      </c>
      <c r="C13145" s="196">
        <v>-176202</v>
      </c>
      <c r="D13145" s="196">
        <v>0</v>
      </c>
      <c r="E13145" s="196">
        <v>0</v>
      </c>
      <c r="F13145" s="196">
        <v>0</v>
      </c>
      <c r="G13145" s="196">
        <v>-176202</v>
      </c>
    </row>
    <row r="13146" spans="1:7" x14ac:dyDescent="0.3">
      <c r="A13146" s="198">
        <v>43108729</v>
      </c>
      <c r="B13146" s="192" t="s">
        <v>1232</v>
      </c>
      <c r="C13146" s="196">
        <v>0</v>
      </c>
      <c r="D13146" s="196">
        <v>0</v>
      </c>
      <c r="E13146" s="196">
        <v>176200</v>
      </c>
      <c r="F13146" s="196">
        <v>-176200</v>
      </c>
      <c r="G13146" s="196">
        <v>-176200</v>
      </c>
    </row>
    <row r="13147" spans="1:7" x14ac:dyDescent="0.3">
      <c r="A13147" s="198">
        <v>1000290427</v>
      </c>
      <c r="B13147" s="192" t="s">
        <v>6962</v>
      </c>
      <c r="C13147" s="196">
        <v>-176200</v>
      </c>
      <c r="D13147" s="196">
        <v>0</v>
      </c>
      <c r="E13147" s="196">
        <v>0</v>
      </c>
      <c r="F13147" s="196">
        <v>0</v>
      </c>
      <c r="G13147" s="196">
        <v>-176200</v>
      </c>
    </row>
    <row r="13148" spans="1:7" x14ac:dyDescent="0.3">
      <c r="A13148" s="198">
        <v>1036944561</v>
      </c>
      <c r="B13148" s="192" t="s">
        <v>6964</v>
      </c>
      <c r="C13148" s="196">
        <v>-105400</v>
      </c>
      <c r="D13148" s="196">
        <v>0</v>
      </c>
      <c r="E13148" s="196">
        <v>0</v>
      </c>
      <c r="F13148" s="196">
        <v>0</v>
      </c>
      <c r="G13148" s="196">
        <v>-105400</v>
      </c>
    </row>
    <row r="13149" spans="1:7" x14ac:dyDescent="0.3">
      <c r="A13149" s="198">
        <v>1152707621</v>
      </c>
      <c r="B13149" s="192" t="s">
        <v>6967</v>
      </c>
      <c r="C13149" s="196">
        <v>-176200</v>
      </c>
      <c r="D13149" s="196">
        <v>0</v>
      </c>
      <c r="E13149" s="196">
        <v>0</v>
      </c>
      <c r="F13149" s="196">
        <v>0</v>
      </c>
      <c r="G13149" s="196">
        <v>-176200</v>
      </c>
    </row>
    <row r="13150" spans="1:7" x14ac:dyDescent="0.3">
      <c r="A13150" s="198">
        <v>901226955</v>
      </c>
      <c r="B13150" s="192" t="s">
        <v>137</v>
      </c>
      <c r="C13150" s="196">
        <v>-176200</v>
      </c>
      <c r="D13150" s="196">
        <v>0</v>
      </c>
      <c r="E13150" s="196">
        <v>0</v>
      </c>
      <c r="F13150" s="196">
        <v>0</v>
      </c>
      <c r="G13150" s="196">
        <v>-176200</v>
      </c>
    </row>
    <row r="13151" spans="1:7" x14ac:dyDescent="0.3">
      <c r="A13151" s="198">
        <v>30297920</v>
      </c>
      <c r="B13151" s="192" t="s">
        <v>5366</v>
      </c>
      <c r="C13151" s="196">
        <v>-176200</v>
      </c>
      <c r="D13151" s="196">
        <v>0</v>
      </c>
      <c r="E13151" s="196">
        <v>0</v>
      </c>
      <c r="F13151" s="196">
        <v>0</v>
      </c>
      <c r="G13151" s="196">
        <v>-176200</v>
      </c>
    </row>
    <row r="13152" spans="1:7" x14ac:dyDescent="0.3">
      <c r="A13152" s="198">
        <v>6237830</v>
      </c>
      <c r="B13152" s="192" t="s">
        <v>5381</v>
      </c>
      <c r="C13152" s="196">
        <v>-176200</v>
      </c>
      <c r="D13152" s="196">
        <v>0</v>
      </c>
      <c r="E13152" s="196">
        <v>0</v>
      </c>
      <c r="F13152" s="196">
        <v>0</v>
      </c>
      <c r="G13152" s="196">
        <v>-176200</v>
      </c>
    </row>
    <row r="13153" spans="1:7" x14ac:dyDescent="0.3">
      <c r="A13153" s="192" t="s">
        <v>1278</v>
      </c>
      <c r="B13153" s="192" t="s">
        <v>1279</v>
      </c>
      <c r="C13153" s="196">
        <v>0</v>
      </c>
      <c r="D13153" s="196">
        <v>0</v>
      </c>
      <c r="E13153" s="196">
        <v>176200</v>
      </c>
      <c r="F13153" s="196">
        <v>-176200</v>
      </c>
      <c r="G13153" s="196">
        <v>-176200</v>
      </c>
    </row>
    <row r="13154" spans="1:7" x14ac:dyDescent="0.3">
      <c r="A13154" s="198">
        <v>1098745447</v>
      </c>
      <c r="B13154" s="192" t="s">
        <v>6973</v>
      </c>
      <c r="C13154" s="196">
        <v>-238350</v>
      </c>
      <c r="D13154" s="196">
        <v>0</v>
      </c>
      <c r="E13154" s="196">
        <v>0</v>
      </c>
      <c r="F13154" s="196">
        <v>0</v>
      </c>
      <c r="G13154" s="196">
        <v>-238350</v>
      </c>
    </row>
    <row r="13155" spans="1:7" x14ac:dyDescent="0.3">
      <c r="A13155" s="198">
        <v>43522296</v>
      </c>
      <c r="B13155" s="192" t="s">
        <v>6974</v>
      </c>
      <c r="C13155" s="196">
        <v>-237100</v>
      </c>
      <c r="D13155" s="196">
        <v>0</v>
      </c>
      <c r="E13155" s="196">
        <v>0</v>
      </c>
      <c r="F13155" s="196">
        <v>0</v>
      </c>
      <c r="G13155" s="196">
        <v>-237100</v>
      </c>
    </row>
    <row r="13156" spans="1:7" x14ac:dyDescent="0.3">
      <c r="A13156" s="198">
        <v>66776407</v>
      </c>
      <c r="B13156" s="192" t="s">
        <v>1286</v>
      </c>
      <c r="C13156" s="196">
        <v>-237100</v>
      </c>
      <c r="D13156" s="196">
        <v>0</v>
      </c>
      <c r="E13156" s="196">
        <v>0</v>
      </c>
      <c r="F13156" s="196">
        <v>0</v>
      </c>
      <c r="G13156" s="196">
        <v>-237100</v>
      </c>
    </row>
    <row r="13157" spans="1:7" x14ac:dyDescent="0.3">
      <c r="A13157" s="198">
        <v>1144034722</v>
      </c>
      <c r="B13157" s="192" t="s">
        <v>6981</v>
      </c>
      <c r="C13157" s="196">
        <v>-176200</v>
      </c>
      <c r="D13157" s="196">
        <v>0</v>
      </c>
      <c r="E13157" s="196">
        <v>0</v>
      </c>
      <c r="F13157" s="196">
        <v>0</v>
      </c>
      <c r="G13157" s="196">
        <v>-176200</v>
      </c>
    </row>
    <row r="13158" spans="1:7" x14ac:dyDescent="0.3">
      <c r="A13158" s="198">
        <v>43875460</v>
      </c>
      <c r="B13158" s="192" t="s">
        <v>6982</v>
      </c>
      <c r="C13158" s="196">
        <v>-159800</v>
      </c>
      <c r="D13158" s="196">
        <v>0</v>
      </c>
      <c r="E13158" s="196">
        <v>0</v>
      </c>
      <c r="F13158" s="196">
        <v>0</v>
      </c>
      <c r="G13158" s="196">
        <v>-159800</v>
      </c>
    </row>
    <row r="13159" spans="1:7" x14ac:dyDescent="0.3">
      <c r="A13159" s="198">
        <v>43825460</v>
      </c>
      <c r="B13159" s="192" t="s">
        <v>6984</v>
      </c>
      <c r="C13159" s="196">
        <v>-176200</v>
      </c>
      <c r="D13159" s="196">
        <v>0</v>
      </c>
      <c r="E13159" s="196">
        <v>0</v>
      </c>
      <c r="F13159" s="196">
        <v>0</v>
      </c>
      <c r="G13159" s="196">
        <v>-176200</v>
      </c>
    </row>
    <row r="13160" spans="1:7" x14ac:dyDescent="0.3">
      <c r="A13160" s="198">
        <v>21653865</v>
      </c>
      <c r="B13160" s="192" t="s">
        <v>6988</v>
      </c>
      <c r="C13160" s="196">
        <v>-176200</v>
      </c>
      <c r="D13160" s="196">
        <v>0</v>
      </c>
      <c r="E13160" s="196">
        <v>0</v>
      </c>
      <c r="F13160" s="196">
        <v>0</v>
      </c>
      <c r="G13160" s="196">
        <v>-176200</v>
      </c>
    </row>
    <row r="13161" spans="1:7" x14ac:dyDescent="0.3">
      <c r="A13161" s="198">
        <v>1099205849</v>
      </c>
      <c r="B13161" s="192" t="s">
        <v>1313</v>
      </c>
      <c r="C13161" s="196">
        <v>-176200</v>
      </c>
      <c r="D13161" s="196">
        <v>0</v>
      </c>
      <c r="E13161" s="196">
        <v>0</v>
      </c>
      <c r="F13161" s="196">
        <v>0</v>
      </c>
      <c r="G13161" s="196">
        <v>-176200</v>
      </c>
    </row>
    <row r="13162" spans="1:7" x14ac:dyDescent="0.3">
      <c r="A13162" s="198">
        <v>1001186539</v>
      </c>
      <c r="B13162" s="192" t="s">
        <v>1322</v>
      </c>
      <c r="C13162" s="196">
        <v>0</v>
      </c>
      <c r="D13162" s="196">
        <v>0</v>
      </c>
      <c r="E13162" s="196">
        <v>105400</v>
      </c>
      <c r="F13162" s="196">
        <v>-105400</v>
      </c>
      <c r="G13162" s="196">
        <v>-105400</v>
      </c>
    </row>
    <row r="13163" spans="1:7" x14ac:dyDescent="0.3">
      <c r="A13163" s="198">
        <v>39273714</v>
      </c>
      <c r="B13163" s="192" t="s">
        <v>5543</v>
      </c>
      <c r="C13163" s="196">
        <v>-176200</v>
      </c>
      <c r="D13163" s="196">
        <v>0</v>
      </c>
      <c r="E13163" s="196">
        <v>0</v>
      </c>
      <c r="F13163" s="196">
        <v>0</v>
      </c>
      <c r="G13163" s="196">
        <v>-176200</v>
      </c>
    </row>
    <row r="13164" spans="1:7" x14ac:dyDescent="0.3">
      <c r="A13164" s="198">
        <v>32486268</v>
      </c>
      <c r="B13164" s="192" t="s">
        <v>6998</v>
      </c>
      <c r="C13164" s="196">
        <v>-176200</v>
      </c>
      <c r="D13164" s="196">
        <v>0</v>
      </c>
      <c r="E13164" s="196">
        <v>0</v>
      </c>
      <c r="F13164" s="196">
        <v>0</v>
      </c>
      <c r="G13164" s="196">
        <v>-176200</v>
      </c>
    </row>
    <row r="13165" spans="1:7" x14ac:dyDescent="0.3">
      <c r="A13165" s="198">
        <v>1037263893</v>
      </c>
      <c r="B13165" s="192" t="s">
        <v>6999</v>
      </c>
      <c r="C13165" s="196">
        <v>-105400</v>
      </c>
      <c r="D13165" s="196">
        <v>0</v>
      </c>
      <c r="E13165" s="196">
        <v>0</v>
      </c>
      <c r="F13165" s="196">
        <v>0</v>
      </c>
      <c r="G13165" s="196">
        <v>-105400</v>
      </c>
    </row>
    <row r="13166" spans="1:7" x14ac:dyDescent="0.3">
      <c r="A13166" s="192" t="s">
        <v>1328</v>
      </c>
      <c r="B13166" s="192" t="s">
        <v>1329</v>
      </c>
      <c r="C13166" s="196">
        <v>0</v>
      </c>
      <c r="D13166" s="196">
        <v>0</v>
      </c>
      <c r="E13166" s="196">
        <v>176200</v>
      </c>
      <c r="F13166" s="196">
        <v>-176200</v>
      </c>
      <c r="G13166" s="196">
        <v>-176200</v>
      </c>
    </row>
    <row r="13167" spans="1:7" x14ac:dyDescent="0.3">
      <c r="A13167" s="198">
        <v>15381444</v>
      </c>
      <c r="B13167" s="192" t="s">
        <v>7001</v>
      </c>
      <c r="C13167" s="196">
        <v>-176200</v>
      </c>
      <c r="D13167" s="196">
        <v>0</v>
      </c>
      <c r="E13167" s="196">
        <v>0</v>
      </c>
      <c r="F13167" s="196">
        <v>0</v>
      </c>
      <c r="G13167" s="196">
        <v>-176200</v>
      </c>
    </row>
    <row r="13168" spans="1:7" x14ac:dyDescent="0.3">
      <c r="A13168" s="198">
        <v>36110068</v>
      </c>
      <c r="B13168" s="192" t="s">
        <v>5560</v>
      </c>
      <c r="C13168" s="196">
        <v>-176200</v>
      </c>
      <c r="D13168" s="196">
        <v>0</v>
      </c>
      <c r="E13168" s="196">
        <v>0</v>
      </c>
      <c r="F13168" s="196">
        <v>0</v>
      </c>
      <c r="G13168" s="196">
        <v>-176200</v>
      </c>
    </row>
    <row r="13169" spans="1:7" x14ac:dyDescent="0.3">
      <c r="A13169" s="198">
        <v>42879287</v>
      </c>
      <c r="B13169" s="192" t="s">
        <v>7003</v>
      </c>
      <c r="C13169" s="196">
        <v>-176200</v>
      </c>
      <c r="D13169" s="196">
        <v>0</v>
      </c>
      <c r="E13169" s="196">
        <v>0</v>
      </c>
      <c r="F13169" s="196">
        <v>0</v>
      </c>
      <c r="G13169" s="196">
        <v>-176200</v>
      </c>
    </row>
    <row r="13170" spans="1:7" x14ac:dyDescent="0.3">
      <c r="A13170" s="198">
        <v>900776128</v>
      </c>
      <c r="B13170" s="192" t="s">
        <v>1330</v>
      </c>
      <c r="C13170" s="196">
        <v>0</v>
      </c>
      <c r="D13170" s="196">
        <v>0</v>
      </c>
      <c r="E13170" s="196">
        <v>176200</v>
      </c>
      <c r="F13170" s="196">
        <v>-176200</v>
      </c>
      <c r="G13170" s="196">
        <v>-176200</v>
      </c>
    </row>
    <row r="13171" spans="1:7" x14ac:dyDescent="0.3">
      <c r="A13171" s="198">
        <v>21943456</v>
      </c>
      <c r="B13171" s="192" t="s">
        <v>1332</v>
      </c>
      <c r="C13171" s="196">
        <v>0</v>
      </c>
      <c r="D13171" s="196">
        <v>0</v>
      </c>
      <c r="E13171" s="196">
        <v>176200</v>
      </c>
      <c r="F13171" s="196">
        <v>-176200</v>
      </c>
      <c r="G13171" s="196">
        <v>-176200</v>
      </c>
    </row>
    <row r="13172" spans="1:7" x14ac:dyDescent="0.3">
      <c r="A13172" s="198">
        <v>43568430</v>
      </c>
      <c r="B13172" s="192" t="s">
        <v>5566</v>
      </c>
      <c r="C13172" s="196">
        <v>-176200</v>
      </c>
      <c r="D13172" s="196">
        <v>0</v>
      </c>
      <c r="E13172" s="196">
        <v>0</v>
      </c>
      <c r="F13172" s="196">
        <v>0</v>
      </c>
      <c r="G13172" s="196">
        <v>-176200</v>
      </c>
    </row>
    <row r="13173" spans="1:7" x14ac:dyDescent="0.3">
      <c r="A13173" s="198">
        <v>1220476572</v>
      </c>
      <c r="B13173" s="192" t="s">
        <v>7004</v>
      </c>
      <c r="C13173" s="196">
        <v>-176200</v>
      </c>
      <c r="D13173" s="196">
        <v>0</v>
      </c>
      <c r="E13173" s="196">
        <v>0</v>
      </c>
      <c r="F13173" s="196">
        <v>0</v>
      </c>
      <c r="G13173" s="196">
        <v>-176200</v>
      </c>
    </row>
    <row r="13174" spans="1:7" x14ac:dyDescent="0.3">
      <c r="A13174" s="198">
        <v>30573653</v>
      </c>
      <c r="B13174" s="192" t="s">
        <v>1336</v>
      </c>
      <c r="C13174" s="196">
        <v>0</v>
      </c>
      <c r="D13174" s="196">
        <v>0</v>
      </c>
      <c r="E13174" s="196">
        <v>176200</v>
      </c>
      <c r="F13174" s="196">
        <v>-176200</v>
      </c>
      <c r="G13174" s="196">
        <v>-176200</v>
      </c>
    </row>
    <row r="13175" spans="1:7" x14ac:dyDescent="0.3">
      <c r="A13175" s="198">
        <v>27294803</v>
      </c>
      <c r="B13175" s="192" t="s">
        <v>1343</v>
      </c>
      <c r="C13175" s="196">
        <v>0</v>
      </c>
      <c r="D13175" s="196">
        <v>0</v>
      </c>
      <c r="E13175" s="196">
        <v>176200</v>
      </c>
      <c r="F13175" s="196">
        <v>-176200</v>
      </c>
      <c r="G13175" s="196">
        <v>-176200</v>
      </c>
    </row>
    <row r="13176" spans="1:7" x14ac:dyDescent="0.3">
      <c r="A13176" s="198">
        <v>1065831893</v>
      </c>
      <c r="B13176" s="192" t="s">
        <v>7009</v>
      </c>
      <c r="C13176" s="196">
        <v>-105400</v>
      </c>
      <c r="D13176" s="196">
        <v>0</v>
      </c>
      <c r="E13176" s="196">
        <v>0</v>
      </c>
      <c r="F13176" s="196">
        <v>0</v>
      </c>
      <c r="G13176" s="196">
        <v>-105400</v>
      </c>
    </row>
    <row r="13177" spans="1:7" x14ac:dyDescent="0.3">
      <c r="A13177" s="198">
        <v>70548876</v>
      </c>
      <c r="B13177" s="192" t="s">
        <v>7011</v>
      </c>
      <c r="C13177" s="196">
        <v>-176200</v>
      </c>
      <c r="D13177" s="196">
        <v>0</v>
      </c>
      <c r="E13177" s="196">
        <v>0</v>
      </c>
      <c r="F13177" s="196">
        <v>0</v>
      </c>
      <c r="G13177" s="196">
        <v>-176200</v>
      </c>
    </row>
    <row r="13178" spans="1:7" x14ac:dyDescent="0.3">
      <c r="A13178" s="198">
        <v>8229300</v>
      </c>
      <c r="B13178" s="192" t="s">
        <v>7013</v>
      </c>
      <c r="C13178" s="196">
        <v>-176200</v>
      </c>
      <c r="D13178" s="196">
        <v>0</v>
      </c>
      <c r="E13178" s="196">
        <v>0</v>
      </c>
      <c r="F13178" s="196">
        <v>0</v>
      </c>
      <c r="G13178" s="196">
        <v>-176200</v>
      </c>
    </row>
    <row r="13179" spans="1:7" x14ac:dyDescent="0.3">
      <c r="A13179" s="198">
        <v>71705398</v>
      </c>
      <c r="B13179" s="192" t="s">
        <v>7014</v>
      </c>
      <c r="C13179" s="196">
        <v>-176200</v>
      </c>
      <c r="D13179" s="196">
        <v>0</v>
      </c>
      <c r="E13179" s="196">
        <v>0</v>
      </c>
      <c r="F13179" s="196">
        <v>0</v>
      </c>
      <c r="G13179" s="196">
        <v>-176200</v>
      </c>
    </row>
    <row r="13180" spans="1:7" x14ac:dyDescent="0.3">
      <c r="A13180" s="198">
        <v>43117098</v>
      </c>
      <c r="B13180" s="192" t="s">
        <v>7017</v>
      </c>
      <c r="C13180" s="196">
        <v>-238350</v>
      </c>
      <c r="D13180" s="196">
        <v>0</v>
      </c>
      <c r="E13180" s="196">
        <v>0</v>
      </c>
      <c r="F13180" s="196">
        <v>0</v>
      </c>
      <c r="G13180" s="196">
        <v>-238350</v>
      </c>
    </row>
    <row r="13181" spans="1:7" x14ac:dyDescent="0.3">
      <c r="A13181" s="198">
        <v>59311570</v>
      </c>
      <c r="B13181" s="192" t="s">
        <v>7018</v>
      </c>
      <c r="C13181" s="196">
        <v>-176200</v>
      </c>
      <c r="D13181" s="196">
        <v>0</v>
      </c>
      <c r="E13181" s="196">
        <v>0</v>
      </c>
      <c r="F13181" s="196">
        <v>0</v>
      </c>
      <c r="G13181" s="196">
        <v>-176200</v>
      </c>
    </row>
    <row r="13182" spans="1:7" x14ac:dyDescent="0.3">
      <c r="A13182" s="198">
        <v>43117008</v>
      </c>
      <c r="B13182" s="192" t="s">
        <v>7019</v>
      </c>
      <c r="C13182" s="196">
        <v>-176200</v>
      </c>
      <c r="D13182" s="196">
        <v>0</v>
      </c>
      <c r="E13182" s="196">
        <v>0</v>
      </c>
      <c r="F13182" s="196">
        <v>0</v>
      </c>
      <c r="G13182" s="196">
        <v>-176200</v>
      </c>
    </row>
    <row r="13183" spans="1:7" x14ac:dyDescent="0.3">
      <c r="A13183" s="198">
        <v>1040323032</v>
      </c>
      <c r="B13183" s="192" t="s">
        <v>7023</v>
      </c>
      <c r="C13183" s="196">
        <v>-105400</v>
      </c>
      <c r="D13183" s="196">
        <v>0</v>
      </c>
      <c r="E13183" s="196">
        <v>0</v>
      </c>
      <c r="F13183" s="196">
        <v>0</v>
      </c>
      <c r="G13183" s="196">
        <v>-105400</v>
      </c>
    </row>
    <row r="13184" spans="1:7" x14ac:dyDescent="0.3">
      <c r="A13184" s="198">
        <v>352383</v>
      </c>
      <c r="B13184" s="192" t="s">
        <v>1381</v>
      </c>
      <c r="C13184" s="196">
        <v>-176200</v>
      </c>
      <c r="D13184" s="196">
        <v>0</v>
      </c>
      <c r="E13184" s="196">
        <v>0</v>
      </c>
      <c r="F13184" s="196">
        <v>0</v>
      </c>
      <c r="G13184" s="196">
        <v>-176200</v>
      </c>
    </row>
    <row r="13185" spans="1:7" x14ac:dyDescent="0.3">
      <c r="A13185" s="198">
        <v>6695218</v>
      </c>
      <c r="B13185" s="192" t="s">
        <v>1384</v>
      </c>
      <c r="C13185" s="196">
        <v>-176200</v>
      </c>
      <c r="D13185" s="196">
        <v>0</v>
      </c>
      <c r="E13185" s="196">
        <v>176200</v>
      </c>
      <c r="F13185" s="196">
        <v>-176200</v>
      </c>
      <c r="G13185" s="196">
        <v>-352400</v>
      </c>
    </row>
    <row r="13186" spans="1:7" x14ac:dyDescent="0.3">
      <c r="A13186" s="198">
        <v>17950917</v>
      </c>
      <c r="B13186" s="192" t="s">
        <v>5711</v>
      </c>
      <c r="C13186" s="196">
        <v>-237100</v>
      </c>
      <c r="D13186" s="196">
        <v>0</v>
      </c>
      <c r="E13186" s="196">
        <v>0</v>
      </c>
      <c r="F13186" s="196">
        <v>0</v>
      </c>
      <c r="G13186" s="196">
        <v>-237100</v>
      </c>
    </row>
    <row r="13187" spans="1:7" x14ac:dyDescent="0.3">
      <c r="A13187" s="198">
        <v>98451584</v>
      </c>
      <c r="B13187" s="192" t="s">
        <v>7026</v>
      </c>
      <c r="C13187" s="196">
        <v>-176200</v>
      </c>
      <c r="D13187" s="196">
        <v>0</v>
      </c>
      <c r="E13187" s="196">
        <v>0</v>
      </c>
      <c r="F13187" s="196">
        <v>0</v>
      </c>
      <c r="G13187" s="196">
        <v>-176200</v>
      </c>
    </row>
    <row r="13188" spans="1:7" x14ac:dyDescent="0.3">
      <c r="A13188" s="192" t="s">
        <v>7027</v>
      </c>
      <c r="B13188" s="192" t="s">
        <v>7028</v>
      </c>
      <c r="C13188" s="196">
        <v>-176200</v>
      </c>
      <c r="D13188" s="196">
        <v>0</v>
      </c>
      <c r="E13188" s="196">
        <v>0</v>
      </c>
      <c r="F13188" s="196">
        <v>0</v>
      </c>
      <c r="G13188" s="196">
        <v>-176200</v>
      </c>
    </row>
    <row r="13189" spans="1:7" x14ac:dyDescent="0.3">
      <c r="A13189" s="198">
        <v>35745085</v>
      </c>
      <c r="B13189" s="192" t="s">
        <v>1397</v>
      </c>
      <c r="C13189" s="196">
        <v>-237100</v>
      </c>
      <c r="D13189" s="196">
        <v>0</v>
      </c>
      <c r="E13189" s="196">
        <v>0</v>
      </c>
      <c r="F13189" s="196">
        <v>0</v>
      </c>
      <c r="G13189" s="196">
        <v>-237100</v>
      </c>
    </row>
    <row r="13190" spans="1:7" x14ac:dyDescent="0.3">
      <c r="A13190" s="198">
        <v>3670838</v>
      </c>
      <c r="B13190" s="192" t="s">
        <v>7029</v>
      </c>
      <c r="C13190" s="196">
        <v>-176200</v>
      </c>
      <c r="D13190" s="196">
        <v>0</v>
      </c>
      <c r="E13190" s="196">
        <v>0</v>
      </c>
      <c r="F13190" s="196">
        <v>0</v>
      </c>
      <c r="G13190" s="196">
        <v>-176200</v>
      </c>
    </row>
    <row r="13191" spans="1:7" x14ac:dyDescent="0.3">
      <c r="A13191" s="192" t="s">
        <v>7030</v>
      </c>
      <c r="B13191" s="192" t="s">
        <v>7031</v>
      </c>
      <c r="C13191" s="196">
        <v>-105400</v>
      </c>
      <c r="D13191" s="196">
        <v>0</v>
      </c>
      <c r="E13191" s="196">
        <v>0</v>
      </c>
      <c r="F13191" s="196">
        <v>0</v>
      </c>
      <c r="G13191" s="196">
        <v>-105400</v>
      </c>
    </row>
    <row r="13192" spans="1:7" x14ac:dyDescent="0.3">
      <c r="A13192" s="192" t="s">
        <v>144</v>
      </c>
      <c r="B13192" s="192" t="s">
        <v>145</v>
      </c>
      <c r="C13192" s="196">
        <v>-176200</v>
      </c>
      <c r="D13192" s="196">
        <v>0</v>
      </c>
      <c r="E13192" s="196">
        <v>0</v>
      </c>
      <c r="F13192" s="196">
        <v>0</v>
      </c>
      <c r="G13192" s="196">
        <v>-176200</v>
      </c>
    </row>
    <row r="13193" spans="1:7" x14ac:dyDescent="0.3">
      <c r="A13193" s="198">
        <v>54252438</v>
      </c>
      <c r="B13193" s="192" t="s">
        <v>1407</v>
      </c>
      <c r="C13193" s="196">
        <v>0</v>
      </c>
      <c r="D13193" s="196">
        <v>0</v>
      </c>
      <c r="E13193" s="196">
        <v>176200</v>
      </c>
      <c r="F13193" s="196">
        <v>-176200</v>
      </c>
      <c r="G13193" s="196">
        <v>-176200</v>
      </c>
    </row>
    <row r="13194" spans="1:7" x14ac:dyDescent="0.3">
      <c r="A13194" s="198">
        <v>16615406</v>
      </c>
      <c r="B13194" s="192" t="s">
        <v>7035</v>
      </c>
      <c r="C13194" s="196">
        <v>-176200</v>
      </c>
      <c r="D13194" s="196">
        <v>0</v>
      </c>
      <c r="E13194" s="196">
        <v>0</v>
      </c>
      <c r="F13194" s="196">
        <v>0</v>
      </c>
      <c r="G13194" s="196">
        <v>-176200</v>
      </c>
    </row>
    <row r="13195" spans="1:7" x14ac:dyDescent="0.3">
      <c r="A13195" s="198">
        <v>32336875</v>
      </c>
      <c r="B13195" s="192" t="s">
        <v>7038</v>
      </c>
      <c r="C13195" s="196">
        <v>-176200</v>
      </c>
      <c r="D13195" s="196">
        <v>0</v>
      </c>
      <c r="E13195" s="196">
        <v>0</v>
      </c>
      <c r="F13195" s="196">
        <v>0</v>
      </c>
      <c r="G13195" s="196">
        <v>-176200</v>
      </c>
    </row>
    <row r="13196" spans="1:7" x14ac:dyDescent="0.3">
      <c r="A13196" s="198">
        <v>21387467</v>
      </c>
      <c r="B13196" s="192" t="s">
        <v>7040</v>
      </c>
      <c r="C13196" s="196">
        <v>-176200</v>
      </c>
      <c r="D13196" s="196">
        <v>0</v>
      </c>
      <c r="E13196" s="196">
        <v>0</v>
      </c>
      <c r="F13196" s="196">
        <v>0</v>
      </c>
      <c r="G13196" s="196">
        <v>-176200</v>
      </c>
    </row>
    <row r="13197" spans="1:7" x14ac:dyDescent="0.3">
      <c r="A13197" s="198">
        <v>21979476</v>
      </c>
      <c r="B13197" s="192" t="s">
        <v>1420</v>
      </c>
      <c r="C13197" s="196">
        <v>0</v>
      </c>
      <c r="D13197" s="196">
        <v>0</v>
      </c>
      <c r="E13197" s="196">
        <v>176200</v>
      </c>
      <c r="F13197" s="196">
        <v>-176200</v>
      </c>
      <c r="G13197" s="196">
        <v>-176200</v>
      </c>
    </row>
    <row r="13198" spans="1:7" x14ac:dyDescent="0.3">
      <c r="A13198" s="192" t="s">
        <v>7042</v>
      </c>
      <c r="B13198" s="192" t="s">
        <v>7043</v>
      </c>
      <c r="C13198" s="196">
        <v>-176200</v>
      </c>
      <c r="D13198" s="196">
        <v>0</v>
      </c>
      <c r="E13198" s="196">
        <v>0</v>
      </c>
      <c r="F13198" s="196">
        <v>0</v>
      </c>
      <c r="G13198" s="196">
        <v>-176200</v>
      </c>
    </row>
    <row r="13199" spans="1:7" x14ac:dyDescent="0.3">
      <c r="A13199" s="198">
        <v>1033257274</v>
      </c>
      <c r="B13199" s="192" t="s">
        <v>7044</v>
      </c>
      <c r="C13199" s="196">
        <v>-135500</v>
      </c>
      <c r="D13199" s="196">
        <v>0</v>
      </c>
      <c r="E13199" s="196">
        <v>0</v>
      </c>
      <c r="F13199" s="196">
        <v>0</v>
      </c>
      <c r="G13199" s="196">
        <v>-135500</v>
      </c>
    </row>
    <row r="13200" spans="1:7" x14ac:dyDescent="0.3">
      <c r="A13200" s="198">
        <v>1037633834</v>
      </c>
      <c r="B13200" s="192" t="s">
        <v>7049</v>
      </c>
      <c r="C13200" s="196">
        <v>-105400</v>
      </c>
      <c r="D13200" s="196">
        <v>0</v>
      </c>
      <c r="E13200" s="196">
        <v>0</v>
      </c>
      <c r="F13200" s="196">
        <v>0</v>
      </c>
      <c r="G13200" s="196">
        <v>-105400</v>
      </c>
    </row>
    <row r="13201" spans="1:7" x14ac:dyDescent="0.3">
      <c r="A13201" s="198">
        <v>37120928</v>
      </c>
      <c r="B13201" s="192" t="s">
        <v>1439</v>
      </c>
      <c r="C13201" s="196">
        <v>0</v>
      </c>
      <c r="D13201" s="196">
        <v>0</v>
      </c>
      <c r="E13201" s="196">
        <v>176200</v>
      </c>
      <c r="F13201" s="196">
        <v>-176200</v>
      </c>
      <c r="G13201" s="196">
        <v>-176200</v>
      </c>
    </row>
    <row r="13202" spans="1:7" x14ac:dyDescent="0.3">
      <c r="A13202" s="198">
        <v>43204829</v>
      </c>
      <c r="B13202" s="192" t="s">
        <v>7052</v>
      </c>
      <c r="C13202" s="196">
        <v>-176200</v>
      </c>
      <c r="D13202" s="196">
        <v>0</v>
      </c>
      <c r="E13202" s="196">
        <v>0</v>
      </c>
      <c r="F13202" s="196">
        <v>0</v>
      </c>
      <c r="G13202" s="196">
        <v>-176200</v>
      </c>
    </row>
    <row r="13203" spans="1:7" x14ac:dyDescent="0.3">
      <c r="A13203" s="198">
        <v>42131936</v>
      </c>
      <c r="B13203" s="192" t="s">
        <v>5908</v>
      </c>
      <c r="C13203" s="196">
        <v>-176200</v>
      </c>
      <c r="D13203" s="196">
        <v>0</v>
      </c>
      <c r="E13203" s="196">
        <v>0</v>
      </c>
      <c r="F13203" s="196">
        <v>0</v>
      </c>
      <c r="G13203" s="196">
        <v>-176200</v>
      </c>
    </row>
    <row r="13204" spans="1:7" x14ac:dyDescent="0.3">
      <c r="A13204" s="198">
        <v>1007118138</v>
      </c>
      <c r="B13204" s="192" t="s">
        <v>1447</v>
      </c>
      <c r="C13204" s="196">
        <v>-176200</v>
      </c>
      <c r="D13204" s="196">
        <v>0</v>
      </c>
      <c r="E13204" s="196">
        <v>0</v>
      </c>
      <c r="F13204" s="196">
        <v>0</v>
      </c>
      <c r="G13204" s="196">
        <v>-176200</v>
      </c>
    </row>
    <row r="13205" spans="1:7" x14ac:dyDescent="0.3">
      <c r="A13205" s="198">
        <v>8426855</v>
      </c>
      <c r="B13205" s="192" t="s">
        <v>7057</v>
      </c>
      <c r="C13205" s="196">
        <v>-176200</v>
      </c>
      <c r="D13205" s="196">
        <v>0</v>
      </c>
      <c r="E13205" s="196">
        <v>0</v>
      </c>
      <c r="F13205" s="196">
        <v>0</v>
      </c>
      <c r="G13205" s="196">
        <v>-176200</v>
      </c>
    </row>
    <row r="13206" spans="1:7" x14ac:dyDescent="0.3">
      <c r="A13206" s="198">
        <v>98555752</v>
      </c>
      <c r="B13206" s="192" t="s">
        <v>7058</v>
      </c>
      <c r="C13206" s="196">
        <v>-176200</v>
      </c>
      <c r="D13206" s="196">
        <v>0</v>
      </c>
      <c r="E13206" s="196">
        <v>0</v>
      </c>
      <c r="F13206" s="196">
        <v>0</v>
      </c>
      <c r="G13206" s="196">
        <v>-176200</v>
      </c>
    </row>
    <row r="13207" spans="1:7" x14ac:dyDescent="0.3">
      <c r="A13207" s="198">
        <v>3383810</v>
      </c>
      <c r="B13207" s="192" t="s">
        <v>7059</v>
      </c>
      <c r="C13207" s="196">
        <v>-176200</v>
      </c>
      <c r="D13207" s="196">
        <v>0</v>
      </c>
      <c r="E13207" s="196">
        <v>0</v>
      </c>
      <c r="F13207" s="196">
        <v>0</v>
      </c>
      <c r="G13207" s="196">
        <v>-176200</v>
      </c>
    </row>
    <row r="13208" spans="1:7" x14ac:dyDescent="0.3">
      <c r="A13208" s="198">
        <v>21742667</v>
      </c>
      <c r="B13208" s="192" t="s">
        <v>7072</v>
      </c>
      <c r="C13208" s="196">
        <v>-176200</v>
      </c>
      <c r="D13208" s="196">
        <v>0</v>
      </c>
      <c r="E13208" s="196">
        <v>0</v>
      </c>
      <c r="F13208" s="196">
        <v>0</v>
      </c>
      <c r="G13208" s="196">
        <v>-176200</v>
      </c>
    </row>
    <row r="13209" spans="1:7" x14ac:dyDescent="0.3">
      <c r="A13209" s="198">
        <v>1152184713</v>
      </c>
      <c r="B13209" s="192" t="s">
        <v>7074</v>
      </c>
      <c r="C13209" s="196">
        <v>-105400</v>
      </c>
      <c r="D13209" s="196">
        <v>0</v>
      </c>
      <c r="E13209" s="196">
        <v>0</v>
      </c>
      <c r="F13209" s="196">
        <v>0</v>
      </c>
      <c r="G13209" s="196">
        <v>-105400</v>
      </c>
    </row>
    <row r="13210" spans="1:7" x14ac:dyDescent="0.3">
      <c r="A13210" s="198">
        <v>50872795</v>
      </c>
      <c r="B13210" s="192" t="s">
        <v>7077</v>
      </c>
      <c r="C13210" s="196">
        <v>-176200</v>
      </c>
      <c r="D13210" s="196">
        <v>0</v>
      </c>
      <c r="E13210" s="196">
        <v>0</v>
      </c>
      <c r="F13210" s="196">
        <v>0</v>
      </c>
      <c r="G13210" s="196">
        <v>-176200</v>
      </c>
    </row>
    <row r="13211" spans="1:7" x14ac:dyDescent="0.3">
      <c r="A13211" s="198">
        <v>32320278</v>
      </c>
      <c r="B13211" s="192" t="s">
        <v>7079</v>
      </c>
      <c r="C13211" s="196">
        <v>-176200</v>
      </c>
      <c r="D13211" s="196">
        <v>0</v>
      </c>
      <c r="E13211" s="196">
        <v>0</v>
      </c>
      <c r="F13211" s="196">
        <v>0</v>
      </c>
      <c r="G13211" s="196">
        <v>-176200</v>
      </c>
    </row>
    <row r="13212" spans="1:7" x14ac:dyDescent="0.3">
      <c r="A13212" s="198">
        <v>1094880470</v>
      </c>
      <c r="B13212" s="192" t="s">
        <v>1491</v>
      </c>
      <c r="C13212" s="196">
        <v>0</v>
      </c>
      <c r="D13212" s="196">
        <v>0</v>
      </c>
      <c r="E13212" s="196">
        <v>237100</v>
      </c>
      <c r="F13212" s="196">
        <v>-237100</v>
      </c>
      <c r="G13212" s="196">
        <v>-237100</v>
      </c>
    </row>
    <row r="13213" spans="1:7" x14ac:dyDescent="0.3">
      <c r="A13213" s="198">
        <v>29757007</v>
      </c>
      <c r="B13213" s="192" t="s">
        <v>1497</v>
      </c>
      <c r="C13213" s="196">
        <v>0</v>
      </c>
      <c r="D13213" s="196">
        <v>0</v>
      </c>
      <c r="E13213" s="196">
        <v>176200</v>
      </c>
      <c r="F13213" s="196">
        <v>-176200</v>
      </c>
      <c r="G13213" s="196">
        <v>-176200</v>
      </c>
    </row>
    <row r="13214" spans="1:7" x14ac:dyDescent="0.3">
      <c r="A13214" s="198">
        <v>1128273286</v>
      </c>
      <c r="B13214" s="192" t="s">
        <v>1498</v>
      </c>
      <c r="C13214" s="196">
        <v>0</v>
      </c>
      <c r="D13214" s="196">
        <v>0</v>
      </c>
      <c r="E13214" s="196">
        <v>176200</v>
      </c>
      <c r="F13214" s="196">
        <v>-176200</v>
      </c>
      <c r="G13214" s="196">
        <v>-176200</v>
      </c>
    </row>
    <row r="13215" spans="1:7" x14ac:dyDescent="0.3">
      <c r="A13215" s="198">
        <v>1017213586</v>
      </c>
      <c r="B13215" s="192" t="s">
        <v>7083</v>
      </c>
      <c r="C13215" s="196">
        <v>-105400</v>
      </c>
      <c r="D13215" s="196">
        <v>0</v>
      </c>
      <c r="E13215" s="196">
        <v>0</v>
      </c>
      <c r="F13215" s="196">
        <v>0</v>
      </c>
      <c r="G13215" s="196">
        <v>-105400</v>
      </c>
    </row>
    <row r="13216" spans="1:7" x14ac:dyDescent="0.3">
      <c r="A13216" s="198">
        <v>1001154620</v>
      </c>
      <c r="B13216" s="192" t="s">
        <v>7089</v>
      </c>
      <c r="C13216" s="196">
        <v>-105400</v>
      </c>
      <c r="D13216" s="196">
        <v>0</v>
      </c>
      <c r="E13216" s="196">
        <v>0</v>
      </c>
      <c r="F13216" s="196">
        <v>0</v>
      </c>
      <c r="G13216" s="196">
        <v>-105400</v>
      </c>
    </row>
    <row r="13217" spans="1:7" x14ac:dyDescent="0.3">
      <c r="A13217" s="198">
        <v>21410257</v>
      </c>
      <c r="B13217" s="192" t="s">
        <v>7091</v>
      </c>
      <c r="C13217" s="196">
        <v>-176200</v>
      </c>
      <c r="D13217" s="196">
        <v>0</v>
      </c>
      <c r="E13217" s="196">
        <v>0</v>
      </c>
      <c r="F13217" s="196">
        <v>0</v>
      </c>
      <c r="G13217" s="196">
        <v>-176200</v>
      </c>
    </row>
    <row r="13218" spans="1:7" x14ac:dyDescent="0.3">
      <c r="A13218" s="198">
        <v>43466973</v>
      </c>
      <c r="B13218" s="192" t="s">
        <v>7092</v>
      </c>
      <c r="C13218" s="196">
        <v>-176200</v>
      </c>
      <c r="D13218" s="196">
        <v>0</v>
      </c>
      <c r="E13218" s="196">
        <v>0</v>
      </c>
      <c r="F13218" s="196">
        <v>0</v>
      </c>
      <c r="G13218" s="196">
        <v>-176200</v>
      </c>
    </row>
    <row r="13219" spans="1:7" x14ac:dyDescent="0.3">
      <c r="A13219" s="198">
        <v>473014</v>
      </c>
      <c r="B13219" s="192" t="s">
        <v>7094</v>
      </c>
      <c r="C13219" s="196">
        <v>-176200</v>
      </c>
      <c r="D13219" s="196">
        <v>0</v>
      </c>
      <c r="E13219" s="196">
        <v>0</v>
      </c>
      <c r="F13219" s="196">
        <v>0</v>
      </c>
      <c r="G13219" s="196">
        <v>-176200</v>
      </c>
    </row>
    <row r="13220" spans="1:7" x14ac:dyDescent="0.3">
      <c r="A13220" s="198">
        <v>80419835</v>
      </c>
      <c r="B13220" s="192" t="s">
        <v>1528</v>
      </c>
      <c r="C13220" s="196">
        <v>0</v>
      </c>
      <c r="D13220" s="196">
        <v>0</v>
      </c>
      <c r="E13220" s="196">
        <v>176200</v>
      </c>
      <c r="F13220" s="196">
        <v>-176200</v>
      </c>
      <c r="G13220" s="196">
        <v>-176200</v>
      </c>
    </row>
    <row r="13221" spans="1:7" x14ac:dyDescent="0.3">
      <c r="A13221" s="198">
        <v>1054875392</v>
      </c>
      <c r="B13221" s="192" t="s">
        <v>7105</v>
      </c>
      <c r="C13221" s="196">
        <v>-176200</v>
      </c>
      <c r="D13221" s="196">
        <v>0</v>
      </c>
      <c r="E13221" s="196">
        <v>0</v>
      </c>
      <c r="F13221" s="196">
        <v>0</v>
      </c>
      <c r="G13221" s="196">
        <v>-176200</v>
      </c>
    </row>
    <row r="13222" spans="1:7" x14ac:dyDescent="0.3">
      <c r="A13222" s="198">
        <v>43592088</v>
      </c>
      <c r="B13222" s="192" t="s">
        <v>7111</v>
      </c>
      <c r="C13222" s="196">
        <v>-311650</v>
      </c>
      <c r="D13222" s="196">
        <v>0</v>
      </c>
      <c r="E13222" s="196">
        <v>0</v>
      </c>
      <c r="F13222" s="196">
        <v>0</v>
      </c>
      <c r="G13222" s="196">
        <v>-311650</v>
      </c>
    </row>
    <row r="13223" spans="1:7" x14ac:dyDescent="0.3">
      <c r="A13223" s="198">
        <v>501264</v>
      </c>
      <c r="B13223" s="192" t="s">
        <v>7115</v>
      </c>
      <c r="C13223" s="196">
        <v>-176200</v>
      </c>
      <c r="D13223" s="196">
        <v>0</v>
      </c>
      <c r="E13223" s="196">
        <v>0</v>
      </c>
      <c r="F13223" s="196">
        <v>0</v>
      </c>
      <c r="G13223" s="196">
        <v>-176200</v>
      </c>
    </row>
    <row r="13224" spans="1:7" x14ac:dyDescent="0.3">
      <c r="A13224" s="198">
        <v>1045021359</v>
      </c>
      <c r="B13224" s="192" t="s">
        <v>7116</v>
      </c>
      <c r="C13224" s="196">
        <v>-237100</v>
      </c>
      <c r="D13224" s="196">
        <v>0</v>
      </c>
      <c r="E13224" s="196">
        <v>0</v>
      </c>
      <c r="F13224" s="196">
        <v>0</v>
      </c>
      <c r="G13224" s="196">
        <v>-237100</v>
      </c>
    </row>
    <row r="13225" spans="1:7" x14ac:dyDescent="0.3">
      <c r="A13225" s="198">
        <v>3489146</v>
      </c>
      <c r="B13225" s="192" t="s">
        <v>1563</v>
      </c>
      <c r="C13225" s="196">
        <v>-176201</v>
      </c>
      <c r="D13225" s="196">
        <v>0</v>
      </c>
      <c r="E13225" s="196">
        <v>0</v>
      </c>
      <c r="F13225" s="196">
        <v>0</v>
      </c>
      <c r="G13225" s="196">
        <v>-176201</v>
      </c>
    </row>
    <row r="13226" spans="1:7" x14ac:dyDescent="0.3">
      <c r="A13226" s="198">
        <v>901601980</v>
      </c>
      <c r="B13226" s="192" t="s">
        <v>1615</v>
      </c>
      <c r="C13226" s="196">
        <v>-11340000</v>
      </c>
      <c r="D13226" s="196">
        <v>0</v>
      </c>
      <c r="E13226" s="196">
        <v>0</v>
      </c>
      <c r="F13226" s="196">
        <v>0</v>
      </c>
      <c r="G13226" s="196">
        <v>-11340000</v>
      </c>
    </row>
    <row r="13227" spans="1:7" x14ac:dyDescent="0.3">
      <c r="A13227" s="198">
        <v>1112767498</v>
      </c>
      <c r="B13227" s="192" t="s">
        <v>7121</v>
      </c>
      <c r="C13227" s="196">
        <v>-105400</v>
      </c>
      <c r="D13227" s="196">
        <v>0</v>
      </c>
      <c r="E13227" s="196">
        <v>0</v>
      </c>
      <c r="F13227" s="196">
        <v>0</v>
      </c>
      <c r="G13227" s="196">
        <v>-105400</v>
      </c>
    </row>
    <row r="13228" spans="1:7" x14ac:dyDescent="0.3">
      <c r="A13228" s="198">
        <v>32106351</v>
      </c>
      <c r="B13228" s="192" t="s">
        <v>7122</v>
      </c>
      <c r="C13228" s="196">
        <v>-176200</v>
      </c>
      <c r="D13228" s="196">
        <v>0</v>
      </c>
      <c r="E13228" s="196">
        <v>0</v>
      </c>
      <c r="F13228" s="196">
        <v>0</v>
      </c>
      <c r="G13228" s="196">
        <v>-176200</v>
      </c>
    </row>
    <row r="13229" spans="1:7" x14ac:dyDescent="0.3">
      <c r="A13229" s="198">
        <v>71362408</v>
      </c>
      <c r="B13229" s="192" t="s">
        <v>7127</v>
      </c>
      <c r="C13229" s="196">
        <v>-105400</v>
      </c>
      <c r="D13229" s="196">
        <v>0</v>
      </c>
      <c r="E13229" s="196">
        <v>0</v>
      </c>
      <c r="F13229" s="196">
        <v>0</v>
      </c>
      <c r="G13229" s="196">
        <v>-105400</v>
      </c>
    </row>
    <row r="13230" spans="1:7" x14ac:dyDescent="0.3">
      <c r="A13230" s="198">
        <v>8458181</v>
      </c>
      <c r="B13230" s="192" t="s">
        <v>7129</v>
      </c>
      <c r="C13230" s="196">
        <v>-159800</v>
      </c>
      <c r="D13230" s="196">
        <v>0</v>
      </c>
      <c r="E13230" s="196">
        <v>0</v>
      </c>
      <c r="F13230" s="196">
        <v>0</v>
      </c>
      <c r="G13230" s="196">
        <v>-159800</v>
      </c>
    </row>
    <row r="13231" spans="1:7" x14ac:dyDescent="0.3">
      <c r="A13231" s="198">
        <v>1067845400</v>
      </c>
      <c r="B13231" s="192" t="s">
        <v>1573</v>
      </c>
      <c r="C13231" s="196">
        <v>-105400</v>
      </c>
      <c r="D13231" s="196">
        <v>0</v>
      </c>
      <c r="E13231" s="196">
        <v>0</v>
      </c>
      <c r="F13231" s="196">
        <v>0</v>
      </c>
      <c r="G13231" s="196">
        <v>-105400</v>
      </c>
    </row>
    <row r="13232" spans="1:7" x14ac:dyDescent="0.3">
      <c r="A13232" s="198">
        <v>43838140</v>
      </c>
      <c r="B13232" s="192" t="s">
        <v>7137</v>
      </c>
      <c r="C13232" s="196">
        <v>-176200</v>
      </c>
      <c r="D13232" s="196">
        <v>0</v>
      </c>
      <c r="E13232" s="196">
        <v>0</v>
      </c>
      <c r="F13232" s="196">
        <v>0</v>
      </c>
      <c r="G13232" s="196">
        <v>-176200</v>
      </c>
    </row>
    <row r="13233" spans="1:7" x14ac:dyDescent="0.3">
      <c r="A13233" s="198">
        <v>1121825664</v>
      </c>
      <c r="B13233" s="192" t="s">
        <v>1584</v>
      </c>
      <c r="C13233" s="196">
        <v>-176200</v>
      </c>
      <c r="D13233" s="196">
        <v>0</v>
      </c>
      <c r="E13233" s="196">
        <v>0</v>
      </c>
      <c r="F13233" s="196">
        <v>0</v>
      </c>
      <c r="G13233" s="196">
        <v>-176200</v>
      </c>
    </row>
    <row r="13234" spans="1:7" x14ac:dyDescent="0.3">
      <c r="A13234" s="198">
        <v>1017183589</v>
      </c>
      <c r="B13234" s="192" t="s">
        <v>7144</v>
      </c>
      <c r="C13234" s="196">
        <v>-238350</v>
      </c>
      <c r="D13234" s="196">
        <v>0</v>
      </c>
      <c r="E13234" s="196">
        <v>0</v>
      </c>
      <c r="F13234" s="196">
        <v>0</v>
      </c>
      <c r="G13234" s="196">
        <v>-238350</v>
      </c>
    </row>
    <row r="13235" spans="1:7" x14ac:dyDescent="0.3">
      <c r="A13235" s="198">
        <v>1128459292</v>
      </c>
      <c r="B13235" s="192" t="s">
        <v>7146</v>
      </c>
      <c r="C13235" s="196">
        <v>-105400</v>
      </c>
      <c r="D13235" s="196">
        <v>0</v>
      </c>
      <c r="E13235" s="196">
        <v>0</v>
      </c>
      <c r="F13235" s="196">
        <v>0</v>
      </c>
      <c r="G13235" s="196">
        <v>-105400</v>
      </c>
    </row>
    <row r="13236" spans="1:7" x14ac:dyDescent="0.3">
      <c r="A13236" s="198">
        <v>1039460955</v>
      </c>
      <c r="B13236" s="192" t="s">
        <v>7148</v>
      </c>
      <c r="C13236" s="196">
        <v>-96000</v>
      </c>
      <c r="D13236" s="196">
        <v>0</v>
      </c>
      <c r="E13236" s="196">
        <v>0</v>
      </c>
      <c r="F13236" s="196">
        <v>0</v>
      </c>
      <c r="G13236" s="196">
        <v>-96000</v>
      </c>
    </row>
    <row r="13237" spans="1:7" x14ac:dyDescent="0.3">
      <c r="A13237" s="198">
        <v>32728706</v>
      </c>
      <c r="B13237" s="192" t="s">
        <v>7163</v>
      </c>
      <c r="C13237" s="196">
        <v>-176200</v>
      </c>
      <c r="D13237" s="196">
        <v>0</v>
      </c>
      <c r="E13237" s="196">
        <v>0</v>
      </c>
      <c r="F13237" s="196">
        <v>0</v>
      </c>
      <c r="G13237" s="196">
        <v>-176200</v>
      </c>
    </row>
    <row r="13238" spans="1:7" x14ac:dyDescent="0.3">
      <c r="A13238" s="197">
        <v>4255</v>
      </c>
      <c r="B13238" s="191" t="s">
        <v>7437</v>
      </c>
      <c r="C13238" s="195">
        <v>-1692542</v>
      </c>
      <c r="D13238" s="195">
        <v>0</v>
      </c>
      <c r="E13238" s="195">
        <v>0</v>
      </c>
      <c r="F13238" s="195">
        <v>0</v>
      </c>
      <c r="G13238" s="195">
        <v>-1692542</v>
      </c>
    </row>
    <row r="13239" spans="1:7" x14ac:dyDescent="0.3">
      <c r="A13239" s="198">
        <v>425540</v>
      </c>
      <c r="B13239" s="192" t="s">
        <v>7438</v>
      </c>
      <c r="C13239" s="196">
        <v>-1692542</v>
      </c>
      <c r="D13239" s="196">
        <v>0</v>
      </c>
      <c r="E13239" s="196">
        <v>0</v>
      </c>
      <c r="F13239" s="196">
        <v>0</v>
      </c>
      <c r="G13239" s="196">
        <v>-1692542</v>
      </c>
    </row>
    <row r="13240" spans="1:7" x14ac:dyDescent="0.3">
      <c r="A13240" s="198">
        <v>800088702</v>
      </c>
      <c r="B13240" s="192" t="s">
        <v>2032</v>
      </c>
      <c r="C13240" s="196">
        <v>-1692542</v>
      </c>
      <c r="D13240" s="196">
        <v>0</v>
      </c>
      <c r="E13240" s="196">
        <v>0</v>
      </c>
      <c r="F13240" s="196">
        <v>0</v>
      </c>
      <c r="G13240" s="196">
        <v>-1692542</v>
      </c>
    </row>
    <row r="13241" spans="1:7" x14ac:dyDescent="0.3">
      <c r="A13241" s="197">
        <v>4295</v>
      </c>
      <c r="B13241" s="191" t="s">
        <v>71</v>
      </c>
      <c r="C13241" s="195">
        <v>-11000</v>
      </c>
      <c r="D13241" s="195">
        <v>0</v>
      </c>
      <c r="E13241" s="195">
        <v>323909.15999999997</v>
      </c>
      <c r="F13241" s="195">
        <v>-323909.15999999997</v>
      </c>
      <c r="G13241" s="195">
        <v>-334909.15999999997</v>
      </c>
    </row>
    <row r="13242" spans="1:7" x14ac:dyDescent="0.3">
      <c r="A13242" s="197">
        <v>429505</v>
      </c>
      <c r="B13242" s="191" t="s">
        <v>71</v>
      </c>
      <c r="C13242" s="195">
        <v>-11000</v>
      </c>
      <c r="D13242" s="195">
        <v>0</v>
      </c>
      <c r="E13242" s="195">
        <v>323909.15999999997</v>
      </c>
      <c r="F13242" s="195">
        <v>-323909.15999999997</v>
      </c>
      <c r="G13242" s="195">
        <v>-334909.15999999997</v>
      </c>
    </row>
    <row r="13243" spans="1:7" x14ac:dyDescent="0.3">
      <c r="A13243" s="198">
        <v>42950501</v>
      </c>
      <c r="B13243" s="192" t="s">
        <v>7439</v>
      </c>
      <c r="C13243" s="196">
        <v>-11000</v>
      </c>
      <c r="D13243" s="196">
        <v>0</v>
      </c>
      <c r="E13243" s="196">
        <v>323909.15999999997</v>
      </c>
      <c r="F13243" s="196">
        <v>-323909.15999999997</v>
      </c>
      <c r="G13243" s="196">
        <v>-334909.15999999997</v>
      </c>
    </row>
    <row r="13244" spans="1:7" x14ac:dyDescent="0.3">
      <c r="A13244" s="198">
        <v>900640334</v>
      </c>
      <c r="B13244" s="192" t="s">
        <v>336</v>
      </c>
      <c r="C13244" s="196">
        <v>0</v>
      </c>
      <c r="D13244" s="196">
        <v>0</v>
      </c>
      <c r="E13244" s="196">
        <v>323909.15999999997</v>
      </c>
      <c r="F13244" s="196">
        <v>-323909.15999999997</v>
      </c>
      <c r="G13244" s="196">
        <v>-323909.15999999997</v>
      </c>
    </row>
    <row r="13245" spans="1:7" x14ac:dyDescent="0.3">
      <c r="A13245" s="198">
        <v>800106339</v>
      </c>
      <c r="B13245" s="192" t="s">
        <v>454</v>
      </c>
      <c r="C13245" s="196">
        <v>-11000</v>
      </c>
      <c r="D13245" s="196">
        <v>0</v>
      </c>
      <c r="E13245" s="196">
        <v>0</v>
      </c>
      <c r="F13245" s="196">
        <v>0</v>
      </c>
      <c r="G13245" s="196">
        <v>-11000</v>
      </c>
    </row>
    <row r="13246" spans="1:7" x14ac:dyDescent="0.3">
      <c r="A13246" s="197">
        <v>5</v>
      </c>
      <c r="B13246" s="191" t="s">
        <v>7440</v>
      </c>
      <c r="C13246" s="195">
        <v>3461103468.8200002</v>
      </c>
      <c r="D13246" s="195">
        <v>562000065.13999999</v>
      </c>
      <c r="E13246" s="195">
        <v>3922736.03</v>
      </c>
      <c r="F13246" s="195">
        <v>558077329.11000001</v>
      </c>
      <c r="G13246" s="195">
        <v>4019180797.9299998</v>
      </c>
    </row>
    <row r="13247" spans="1:7" x14ac:dyDescent="0.3">
      <c r="A13247" s="197">
        <v>51</v>
      </c>
      <c r="B13247" s="191" t="s">
        <v>7441</v>
      </c>
      <c r="C13247" s="195">
        <v>3168434582.9099998</v>
      </c>
      <c r="D13247" s="195">
        <v>514030399.57999998</v>
      </c>
      <c r="E13247" s="195">
        <v>2900414.7</v>
      </c>
      <c r="F13247" s="195">
        <v>511129984.88</v>
      </c>
      <c r="G13247" s="195">
        <v>3679564567.79</v>
      </c>
    </row>
    <row r="13248" spans="1:7" x14ac:dyDescent="0.3">
      <c r="A13248" s="197">
        <v>5105</v>
      </c>
      <c r="B13248" s="191" t="s">
        <v>7442</v>
      </c>
      <c r="C13248" s="195">
        <v>885898840.97000003</v>
      </c>
      <c r="D13248" s="195">
        <v>158626092.00999999</v>
      </c>
      <c r="E13248" s="195">
        <v>108748</v>
      </c>
      <c r="F13248" s="195">
        <v>158517344.00999999</v>
      </c>
      <c r="G13248" s="195">
        <v>1044416184.98</v>
      </c>
    </row>
    <row r="13249" spans="1:7" x14ac:dyDescent="0.3">
      <c r="A13249" s="197">
        <v>510506</v>
      </c>
      <c r="B13249" s="191" t="s">
        <v>7443</v>
      </c>
      <c r="C13249" s="195">
        <v>556510884</v>
      </c>
      <c r="D13249" s="195">
        <v>97314384</v>
      </c>
      <c r="E13249" s="195">
        <v>0</v>
      </c>
      <c r="F13249" s="195">
        <v>97314384</v>
      </c>
      <c r="G13249" s="195">
        <v>653825268</v>
      </c>
    </row>
    <row r="13250" spans="1:7" x14ac:dyDescent="0.3">
      <c r="A13250" s="198">
        <v>51050601</v>
      </c>
      <c r="B13250" s="192" t="s">
        <v>7444</v>
      </c>
      <c r="C13250" s="196">
        <v>556510884</v>
      </c>
      <c r="D13250" s="196">
        <v>97314384</v>
      </c>
      <c r="E13250" s="196">
        <v>0</v>
      </c>
      <c r="F13250" s="196">
        <v>97314384</v>
      </c>
      <c r="G13250" s="196">
        <v>653825268</v>
      </c>
    </row>
    <row r="13251" spans="1:7" x14ac:dyDescent="0.3">
      <c r="A13251" s="198">
        <v>31948684</v>
      </c>
      <c r="B13251" s="192" t="s">
        <v>165</v>
      </c>
      <c r="C13251" s="196">
        <v>69600000</v>
      </c>
      <c r="D13251" s="196">
        <v>12000000</v>
      </c>
      <c r="E13251" s="196">
        <v>0</v>
      </c>
      <c r="F13251" s="196">
        <v>12000000</v>
      </c>
      <c r="G13251" s="196">
        <v>81600000</v>
      </c>
    </row>
    <row r="13252" spans="1:7" x14ac:dyDescent="0.3">
      <c r="A13252" s="198">
        <v>1193166396</v>
      </c>
      <c r="B13252" s="192" t="s">
        <v>1625</v>
      </c>
      <c r="C13252" s="196">
        <v>30165600</v>
      </c>
      <c r="D13252" s="196">
        <v>2566667</v>
      </c>
      <c r="E13252" s="196">
        <v>0</v>
      </c>
      <c r="F13252" s="196">
        <v>2566667</v>
      </c>
      <c r="G13252" s="196">
        <v>32732267</v>
      </c>
    </row>
    <row r="13253" spans="1:7" x14ac:dyDescent="0.3">
      <c r="A13253" s="198">
        <v>1020423981</v>
      </c>
      <c r="B13253" s="192" t="s">
        <v>2030</v>
      </c>
      <c r="C13253" s="196">
        <v>12743333</v>
      </c>
      <c r="D13253" s="196">
        <v>2400000</v>
      </c>
      <c r="E13253" s="196">
        <v>0</v>
      </c>
      <c r="F13253" s="196">
        <v>2400000</v>
      </c>
      <c r="G13253" s="196">
        <v>15143333</v>
      </c>
    </row>
    <row r="13254" spans="1:7" x14ac:dyDescent="0.3">
      <c r="A13254" s="198">
        <v>1152689568</v>
      </c>
      <c r="B13254" s="192" t="s">
        <v>1705</v>
      </c>
      <c r="C13254" s="196">
        <v>15220000</v>
      </c>
      <c r="D13254" s="196">
        <v>2700000</v>
      </c>
      <c r="E13254" s="196">
        <v>0</v>
      </c>
      <c r="F13254" s="196">
        <v>2700000</v>
      </c>
      <c r="G13254" s="196">
        <v>17920000</v>
      </c>
    </row>
    <row r="13255" spans="1:7" x14ac:dyDescent="0.3">
      <c r="A13255" s="198">
        <v>1037266322</v>
      </c>
      <c r="B13255" s="192" t="s">
        <v>2031</v>
      </c>
      <c r="C13255" s="196">
        <v>2310000</v>
      </c>
      <c r="D13255" s="196">
        <v>0</v>
      </c>
      <c r="E13255" s="196">
        <v>0</v>
      </c>
      <c r="F13255" s="196">
        <v>0</v>
      </c>
      <c r="G13255" s="196">
        <v>2310000</v>
      </c>
    </row>
    <row r="13256" spans="1:7" x14ac:dyDescent="0.3">
      <c r="A13256" s="198">
        <v>32144343</v>
      </c>
      <c r="B13256" s="192" t="s">
        <v>1706</v>
      </c>
      <c r="C13256" s="196">
        <v>9513256</v>
      </c>
      <c r="D13256" s="196">
        <v>1750906</v>
      </c>
      <c r="E13256" s="196">
        <v>0</v>
      </c>
      <c r="F13256" s="196">
        <v>1750906</v>
      </c>
      <c r="G13256" s="196">
        <v>11264162</v>
      </c>
    </row>
    <row r="13257" spans="1:7" x14ac:dyDescent="0.3">
      <c r="A13257" s="198">
        <v>1037583982</v>
      </c>
      <c r="B13257" s="192" t="s">
        <v>1798</v>
      </c>
      <c r="C13257" s="196">
        <v>27633333</v>
      </c>
      <c r="D13257" s="196">
        <v>5400000</v>
      </c>
      <c r="E13257" s="196">
        <v>0</v>
      </c>
      <c r="F13257" s="196">
        <v>5400000</v>
      </c>
      <c r="G13257" s="196">
        <v>33033333</v>
      </c>
    </row>
    <row r="13258" spans="1:7" x14ac:dyDescent="0.3">
      <c r="A13258" s="198">
        <v>1017266622</v>
      </c>
      <c r="B13258" s="192" t="s">
        <v>1707</v>
      </c>
      <c r="C13258" s="196">
        <v>16779333</v>
      </c>
      <c r="D13258" s="196">
        <v>2900000</v>
      </c>
      <c r="E13258" s="196">
        <v>0</v>
      </c>
      <c r="F13258" s="196">
        <v>2900000</v>
      </c>
      <c r="G13258" s="196">
        <v>19679333</v>
      </c>
    </row>
    <row r="13259" spans="1:7" x14ac:dyDescent="0.3">
      <c r="A13259" s="198">
        <v>1036641303</v>
      </c>
      <c r="B13259" s="192" t="s">
        <v>2034</v>
      </c>
      <c r="C13259" s="196">
        <v>11646667</v>
      </c>
      <c r="D13259" s="196">
        <v>2513333</v>
      </c>
      <c r="E13259" s="196">
        <v>0</v>
      </c>
      <c r="F13259" s="196">
        <v>2513333</v>
      </c>
      <c r="G13259" s="196">
        <v>14160000</v>
      </c>
    </row>
    <row r="13260" spans="1:7" x14ac:dyDescent="0.3">
      <c r="A13260" s="198">
        <v>1037570707</v>
      </c>
      <c r="B13260" s="192" t="s">
        <v>1677</v>
      </c>
      <c r="C13260" s="196">
        <v>13084733</v>
      </c>
      <c r="D13260" s="196">
        <v>2300000</v>
      </c>
      <c r="E13260" s="196">
        <v>0</v>
      </c>
      <c r="F13260" s="196">
        <v>2300000</v>
      </c>
      <c r="G13260" s="196">
        <v>15384733</v>
      </c>
    </row>
    <row r="13261" spans="1:7" x14ac:dyDescent="0.3">
      <c r="A13261" s="198">
        <v>1001660174</v>
      </c>
      <c r="B13261" s="192" t="s">
        <v>2318</v>
      </c>
      <c r="C13261" s="196">
        <v>5980000</v>
      </c>
      <c r="D13261" s="196">
        <v>2300000</v>
      </c>
      <c r="E13261" s="196">
        <v>0</v>
      </c>
      <c r="F13261" s="196">
        <v>2300000</v>
      </c>
      <c r="G13261" s="196">
        <v>8280000</v>
      </c>
    </row>
    <row r="13262" spans="1:7" x14ac:dyDescent="0.3">
      <c r="A13262" s="198">
        <v>43190602</v>
      </c>
      <c r="B13262" s="192" t="s">
        <v>1708</v>
      </c>
      <c r="C13262" s="196">
        <v>11485000</v>
      </c>
      <c r="D13262" s="196">
        <v>2100000</v>
      </c>
      <c r="E13262" s="196">
        <v>0</v>
      </c>
      <c r="F13262" s="196">
        <v>2100000</v>
      </c>
      <c r="G13262" s="196">
        <v>13585000</v>
      </c>
    </row>
    <row r="13263" spans="1:7" x14ac:dyDescent="0.3">
      <c r="A13263" s="198">
        <v>3901013</v>
      </c>
      <c r="B13263" s="192" t="s">
        <v>1709</v>
      </c>
      <c r="C13263" s="196">
        <v>44400000</v>
      </c>
      <c r="D13263" s="196">
        <v>4533333</v>
      </c>
      <c r="E13263" s="196">
        <v>0</v>
      </c>
      <c r="F13263" s="196">
        <v>4533333</v>
      </c>
      <c r="G13263" s="196">
        <v>48933333</v>
      </c>
    </row>
    <row r="13264" spans="1:7" x14ac:dyDescent="0.3">
      <c r="A13264" s="198">
        <v>43605890</v>
      </c>
      <c r="B13264" s="192" t="s">
        <v>565</v>
      </c>
      <c r="C13264" s="196">
        <v>31660000</v>
      </c>
      <c r="D13264" s="196">
        <v>5500000</v>
      </c>
      <c r="E13264" s="196">
        <v>0</v>
      </c>
      <c r="F13264" s="196">
        <v>5500000</v>
      </c>
      <c r="G13264" s="196">
        <v>37160000</v>
      </c>
    </row>
    <row r="13265" spans="1:7" x14ac:dyDescent="0.3">
      <c r="A13265" s="198">
        <v>1036685923</v>
      </c>
      <c r="B13265" s="192" t="s">
        <v>1710</v>
      </c>
      <c r="C13265" s="196">
        <v>16493333</v>
      </c>
      <c r="D13265" s="196">
        <v>2900000</v>
      </c>
      <c r="E13265" s="196">
        <v>0</v>
      </c>
      <c r="F13265" s="196">
        <v>2900000</v>
      </c>
      <c r="G13265" s="196">
        <v>19393333</v>
      </c>
    </row>
    <row r="13266" spans="1:7" x14ac:dyDescent="0.3">
      <c r="A13266" s="198">
        <v>1007551247</v>
      </c>
      <c r="B13266" s="192" t="s">
        <v>1712</v>
      </c>
      <c r="C13266" s="196">
        <v>175267</v>
      </c>
      <c r="D13266" s="196">
        <v>0</v>
      </c>
      <c r="E13266" s="196">
        <v>0</v>
      </c>
      <c r="F13266" s="196">
        <v>0</v>
      </c>
      <c r="G13266" s="196">
        <v>175267</v>
      </c>
    </row>
    <row r="13267" spans="1:7" x14ac:dyDescent="0.3">
      <c r="A13267" s="198">
        <v>1017133284</v>
      </c>
      <c r="B13267" s="192" t="s">
        <v>2037</v>
      </c>
      <c r="C13267" s="196">
        <v>8750000</v>
      </c>
      <c r="D13267" s="196">
        <v>383333</v>
      </c>
      <c r="E13267" s="196">
        <v>0</v>
      </c>
      <c r="F13267" s="196">
        <v>383333</v>
      </c>
      <c r="G13267" s="196">
        <v>9133333</v>
      </c>
    </row>
    <row r="13268" spans="1:7" x14ac:dyDescent="0.3">
      <c r="A13268" s="198">
        <v>1020436418</v>
      </c>
      <c r="B13268" s="192" t="s">
        <v>2040</v>
      </c>
      <c r="C13268" s="196">
        <v>8960000</v>
      </c>
      <c r="D13268" s="196">
        <v>2100000</v>
      </c>
      <c r="E13268" s="196">
        <v>0</v>
      </c>
      <c r="F13268" s="196">
        <v>2100000</v>
      </c>
      <c r="G13268" s="196">
        <v>11060000</v>
      </c>
    </row>
    <row r="13269" spans="1:7" x14ac:dyDescent="0.3">
      <c r="A13269" s="198">
        <v>1216723387</v>
      </c>
      <c r="B13269" s="192" t="s">
        <v>1713</v>
      </c>
      <c r="C13269" s="196">
        <v>16821066</v>
      </c>
      <c r="D13269" s="196">
        <v>3000000</v>
      </c>
      <c r="E13269" s="196">
        <v>0</v>
      </c>
      <c r="F13269" s="196">
        <v>3000000</v>
      </c>
      <c r="G13269" s="196">
        <v>19821066</v>
      </c>
    </row>
    <row r="13270" spans="1:7" x14ac:dyDescent="0.3">
      <c r="A13270" s="198">
        <v>1040752245</v>
      </c>
      <c r="B13270" s="192" t="s">
        <v>1678</v>
      </c>
      <c r="C13270" s="196">
        <v>12376347</v>
      </c>
      <c r="D13270" s="196">
        <v>2146667</v>
      </c>
      <c r="E13270" s="196">
        <v>0</v>
      </c>
      <c r="F13270" s="196">
        <v>2146667</v>
      </c>
      <c r="G13270" s="196">
        <v>14523014</v>
      </c>
    </row>
    <row r="13271" spans="1:7" x14ac:dyDescent="0.3">
      <c r="A13271" s="198">
        <v>6549128</v>
      </c>
      <c r="B13271" s="192" t="s">
        <v>2043</v>
      </c>
      <c r="C13271" s="196">
        <v>30000000</v>
      </c>
      <c r="D13271" s="196">
        <v>5000000</v>
      </c>
      <c r="E13271" s="196">
        <v>0</v>
      </c>
      <c r="F13271" s="196">
        <v>5000000</v>
      </c>
      <c r="G13271" s="196">
        <v>35000000</v>
      </c>
    </row>
    <row r="13272" spans="1:7" x14ac:dyDescent="0.3">
      <c r="A13272" s="198">
        <v>1020431035</v>
      </c>
      <c r="B13272" s="192" t="s">
        <v>1923</v>
      </c>
      <c r="C13272" s="196">
        <v>7436667</v>
      </c>
      <c r="D13272" s="196">
        <v>2300000</v>
      </c>
      <c r="E13272" s="196">
        <v>0</v>
      </c>
      <c r="F13272" s="196">
        <v>2300000</v>
      </c>
      <c r="G13272" s="196">
        <v>9736667</v>
      </c>
    </row>
    <row r="13273" spans="1:7" x14ac:dyDescent="0.3">
      <c r="A13273" s="198">
        <v>1026158953</v>
      </c>
      <c r="B13273" s="192" t="s">
        <v>2046</v>
      </c>
      <c r="C13273" s="196">
        <v>11696666</v>
      </c>
      <c r="D13273" s="196">
        <v>2223333</v>
      </c>
      <c r="E13273" s="196">
        <v>0</v>
      </c>
      <c r="F13273" s="196">
        <v>2223333</v>
      </c>
      <c r="G13273" s="196">
        <v>13919999</v>
      </c>
    </row>
    <row r="13274" spans="1:7" x14ac:dyDescent="0.3">
      <c r="A13274" s="198">
        <v>1035858442</v>
      </c>
      <c r="B13274" s="192" t="s">
        <v>1927</v>
      </c>
      <c r="C13274" s="196">
        <v>15169866</v>
      </c>
      <c r="D13274" s="196">
        <v>2800000</v>
      </c>
      <c r="E13274" s="196">
        <v>0</v>
      </c>
      <c r="F13274" s="196">
        <v>2800000</v>
      </c>
      <c r="G13274" s="196">
        <v>17969866</v>
      </c>
    </row>
    <row r="13275" spans="1:7" x14ac:dyDescent="0.3">
      <c r="A13275" s="198">
        <v>52245050</v>
      </c>
      <c r="B13275" s="192" t="s">
        <v>2319</v>
      </c>
      <c r="C13275" s="196">
        <v>2918176</v>
      </c>
      <c r="D13275" s="196">
        <v>1750906</v>
      </c>
      <c r="E13275" s="196">
        <v>0</v>
      </c>
      <c r="F13275" s="196">
        <v>1750906</v>
      </c>
      <c r="G13275" s="196">
        <v>4669082</v>
      </c>
    </row>
    <row r="13276" spans="1:7" x14ac:dyDescent="0.3">
      <c r="A13276" s="198">
        <v>1027740123</v>
      </c>
      <c r="B13276" s="192" t="s">
        <v>1928</v>
      </c>
      <c r="C13276" s="196">
        <v>4550000</v>
      </c>
      <c r="D13276" s="196">
        <v>0</v>
      </c>
      <c r="E13276" s="196">
        <v>0</v>
      </c>
      <c r="F13276" s="196">
        <v>0</v>
      </c>
      <c r="G13276" s="196">
        <v>4550000</v>
      </c>
    </row>
    <row r="13277" spans="1:7" x14ac:dyDescent="0.3">
      <c r="A13277" s="198">
        <v>43256222</v>
      </c>
      <c r="B13277" s="192" t="s">
        <v>2049</v>
      </c>
      <c r="C13277" s="196">
        <v>11437333</v>
      </c>
      <c r="D13277" s="196">
        <v>2030000</v>
      </c>
      <c r="E13277" s="196">
        <v>0</v>
      </c>
      <c r="F13277" s="196">
        <v>2030000</v>
      </c>
      <c r="G13277" s="196">
        <v>13467333</v>
      </c>
    </row>
    <row r="13278" spans="1:7" x14ac:dyDescent="0.3">
      <c r="A13278" s="198">
        <v>1017284611</v>
      </c>
      <c r="B13278" s="192" t="s">
        <v>1715</v>
      </c>
      <c r="C13278" s="196">
        <v>10505436</v>
      </c>
      <c r="D13278" s="196">
        <v>1750906</v>
      </c>
      <c r="E13278" s="196">
        <v>0</v>
      </c>
      <c r="F13278" s="196">
        <v>1750906</v>
      </c>
      <c r="G13278" s="196">
        <v>12256342</v>
      </c>
    </row>
    <row r="13279" spans="1:7" x14ac:dyDescent="0.3">
      <c r="A13279" s="198">
        <v>1127941794</v>
      </c>
      <c r="B13279" s="192" t="s">
        <v>1274</v>
      </c>
      <c r="C13279" s="196">
        <v>43200000</v>
      </c>
      <c r="D13279" s="196">
        <v>10800000</v>
      </c>
      <c r="E13279" s="196">
        <v>0</v>
      </c>
      <c r="F13279" s="196">
        <v>10800000</v>
      </c>
      <c r="G13279" s="196">
        <v>54000000</v>
      </c>
    </row>
    <row r="13280" spans="1:7" x14ac:dyDescent="0.3">
      <c r="A13280" s="198">
        <v>43550437</v>
      </c>
      <c r="B13280" s="192" t="s">
        <v>1936</v>
      </c>
      <c r="C13280" s="196">
        <v>1369105</v>
      </c>
      <c r="D13280" s="196">
        <v>0</v>
      </c>
      <c r="E13280" s="196">
        <v>0</v>
      </c>
      <c r="F13280" s="196">
        <v>0</v>
      </c>
      <c r="G13280" s="196">
        <v>1369105</v>
      </c>
    </row>
    <row r="13281" spans="1:7" x14ac:dyDescent="0.3">
      <c r="A13281" s="198">
        <v>809106</v>
      </c>
      <c r="B13281" s="192" t="s">
        <v>1680</v>
      </c>
      <c r="C13281" s="196">
        <v>10800000</v>
      </c>
      <c r="D13281" s="196">
        <v>1800000</v>
      </c>
      <c r="E13281" s="196">
        <v>0</v>
      </c>
      <c r="F13281" s="196">
        <v>1800000</v>
      </c>
      <c r="G13281" s="196">
        <v>12600000</v>
      </c>
    </row>
    <row r="13282" spans="1:7" x14ac:dyDescent="0.3">
      <c r="A13282" s="198">
        <v>1017184852</v>
      </c>
      <c r="B13282" s="192" t="s">
        <v>1716</v>
      </c>
      <c r="C13282" s="196">
        <v>14477833</v>
      </c>
      <c r="D13282" s="196">
        <v>2915000</v>
      </c>
      <c r="E13282" s="196">
        <v>0</v>
      </c>
      <c r="F13282" s="196">
        <v>2915000</v>
      </c>
      <c r="G13282" s="196">
        <v>17392833</v>
      </c>
    </row>
    <row r="13283" spans="1:7" x14ac:dyDescent="0.3">
      <c r="A13283" s="198">
        <v>1040748779</v>
      </c>
      <c r="B13283" s="192" t="s">
        <v>2055</v>
      </c>
      <c r="C13283" s="196">
        <v>17040000</v>
      </c>
      <c r="D13283" s="196">
        <v>3300000</v>
      </c>
      <c r="E13283" s="196">
        <v>0</v>
      </c>
      <c r="F13283" s="196">
        <v>3300000</v>
      </c>
      <c r="G13283" s="196">
        <v>20340000</v>
      </c>
    </row>
    <row r="13284" spans="1:7" x14ac:dyDescent="0.3">
      <c r="A13284" s="198">
        <v>1000639361</v>
      </c>
      <c r="B13284" s="192" t="s">
        <v>2058</v>
      </c>
      <c r="C13284" s="196">
        <v>4592534</v>
      </c>
      <c r="D13284" s="196">
        <v>0</v>
      </c>
      <c r="E13284" s="196">
        <v>0</v>
      </c>
      <c r="F13284" s="196">
        <v>0</v>
      </c>
      <c r="G13284" s="196">
        <v>4592534</v>
      </c>
    </row>
    <row r="13285" spans="1:7" x14ac:dyDescent="0.3">
      <c r="A13285" s="198">
        <v>1015067177</v>
      </c>
      <c r="B13285" s="192" t="s">
        <v>2320</v>
      </c>
      <c r="C13285" s="196">
        <v>5520000</v>
      </c>
      <c r="D13285" s="196">
        <v>1150000</v>
      </c>
      <c r="E13285" s="196">
        <v>0</v>
      </c>
      <c r="F13285" s="196">
        <v>1150000</v>
      </c>
      <c r="G13285" s="196">
        <v>6670000</v>
      </c>
    </row>
    <row r="13286" spans="1:7" x14ac:dyDescent="0.3">
      <c r="A13286" s="197">
        <v>510515</v>
      </c>
      <c r="B13286" s="191" t="s">
        <v>7445</v>
      </c>
      <c r="C13286" s="195">
        <v>2188819</v>
      </c>
      <c r="D13286" s="195">
        <v>624464</v>
      </c>
      <c r="E13286" s="195">
        <v>0</v>
      </c>
      <c r="F13286" s="195">
        <v>624464</v>
      </c>
      <c r="G13286" s="195">
        <v>2813283</v>
      </c>
    </row>
    <row r="13287" spans="1:7" x14ac:dyDescent="0.3">
      <c r="A13287" s="198">
        <v>51051501</v>
      </c>
      <c r="B13287" s="192" t="s">
        <v>7445</v>
      </c>
      <c r="C13287" s="196">
        <v>2188819</v>
      </c>
      <c r="D13287" s="196">
        <v>624464</v>
      </c>
      <c r="E13287" s="196">
        <v>0</v>
      </c>
      <c r="F13287" s="196">
        <v>624464</v>
      </c>
      <c r="G13287" s="196">
        <v>2813283</v>
      </c>
    </row>
    <row r="13288" spans="1:7" x14ac:dyDescent="0.3">
      <c r="A13288" s="198">
        <v>1020423981</v>
      </c>
      <c r="B13288" s="192" t="s">
        <v>2030</v>
      </c>
      <c r="C13288" s="196">
        <v>27273</v>
      </c>
      <c r="D13288" s="196">
        <v>0</v>
      </c>
      <c r="E13288" s="196">
        <v>0</v>
      </c>
      <c r="F13288" s="196">
        <v>0</v>
      </c>
      <c r="G13288" s="196">
        <v>27273</v>
      </c>
    </row>
    <row r="13289" spans="1:7" x14ac:dyDescent="0.3">
      <c r="A13289" s="198">
        <v>1152689568</v>
      </c>
      <c r="B13289" s="192" t="s">
        <v>1705</v>
      </c>
      <c r="C13289" s="196">
        <v>136364</v>
      </c>
      <c r="D13289" s="196">
        <v>192857</v>
      </c>
      <c r="E13289" s="196">
        <v>0</v>
      </c>
      <c r="F13289" s="196">
        <v>192857</v>
      </c>
      <c r="G13289" s="196">
        <v>329221</v>
      </c>
    </row>
    <row r="13290" spans="1:7" x14ac:dyDescent="0.3">
      <c r="A13290" s="198">
        <v>1037583982</v>
      </c>
      <c r="B13290" s="192" t="s">
        <v>1798</v>
      </c>
      <c r="C13290" s="196">
        <v>522727</v>
      </c>
      <c r="D13290" s="196">
        <v>0</v>
      </c>
      <c r="E13290" s="196">
        <v>0</v>
      </c>
      <c r="F13290" s="196">
        <v>0</v>
      </c>
      <c r="G13290" s="196">
        <v>522727</v>
      </c>
    </row>
    <row r="13291" spans="1:7" x14ac:dyDescent="0.3">
      <c r="A13291" s="198">
        <v>1017133284</v>
      </c>
      <c r="B13291" s="192" t="s">
        <v>2037</v>
      </c>
      <c r="C13291" s="196">
        <v>53057</v>
      </c>
      <c r="D13291" s="196">
        <v>0</v>
      </c>
      <c r="E13291" s="196">
        <v>0</v>
      </c>
      <c r="F13291" s="196">
        <v>0</v>
      </c>
      <c r="G13291" s="196">
        <v>53057</v>
      </c>
    </row>
    <row r="13292" spans="1:7" x14ac:dyDescent="0.3">
      <c r="A13292" s="198">
        <v>1216723387</v>
      </c>
      <c r="B13292" s="192" t="s">
        <v>1713</v>
      </c>
      <c r="C13292" s="196">
        <v>68182</v>
      </c>
      <c r="D13292" s="196">
        <v>0</v>
      </c>
      <c r="E13292" s="196">
        <v>0</v>
      </c>
      <c r="F13292" s="196">
        <v>0</v>
      </c>
      <c r="G13292" s="196">
        <v>68182</v>
      </c>
    </row>
    <row r="13293" spans="1:7" x14ac:dyDescent="0.3">
      <c r="A13293" s="198">
        <v>1020431035</v>
      </c>
      <c r="B13293" s="192" t="s">
        <v>1923</v>
      </c>
      <c r="C13293" s="196">
        <v>40250</v>
      </c>
      <c r="D13293" s="196">
        <v>28750</v>
      </c>
      <c r="E13293" s="196">
        <v>0</v>
      </c>
      <c r="F13293" s="196">
        <v>28750</v>
      </c>
      <c r="G13293" s="196">
        <v>69000</v>
      </c>
    </row>
    <row r="13294" spans="1:7" x14ac:dyDescent="0.3">
      <c r="A13294" s="198">
        <v>809106</v>
      </c>
      <c r="B13294" s="192" t="s">
        <v>1680</v>
      </c>
      <c r="C13294" s="196">
        <v>994091</v>
      </c>
      <c r="D13294" s="196">
        <v>402857</v>
      </c>
      <c r="E13294" s="196">
        <v>0</v>
      </c>
      <c r="F13294" s="196">
        <v>402857</v>
      </c>
      <c r="G13294" s="196">
        <v>1396948</v>
      </c>
    </row>
    <row r="13295" spans="1:7" x14ac:dyDescent="0.3">
      <c r="A13295" s="198">
        <v>1040748779</v>
      </c>
      <c r="B13295" s="192" t="s">
        <v>2055</v>
      </c>
      <c r="C13295" s="196">
        <v>346875</v>
      </c>
      <c r="D13295" s="196">
        <v>0</v>
      </c>
      <c r="E13295" s="196">
        <v>0</v>
      </c>
      <c r="F13295" s="196">
        <v>0</v>
      </c>
      <c r="G13295" s="196">
        <v>346875</v>
      </c>
    </row>
    <row r="13296" spans="1:7" x14ac:dyDescent="0.3">
      <c r="A13296" s="197">
        <v>510524</v>
      </c>
      <c r="B13296" s="191" t="s">
        <v>7438</v>
      </c>
      <c r="C13296" s="195">
        <v>5206675</v>
      </c>
      <c r="D13296" s="195">
        <v>1594120</v>
      </c>
      <c r="E13296" s="195">
        <v>108748</v>
      </c>
      <c r="F13296" s="195">
        <v>1485372</v>
      </c>
      <c r="G13296" s="195">
        <v>6692047</v>
      </c>
    </row>
    <row r="13297" spans="1:7" x14ac:dyDescent="0.3">
      <c r="A13297" s="198">
        <v>51052401</v>
      </c>
      <c r="B13297" s="192" t="s">
        <v>7438</v>
      </c>
      <c r="C13297" s="196">
        <v>5206675</v>
      </c>
      <c r="D13297" s="196">
        <v>1594120</v>
      </c>
      <c r="E13297" s="196">
        <v>108748</v>
      </c>
      <c r="F13297" s="196">
        <v>1485372</v>
      </c>
      <c r="G13297" s="196">
        <v>6692047</v>
      </c>
    </row>
    <row r="13298" spans="1:7" x14ac:dyDescent="0.3">
      <c r="A13298" s="198">
        <v>32144343</v>
      </c>
      <c r="B13298" s="192" t="s">
        <v>1706</v>
      </c>
      <c r="C13298" s="196">
        <v>155638</v>
      </c>
      <c r="D13298" s="196">
        <v>0</v>
      </c>
      <c r="E13298" s="196">
        <v>0</v>
      </c>
      <c r="F13298" s="196">
        <v>0</v>
      </c>
      <c r="G13298" s="196">
        <v>155638</v>
      </c>
    </row>
    <row r="13299" spans="1:7" x14ac:dyDescent="0.3">
      <c r="A13299" s="198">
        <v>1036641303</v>
      </c>
      <c r="B13299" s="192" t="s">
        <v>2034</v>
      </c>
      <c r="C13299" s="196">
        <v>1670457</v>
      </c>
      <c r="D13299" s="196">
        <v>0</v>
      </c>
      <c r="E13299" s="196">
        <v>0</v>
      </c>
      <c r="F13299" s="196">
        <v>0</v>
      </c>
      <c r="G13299" s="196">
        <v>1670457</v>
      </c>
    </row>
    <row r="13300" spans="1:7" x14ac:dyDescent="0.3">
      <c r="A13300" s="198">
        <v>1017133284</v>
      </c>
      <c r="B13300" s="192" t="s">
        <v>2037</v>
      </c>
      <c r="C13300" s="196">
        <v>1942304</v>
      </c>
      <c r="D13300" s="196">
        <v>1459089</v>
      </c>
      <c r="E13300" s="196">
        <v>108748</v>
      </c>
      <c r="F13300" s="196">
        <v>1350341</v>
      </c>
      <c r="G13300" s="196">
        <v>3292645</v>
      </c>
    </row>
    <row r="13301" spans="1:7" x14ac:dyDescent="0.3">
      <c r="A13301" s="198">
        <v>1040752245</v>
      </c>
      <c r="B13301" s="192" t="s">
        <v>1678</v>
      </c>
      <c r="C13301" s="196">
        <v>76667</v>
      </c>
      <c r="D13301" s="196">
        <v>0</v>
      </c>
      <c r="E13301" s="196">
        <v>0</v>
      </c>
      <c r="F13301" s="196">
        <v>0</v>
      </c>
      <c r="G13301" s="196">
        <v>76667</v>
      </c>
    </row>
    <row r="13302" spans="1:7" x14ac:dyDescent="0.3">
      <c r="A13302" s="198">
        <v>1128385262</v>
      </c>
      <c r="B13302" s="192" t="s">
        <v>1714</v>
      </c>
      <c r="C13302" s="196">
        <v>291500</v>
      </c>
      <c r="D13302" s="196">
        <v>0</v>
      </c>
      <c r="E13302" s="196">
        <v>0</v>
      </c>
      <c r="F13302" s="196">
        <v>0</v>
      </c>
      <c r="G13302" s="196">
        <v>291500</v>
      </c>
    </row>
    <row r="13303" spans="1:7" x14ac:dyDescent="0.3">
      <c r="A13303" s="198">
        <v>1026158953</v>
      </c>
      <c r="B13303" s="192" t="s">
        <v>2046</v>
      </c>
      <c r="C13303" s="196">
        <v>76667</v>
      </c>
      <c r="D13303" s="196">
        <v>76667</v>
      </c>
      <c r="E13303" s="196">
        <v>0</v>
      </c>
      <c r="F13303" s="196">
        <v>76667</v>
      </c>
      <c r="G13303" s="196">
        <v>153334</v>
      </c>
    </row>
    <row r="13304" spans="1:7" x14ac:dyDescent="0.3">
      <c r="A13304" s="198">
        <v>1035858442</v>
      </c>
      <c r="B13304" s="192" t="s">
        <v>1927</v>
      </c>
      <c r="C13304" s="196">
        <v>361934</v>
      </c>
      <c r="D13304" s="196">
        <v>0</v>
      </c>
      <c r="E13304" s="196">
        <v>0</v>
      </c>
      <c r="F13304" s="196">
        <v>0</v>
      </c>
      <c r="G13304" s="196">
        <v>361934</v>
      </c>
    </row>
    <row r="13305" spans="1:7" x14ac:dyDescent="0.3">
      <c r="A13305" s="198">
        <v>1028042115</v>
      </c>
      <c r="B13305" s="192" t="s">
        <v>2067</v>
      </c>
      <c r="C13305" s="196">
        <v>116727</v>
      </c>
      <c r="D13305" s="196">
        <v>58364</v>
      </c>
      <c r="E13305" s="196">
        <v>0</v>
      </c>
      <c r="F13305" s="196">
        <v>58364</v>
      </c>
      <c r="G13305" s="196">
        <v>175091</v>
      </c>
    </row>
    <row r="13306" spans="1:7" x14ac:dyDescent="0.3">
      <c r="A13306" s="198">
        <v>1040748779</v>
      </c>
      <c r="B13306" s="192" t="s">
        <v>2055</v>
      </c>
      <c r="C13306" s="196">
        <v>220000</v>
      </c>
      <c r="D13306" s="196">
        <v>0</v>
      </c>
      <c r="E13306" s="196">
        <v>0</v>
      </c>
      <c r="F13306" s="196">
        <v>0</v>
      </c>
      <c r="G13306" s="196">
        <v>220000</v>
      </c>
    </row>
    <row r="13307" spans="1:7" x14ac:dyDescent="0.3">
      <c r="A13307" s="198">
        <v>1001764247</v>
      </c>
      <c r="B13307" s="192" t="s">
        <v>2057</v>
      </c>
      <c r="C13307" s="196">
        <v>64781</v>
      </c>
      <c r="D13307" s="196">
        <v>0</v>
      </c>
      <c r="E13307" s="196">
        <v>0</v>
      </c>
      <c r="F13307" s="196">
        <v>0</v>
      </c>
      <c r="G13307" s="196">
        <v>64781</v>
      </c>
    </row>
    <row r="13308" spans="1:7" x14ac:dyDescent="0.3">
      <c r="A13308" s="198">
        <v>1015067177</v>
      </c>
      <c r="B13308" s="192" t="s">
        <v>2320</v>
      </c>
      <c r="C13308" s="196">
        <v>230000</v>
      </c>
      <c r="D13308" s="196">
        <v>0</v>
      </c>
      <c r="E13308" s="196">
        <v>0</v>
      </c>
      <c r="F13308" s="196">
        <v>0</v>
      </c>
      <c r="G13308" s="196">
        <v>230000</v>
      </c>
    </row>
    <row r="13309" spans="1:7" x14ac:dyDescent="0.3">
      <c r="A13309" s="197">
        <v>510527</v>
      </c>
      <c r="B13309" s="191" t="s">
        <v>7446</v>
      </c>
      <c r="C13309" s="195">
        <v>29700430</v>
      </c>
      <c r="D13309" s="195">
        <v>5355544</v>
      </c>
      <c r="E13309" s="195">
        <v>0</v>
      </c>
      <c r="F13309" s="195">
        <v>5355544</v>
      </c>
      <c r="G13309" s="195">
        <v>35055974</v>
      </c>
    </row>
    <row r="13310" spans="1:7" x14ac:dyDescent="0.3">
      <c r="A13310" s="198">
        <v>51052701</v>
      </c>
      <c r="B13310" s="192" t="s">
        <v>7446</v>
      </c>
      <c r="C13310" s="196">
        <v>29700430</v>
      </c>
      <c r="D13310" s="196">
        <v>5355544</v>
      </c>
      <c r="E13310" s="196">
        <v>0</v>
      </c>
      <c r="F13310" s="196">
        <v>5355544</v>
      </c>
      <c r="G13310" s="196">
        <v>35055974</v>
      </c>
    </row>
    <row r="13311" spans="1:7" x14ac:dyDescent="0.3">
      <c r="A13311" s="198">
        <v>1020423981</v>
      </c>
      <c r="B13311" s="192" t="s">
        <v>2030</v>
      </c>
      <c r="C13311" s="196">
        <v>1328507</v>
      </c>
      <c r="D13311" s="196">
        <v>249095</v>
      </c>
      <c r="E13311" s="196">
        <v>0</v>
      </c>
      <c r="F13311" s="196">
        <v>249095</v>
      </c>
      <c r="G13311" s="196">
        <v>1577602</v>
      </c>
    </row>
    <row r="13312" spans="1:7" x14ac:dyDescent="0.3">
      <c r="A13312" s="198">
        <v>1152689568</v>
      </c>
      <c r="B13312" s="192" t="s">
        <v>1705</v>
      </c>
      <c r="C13312" s="196">
        <v>1428145</v>
      </c>
      <c r="D13312" s="196">
        <v>249095</v>
      </c>
      <c r="E13312" s="196">
        <v>0</v>
      </c>
      <c r="F13312" s="196">
        <v>249095</v>
      </c>
      <c r="G13312" s="196">
        <v>1677240</v>
      </c>
    </row>
    <row r="13313" spans="1:7" x14ac:dyDescent="0.3">
      <c r="A13313" s="198">
        <v>1037266322</v>
      </c>
      <c r="B13313" s="192" t="s">
        <v>2031</v>
      </c>
      <c r="C13313" s="196">
        <v>274005</v>
      </c>
      <c r="D13313" s="196">
        <v>0</v>
      </c>
      <c r="E13313" s="196">
        <v>0</v>
      </c>
      <c r="F13313" s="196">
        <v>0</v>
      </c>
      <c r="G13313" s="196">
        <v>274005</v>
      </c>
    </row>
    <row r="13314" spans="1:7" x14ac:dyDescent="0.3">
      <c r="A13314" s="198">
        <v>32144343</v>
      </c>
      <c r="B13314" s="192" t="s">
        <v>1706</v>
      </c>
      <c r="C13314" s="196">
        <v>1353416</v>
      </c>
      <c r="D13314" s="196">
        <v>249095</v>
      </c>
      <c r="E13314" s="196">
        <v>0</v>
      </c>
      <c r="F13314" s="196">
        <v>249095</v>
      </c>
      <c r="G13314" s="196">
        <v>1602511</v>
      </c>
    </row>
    <row r="13315" spans="1:7" x14ac:dyDescent="0.3">
      <c r="A13315" s="198">
        <v>1017266622</v>
      </c>
      <c r="B13315" s="192" t="s">
        <v>1707</v>
      </c>
      <c r="C13315" s="196">
        <v>1461357</v>
      </c>
      <c r="D13315" s="196">
        <v>249095</v>
      </c>
      <c r="E13315" s="196">
        <v>0</v>
      </c>
      <c r="F13315" s="196">
        <v>249095</v>
      </c>
      <c r="G13315" s="196">
        <v>1710452</v>
      </c>
    </row>
    <row r="13316" spans="1:7" x14ac:dyDescent="0.3">
      <c r="A13316" s="198">
        <v>1036641303</v>
      </c>
      <c r="B13316" s="192" t="s">
        <v>2034</v>
      </c>
      <c r="C13316" s="196">
        <v>1120928</v>
      </c>
      <c r="D13316" s="196">
        <v>240792</v>
      </c>
      <c r="E13316" s="196">
        <v>0</v>
      </c>
      <c r="F13316" s="196">
        <v>240792</v>
      </c>
      <c r="G13316" s="196">
        <v>1361720</v>
      </c>
    </row>
    <row r="13317" spans="1:7" x14ac:dyDescent="0.3">
      <c r="A13317" s="198">
        <v>1037570707</v>
      </c>
      <c r="B13317" s="192" t="s">
        <v>1677</v>
      </c>
      <c r="C13317" s="196">
        <v>1428145</v>
      </c>
      <c r="D13317" s="196">
        <v>249095</v>
      </c>
      <c r="E13317" s="196">
        <v>0</v>
      </c>
      <c r="F13317" s="196">
        <v>249095</v>
      </c>
      <c r="G13317" s="196">
        <v>1677240</v>
      </c>
    </row>
    <row r="13318" spans="1:7" x14ac:dyDescent="0.3">
      <c r="A13318" s="198">
        <v>1001660174</v>
      </c>
      <c r="B13318" s="192" t="s">
        <v>2318</v>
      </c>
      <c r="C13318" s="196">
        <v>647647</v>
      </c>
      <c r="D13318" s="196">
        <v>249095</v>
      </c>
      <c r="E13318" s="196">
        <v>0</v>
      </c>
      <c r="F13318" s="196">
        <v>249095</v>
      </c>
      <c r="G13318" s="196">
        <v>896742</v>
      </c>
    </row>
    <row r="13319" spans="1:7" x14ac:dyDescent="0.3">
      <c r="A13319" s="198">
        <v>43190602</v>
      </c>
      <c r="B13319" s="192" t="s">
        <v>1708</v>
      </c>
      <c r="C13319" s="196">
        <v>1370023</v>
      </c>
      <c r="D13319" s="196">
        <v>249095</v>
      </c>
      <c r="E13319" s="196">
        <v>0</v>
      </c>
      <c r="F13319" s="196">
        <v>249095</v>
      </c>
      <c r="G13319" s="196">
        <v>1619118</v>
      </c>
    </row>
    <row r="13320" spans="1:7" x14ac:dyDescent="0.3">
      <c r="A13320" s="198">
        <v>1036685923</v>
      </c>
      <c r="B13320" s="192" t="s">
        <v>1710</v>
      </c>
      <c r="C13320" s="196">
        <v>1461357</v>
      </c>
      <c r="D13320" s="196">
        <v>249095</v>
      </c>
      <c r="E13320" s="196">
        <v>0</v>
      </c>
      <c r="F13320" s="196">
        <v>249095</v>
      </c>
      <c r="G13320" s="196">
        <v>1710452</v>
      </c>
    </row>
    <row r="13321" spans="1:7" x14ac:dyDescent="0.3">
      <c r="A13321" s="198">
        <v>1007551247</v>
      </c>
      <c r="B13321" s="192" t="s">
        <v>1712</v>
      </c>
      <c r="C13321" s="196">
        <v>16606</v>
      </c>
      <c r="D13321" s="196">
        <v>0</v>
      </c>
      <c r="E13321" s="196">
        <v>0</v>
      </c>
      <c r="F13321" s="196">
        <v>0</v>
      </c>
      <c r="G13321" s="196">
        <v>16606</v>
      </c>
    </row>
    <row r="13322" spans="1:7" x14ac:dyDescent="0.3">
      <c r="A13322" s="198">
        <v>1017133284</v>
      </c>
      <c r="B13322" s="192" t="s">
        <v>2037</v>
      </c>
      <c r="C13322" s="196">
        <v>971471</v>
      </c>
      <c r="D13322" s="196">
        <v>41516</v>
      </c>
      <c r="E13322" s="196">
        <v>0</v>
      </c>
      <c r="F13322" s="196">
        <v>41516</v>
      </c>
      <c r="G13322" s="196">
        <v>1012987</v>
      </c>
    </row>
    <row r="13323" spans="1:7" x14ac:dyDescent="0.3">
      <c r="A13323" s="198">
        <v>1020436418</v>
      </c>
      <c r="B13323" s="192" t="s">
        <v>2040</v>
      </c>
      <c r="C13323" s="196">
        <v>1062805</v>
      </c>
      <c r="D13323" s="196">
        <v>249095</v>
      </c>
      <c r="E13323" s="196">
        <v>0</v>
      </c>
      <c r="F13323" s="196">
        <v>249095</v>
      </c>
      <c r="G13323" s="196">
        <v>1311900</v>
      </c>
    </row>
    <row r="13324" spans="1:7" x14ac:dyDescent="0.3">
      <c r="A13324" s="198">
        <v>1216723387</v>
      </c>
      <c r="B13324" s="192" t="s">
        <v>1713</v>
      </c>
      <c r="C13324" s="196">
        <v>1411539</v>
      </c>
      <c r="D13324" s="196">
        <v>249095</v>
      </c>
      <c r="E13324" s="196">
        <v>0</v>
      </c>
      <c r="F13324" s="196">
        <v>249095</v>
      </c>
      <c r="G13324" s="196">
        <v>1660634</v>
      </c>
    </row>
    <row r="13325" spans="1:7" x14ac:dyDescent="0.3">
      <c r="A13325" s="198">
        <v>1040752245</v>
      </c>
      <c r="B13325" s="192" t="s">
        <v>1678</v>
      </c>
      <c r="C13325" s="196">
        <v>1353416</v>
      </c>
      <c r="D13325" s="196">
        <v>232489</v>
      </c>
      <c r="E13325" s="196">
        <v>0</v>
      </c>
      <c r="F13325" s="196">
        <v>232489</v>
      </c>
      <c r="G13325" s="196">
        <v>1585905</v>
      </c>
    </row>
    <row r="13326" spans="1:7" x14ac:dyDescent="0.3">
      <c r="A13326" s="198">
        <v>1020431035</v>
      </c>
      <c r="B13326" s="192" t="s">
        <v>1923</v>
      </c>
      <c r="C13326" s="196">
        <v>805407</v>
      </c>
      <c r="D13326" s="196">
        <v>249095</v>
      </c>
      <c r="E13326" s="196">
        <v>0</v>
      </c>
      <c r="F13326" s="196">
        <v>249095</v>
      </c>
      <c r="G13326" s="196">
        <v>1054502</v>
      </c>
    </row>
    <row r="13327" spans="1:7" x14ac:dyDescent="0.3">
      <c r="A13327" s="198">
        <v>1026158953</v>
      </c>
      <c r="B13327" s="192" t="s">
        <v>2046</v>
      </c>
      <c r="C13327" s="196">
        <v>1270385</v>
      </c>
      <c r="D13327" s="196">
        <v>240792</v>
      </c>
      <c r="E13327" s="196">
        <v>0</v>
      </c>
      <c r="F13327" s="196">
        <v>240792</v>
      </c>
      <c r="G13327" s="196">
        <v>1511177</v>
      </c>
    </row>
    <row r="13328" spans="1:7" x14ac:dyDescent="0.3">
      <c r="A13328" s="198">
        <v>1035858442</v>
      </c>
      <c r="B13328" s="192" t="s">
        <v>1927</v>
      </c>
      <c r="C13328" s="196">
        <v>1361720</v>
      </c>
      <c r="D13328" s="196">
        <v>249095</v>
      </c>
      <c r="E13328" s="196">
        <v>0</v>
      </c>
      <c r="F13328" s="196">
        <v>249095</v>
      </c>
      <c r="G13328" s="196">
        <v>1610815</v>
      </c>
    </row>
    <row r="13329" spans="1:7" x14ac:dyDescent="0.3">
      <c r="A13329" s="198">
        <v>52245050</v>
      </c>
      <c r="B13329" s="192" t="s">
        <v>2319</v>
      </c>
      <c r="C13329" s="196">
        <v>415158</v>
      </c>
      <c r="D13329" s="196">
        <v>249095</v>
      </c>
      <c r="E13329" s="196">
        <v>0</v>
      </c>
      <c r="F13329" s="196">
        <v>249095</v>
      </c>
      <c r="G13329" s="196">
        <v>664253</v>
      </c>
    </row>
    <row r="13330" spans="1:7" x14ac:dyDescent="0.3">
      <c r="A13330" s="198">
        <v>1027740123</v>
      </c>
      <c r="B13330" s="192" t="s">
        <v>1928</v>
      </c>
      <c r="C13330" s="196">
        <v>1145837</v>
      </c>
      <c r="D13330" s="196">
        <v>0</v>
      </c>
      <c r="E13330" s="196">
        <v>0</v>
      </c>
      <c r="F13330" s="196">
        <v>0</v>
      </c>
      <c r="G13330" s="196">
        <v>1145837</v>
      </c>
    </row>
    <row r="13331" spans="1:7" x14ac:dyDescent="0.3">
      <c r="A13331" s="198">
        <v>43256222</v>
      </c>
      <c r="B13331" s="192" t="s">
        <v>2049</v>
      </c>
      <c r="C13331" s="196">
        <v>1370022</v>
      </c>
      <c r="D13331" s="196">
        <v>240792</v>
      </c>
      <c r="E13331" s="196">
        <v>0</v>
      </c>
      <c r="F13331" s="196">
        <v>240792</v>
      </c>
      <c r="G13331" s="196">
        <v>1610814</v>
      </c>
    </row>
    <row r="13332" spans="1:7" x14ac:dyDescent="0.3">
      <c r="A13332" s="198">
        <v>1017284611</v>
      </c>
      <c r="B13332" s="192" t="s">
        <v>1715</v>
      </c>
      <c r="C13332" s="196">
        <v>1494570</v>
      </c>
      <c r="D13332" s="196">
        <v>249095</v>
      </c>
      <c r="E13332" s="196">
        <v>0</v>
      </c>
      <c r="F13332" s="196">
        <v>249095</v>
      </c>
      <c r="G13332" s="196">
        <v>1743665</v>
      </c>
    </row>
    <row r="13333" spans="1:7" x14ac:dyDescent="0.3">
      <c r="A13333" s="198">
        <v>809106</v>
      </c>
      <c r="B13333" s="192" t="s">
        <v>1680</v>
      </c>
      <c r="C13333" s="196">
        <v>1494570</v>
      </c>
      <c r="D13333" s="196">
        <v>249095</v>
      </c>
      <c r="E13333" s="196">
        <v>0</v>
      </c>
      <c r="F13333" s="196">
        <v>249095</v>
      </c>
      <c r="G13333" s="196">
        <v>1743665</v>
      </c>
    </row>
    <row r="13334" spans="1:7" x14ac:dyDescent="0.3">
      <c r="A13334" s="198">
        <v>1017184852</v>
      </c>
      <c r="B13334" s="192" t="s">
        <v>1716</v>
      </c>
      <c r="C13334" s="196">
        <v>1237172</v>
      </c>
      <c r="D13334" s="196">
        <v>249095</v>
      </c>
      <c r="E13334" s="196">
        <v>0</v>
      </c>
      <c r="F13334" s="196">
        <v>249095</v>
      </c>
      <c r="G13334" s="196">
        <v>1486267</v>
      </c>
    </row>
    <row r="13335" spans="1:7" x14ac:dyDescent="0.3">
      <c r="A13335" s="198">
        <v>1040748779</v>
      </c>
      <c r="B13335" s="192" t="s">
        <v>2055</v>
      </c>
      <c r="C13335" s="196">
        <v>1295294</v>
      </c>
      <c r="D13335" s="196">
        <v>249095</v>
      </c>
      <c r="E13335" s="196">
        <v>0</v>
      </c>
      <c r="F13335" s="196">
        <v>249095</v>
      </c>
      <c r="G13335" s="196">
        <v>1544389</v>
      </c>
    </row>
    <row r="13336" spans="1:7" x14ac:dyDescent="0.3">
      <c r="A13336" s="198">
        <v>1000639361</v>
      </c>
      <c r="B13336" s="192" t="s">
        <v>2058</v>
      </c>
      <c r="C13336" s="196">
        <v>523099</v>
      </c>
      <c r="D13336" s="196">
        <v>0</v>
      </c>
      <c r="E13336" s="196">
        <v>0</v>
      </c>
      <c r="F13336" s="196">
        <v>0</v>
      </c>
      <c r="G13336" s="196">
        <v>523099</v>
      </c>
    </row>
    <row r="13337" spans="1:7" x14ac:dyDescent="0.3">
      <c r="A13337" s="198">
        <v>1015067177</v>
      </c>
      <c r="B13337" s="192" t="s">
        <v>2320</v>
      </c>
      <c r="C13337" s="196">
        <v>597829</v>
      </c>
      <c r="D13337" s="196">
        <v>124548</v>
      </c>
      <c r="E13337" s="196">
        <v>0</v>
      </c>
      <c r="F13337" s="196">
        <v>124548</v>
      </c>
      <c r="G13337" s="196">
        <v>722377</v>
      </c>
    </row>
    <row r="13338" spans="1:7" x14ac:dyDescent="0.3">
      <c r="A13338" s="197">
        <v>510530</v>
      </c>
      <c r="B13338" s="191" t="s">
        <v>7447</v>
      </c>
      <c r="C13338" s="195">
        <v>52041842</v>
      </c>
      <c r="D13338" s="195">
        <v>9528353</v>
      </c>
      <c r="E13338" s="195">
        <v>0</v>
      </c>
      <c r="F13338" s="195">
        <v>9528353</v>
      </c>
      <c r="G13338" s="195">
        <v>61570195</v>
      </c>
    </row>
    <row r="13339" spans="1:7" x14ac:dyDescent="0.3">
      <c r="A13339" s="198">
        <v>51053001</v>
      </c>
      <c r="B13339" s="192" t="s">
        <v>7447</v>
      </c>
      <c r="C13339" s="196">
        <v>52041842</v>
      </c>
      <c r="D13339" s="196">
        <v>9528353</v>
      </c>
      <c r="E13339" s="196">
        <v>0</v>
      </c>
      <c r="F13339" s="196">
        <v>9528353</v>
      </c>
      <c r="G13339" s="196">
        <v>61570195</v>
      </c>
    </row>
    <row r="13340" spans="1:7" x14ac:dyDescent="0.3">
      <c r="A13340" s="198">
        <v>31948684</v>
      </c>
      <c r="B13340" s="192" t="s">
        <v>165</v>
      </c>
      <c r="C13340" s="196">
        <v>6000000</v>
      </c>
      <c r="D13340" s="196">
        <v>1000000</v>
      </c>
      <c r="E13340" s="196">
        <v>0</v>
      </c>
      <c r="F13340" s="196">
        <v>1000000</v>
      </c>
      <c r="G13340" s="196">
        <v>7000000</v>
      </c>
    </row>
    <row r="13341" spans="1:7" x14ac:dyDescent="0.3">
      <c r="A13341" s="198">
        <v>1193166396</v>
      </c>
      <c r="B13341" s="192" t="s">
        <v>1625</v>
      </c>
      <c r="C13341" s="196">
        <v>2750000</v>
      </c>
      <c r="D13341" s="196">
        <v>458333</v>
      </c>
      <c r="E13341" s="196">
        <v>0</v>
      </c>
      <c r="F13341" s="196">
        <v>458333</v>
      </c>
      <c r="G13341" s="196">
        <v>3208333</v>
      </c>
    </row>
    <row r="13342" spans="1:7" x14ac:dyDescent="0.3">
      <c r="A13342" s="198">
        <v>1020423981</v>
      </c>
      <c r="B13342" s="192" t="s">
        <v>2030</v>
      </c>
      <c r="C13342" s="196">
        <v>1326820</v>
      </c>
      <c r="D13342" s="196">
        <v>220758</v>
      </c>
      <c r="E13342" s="196">
        <v>0</v>
      </c>
      <c r="F13342" s="196">
        <v>220758</v>
      </c>
      <c r="G13342" s="196">
        <v>1547578</v>
      </c>
    </row>
    <row r="13343" spans="1:7" x14ac:dyDescent="0.3">
      <c r="A13343" s="198">
        <v>1152689568</v>
      </c>
      <c r="B13343" s="192" t="s">
        <v>1705</v>
      </c>
      <c r="C13343" s="196">
        <v>1485911</v>
      </c>
      <c r="D13343" s="196">
        <v>261830</v>
      </c>
      <c r="E13343" s="196">
        <v>0</v>
      </c>
      <c r="F13343" s="196">
        <v>261830</v>
      </c>
      <c r="G13343" s="196">
        <v>1747741</v>
      </c>
    </row>
    <row r="13344" spans="1:7" x14ac:dyDescent="0.3">
      <c r="A13344" s="198">
        <v>1037266322</v>
      </c>
      <c r="B13344" s="192" t="s">
        <v>2031</v>
      </c>
      <c r="C13344" s="196">
        <v>215334</v>
      </c>
      <c r="D13344" s="196">
        <v>0</v>
      </c>
      <c r="E13344" s="196">
        <v>0</v>
      </c>
      <c r="F13344" s="196">
        <v>0</v>
      </c>
      <c r="G13344" s="196">
        <v>215334</v>
      </c>
    </row>
    <row r="13345" spans="1:7" x14ac:dyDescent="0.3">
      <c r="A13345" s="198">
        <v>32144343</v>
      </c>
      <c r="B13345" s="192" t="s">
        <v>1706</v>
      </c>
      <c r="C13345" s="196">
        <v>1000000</v>
      </c>
      <c r="D13345" s="196">
        <v>166667</v>
      </c>
      <c r="E13345" s="196">
        <v>0</v>
      </c>
      <c r="F13345" s="196">
        <v>166667</v>
      </c>
      <c r="G13345" s="196">
        <v>1166667</v>
      </c>
    </row>
    <row r="13346" spans="1:7" x14ac:dyDescent="0.3">
      <c r="A13346" s="198">
        <v>1037583982</v>
      </c>
      <c r="B13346" s="192" t="s">
        <v>1798</v>
      </c>
      <c r="C13346" s="196">
        <v>2401894</v>
      </c>
      <c r="D13346" s="196">
        <v>450000</v>
      </c>
      <c r="E13346" s="196">
        <v>0</v>
      </c>
      <c r="F13346" s="196">
        <v>450000</v>
      </c>
      <c r="G13346" s="196">
        <v>2851894</v>
      </c>
    </row>
    <row r="13347" spans="1:7" x14ac:dyDescent="0.3">
      <c r="A13347" s="198">
        <v>1017266622</v>
      </c>
      <c r="B13347" s="192" t="s">
        <v>1707</v>
      </c>
      <c r="C13347" s="196">
        <v>1574548</v>
      </c>
      <c r="D13347" s="196">
        <v>262424</v>
      </c>
      <c r="E13347" s="196">
        <v>0</v>
      </c>
      <c r="F13347" s="196">
        <v>262424</v>
      </c>
      <c r="G13347" s="196">
        <v>1836972</v>
      </c>
    </row>
    <row r="13348" spans="1:7" x14ac:dyDescent="0.3">
      <c r="A13348" s="198">
        <v>1036641303</v>
      </c>
      <c r="B13348" s="192" t="s">
        <v>2034</v>
      </c>
      <c r="C13348" s="196">
        <v>1424548</v>
      </c>
      <c r="D13348" s="196">
        <v>237424</v>
      </c>
      <c r="E13348" s="196">
        <v>0</v>
      </c>
      <c r="F13348" s="196">
        <v>237424</v>
      </c>
      <c r="G13348" s="196">
        <v>1661972</v>
      </c>
    </row>
    <row r="13349" spans="1:7" x14ac:dyDescent="0.3">
      <c r="A13349" s="198">
        <v>1037570707</v>
      </c>
      <c r="B13349" s="192" t="s">
        <v>1677</v>
      </c>
      <c r="C13349" s="196">
        <v>1274548</v>
      </c>
      <c r="D13349" s="196">
        <v>212424</v>
      </c>
      <c r="E13349" s="196">
        <v>0</v>
      </c>
      <c r="F13349" s="196">
        <v>212424</v>
      </c>
      <c r="G13349" s="196">
        <v>1486972</v>
      </c>
    </row>
    <row r="13350" spans="1:7" x14ac:dyDescent="0.3">
      <c r="A13350" s="198">
        <v>1001660174</v>
      </c>
      <c r="B13350" s="192" t="s">
        <v>2318</v>
      </c>
      <c r="C13350" s="196">
        <v>552304</v>
      </c>
      <c r="D13350" s="196">
        <v>212425</v>
      </c>
      <c r="E13350" s="196">
        <v>0</v>
      </c>
      <c r="F13350" s="196">
        <v>212425</v>
      </c>
      <c r="G13350" s="196">
        <v>764729</v>
      </c>
    </row>
    <row r="13351" spans="1:7" x14ac:dyDescent="0.3">
      <c r="A13351" s="198">
        <v>43190602</v>
      </c>
      <c r="B13351" s="192" t="s">
        <v>1708</v>
      </c>
      <c r="C13351" s="196">
        <v>1174548</v>
      </c>
      <c r="D13351" s="196">
        <v>195757</v>
      </c>
      <c r="E13351" s="196">
        <v>0</v>
      </c>
      <c r="F13351" s="196">
        <v>195757</v>
      </c>
      <c r="G13351" s="196">
        <v>1370305</v>
      </c>
    </row>
    <row r="13352" spans="1:7" x14ac:dyDescent="0.3">
      <c r="A13352" s="198">
        <v>3901013</v>
      </c>
      <c r="B13352" s="192" t="s">
        <v>1709</v>
      </c>
      <c r="C13352" s="196">
        <v>4000000</v>
      </c>
      <c r="D13352" s="196">
        <v>666667</v>
      </c>
      <c r="E13352" s="196">
        <v>0</v>
      </c>
      <c r="F13352" s="196">
        <v>666667</v>
      </c>
      <c r="G13352" s="196">
        <v>4666667</v>
      </c>
    </row>
    <row r="13353" spans="1:7" x14ac:dyDescent="0.3">
      <c r="A13353" s="198">
        <v>43605890</v>
      </c>
      <c r="B13353" s="192" t="s">
        <v>565</v>
      </c>
      <c r="C13353" s="196">
        <v>2750000</v>
      </c>
      <c r="D13353" s="196">
        <v>458333</v>
      </c>
      <c r="E13353" s="196">
        <v>0</v>
      </c>
      <c r="F13353" s="196">
        <v>458333</v>
      </c>
      <c r="G13353" s="196">
        <v>3208333</v>
      </c>
    </row>
    <row r="13354" spans="1:7" x14ac:dyDescent="0.3">
      <c r="A13354" s="198">
        <v>1036685923</v>
      </c>
      <c r="B13354" s="192" t="s">
        <v>1710</v>
      </c>
      <c r="C13354" s="196">
        <v>1574548</v>
      </c>
      <c r="D13354" s="196">
        <v>262424</v>
      </c>
      <c r="E13354" s="196">
        <v>0</v>
      </c>
      <c r="F13354" s="196">
        <v>262424</v>
      </c>
      <c r="G13354" s="196">
        <v>1836972</v>
      </c>
    </row>
    <row r="13355" spans="1:7" x14ac:dyDescent="0.3">
      <c r="A13355" s="198">
        <v>1007551247</v>
      </c>
      <c r="B13355" s="192" t="s">
        <v>1712</v>
      </c>
      <c r="C13355" s="196">
        <v>71952</v>
      </c>
      <c r="D13355" s="196">
        <v>0</v>
      </c>
      <c r="E13355" s="196">
        <v>0</v>
      </c>
      <c r="F13355" s="196">
        <v>0</v>
      </c>
      <c r="G13355" s="196">
        <v>71952</v>
      </c>
    </row>
    <row r="13356" spans="1:7" x14ac:dyDescent="0.3">
      <c r="A13356" s="198">
        <v>1017133284</v>
      </c>
      <c r="B13356" s="192" t="s">
        <v>2037</v>
      </c>
      <c r="C13356" s="196">
        <v>1044544</v>
      </c>
      <c r="D13356" s="196">
        <v>280667</v>
      </c>
      <c r="E13356" s="196">
        <v>0</v>
      </c>
      <c r="F13356" s="196">
        <v>280667</v>
      </c>
      <c r="G13356" s="196">
        <v>1325211</v>
      </c>
    </row>
    <row r="13357" spans="1:7" x14ac:dyDescent="0.3">
      <c r="A13357" s="198">
        <v>1020436418</v>
      </c>
      <c r="B13357" s="192" t="s">
        <v>2040</v>
      </c>
      <c r="C13357" s="196">
        <v>835234</v>
      </c>
      <c r="D13357" s="196">
        <v>195758</v>
      </c>
      <c r="E13357" s="196">
        <v>0</v>
      </c>
      <c r="F13357" s="196">
        <v>195758</v>
      </c>
      <c r="G13357" s="196">
        <v>1030992</v>
      </c>
    </row>
    <row r="13358" spans="1:7" x14ac:dyDescent="0.3">
      <c r="A13358" s="198">
        <v>1216723387</v>
      </c>
      <c r="B13358" s="192" t="s">
        <v>1713</v>
      </c>
      <c r="C13358" s="196">
        <v>1630229</v>
      </c>
      <c r="D13358" s="196">
        <v>270758</v>
      </c>
      <c r="E13358" s="196">
        <v>0</v>
      </c>
      <c r="F13358" s="196">
        <v>270758</v>
      </c>
      <c r="G13358" s="196">
        <v>1900987</v>
      </c>
    </row>
    <row r="13359" spans="1:7" x14ac:dyDescent="0.3">
      <c r="A13359" s="198">
        <v>1040752245</v>
      </c>
      <c r="B13359" s="192" t="s">
        <v>1678</v>
      </c>
      <c r="C13359" s="196">
        <v>1274548</v>
      </c>
      <c r="D13359" s="196">
        <v>212424</v>
      </c>
      <c r="E13359" s="196">
        <v>0</v>
      </c>
      <c r="F13359" s="196">
        <v>212424</v>
      </c>
      <c r="G13359" s="196">
        <v>1486972</v>
      </c>
    </row>
    <row r="13360" spans="1:7" x14ac:dyDescent="0.3">
      <c r="A13360" s="198">
        <v>6549128</v>
      </c>
      <c r="B13360" s="192" t="s">
        <v>2043</v>
      </c>
      <c r="C13360" s="196">
        <v>2500000</v>
      </c>
      <c r="D13360" s="196">
        <v>416667</v>
      </c>
      <c r="E13360" s="196">
        <v>0</v>
      </c>
      <c r="F13360" s="196">
        <v>416667</v>
      </c>
      <c r="G13360" s="196">
        <v>2916667</v>
      </c>
    </row>
    <row r="13361" spans="1:7" x14ac:dyDescent="0.3">
      <c r="A13361" s="198">
        <v>1020431035</v>
      </c>
      <c r="B13361" s="192" t="s">
        <v>1923</v>
      </c>
      <c r="C13361" s="196">
        <v>690194</v>
      </c>
      <c r="D13361" s="196">
        <v>214820</v>
      </c>
      <c r="E13361" s="196">
        <v>0</v>
      </c>
      <c r="F13361" s="196">
        <v>214820</v>
      </c>
      <c r="G13361" s="196">
        <v>905014</v>
      </c>
    </row>
    <row r="13362" spans="1:7" x14ac:dyDescent="0.3">
      <c r="A13362" s="198">
        <v>1026158953</v>
      </c>
      <c r="B13362" s="192" t="s">
        <v>2046</v>
      </c>
      <c r="C13362" s="196">
        <v>1097527</v>
      </c>
      <c r="D13362" s="196">
        <v>212425</v>
      </c>
      <c r="E13362" s="196">
        <v>0</v>
      </c>
      <c r="F13362" s="196">
        <v>212425</v>
      </c>
      <c r="G13362" s="196">
        <v>1309952</v>
      </c>
    </row>
    <row r="13363" spans="1:7" x14ac:dyDescent="0.3">
      <c r="A13363" s="198">
        <v>1035858442</v>
      </c>
      <c r="B13363" s="192" t="s">
        <v>1927</v>
      </c>
      <c r="C13363" s="196">
        <v>1524548</v>
      </c>
      <c r="D13363" s="196">
        <v>254091</v>
      </c>
      <c r="E13363" s="196">
        <v>0</v>
      </c>
      <c r="F13363" s="196">
        <v>254091</v>
      </c>
      <c r="G13363" s="196">
        <v>1778639</v>
      </c>
    </row>
    <row r="13364" spans="1:7" x14ac:dyDescent="0.3">
      <c r="A13364" s="198">
        <v>52245050</v>
      </c>
      <c r="B13364" s="192" t="s">
        <v>2319</v>
      </c>
      <c r="C13364" s="196">
        <v>277778</v>
      </c>
      <c r="D13364" s="196">
        <v>166666</v>
      </c>
      <c r="E13364" s="196">
        <v>0</v>
      </c>
      <c r="F13364" s="196">
        <v>166666</v>
      </c>
      <c r="G13364" s="196">
        <v>444444</v>
      </c>
    </row>
    <row r="13365" spans="1:7" x14ac:dyDescent="0.3">
      <c r="A13365" s="198">
        <v>1027740123</v>
      </c>
      <c r="B13365" s="192" t="s">
        <v>1928</v>
      </c>
      <c r="C13365" s="196">
        <v>478820</v>
      </c>
      <c r="D13365" s="196">
        <v>0</v>
      </c>
      <c r="E13365" s="196">
        <v>0</v>
      </c>
      <c r="F13365" s="196">
        <v>0</v>
      </c>
      <c r="G13365" s="196">
        <v>478820</v>
      </c>
    </row>
    <row r="13366" spans="1:7" x14ac:dyDescent="0.3">
      <c r="A13366" s="198">
        <v>43256222</v>
      </c>
      <c r="B13366" s="192" t="s">
        <v>2049</v>
      </c>
      <c r="C13366" s="196">
        <v>1174548</v>
      </c>
      <c r="D13366" s="196">
        <v>195757</v>
      </c>
      <c r="E13366" s="196">
        <v>0</v>
      </c>
      <c r="F13366" s="196">
        <v>195757</v>
      </c>
      <c r="G13366" s="196">
        <v>1370305</v>
      </c>
    </row>
    <row r="13367" spans="1:7" x14ac:dyDescent="0.3">
      <c r="A13367" s="198">
        <v>1017284611</v>
      </c>
      <c r="B13367" s="192" t="s">
        <v>1715</v>
      </c>
      <c r="C13367" s="196">
        <v>1000000</v>
      </c>
      <c r="D13367" s="196">
        <v>166667</v>
      </c>
      <c r="E13367" s="196">
        <v>0</v>
      </c>
      <c r="F13367" s="196">
        <v>166667</v>
      </c>
      <c r="G13367" s="196">
        <v>1166667</v>
      </c>
    </row>
    <row r="13368" spans="1:7" x14ac:dyDescent="0.3">
      <c r="A13368" s="198">
        <v>1127941794</v>
      </c>
      <c r="B13368" s="192" t="s">
        <v>1274</v>
      </c>
      <c r="C13368" s="196">
        <v>3600000</v>
      </c>
      <c r="D13368" s="196">
        <v>900000</v>
      </c>
      <c r="E13368" s="196">
        <v>0</v>
      </c>
      <c r="F13368" s="196">
        <v>900000</v>
      </c>
      <c r="G13368" s="196">
        <v>4500000</v>
      </c>
    </row>
    <row r="13369" spans="1:7" x14ac:dyDescent="0.3">
      <c r="A13369" s="198">
        <v>43550437</v>
      </c>
      <c r="B13369" s="192" t="s">
        <v>1936</v>
      </c>
      <c r="C13369" s="196">
        <v>136616</v>
      </c>
      <c r="D13369" s="196">
        <v>0</v>
      </c>
      <c r="E13369" s="196">
        <v>0</v>
      </c>
      <c r="F13369" s="196">
        <v>0</v>
      </c>
      <c r="G13369" s="196">
        <v>136616</v>
      </c>
    </row>
    <row r="13370" spans="1:7" x14ac:dyDescent="0.3">
      <c r="A13370" s="198">
        <v>809106</v>
      </c>
      <c r="B13370" s="192" t="s">
        <v>1680</v>
      </c>
      <c r="C13370" s="196">
        <v>1107388</v>
      </c>
      <c r="D13370" s="196">
        <v>204330</v>
      </c>
      <c r="E13370" s="196">
        <v>0</v>
      </c>
      <c r="F13370" s="196">
        <v>204330</v>
      </c>
      <c r="G13370" s="196">
        <v>1311718</v>
      </c>
    </row>
    <row r="13371" spans="1:7" x14ac:dyDescent="0.3">
      <c r="A13371" s="198">
        <v>1017184852</v>
      </c>
      <c r="B13371" s="192" t="s">
        <v>1716</v>
      </c>
      <c r="C13371" s="196">
        <v>1309584</v>
      </c>
      <c r="D13371" s="196">
        <v>263674</v>
      </c>
      <c r="E13371" s="196">
        <v>0</v>
      </c>
      <c r="F13371" s="196">
        <v>263674</v>
      </c>
      <c r="G13371" s="196">
        <v>1573258</v>
      </c>
    </row>
    <row r="13372" spans="1:7" x14ac:dyDescent="0.3">
      <c r="A13372" s="198">
        <v>1040748779</v>
      </c>
      <c r="B13372" s="192" t="s">
        <v>2055</v>
      </c>
      <c r="C13372" s="196">
        <v>1803454</v>
      </c>
      <c r="D13372" s="196">
        <v>295758</v>
      </c>
      <c r="E13372" s="196">
        <v>0</v>
      </c>
      <c r="F13372" s="196">
        <v>295758</v>
      </c>
      <c r="G13372" s="196">
        <v>2099212</v>
      </c>
    </row>
    <row r="13373" spans="1:7" x14ac:dyDescent="0.3">
      <c r="A13373" s="198">
        <v>1000639361</v>
      </c>
      <c r="B13373" s="192" t="s">
        <v>2058</v>
      </c>
      <c r="C13373" s="196">
        <v>448814</v>
      </c>
      <c r="D13373" s="196">
        <v>0</v>
      </c>
      <c r="E13373" s="196">
        <v>0</v>
      </c>
      <c r="F13373" s="196">
        <v>0</v>
      </c>
      <c r="G13373" s="196">
        <v>448814</v>
      </c>
    </row>
    <row r="13374" spans="1:7" x14ac:dyDescent="0.3">
      <c r="A13374" s="198">
        <v>1015067177</v>
      </c>
      <c r="B13374" s="192" t="s">
        <v>2320</v>
      </c>
      <c r="C13374" s="196">
        <v>531061</v>
      </c>
      <c r="D13374" s="196">
        <v>212425</v>
      </c>
      <c r="E13374" s="196">
        <v>0</v>
      </c>
      <c r="F13374" s="196">
        <v>212425</v>
      </c>
      <c r="G13374" s="196">
        <v>743486</v>
      </c>
    </row>
    <row r="13375" spans="1:7" x14ac:dyDescent="0.3">
      <c r="A13375" s="197">
        <v>510533</v>
      </c>
      <c r="B13375" s="191" t="s">
        <v>2346</v>
      </c>
      <c r="C13375" s="195">
        <v>2894011</v>
      </c>
      <c r="D13375" s="195">
        <v>1117647</v>
      </c>
      <c r="E13375" s="195">
        <v>0</v>
      </c>
      <c r="F13375" s="195">
        <v>1117647</v>
      </c>
      <c r="G13375" s="195">
        <v>4011658</v>
      </c>
    </row>
    <row r="13376" spans="1:7" x14ac:dyDescent="0.3">
      <c r="A13376" s="198">
        <v>51053301</v>
      </c>
      <c r="B13376" s="192" t="s">
        <v>7448</v>
      </c>
      <c r="C13376" s="196">
        <v>2894011</v>
      </c>
      <c r="D13376" s="196">
        <v>1117647</v>
      </c>
      <c r="E13376" s="196">
        <v>0</v>
      </c>
      <c r="F13376" s="196">
        <v>1117647</v>
      </c>
      <c r="G13376" s="196">
        <v>4011658</v>
      </c>
    </row>
    <row r="13377" spans="1:7" x14ac:dyDescent="0.3">
      <c r="A13377" s="198">
        <v>31948684</v>
      </c>
      <c r="B13377" s="192" t="s">
        <v>165</v>
      </c>
      <c r="C13377" s="196">
        <v>360000</v>
      </c>
      <c r="D13377" s="196">
        <v>130000</v>
      </c>
      <c r="E13377" s="196">
        <v>0</v>
      </c>
      <c r="F13377" s="196">
        <v>130000</v>
      </c>
      <c r="G13377" s="196">
        <v>490000</v>
      </c>
    </row>
    <row r="13378" spans="1:7" x14ac:dyDescent="0.3">
      <c r="A13378" s="198">
        <v>1193166396</v>
      </c>
      <c r="B13378" s="192" t="s">
        <v>1625</v>
      </c>
      <c r="C13378" s="196">
        <v>165000</v>
      </c>
      <c r="D13378" s="196">
        <v>59583</v>
      </c>
      <c r="E13378" s="196">
        <v>0</v>
      </c>
      <c r="F13378" s="196">
        <v>59583</v>
      </c>
      <c r="G13378" s="196">
        <v>224583</v>
      </c>
    </row>
    <row r="13379" spans="1:7" x14ac:dyDescent="0.3">
      <c r="A13379" s="198">
        <v>1020423981</v>
      </c>
      <c r="B13379" s="192" t="s">
        <v>2030</v>
      </c>
      <c r="C13379" s="196">
        <v>79609</v>
      </c>
      <c r="D13379" s="196">
        <v>28721</v>
      </c>
      <c r="E13379" s="196">
        <v>0</v>
      </c>
      <c r="F13379" s="196">
        <v>28721</v>
      </c>
      <c r="G13379" s="196">
        <v>108330</v>
      </c>
    </row>
    <row r="13380" spans="1:7" x14ac:dyDescent="0.3">
      <c r="A13380" s="198">
        <v>1152689568</v>
      </c>
      <c r="B13380" s="192" t="s">
        <v>1705</v>
      </c>
      <c r="C13380" s="196">
        <v>89155</v>
      </c>
      <c r="D13380" s="196">
        <v>33187</v>
      </c>
      <c r="E13380" s="196">
        <v>0</v>
      </c>
      <c r="F13380" s="196">
        <v>33187</v>
      </c>
      <c r="G13380" s="196">
        <v>122342</v>
      </c>
    </row>
    <row r="13381" spans="1:7" x14ac:dyDescent="0.3">
      <c r="A13381" s="198">
        <v>1037266322</v>
      </c>
      <c r="B13381" s="192" t="s">
        <v>2031</v>
      </c>
      <c r="C13381" s="196">
        <v>2369</v>
      </c>
      <c r="D13381" s="196">
        <v>0</v>
      </c>
      <c r="E13381" s="196">
        <v>0</v>
      </c>
      <c r="F13381" s="196">
        <v>0</v>
      </c>
      <c r="G13381" s="196">
        <v>2369</v>
      </c>
    </row>
    <row r="13382" spans="1:7" x14ac:dyDescent="0.3">
      <c r="A13382" s="198">
        <v>32144343</v>
      </c>
      <c r="B13382" s="192" t="s">
        <v>1706</v>
      </c>
      <c r="C13382" s="196">
        <v>60000</v>
      </c>
      <c r="D13382" s="196">
        <v>21667</v>
      </c>
      <c r="E13382" s="196">
        <v>0</v>
      </c>
      <c r="F13382" s="196">
        <v>21667</v>
      </c>
      <c r="G13382" s="196">
        <v>81667</v>
      </c>
    </row>
    <row r="13383" spans="1:7" x14ac:dyDescent="0.3">
      <c r="A13383" s="198">
        <v>1037583982</v>
      </c>
      <c r="B13383" s="192" t="s">
        <v>1798</v>
      </c>
      <c r="C13383" s="196">
        <v>144114</v>
      </c>
      <c r="D13383" s="196">
        <v>55519</v>
      </c>
      <c r="E13383" s="196">
        <v>0</v>
      </c>
      <c r="F13383" s="196">
        <v>55519</v>
      </c>
      <c r="G13383" s="196">
        <v>199633</v>
      </c>
    </row>
    <row r="13384" spans="1:7" x14ac:dyDescent="0.3">
      <c r="A13384" s="198">
        <v>1017266622</v>
      </c>
      <c r="B13384" s="192" t="s">
        <v>1707</v>
      </c>
      <c r="C13384" s="196">
        <v>94473</v>
      </c>
      <c r="D13384" s="196">
        <v>34115</v>
      </c>
      <c r="E13384" s="196">
        <v>0</v>
      </c>
      <c r="F13384" s="196">
        <v>34115</v>
      </c>
      <c r="G13384" s="196">
        <v>128588</v>
      </c>
    </row>
    <row r="13385" spans="1:7" x14ac:dyDescent="0.3">
      <c r="A13385" s="198">
        <v>1036641303</v>
      </c>
      <c r="B13385" s="192" t="s">
        <v>2034</v>
      </c>
      <c r="C13385" s="196">
        <v>85473</v>
      </c>
      <c r="D13385" s="196">
        <v>30865</v>
      </c>
      <c r="E13385" s="196">
        <v>0</v>
      </c>
      <c r="F13385" s="196">
        <v>30865</v>
      </c>
      <c r="G13385" s="196">
        <v>116338</v>
      </c>
    </row>
    <row r="13386" spans="1:7" x14ac:dyDescent="0.3">
      <c r="A13386" s="198">
        <v>1037570707</v>
      </c>
      <c r="B13386" s="192" t="s">
        <v>1677</v>
      </c>
      <c r="C13386" s="196">
        <v>76473</v>
      </c>
      <c r="D13386" s="196">
        <v>27615</v>
      </c>
      <c r="E13386" s="196">
        <v>0</v>
      </c>
      <c r="F13386" s="196">
        <v>27615</v>
      </c>
      <c r="G13386" s="196">
        <v>104088</v>
      </c>
    </row>
    <row r="13387" spans="1:7" x14ac:dyDescent="0.3">
      <c r="A13387" s="198">
        <v>1001660174</v>
      </c>
      <c r="B13387" s="192" t="s">
        <v>2318</v>
      </c>
      <c r="C13387" s="196">
        <v>14360</v>
      </c>
      <c r="D13387" s="196">
        <v>13170</v>
      </c>
      <c r="E13387" s="196">
        <v>0</v>
      </c>
      <c r="F13387" s="196">
        <v>13170</v>
      </c>
      <c r="G13387" s="196">
        <v>27530</v>
      </c>
    </row>
    <row r="13388" spans="1:7" x14ac:dyDescent="0.3">
      <c r="A13388" s="198">
        <v>43190602</v>
      </c>
      <c r="B13388" s="192" t="s">
        <v>1708</v>
      </c>
      <c r="C13388" s="196">
        <v>70473</v>
      </c>
      <c r="D13388" s="196">
        <v>25448</v>
      </c>
      <c r="E13388" s="196">
        <v>0</v>
      </c>
      <c r="F13388" s="196">
        <v>25448</v>
      </c>
      <c r="G13388" s="196">
        <v>95921</v>
      </c>
    </row>
    <row r="13389" spans="1:7" x14ac:dyDescent="0.3">
      <c r="A13389" s="198">
        <v>3901013</v>
      </c>
      <c r="B13389" s="192" t="s">
        <v>1709</v>
      </c>
      <c r="C13389" s="196">
        <v>240000</v>
      </c>
      <c r="D13389" s="196">
        <v>86667</v>
      </c>
      <c r="E13389" s="196">
        <v>0</v>
      </c>
      <c r="F13389" s="196">
        <v>86667</v>
      </c>
      <c r="G13389" s="196">
        <v>326667</v>
      </c>
    </row>
    <row r="13390" spans="1:7" x14ac:dyDescent="0.3">
      <c r="A13390" s="198">
        <v>43605890</v>
      </c>
      <c r="B13390" s="192" t="s">
        <v>565</v>
      </c>
      <c r="C13390" s="196">
        <v>165000</v>
      </c>
      <c r="D13390" s="196">
        <v>59583</v>
      </c>
      <c r="E13390" s="196">
        <v>0</v>
      </c>
      <c r="F13390" s="196">
        <v>59583</v>
      </c>
      <c r="G13390" s="196">
        <v>224583</v>
      </c>
    </row>
    <row r="13391" spans="1:7" x14ac:dyDescent="0.3">
      <c r="A13391" s="198">
        <v>1036685923</v>
      </c>
      <c r="B13391" s="192" t="s">
        <v>1710</v>
      </c>
      <c r="C13391" s="196">
        <v>94473</v>
      </c>
      <c r="D13391" s="196">
        <v>34115</v>
      </c>
      <c r="E13391" s="196">
        <v>0</v>
      </c>
      <c r="F13391" s="196">
        <v>34115</v>
      </c>
      <c r="G13391" s="196">
        <v>128588</v>
      </c>
    </row>
    <row r="13392" spans="1:7" x14ac:dyDescent="0.3">
      <c r="A13392" s="198">
        <v>1007551247</v>
      </c>
      <c r="B13392" s="192" t="s">
        <v>1712</v>
      </c>
      <c r="C13392" s="196">
        <v>216</v>
      </c>
      <c r="D13392" s="196">
        <v>0</v>
      </c>
      <c r="E13392" s="196">
        <v>0</v>
      </c>
      <c r="F13392" s="196">
        <v>0</v>
      </c>
      <c r="G13392" s="196">
        <v>216</v>
      </c>
    </row>
    <row r="13393" spans="1:7" x14ac:dyDescent="0.3">
      <c r="A13393" s="198">
        <v>1017133284</v>
      </c>
      <c r="B13393" s="192" t="s">
        <v>2037</v>
      </c>
      <c r="C13393" s="196">
        <v>53272</v>
      </c>
      <c r="D13393" s="196">
        <v>27566</v>
      </c>
      <c r="E13393" s="196">
        <v>0</v>
      </c>
      <c r="F13393" s="196">
        <v>27566</v>
      </c>
      <c r="G13393" s="196">
        <v>80838</v>
      </c>
    </row>
    <row r="13394" spans="1:7" x14ac:dyDescent="0.3">
      <c r="A13394" s="198">
        <v>1020436418</v>
      </c>
      <c r="B13394" s="192" t="s">
        <v>2040</v>
      </c>
      <c r="C13394" s="196">
        <v>35637</v>
      </c>
      <c r="D13394" s="196">
        <v>18662</v>
      </c>
      <c r="E13394" s="196">
        <v>0</v>
      </c>
      <c r="F13394" s="196">
        <v>18662</v>
      </c>
      <c r="G13394" s="196">
        <v>54299</v>
      </c>
    </row>
    <row r="13395" spans="1:7" x14ac:dyDescent="0.3">
      <c r="A13395" s="198">
        <v>1216723387</v>
      </c>
      <c r="B13395" s="192" t="s">
        <v>1713</v>
      </c>
      <c r="C13395" s="196">
        <v>97814</v>
      </c>
      <c r="D13395" s="196">
        <v>35255</v>
      </c>
      <c r="E13395" s="196">
        <v>0</v>
      </c>
      <c r="F13395" s="196">
        <v>35255</v>
      </c>
      <c r="G13395" s="196">
        <v>133069</v>
      </c>
    </row>
    <row r="13396" spans="1:7" x14ac:dyDescent="0.3">
      <c r="A13396" s="198">
        <v>1040752245</v>
      </c>
      <c r="B13396" s="192" t="s">
        <v>1678</v>
      </c>
      <c r="C13396" s="196">
        <v>76473</v>
      </c>
      <c r="D13396" s="196">
        <v>27615</v>
      </c>
      <c r="E13396" s="196">
        <v>0</v>
      </c>
      <c r="F13396" s="196">
        <v>27615</v>
      </c>
      <c r="G13396" s="196">
        <v>104088</v>
      </c>
    </row>
    <row r="13397" spans="1:7" x14ac:dyDescent="0.3">
      <c r="A13397" s="198">
        <v>6549128</v>
      </c>
      <c r="B13397" s="192" t="s">
        <v>2043</v>
      </c>
      <c r="C13397" s="196">
        <v>150000</v>
      </c>
      <c r="D13397" s="196">
        <v>54167</v>
      </c>
      <c r="E13397" s="196">
        <v>0</v>
      </c>
      <c r="F13397" s="196">
        <v>54167</v>
      </c>
      <c r="G13397" s="196">
        <v>204167</v>
      </c>
    </row>
    <row r="13398" spans="1:7" x14ac:dyDescent="0.3">
      <c r="A13398" s="198">
        <v>1020431035</v>
      </c>
      <c r="B13398" s="192" t="s">
        <v>1923</v>
      </c>
      <c r="C13398" s="196">
        <v>22316</v>
      </c>
      <c r="D13398" s="196">
        <v>15996</v>
      </c>
      <c r="E13398" s="196">
        <v>0</v>
      </c>
      <c r="F13398" s="196">
        <v>15996</v>
      </c>
      <c r="G13398" s="196">
        <v>38312</v>
      </c>
    </row>
    <row r="13399" spans="1:7" x14ac:dyDescent="0.3">
      <c r="A13399" s="198">
        <v>1026158953</v>
      </c>
      <c r="B13399" s="192" t="s">
        <v>2046</v>
      </c>
      <c r="C13399" s="196">
        <v>56706</v>
      </c>
      <c r="D13399" s="196">
        <v>24074</v>
      </c>
      <c r="E13399" s="196">
        <v>0</v>
      </c>
      <c r="F13399" s="196">
        <v>24074</v>
      </c>
      <c r="G13399" s="196">
        <v>80780</v>
      </c>
    </row>
    <row r="13400" spans="1:7" x14ac:dyDescent="0.3">
      <c r="A13400" s="198">
        <v>1035858442</v>
      </c>
      <c r="B13400" s="192" t="s">
        <v>1927</v>
      </c>
      <c r="C13400" s="196">
        <v>91473</v>
      </c>
      <c r="D13400" s="196">
        <v>33032</v>
      </c>
      <c r="E13400" s="196">
        <v>0</v>
      </c>
      <c r="F13400" s="196">
        <v>33032</v>
      </c>
      <c r="G13400" s="196">
        <v>124505</v>
      </c>
    </row>
    <row r="13401" spans="1:7" x14ac:dyDescent="0.3">
      <c r="A13401" s="198">
        <v>52245050</v>
      </c>
      <c r="B13401" s="192" t="s">
        <v>2319</v>
      </c>
      <c r="C13401" s="196">
        <v>4630</v>
      </c>
      <c r="D13401" s="196">
        <v>7222</v>
      </c>
      <c r="E13401" s="196">
        <v>0</v>
      </c>
      <c r="F13401" s="196">
        <v>7222</v>
      </c>
      <c r="G13401" s="196">
        <v>11852</v>
      </c>
    </row>
    <row r="13402" spans="1:7" x14ac:dyDescent="0.3">
      <c r="A13402" s="198">
        <v>1027740123</v>
      </c>
      <c r="B13402" s="192" t="s">
        <v>1928</v>
      </c>
      <c r="C13402" s="196">
        <v>22026</v>
      </c>
      <c r="D13402" s="196">
        <v>0</v>
      </c>
      <c r="E13402" s="196">
        <v>0</v>
      </c>
      <c r="F13402" s="196">
        <v>0</v>
      </c>
      <c r="G13402" s="196">
        <v>22026</v>
      </c>
    </row>
    <row r="13403" spans="1:7" x14ac:dyDescent="0.3">
      <c r="A13403" s="198">
        <v>43256222</v>
      </c>
      <c r="B13403" s="192" t="s">
        <v>2049</v>
      </c>
      <c r="C13403" s="196">
        <v>70473</v>
      </c>
      <c r="D13403" s="196">
        <v>25448</v>
      </c>
      <c r="E13403" s="196">
        <v>0</v>
      </c>
      <c r="F13403" s="196">
        <v>25448</v>
      </c>
      <c r="G13403" s="196">
        <v>95921</v>
      </c>
    </row>
    <row r="13404" spans="1:7" x14ac:dyDescent="0.3">
      <c r="A13404" s="198">
        <v>1017284611</v>
      </c>
      <c r="B13404" s="192" t="s">
        <v>1715</v>
      </c>
      <c r="C13404" s="196">
        <v>60000</v>
      </c>
      <c r="D13404" s="196">
        <v>21667</v>
      </c>
      <c r="E13404" s="196">
        <v>0</v>
      </c>
      <c r="F13404" s="196">
        <v>21667</v>
      </c>
      <c r="G13404" s="196">
        <v>81667</v>
      </c>
    </row>
    <row r="13405" spans="1:7" x14ac:dyDescent="0.3">
      <c r="A13405" s="198">
        <v>1127941794</v>
      </c>
      <c r="B13405" s="192" t="s">
        <v>1274</v>
      </c>
      <c r="C13405" s="196">
        <v>144000</v>
      </c>
      <c r="D13405" s="196">
        <v>81000</v>
      </c>
      <c r="E13405" s="196">
        <v>0</v>
      </c>
      <c r="F13405" s="196">
        <v>81000</v>
      </c>
      <c r="G13405" s="196">
        <v>225000</v>
      </c>
    </row>
    <row r="13406" spans="1:7" x14ac:dyDescent="0.3">
      <c r="A13406" s="198">
        <v>43550437</v>
      </c>
      <c r="B13406" s="192" t="s">
        <v>1936</v>
      </c>
      <c r="C13406" s="196">
        <v>5009</v>
      </c>
      <c r="D13406" s="196">
        <v>0</v>
      </c>
      <c r="E13406" s="196">
        <v>0</v>
      </c>
      <c r="F13406" s="196">
        <v>0</v>
      </c>
      <c r="G13406" s="196">
        <v>5009</v>
      </c>
    </row>
    <row r="13407" spans="1:7" x14ac:dyDescent="0.3">
      <c r="A13407" s="198">
        <v>809106</v>
      </c>
      <c r="B13407" s="192" t="s">
        <v>1680</v>
      </c>
      <c r="C13407" s="196">
        <v>66443</v>
      </c>
      <c r="D13407" s="196">
        <v>25377</v>
      </c>
      <c r="E13407" s="196">
        <v>0</v>
      </c>
      <c r="F13407" s="196">
        <v>25377</v>
      </c>
      <c r="G13407" s="196">
        <v>91820</v>
      </c>
    </row>
    <row r="13408" spans="1:7" x14ac:dyDescent="0.3">
      <c r="A13408" s="198">
        <v>1017184852</v>
      </c>
      <c r="B13408" s="192" t="s">
        <v>1716</v>
      </c>
      <c r="C13408" s="196">
        <v>65043</v>
      </c>
      <c r="D13408" s="196">
        <v>28828</v>
      </c>
      <c r="E13408" s="196">
        <v>0</v>
      </c>
      <c r="F13408" s="196">
        <v>28828</v>
      </c>
      <c r="G13408" s="196">
        <v>93871</v>
      </c>
    </row>
    <row r="13409" spans="1:7" x14ac:dyDescent="0.3">
      <c r="A13409" s="198">
        <v>1040748779</v>
      </c>
      <c r="B13409" s="192" t="s">
        <v>2055</v>
      </c>
      <c r="C13409" s="196">
        <v>108207</v>
      </c>
      <c r="D13409" s="196">
        <v>38738</v>
      </c>
      <c r="E13409" s="196">
        <v>0</v>
      </c>
      <c r="F13409" s="196">
        <v>38738</v>
      </c>
      <c r="G13409" s="196">
        <v>146945</v>
      </c>
    </row>
    <row r="13410" spans="1:7" x14ac:dyDescent="0.3">
      <c r="A13410" s="198">
        <v>1000639361</v>
      </c>
      <c r="B13410" s="192" t="s">
        <v>2058</v>
      </c>
      <c r="C13410" s="196">
        <v>10024</v>
      </c>
      <c r="D13410" s="196">
        <v>0</v>
      </c>
      <c r="E13410" s="196">
        <v>0</v>
      </c>
      <c r="F13410" s="196">
        <v>0</v>
      </c>
      <c r="G13410" s="196">
        <v>10024</v>
      </c>
    </row>
    <row r="13411" spans="1:7" x14ac:dyDescent="0.3">
      <c r="A13411" s="198">
        <v>1015067177</v>
      </c>
      <c r="B13411" s="192" t="s">
        <v>2320</v>
      </c>
      <c r="C13411" s="196">
        <v>13277</v>
      </c>
      <c r="D13411" s="196">
        <v>12745</v>
      </c>
      <c r="E13411" s="196">
        <v>0</v>
      </c>
      <c r="F13411" s="196">
        <v>12745</v>
      </c>
      <c r="G13411" s="196">
        <v>26022</v>
      </c>
    </row>
    <row r="13412" spans="1:7" x14ac:dyDescent="0.3">
      <c r="A13412" s="197">
        <v>510536</v>
      </c>
      <c r="B13412" s="191" t="s">
        <v>2348</v>
      </c>
      <c r="C13412" s="195">
        <v>51224318</v>
      </c>
      <c r="D13412" s="195">
        <v>9460118</v>
      </c>
      <c r="E13412" s="195">
        <v>0</v>
      </c>
      <c r="F13412" s="195">
        <v>9460118</v>
      </c>
      <c r="G13412" s="195">
        <v>60684436</v>
      </c>
    </row>
    <row r="13413" spans="1:7" x14ac:dyDescent="0.3">
      <c r="A13413" s="198">
        <v>51053601</v>
      </c>
      <c r="B13413" s="192" t="s">
        <v>2348</v>
      </c>
      <c r="C13413" s="196">
        <v>51224318</v>
      </c>
      <c r="D13413" s="196">
        <v>9460118</v>
      </c>
      <c r="E13413" s="196">
        <v>0</v>
      </c>
      <c r="F13413" s="196">
        <v>9460118</v>
      </c>
      <c r="G13413" s="196">
        <v>60684436</v>
      </c>
    </row>
    <row r="13414" spans="1:7" x14ac:dyDescent="0.3">
      <c r="A13414" s="198">
        <v>31948684</v>
      </c>
      <c r="B13414" s="192" t="s">
        <v>165</v>
      </c>
      <c r="C13414" s="196">
        <v>5800000</v>
      </c>
      <c r="D13414" s="196">
        <v>1000000</v>
      </c>
      <c r="E13414" s="196">
        <v>0</v>
      </c>
      <c r="F13414" s="196">
        <v>1000000</v>
      </c>
      <c r="G13414" s="196">
        <v>6800000</v>
      </c>
    </row>
    <row r="13415" spans="1:7" x14ac:dyDescent="0.3">
      <c r="A13415" s="198">
        <v>1193166396</v>
      </c>
      <c r="B13415" s="192" t="s">
        <v>1625</v>
      </c>
      <c r="C13415" s="196">
        <v>2708167</v>
      </c>
      <c r="D13415" s="196">
        <v>458333</v>
      </c>
      <c r="E13415" s="196">
        <v>0</v>
      </c>
      <c r="F13415" s="196">
        <v>458333</v>
      </c>
      <c r="G13415" s="196">
        <v>3166500</v>
      </c>
    </row>
    <row r="13416" spans="1:7" x14ac:dyDescent="0.3">
      <c r="A13416" s="198">
        <v>1020423981</v>
      </c>
      <c r="B13416" s="192" t="s">
        <v>2030</v>
      </c>
      <c r="C13416" s="196">
        <v>1312654</v>
      </c>
      <c r="D13416" s="196">
        <v>220758</v>
      </c>
      <c r="E13416" s="196">
        <v>0</v>
      </c>
      <c r="F13416" s="196">
        <v>220758</v>
      </c>
      <c r="G13416" s="196">
        <v>1533412</v>
      </c>
    </row>
    <row r="13417" spans="1:7" x14ac:dyDescent="0.3">
      <c r="A13417" s="198">
        <v>1152689568</v>
      </c>
      <c r="B13417" s="192" t="s">
        <v>1705</v>
      </c>
      <c r="C13417" s="196">
        <v>1460911</v>
      </c>
      <c r="D13417" s="196">
        <v>261829</v>
      </c>
      <c r="E13417" s="196">
        <v>0</v>
      </c>
      <c r="F13417" s="196">
        <v>261829</v>
      </c>
      <c r="G13417" s="196">
        <v>1722740</v>
      </c>
    </row>
    <row r="13418" spans="1:7" x14ac:dyDescent="0.3">
      <c r="A13418" s="198">
        <v>1037266322</v>
      </c>
      <c r="B13418" s="192" t="s">
        <v>2031</v>
      </c>
      <c r="C13418" s="196">
        <v>215334</v>
      </c>
      <c r="D13418" s="196">
        <v>0</v>
      </c>
      <c r="E13418" s="196">
        <v>0</v>
      </c>
      <c r="F13418" s="196">
        <v>0</v>
      </c>
      <c r="G13418" s="196">
        <v>215334</v>
      </c>
    </row>
    <row r="13419" spans="1:7" x14ac:dyDescent="0.3">
      <c r="A13419" s="198">
        <v>32144343</v>
      </c>
      <c r="B13419" s="192" t="s">
        <v>1706</v>
      </c>
      <c r="C13419" s="196">
        <v>1000001</v>
      </c>
      <c r="D13419" s="196">
        <v>166667</v>
      </c>
      <c r="E13419" s="196">
        <v>0</v>
      </c>
      <c r="F13419" s="196">
        <v>166667</v>
      </c>
      <c r="G13419" s="196">
        <v>1166668</v>
      </c>
    </row>
    <row r="13420" spans="1:7" x14ac:dyDescent="0.3">
      <c r="A13420" s="198">
        <v>1037583982</v>
      </c>
      <c r="B13420" s="192" t="s">
        <v>1798</v>
      </c>
      <c r="C13420" s="196">
        <v>2401894</v>
      </c>
      <c r="D13420" s="196">
        <v>450000</v>
      </c>
      <c r="E13420" s="196">
        <v>0</v>
      </c>
      <c r="F13420" s="196">
        <v>450000</v>
      </c>
      <c r="G13420" s="196">
        <v>2851894</v>
      </c>
    </row>
    <row r="13421" spans="1:7" x14ac:dyDescent="0.3">
      <c r="A13421" s="198">
        <v>1017266622</v>
      </c>
      <c r="B13421" s="192" t="s">
        <v>1707</v>
      </c>
      <c r="C13421" s="196">
        <v>1552048</v>
      </c>
      <c r="D13421" s="196">
        <v>262425</v>
      </c>
      <c r="E13421" s="196">
        <v>0</v>
      </c>
      <c r="F13421" s="196">
        <v>262425</v>
      </c>
      <c r="G13421" s="196">
        <v>1814473</v>
      </c>
    </row>
    <row r="13422" spans="1:7" x14ac:dyDescent="0.3">
      <c r="A13422" s="198">
        <v>1036641303</v>
      </c>
      <c r="B13422" s="192" t="s">
        <v>2034</v>
      </c>
      <c r="C13422" s="196">
        <v>1407881</v>
      </c>
      <c r="D13422" s="196">
        <v>237425</v>
      </c>
      <c r="E13422" s="196">
        <v>0</v>
      </c>
      <c r="F13422" s="196">
        <v>237425</v>
      </c>
      <c r="G13422" s="196">
        <v>1645306</v>
      </c>
    </row>
    <row r="13423" spans="1:7" x14ac:dyDescent="0.3">
      <c r="A13423" s="198">
        <v>1037570707</v>
      </c>
      <c r="B13423" s="192" t="s">
        <v>1677</v>
      </c>
      <c r="C13423" s="196">
        <v>1262964</v>
      </c>
      <c r="D13423" s="196">
        <v>212425</v>
      </c>
      <c r="E13423" s="196">
        <v>0</v>
      </c>
      <c r="F13423" s="196">
        <v>212425</v>
      </c>
      <c r="G13423" s="196">
        <v>1475389</v>
      </c>
    </row>
    <row r="13424" spans="1:7" x14ac:dyDescent="0.3">
      <c r="A13424" s="198">
        <v>1001660174</v>
      </c>
      <c r="B13424" s="192" t="s">
        <v>2318</v>
      </c>
      <c r="C13424" s="196">
        <v>552304</v>
      </c>
      <c r="D13424" s="196">
        <v>212425</v>
      </c>
      <c r="E13424" s="196">
        <v>0</v>
      </c>
      <c r="F13424" s="196">
        <v>212425</v>
      </c>
      <c r="G13424" s="196">
        <v>764729</v>
      </c>
    </row>
    <row r="13425" spans="1:7" x14ac:dyDescent="0.3">
      <c r="A13425" s="198">
        <v>43190602</v>
      </c>
      <c r="B13425" s="192" t="s">
        <v>1708</v>
      </c>
      <c r="C13425" s="196">
        <v>1163714</v>
      </c>
      <c r="D13425" s="196">
        <v>195758</v>
      </c>
      <c r="E13425" s="196">
        <v>0</v>
      </c>
      <c r="F13425" s="196">
        <v>195758</v>
      </c>
      <c r="G13425" s="196">
        <v>1359472</v>
      </c>
    </row>
    <row r="13426" spans="1:7" x14ac:dyDescent="0.3">
      <c r="A13426" s="198">
        <v>3901013</v>
      </c>
      <c r="B13426" s="192" t="s">
        <v>1709</v>
      </c>
      <c r="C13426" s="196">
        <v>3750000</v>
      </c>
      <c r="D13426" s="196">
        <v>666667</v>
      </c>
      <c r="E13426" s="196">
        <v>0</v>
      </c>
      <c r="F13426" s="196">
        <v>666667</v>
      </c>
      <c r="G13426" s="196">
        <v>4416667</v>
      </c>
    </row>
    <row r="13427" spans="1:7" x14ac:dyDescent="0.3">
      <c r="A13427" s="198">
        <v>43605890</v>
      </c>
      <c r="B13427" s="192" t="s">
        <v>565</v>
      </c>
      <c r="C13427" s="196">
        <v>2691667</v>
      </c>
      <c r="D13427" s="196">
        <v>458333</v>
      </c>
      <c r="E13427" s="196">
        <v>0</v>
      </c>
      <c r="F13427" s="196">
        <v>458333</v>
      </c>
      <c r="G13427" s="196">
        <v>3150000</v>
      </c>
    </row>
    <row r="13428" spans="1:7" x14ac:dyDescent="0.3">
      <c r="A13428" s="198">
        <v>1036685923</v>
      </c>
      <c r="B13428" s="192" t="s">
        <v>1710</v>
      </c>
      <c r="C13428" s="196">
        <v>1524548</v>
      </c>
      <c r="D13428" s="196">
        <v>262425</v>
      </c>
      <c r="E13428" s="196">
        <v>0</v>
      </c>
      <c r="F13428" s="196">
        <v>262425</v>
      </c>
      <c r="G13428" s="196">
        <v>1786973</v>
      </c>
    </row>
    <row r="13429" spans="1:7" x14ac:dyDescent="0.3">
      <c r="A13429" s="198">
        <v>1007551247</v>
      </c>
      <c r="B13429" s="192" t="s">
        <v>1712</v>
      </c>
      <c r="C13429" s="196">
        <v>67109</v>
      </c>
      <c r="D13429" s="196">
        <v>0</v>
      </c>
      <c r="E13429" s="196">
        <v>0</v>
      </c>
      <c r="F13429" s="196">
        <v>0</v>
      </c>
      <c r="G13429" s="196">
        <v>67109</v>
      </c>
    </row>
    <row r="13430" spans="1:7" x14ac:dyDescent="0.3">
      <c r="A13430" s="198">
        <v>1017133284</v>
      </c>
      <c r="B13430" s="192" t="s">
        <v>2037</v>
      </c>
      <c r="C13430" s="196">
        <v>1069453</v>
      </c>
      <c r="D13430" s="196">
        <v>212425</v>
      </c>
      <c r="E13430" s="196">
        <v>0</v>
      </c>
      <c r="F13430" s="196">
        <v>212425</v>
      </c>
      <c r="G13430" s="196">
        <v>1281878</v>
      </c>
    </row>
    <row r="13431" spans="1:7" x14ac:dyDescent="0.3">
      <c r="A13431" s="198">
        <v>1020436418</v>
      </c>
      <c r="B13431" s="192" t="s">
        <v>2040</v>
      </c>
      <c r="C13431" s="196">
        <v>835234</v>
      </c>
      <c r="D13431" s="196">
        <v>195758</v>
      </c>
      <c r="E13431" s="196">
        <v>0</v>
      </c>
      <c r="F13431" s="196">
        <v>195758</v>
      </c>
      <c r="G13431" s="196">
        <v>1030992</v>
      </c>
    </row>
    <row r="13432" spans="1:7" x14ac:dyDescent="0.3">
      <c r="A13432" s="198">
        <v>1216723387</v>
      </c>
      <c r="B13432" s="192" t="s">
        <v>1713</v>
      </c>
      <c r="C13432" s="196">
        <v>1609896</v>
      </c>
      <c r="D13432" s="196">
        <v>270758</v>
      </c>
      <c r="E13432" s="196">
        <v>0</v>
      </c>
      <c r="F13432" s="196">
        <v>270758</v>
      </c>
      <c r="G13432" s="196">
        <v>1880654</v>
      </c>
    </row>
    <row r="13433" spans="1:7" x14ac:dyDescent="0.3">
      <c r="A13433" s="198">
        <v>1040752245</v>
      </c>
      <c r="B13433" s="192" t="s">
        <v>1678</v>
      </c>
      <c r="C13433" s="196">
        <v>1262978</v>
      </c>
      <c r="D13433" s="196">
        <v>212425</v>
      </c>
      <c r="E13433" s="196">
        <v>0</v>
      </c>
      <c r="F13433" s="196">
        <v>212425</v>
      </c>
      <c r="G13433" s="196">
        <v>1475403</v>
      </c>
    </row>
    <row r="13434" spans="1:7" x14ac:dyDescent="0.3">
      <c r="A13434" s="198">
        <v>6549128</v>
      </c>
      <c r="B13434" s="192" t="s">
        <v>2043</v>
      </c>
      <c r="C13434" s="196">
        <v>2500000</v>
      </c>
      <c r="D13434" s="196">
        <v>416667</v>
      </c>
      <c r="E13434" s="196">
        <v>0</v>
      </c>
      <c r="F13434" s="196">
        <v>416667</v>
      </c>
      <c r="G13434" s="196">
        <v>2916667</v>
      </c>
    </row>
    <row r="13435" spans="1:7" x14ac:dyDescent="0.3">
      <c r="A13435" s="198">
        <v>1020431035</v>
      </c>
      <c r="B13435" s="192" t="s">
        <v>1923</v>
      </c>
      <c r="C13435" s="196">
        <v>690194</v>
      </c>
      <c r="D13435" s="196">
        <v>214820</v>
      </c>
      <c r="E13435" s="196">
        <v>0</v>
      </c>
      <c r="F13435" s="196">
        <v>214820</v>
      </c>
      <c r="G13435" s="196">
        <v>905014</v>
      </c>
    </row>
    <row r="13436" spans="1:7" x14ac:dyDescent="0.3">
      <c r="A13436" s="198">
        <v>1026158953</v>
      </c>
      <c r="B13436" s="192" t="s">
        <v>2046</v>
      </c>
      <c r="C13436" s="196">
        <v>1094749</v>
      </c>
      <c r="D13436" s="196">
        <v>212425</v>
      </c>
      <c r="E13436" s="196">
        <v>0</v>
      </c>
      <c r="F13436" s="196">
        <v>212425</v>
      </c>
      <c r="G13436" s="196">
        <v>1307174</v>
      </c>
    </row>
    <row r="13437" spans="1:7" x14ac:dyDescent="0.3">
      <c r="A13437" s="198">
        <v>1035858442</v>
      </c>
      <c r="B13437" s="192" t="s">
        <v>1927</v>
      </c>
      <c r="C13437" s="196">
        <v>1510298</v>
      </c>
      <c r="D13437" s="196">
        <v>254091</v>
      </c>
      <c r="E13437" s="196">
        <v>0</v>
      </c>
      <c r="F13437" s="196">
        <v>254091</v>
      </c>
      <c r="G13437" s="196">
        <v>1764389</v>
      </c>
    </row>
    <row r="13438" spans="1:7" x14ac:dyDescent="0.3">
      <c r="A13438" s="198">
        <v>52245050</v>
      </c>
      <c r="B13438" s="192" t="s">
        <v>2319</v>
      </c>
      <c r="C13438" s="196">
        <v>277778</v>
      </c>
      <c r="D13438" s="196">
        <v>166667</v>
      </c>
      <c r="E13438" s="196">
        <v>0</v>
      </c>
      <c r="F13438" s="196">
        <v>166667</v>
      </c>
      <c r="G13438" s="196">
        <v>444445</v>
      </c>
    </row>
    <row r="13439" spans="1:7" x14ac:dyDescent="0.3">
      <c r="A13439" s="198">
        <v>1027740123</v>
      </c>
      <c r="B13439" s="192" t="s">
        <v>1928</v>
      </c>
      <c r="C13439" s="196">
        <v>426910</v>
      </c>
      <c r="D13439" s="196">
        <v>0</v>
      </c>
      <c r="E13439" s="196">
        <v>0</v>
      </c>
      <c r="F13439" s="196">
        <v>0</v>
      </c>
      <c r="G13439" s="196">
        <v>426910</v>
      </c>
    </row>
    <row r="13440" spans="1:7" x14ac:dyDescent="0.3">
      <c r="A13440" s="198">
        <v>43256222</v>
      </c>
      <c r="B13440" s="192" t="s">
        <v>2049</v>
      </c>
      <c r="C13440" s="196">
        <v>1163714</v>
      </c>
      <c r="D13440" s="196">
        <v>195758</v>
      </c>
      <c r="E13440" s="196">
        <v>0</v>
      </c>
      <c r="F13440" s="196">
        <v>195758</v>
      </c>
      <c r="G13440" s="196">
        <v>1359472</v>
      </c>
    </row>
    <row r="13441" spans="1:7" x14ac:dyDescent="0.3">
      <c r="A13441" s="198">
        <v>1017284611</v>
      </c>
      <c r="B13441" s="192" t="s">
        <v>1715</v>
      </c>
      <c r="C13441" s="196">
        <v>1000001</v>
      </c>
      <c r="D13441" s="196">
        <v>166667</v>
      </c>
      <c r="E13441" s="196">
        <v>0</v>
      </c>
      <c r="F13441" s="196">
        <v>166667</v>
      </c>
      <c r="G13441" s="196">
        <v>1166668</v>
      </c>
    </row>
    <row r="13442" spans="1:7" x14ac:dyDescent="0.3">
      <c r="A13442" s="198">
        <v>1127941794</v>
      </c>
      <c r="B13442" s="192" t="s">
        <v>1274</v>
      </c>
      <c r="C13442" s="196">
        <v>3600000</v>
      </c>
      <c r="D13442" s="196">
        <v>900000</v>
      </c>
      <c r="E13442" s="196">
        <v>0</v>
      </c>
      <c r="F13442" s="196">
        <v>900000</v>
      </c>
      <c r="G13442" s="196">
        <v>4500000</v>
      </c>
    </row>
    <row r="13443" spans="1:7" x14ac:dyDescent="0.3">
      <c r="A13443" s="198">
        <v>43550437</v>
      </c>
      <c r="B13443" s="192" t="s">
        <v>1936</v>
      </c>
      <c r="C13443" s="196">
        <v>136616</v>
      </c>
      <c r="D13443" s="196">
        <v>0</v>
      </c>
      <c r="E13443" s="196">
        <v>0</v>
      </c>
      <c r="F13443" s="196">
        <v>0</v>
      </c>
      <c r="G13443" s="196">
        <v>136616</v>
      </c>
    </row>
    <row r="13444" spans="1:7" x14ac:dyDescent="0.3">
      <c r="A13444" s="198">
        <v>809106</v>
      </c>
      <c r="B13444" s="192" t="s">
        <v>1680</v>
      </c>
      <c r="C13444" s="196">
        <v>1107388</v>
      </c>
      <c r="D13444" s="196">
        <v>204329</v>
      </c>
      <c r="E13444" s="196">
        <v>0</v>
      </c>
      <c r="F13444" s="196">
        <v>204329</v>
      </c>
      <c r="G13444" s="196">
        <v>1311717</v>
      </c>
    </row>
    <row r="13445" spans="1:7" x14ac:dyDescent="0.3">
      <c r="A13445" s="198">
        <v>1017184852</v>
      </c>
      <c r="B13445" s="192" t="s">
        <v>1716</v>
      </c>
      <c r="C13445" s="196">
        <v>1309584</v>
      </c>
      <c r="D13445" s="196">
        <v>263675</v>
      </c>
      <c r="E13445" s="196">
        <v>0</v>
      </c>
      <c r="F13445" s="196">
        <v>263675</v>
      </c>
      <c r="G13445" s="196">
        <v>1573259</v>
      </c>
    </row>
    <row r="13446" spans="1:7" x14ac:dyDescent="0.3">
      <c r="A13446" s="198">
        <v>1040748779</v>
      </c>
      <c r="B13446" s="192" t="s">
        <v>2055</v>
      </c>
      <c r="C13446" s="196">
        <v>1778454</v>
      </c>
      <c r="D13446" s="196">
        <v>295758</v>
      </c>
      <c r="E13446" s="196">
        <v>0</v>
      </c>
      <c r="F13446" s="196">
        <v>295758</v>
      </c>
      <c r="G13446" s="196">
        <v>2074212</v>
      </c>
    </row>
    <row r="13447" spans="1:7" x14ac:dyDescent="0.3">
      <c r="A13447" s="198">
        <v>1000639361</v>
      </c>
      <c r="B13447" s="192" t="s">
        <v>2058</v>
      </c>
      <c r="C13447" s="196">
        <v>448814</v>
      </c>
      <c r="D13447" s="196">
        <v>0</v>
      </c>
      <c r="E13447" s="196">
        <v>0</v>
      </c>
      <c r="F13447" s="196">
        <v>0</v>
      </c>
      <c r="G13447" s="196">
        <v>448814</v>
      </c>
    </row>
    <row r="13448" spans="1:7" x14ac:dyDescent="0.3">
      <c r="A13448" s="198">
        <v>1015067177</v>
      </c>
      <c r="B13448" s="192" t="s">
        <v>2320</v>
      </c>
      <c r="C13448" s="196">
        <v>531061</v>
      </c>
      <c r="D13448" s="196">
        <v>212425</v>
      </c>
      <c r="E13448" s="196">
        <v>0</v>
      </c>
      <c r="F13448" s="196">
        <v>212425</v>
      </c>
      <c r="G13448" s="196">
        <v>743486</v>
      </c>
    </row>
    <row r="13449" spans="1:7" x14ac:dyDescent="0.3">
      <c r="A13449" s="197">
        <v>510539</v>
      </c>
      <c r="B13449" s="191" t="s">
        <v>2359</v>
      </c>
      <c r="C13449" s="195">
        <v>36568168.009999998</v>
      </c>
      <c r="D13449" s="195">
        <v>6566995</v>
      </c>
      <c r="E13449" s="195">
        <v>0</v>
      </c>
      <c r="F13449" s="195">
        <v>6566995</v>
      </c>
      <c r="G13449" s="195">
        <v>43135163.009999998</v>
      </c>
    </row>
    <row r="13450" spans="1:7" x14ac:dyDescent="0.3">
      <c r="A13450" s="198">
        <v>51053901</v>
      </c>
      <c r="B13450" s="192" t="s">
        <v>2359</v>
      </c>
      <c r="C13450" s="196">
        <v>36568168.009999998</v>
      </c>
      <c r="D13450" s="196">
        <v>6566995</v>
      </c>
      <c r="E13450" s="196">
        <v>0</v>
      </c>
      <c r="F13450" s="196">
        <v>6566995</v>
      </c>
      <c r="G13450" s="196">
        <v>43135163.009999998</v>
      </c>
    </row>
    <row r="13451" spans="1:7" x14ac:dyDescent="0.3">
      <c r="A13451" s="198">
        <v>31948684</v>
      </c>
      <c r="B13451" s="192" t="s">
        <v>165</v>
      </c>
      <c r="C13451" s="196">
        <v>4428000</v>
      </c>
      <c r="D13451" s="196">
        <v>500000</v>
      </c>
      <c r="E13451" s="196">
        <v>0</v>
      </c>
      <c r="F13451" s="196">
        <v>500000</v>
      </c>
      <c r="G13451" s="196">
        <v>4928000</v>
      </c>
    </row>
    <row r="13452" spans="1:7" x14ac:dyDescent="0.3">
      <c r="A13452" s="198">
        <v>1193166396</v>
      </c>
      <c r="B13452" s="192" t="s">
        <v>1625</v>
      </c>
      <c r="C13452" s="196">
        <v>2447111</v>
      </c>
      <c r="D13452" s="196">
        <v>1145833</v>
      </c>
      <c r="E13452" s="196">
        <v>0</v>
      </c>
      <c r="F13452" s="196">
        <v>1145833</v>
      </c>
      <c r="G13452" s="196">
        <v>3592944</v>
      </c>
    </row>
    <row r="13453" spans="1:7" x14ac:dyDescent="0.3">
      <c r="A13453" s="198">
        <v>1020423981</v>
      </c>
      <c r="B13453" s="192" t="s">
        <v>2030</v>
      </c>
      <c r="C13453" s="196">
        <v>1280571</v>
      </c>
      <c r="D13453" s="196">
        <v>100094</v>
      </c>
      <c r="E13453" s="196">
        <v>0</v>
      </c>
      <c r="F13453" s="196">
        <v>100094</v>
      </c>
      <c r="G13453" s="196">
        <v>1380665</v>
      </c>
    </row>
    <row r="13454" spans="1:7" x14ac:dyDescent="0.3">
      <c r="A13454" s="198">
        <v>1152689568</v>
      </c>
      <c r="B13454" s="192" t="s">
        <v>1705</v>
      </c>
      <c r="C13454" s="196">
        <v>917307</v>
      </c>
      <c r="D13454" s="196">
        <v>116884</v>
      </c>
      <c r="E13454" s="196">
        <v>0</v>
      </c>
      <c r="F13454" s="196">
        <v>116884</v>
      </c>
      <c r="G13454" s="196">
        <v>1034191</v>
      </c>
    </row>
    <row r="13455" spans="1:7" x14ac:dyDescent="0.3">
      <c r="A13455" s="198">
        <v>1037266322</v>
      </c>
      <c r="B13455" s="192" t="s">
        <v>2031</v>
      </c>
      <c r="C13455" s="196">
        <v>96250</v>
      </c>
      <c r="D13455" s="196">
        <v>0</v>
      </c>
      <c r="E13455" s="196">
        <v>0</v>
      </c>
      <c r="F13455" s="196">
        <v>0</v>
      </c>
      <c r="G13455" s="196">
        <v>96250</v>
      </c>
    </row>
    <row r="13456" spans="1:7" x14ac:dyDescent="0.3">
      <c r="A13456" s="198">
        <v>32144343</v>
      </c>
      <c r="B13456" s="192" t="s">
        <v>1706</v>
      </c>
      <c r="C13456" s="196">
        <v>757865</v>
      </c>
      <c r="D13456" s="196">
        <v>72954</v>
      </c>
      <c r="E13456" s="196">
        <v>0</v>
      </c>
      <c r="F13456" s="196">
        <v>72954</v>
      </c>
      <c r="G13456" s="196">
        <v>830819</v>
      </c>
    </row>
    <row r="13457" spans="1:7" x14ac:dyDescent="0.3">
      <c r="A13457" s="198">
        <v>1037583982</v>
      </c>
      <c r="B13457" s="192" t="s">
        <v>1798</v>
      </c>
      <c r="C13457" s="196">
        <v>2248916</v>
      </c>
      <c r="D13457" s="196">
        <v>226815</v>
      </c>
      <c r="E13457" s="196">
        <v>0</v>
      </c>
      <c r="F13457" s="196">
        <v>226815</v>
      </c>
      <c r="G13457" s="196">
        <v>2475731</v>
      </c>
    </row>
    <row r="13458" spans="1:7" x14ac:dyDescent="0.3">
      <c r="A13458" s="198">
        <v>1017266622</v>
      </c>
      <c r="B13458" s="192" t="s">
        <v>1707</v>
      </c>
      <c r="C13458" s="196">
        <v>989644</v>
      </c>
      <c r="D13458" s="196">
        <v>120833</v>
      </c>
      <c r="E13458" s="196">
        <v>0</v>
      </c>
      <c r="F13458" s="196">
        <v>120833</v>
      </c>
      <c r="G13458" s="196">
        <v>1110477</v>
      </c>
    </row>
    <row r="13459" spans="1:7" x14ac:dyDescent="0.3">
      <c r="A13459" s="198">
        <v>1036641303</v>
      </c>
      <c r="B13459" s="192" t="s">
        <v>2034</v>
      </c>
      <c r="C13459" s="196">
        <v>1234969</v>
      </c>
      <c r="D13459" s="196">
        <v>108334</v>
      </c>
      <c r="E13459" s="196">
        <v>0</v>
      </c>
      <c r="F13459" s="196">
        <v>108334</v>
      </c>
      <c r="G13459" s="196">
        <v>1343303</v>
      </c>
    </row>
    <row r="13460" spans="1:7" x14ac:dyDescent="0.3">
      <c r="A13460" s="198">
        <v>1037570707</v>
      </c>
      <c r="B13460" s="192" t="s">
        <v>1677</v>
      </c>
      <c r="C13460" s="196">
        <v>800450</v>
      </c>
      <c r="D13460" s="196">
        <v>96344</v>
      </c>
      <c r="E13460" s="196">
        <v>0</v>
      </c>
      <c r="F13460" s="196">
        <v>96344</v>
      </c>
      <c r="G13460" s="196">
        <v>896794</v>
      </c>
    </row>
    <row r="13461" spans="1:7" x14ac:dyDescent="0.3">
      <c r="A13461" s="198">
        <v>1001660174</v>
      </c>
      <c r="B13461" s="192" t="s">
        <v>2318</v>
      </c>
      <c r="C13461" s="196">
        <v>249167</v>
      </c>
      <c r="D13461" s="196">
        <v>95833</v>
      </c>
      <c r="E13461" s="196">
        <v>0</v>
      </c>
      <c r="F13461" s="196">
        <v>95833</v>
      </c>
      <c r="G13461" s="196">
        <v>345000</v>
      </c>
    </row>
    <row r="13462" spans="1:7" x14ac:dyDescent="0.3">
      <c r="A13462" s="198">
        <v>43190602</v>
      </c>
      <c r="B13462" s="192" t="s">
        <v>1708</v>
      </c>
      <c r="C13462" s="196">
        <v>920806</v>
      </c>
      <c r="D13462" s="196">
        <v>87500</v>
      </c>
      <c r="E13462" s="196">
        <v>0</v>
      </c>
      <c r="F13462" s="196">
        <v>87500</v>
      </c>
      <c r="G13462" s="196">
        <v>1008306</v>
      </c>
    </row>
    <row r="13463" spans="1:7" x14ac:dyDescent="0.3">
      <c r="A13463" s="198">
        <v>3901013</v>
      </c>
      <c r="B13463" s="192" t="s">
        <v>1709</v>
      </c>
      <c r="C13463" s="196">
        <v>2976199</v>
      </c>
      <c r="D13463" s="196">
        <v>1666667</v>
      </c>
      <c r="E13463" s="196">
        <v>0</v>
      </c>
      <c r="F13463" s="196">
        <v>1666667</v>
      </c>
      <c r="G13463" s="196">
        <v>4642866</v>
      </c>
    </row>
    <row r="13464" spans="1:7" x14ac:dyDescent="0.3">
      <c r="A13464" s="198">
        <v>43605890</v>
      </c>
      <c r="B13464" s="192" t="s">
        <v>565</v>
      </c>
      <c r="C13464" s="196">
        <v>2220249</v>
      </c>
      <c r="D13464" s="196">
        <v>229167</v>
      </c>
      <c r="E13464" s="196">
        <v>0</v>
      </c>
      <c r="F13464" s="196">
        <v>229167</v>
      </c>
      <c r="G13464" s="196">
        <v>2449416</v>
      </c>
    </row>
    <row r="13465" spans="1:7" x14ac:dyDescent="0.3">
      <c r="A13465" s="198">
        <v>1036685923</v>
      </c>
      <c r="B13465" s="192" t="s">
        <v>1710</v>
      </c>
      <c r="C13465" s="196">
        <v>1015000</v>
      </c>
      <c r="D13465" s="196">
        <v>120833</v>
      </c>
      <c r="E13465" s="196">
        <v>0</v>
      </c>
      <c r="F13465" s="196">
        <v>120833</v>
      </c>
      <c r="G13465" s="196">
        <v>1135833</v>
      </c>
    </row>
    <row r="13466" spans="1:7" x14ac:dyDescent="0.3">
      <c r="A13466" s="198">
        <v>1007551247</v>
      </c>
      <c r="B13466" s="192" t="s">
        <v>1712</v>
      </c>
      <c r="C13466" s="196">
        <v>295672</v>
      </c>
      <c r="D13466" s="196">
        <v>0</v>
      </c>
      <c r="E13466" s="196">
        <v>0</v>
      </c>
      <c r="F13466" s="196">
        <v>0</v>
      </c>
      <c r="G13466" s="196">
        <v>295672</v>
      </c>
    </row>
    <row r="13467" spans="1:7" x14ac:dyDescent="0.3">
      <c r="A13467" s="198">
        <v>1017133284</v>
      </c>
      <c r="B13467" s="192" t="s">
        <v>2037</v>
      </c>
      <c r="C13467" s="196">
        <v>503461</v>
      </c>
      <c r="D13467" s="196">
        <v>95833</v>
      </c>
      <c r="E13467" s="196">
        <v>0</v>
      </c>
      <c r="F13467" s="196">
        <v>95833</v>
      </c>
      <c r="G13467" s="196">
        <v>599294</v>
      </c>
    </row>
    <row r="13468" spans="1:7" x14ac:dyDescent="0.3">
      <c r="A13468" s="198">
        <v>1020436418</v>
      </c>
      <c r="B13468" s="192" t="s">
        <v>2040</v>
      </c>
      <c r="C13468" s="196">
        <v>373333</v>
      </c>
      <c r="D13468" s="196">
        <v>87500</v>
      </c>
      <c r="E13468" s="196">
        <v>0</v>
      </c>
      <c r="F13468" s="196">
        <v>87500</v>
      </c>
      <c r="G13468" s="196">
        <v>460833</v>
      </c>
    </row>
    <row r="13469" spans="1:7" x14ac:dyDescent="0.3">
      <c r="A13469" s="198">
        <v>1216723387</v>
      </c>
      <c r="B13469" s="192" t="s">
        <v>1713</v>
      </c>
      <c r="C13469" s="196">
        <v>1175117</v>
      </c>
      <c r="D13469" s="196">
        <v>120080</v>
      </c>
      <c r="E13469" s="196">
        <v>0</v>
      </c>
      <c r="F13469" s="196">
        <v>120080</v>
      </c>
      <c r="G13469" s="196">
        <v>1295197</v>
      </c>
    </row>
    <row r="13470" spans="1:7" x14ac:dyDescent="0.3">
      <c r="A13470" s="198">
        <v>1040752245</v>
      </c>
      <c r="B13470" s="192" t="s">
        <v>1678</v>
      </c>
      <c r="C13470" s="196">
        <v>1002539</v>
      </c>
      <c r="D13470" s="196">
        <v>19166</v>
      </c>
      <c r="E13470" s="196">
        <v>0</v>
      </c>
      <c r="F13470" s="196">
        <v>19166</v>
      </c>
      <c r="G13470" s="196">
        <v>1021705</v>
      </c>
    </row>
    <row r="13471" spans="1:7" x14ac:dyDescent="0.3">
      <c r="A13471" s="198">
        <v>6549128</v>
      </c>
      <c r="B13471" s="192" t="s">
        <v>2043</v>
      </c>
      <c r="C13471" s="196">
        <v>1250000</v>
      </c>
      <c r="D13471" s="196">
        <v>104167</v>
      </c>
      <c r="E13471" s="196">
        <v>0</v>
      </c>
      <c r="F13471" s="196">
        <v>104167</v>
      </c>
      <c r="G13471" s="196">
        <v>1354167</v>
      </c>
    </row>
    <row r="13472" spans="1:7" x14ac:dyDescent="0.3">
      <c r="A13472" s="198">
        <v>1020431035</v>
      </c>
      <c r="B13472" s="192" t="s">
        <v>1923</v>
      </c>
      <c r="C13472" s="196">
        <v>311538</v>
      </c>
      <c r="D13472" s="196">
        <v>97031</v>
      </c>
      <c r="E13472" s="196">
        <v>0</v>
      </c>
      <c r="F13472" s="196">
        <v>97031</v>
      </c>
      <c r="G13472" s="196">
        <v>408569</v>
      </c>
    </row>
    <row r="13473" spans="1:7" x14ac:dyDescent="0.3">
      <c r="A13473" s="198">
        <v>1026158953</v>
      </c>
      <c r="B13473" s="192" t="s">
        <v>2046</v>
      </c>
      <c r="C13473" s="196">
        <v>495139</v>
      </c>
      <c r="D13473" s="196">
        <v>95834</v>
      </c>
      <c r="E13473" s="196">
        <v>0</v>
      </c>
      <c r="F13473" s="196">
        <v>95834</v>
      </c>
      <c r="G13473" s="196">
        <v>590973</v>
      </c>
    </row>
    <row r="13474" spans="1:7" x14ac:dyDescent="0.3">
      <c r="A13474" s="198">
        <v>1035858442</v>
      </c>
      <c r="B13474" s="192" t="s">
        <v>1927</v>
      </c>
      <c r="C13474" s="196">
        <v>1271306.01</v>
      </c>
      <c r="D13474" s="196">
        <v>116667</v>
      </c>
      <c r="E13474" s="196">
        <v>0</v>
      </c>
      <c r="F13474" s="196">
        <v>116667</v>
      </c>
      <c r="G13474" s="196">
        <v>1387973.01</v>
      </c>
    </row>
    <row r="13475" spans="1:7" x14ac:dyDescent="0.3">
      <c r="A13475" s="198">
        <v>52245050</v>
      </c>
      <c r="B13475" s="192" t="s">
        <v>2319</v>
      </c>
      <c r="C13475" s="196">
        <v>121591</v>
      </c>
      <c r="D13475" s="196">
        <v>72954</v>
      </c>
      <c r="E13475" s="196">
        <v>0</v>
      </c>
      <c r="F13475" s="196">
        <v>72954</v>
      </c>
      <c r="G13475" s="196">
        <v>194545</v>
      </c>
    </row>
    <row r="13476" spans="1:7" x14ac:dyDescent="0.3">
      <c r="A13476" s="198">
        <v>1027740123</v>
      </c>
      <c r="B13476" s="192" t="s">
        <v>1928</v>
      </c>
      <c r="C13476" s="196">
        <v>219097</v>
      </c>
      <c r="D13476" s="196">
        <v>0</v>
      </c>
      <c r="E13476" s="196">
        <v>0</v>
      </c>
      <c r="F13476" s="196">
        <v>0</v>
      </c>
      <c r="G13476" s="196">
        <v>219097</v>
      </c>
    </row>
    <row r="13477" spans="1:7" x14ac:dyDescent="0.3">
      <c r="A13477" s="198">
        <v>43256222</v>
      </c>
      <c r="B13477" s="192" t="s">
        <v>2049</v>
      </c>
      <c r="C13477" s="196">
        <v>1030167</v>
      </c>
      <c r="D13477" s="196">
        <v>87500</v>
      </c>
      <c r="E13477" s="196">
        <v>0</v>
      </c>
      <c r="F13477" s="196">
        <v>87500</v>
      </c>
      <c r="G13477" s="196">
        <v>1117667</v>
      </c>
    </row>
    <row r="13478" spans="1:7" x14ac:dyDescent="0.3">
      <c r="A13478" s="198">
        <v>1017284611</v>
      </c>
      <c r="B13478" s="192" t="s">
        <v>1715</v>
      </c>
      <c r="C13478" s="196">
        <v>525017</v>
      </c>
      <c r="D13478" s="196">
        <v>72955</v>
      </c>
      <c r="E13478" s="196">
        <v>0</v>
      </c>
      <c r="F13478" s="196">
        <v>72955</v>
      </c>
      <c r="G13478" s="196">
        <v>597972</v>
      </c>
    </row>
    <row r="13479" spans="1:7" x14ac:dyDescent="0.3">
      <c r="A13479" s="198">
        <v>1127941794</v>
      </c>
      <c r="B13479" s="192" t="s">
        <v>1274</v>
      </c>
      <c r="C13479" s="196">
        <v>1800000</v>
      </c>
      <c r="D13479" s="196">
        <v>450000</v>
      </c>
      <c r="E13479" s="196">
        <v>0</v>
      </c>
      <c r="F13479" s="196">
        <v>450000</v>
      </c>
      <c r="G13479" s="196">
        <v>2250000</v>
      </c>
    </row>
    <row r="13480" spans="1:7" x14ac:dyDescent="0.3">
      <c r="A13480" s="198">
        <v>43550437</v>
      </c>
      <c r="B13480" s="192" t="s">
        <v>1936</v>
      </c>
      <c r="C13480" s="196">
        <v>147214</v>
      </c>
      <c r="D13480" s="196">
        <v>0</v>
      </c>
      <c r="E13480" s="196">
        <v>0</v>
      </c>
      <c r="F13480" s="196">
        <v>0</v>
      </c>
      <c r="G13480" s="196">
        <v>147214</v>
      </c>
    </row>
    <row r="13481" spans="1:7" x14ac:dyDescent="0.3">
      <c r="A13481" s="198">
        <v>809106</v>
      </c>
      <c r="B13481" s="192" t="s">
        <v>1680</v>
      </c>
      <c r="C13481" s="196">
        <v>505377</v>
      </c>
      <c r="D13481" s="196">
        <v>103043</v>
      </c>
      <c r="E13481" s="196">
        <v>0</v>
      </c>
      <c r="F13481" s="196">
        <v>103043</v>
      </c>
      <c r="G13481" s="196">
        <v>608420</v>
      </c>
    </row>
    <row r="13482" spans="1:7" x14ac:dyDescent="0.3">
      <c r="A13482" s="198">
        <v>1017184852</v>
      </c>
      <c r="B13482" s="192" t="s">
        <v>1716</v>
      </c>
      <c r="C13482" s="196">
        <v>603243</v>
      </c>
      <c r="D13482" s="196">
        <v>121458</v>
      </c>
      <c r="E13482" s="196">
        <v>0</v>
      </c>
      <c r="F13482" s="196">
        <v>121458</v>
      </c>
      <c r="G13482" s="196">
        <v>724701</v>
      </c>
    </row>
    <row r="13483" spans="1:7" x14ac:dyDescent="0.3">
      <c r="A13483" s="198">
        <v>1040748779</v>
      </c>
      <c r="B13483" s="192" t="s">
        <v>2055</v>
      </c>
      <c r="C13483" s="196">
        <v>1710679</v>
      </c>
      <c r="D13483" s="196">
        <v>138882</v>
      </c>
      <c r="E13483" s="196">
        <v>0</v>
      </c>
      <c r="F13483" s="196">
        <v>138882</v>
      </c>
      <c r="G13483" s="196">
        <v>1849561</v>
      </c>
    </row>
    <row r="13484" spans="1:7" x14ac:dyDescent="0.3">
      <c r="A13484" s="198">
        <v>1000639361</v>
      </c>
      <c r="B13484" s="192" t="s">
        <v>2058</v>
      </c>
      <c r="C13484" s="196">
        <v>405591</v>
      </c>
      <c r="D13484" s="196">
        <v>0</v>
      </c>
      <c r="E13484" s="196">
        <v>0</v>
      </c>
      <c r="F13484" s="196">
        <v>0</v>
      </c>
      <c r="G13484" s="196">
        <v>405591</v>
      </c>
    </row>
    <row r="13485" spans="1:7" x14ac:dyDescent="0.3">
      <c r="A13485" s="198">
        <v>1015067177</v>
      </c>
      <c r="B13485" s="192" t="s">
        <v>2320</v>
      </c>
      <c r="C13485" s="196">
        <v>239583</v>
      </c>
      <c r="D13485" s="196">
        <v>95834</v>
      </c>
      <c r="E13485" s="196">
        <v>0</v>
      </c>
      <c r="F13485" s="196">
        <v>95834</v>
      </c>
      <c r="G13485" s="196">
        <v>335417</v>
      </c>
    </row>
    <row r="13486" spans="1:7" x14ac:dyDescent="0.3">
      <c r="A13486" s="197">
        <v>510548</v>
      </c>
      <c r="B13486" s="191" t="s">
        <v>7449</v>
      </c>
      <c r="C13486" s="195">
        <v>17384000</v>
      </c>
      <c r="D13486" s="195">
        <v>2714001</v>
      </c>
      <c r="E13486" s="195">
        <v>0</v>
      </c>
      <c r="F13486" s="195">
        <v>2714001</v>
      </c>
      <c r="G13486" s="195">
        <v>20098001</v>
      </c>
    </row>
    <row r="13487" spans="1:7" x14ac:dyDescent="0.3">
      <c r="A13487" s="198">
        <v>51054825</v>
      </c>
      <c r="B13487" s="192" t="s">
        <v>7450</v>
      </c>
      <c r="C13487" s="196">
        <v>17384000</v>
      </c>
      <c r="D13487" s="196">
        <v>2714001</v>
      </c>
      <c r="E13487" s="196">
        <v>0</v>
      </c>
      <c r="F13487" s="196">
        <v>2714001</v>
      </c>
      <c r="G13487" s="196">
        <v>20098001</v>
      </c>
    </row>
    <row r="13488" spans="1:7" x14ac:dyDescent="0.3">
      <c r="A13488" s="198">
        <v>1193166396</v>
      </c>
      <c r="B13488" s="192" t="s">
        <v>1625</v>
      </c>
      <c r="C13488" s="196">
        <v>2700000</v>
      </c>
      <c r="D13488" s="196">
        <v>0</v>
      </c>
      <c r="E13488" s="196">
        <v>0</v>
      </c>
      <c r="F13488" s="196">
        <v>0</v>
      </c>
      <c r="G13488" s="196">
        <v>2700000</v>
      </c>
    </row>
    <row r="13489" spans="1:7" x14ac:dyDescent="0.3">
      <c r="A13489" s="198">
        <v>1020423981</v>
      </c>
      <c r="B13489" s="192" t="s">
        <v>2030</v>
      </c>
      <c r="C13489" s="196">
        <v>1013333</v>
      </c>
      <c r="D13489" s="196">
        <v>190000</v>
      </c>
      <c r="E13489" s="196">
        <v>0</v>
      </c>
      <c r="F13489" s="196">
        <v>190000</v>
      </c>
      <c r="G13489" s="196">
        <v>1203333</v>
      </c>
    </row>
    <row r="13490" spans="1:7" x14ac:dyDescent="0.3">
      <c r="A13490" s="198">
        <v>1152689568</v>
      </c>
      <c r="B13490" s="192" t="s">
        <v>1705</v>
      </c>
      <c r="C13490" s="196">
        <v>850000</v>
      </c>
      <c r="D13490" s="196">
        <v>150000</v>
      </c>
      <c r="E13490" s="196">
        <v>0</v>
      </c>
      <c r="F13490" s="196">
        <v>150000</v>
      </c>
      <c r="G13490" s="196">
        <v>1000000</v>
      </c>
    </row>
    <row r="13491" spans="1:7" x14ac:dyDescent="0.3">
      <c r="A13491" s="198">
        <v>32144343</v>
      </c>
      <c r="B13491" s="192" t="s">
        <v>1706</v>
      </c>
      <c r="C13491" s="196">
        <v>869333</v>
      </c>
      <c r="D13491" s="196">
        <v>160000</v>
      </c>
      <c r="E13491" s="196">
        <v>0</v>
      </c>
      <c r="F13491" s="196">
        <v>160000</v>
      </c>
      <c r="G13491" s="196">
        <v>1029333</v>
      </c>
    </row>
    <row r="13492" spans="1:7" x14ac:dyDescent="0.3">
      <c r="A13492" s="198">
        <v>1037583982</v>
      </c>
      <c r="B13492" s="192" t="s">
        <v>1798</v>
      </c>
      <c r="C13492" s="196">
        <v>250000</v>
      </c>
      <c r="D13492" s="196">
        <v>50000</v>
      </c>
      <c r="E13492" s="196">
        <v>0</v>
      </c>
      <c r="F13492" s="196">
        <v>50000</v>
      </c>
      <c r="G13492" s="196">
        <v>300000</v>
      </c>
    </row>
    <row r="13493" spans="1:7" x14ac:dyDescent="0.3">
      <c r="A13493" s="198">
        <v>1017266622</v>
      </c>
      <c r="B13493" s="192" t="s">
        <v>1707</v>
      </c>
      <c r="C13493" s="196">
        <v>1128000</v>
      </c>
      <c r="D13493" s="196">
        <v>90000</v>
      </c>
      <c r="E13493" s="196">
        <v>0</v>
      </c>
      <c r="F13493" s="196">
        <v>90000</v>
      </c>
      <c r="G13493" s="196">
        <v>1218000</v>
      </c>
    </row>
    <row r="13494" spans="1:7" x14ac:dyDescent="0.3">
      <c r="A13494" s="198">
        <v>1036641303</v>
      </c>
      <c r="B13494" s="192" t="s">
        <v>2034</v>
      </c>
      <c r="C13494" s="196">
        <v>736000</v>
      </c>
      <c r="D13494" s="196">
        <v>154667</v>
      </c>
      <c r="E13494" s="196">
        <v>0</v>
      </c>
      <c r="F13494" s="196">
        <v>154667</v>
      </c>
      <c r="G13494" s="196">
        <v>890667</v>
      </c>
    </row>
    <row r="13495" spans="1:7" x14ac:dyDescent="0.3">
      <c r="A13495" s="198">
        <v>1037570707</v>
      </c>
      <c r="B13495" s="192" t="s">
        <v>1677</v>
      </c>
      <c r="C13495" s="196">
        <v>917333</v>
      </c>
      <c r="D13495" s="196">
        <v>160000</v>
      </c>
      <c r="E13495" s="196">
        <v>0</v>
      </c>
      <c r="F13495" s="196">
        <v>160000</v>
      </c>
      <c r="G13495" s="196">
        <v>1077333</v>
      </c>
    </row>
    <row r="13496" spans="1:7" x14ac:dyDescent="0.3">
      <c r="A13496" s="198">
        <v>1001660174</v>
      </c>
      <c r="B13496" s="192" t="s">
        <v>2318</v>
      </c>
      <c r="C13496" s="196">
        <v>237000</v>
      </c>
      <c r="D13496" s="196">
        <v>90000</v>
      </c>
      <c r="E13496" s="196">
        <v>0</v>
      </c>
      <c r="F13496" s="196">
        <v>90000</v>
      </c>
      <c r="G13496" s="196">
        <v>327000</v>
      </c>
    </row>
    <row r="13497" spans="1:7" x14ac:dyDescent="0.3">
      <c r="A13497" s="198">
        <v>43190602</v>
      </c>
      <c r="B13497" s="192" t="s">
        <v>1708</v>
      </c>
      <c r="C13497" s="196">
        <v>660000</v>
      </c>
      <c r="D13497" s="196">
        <v>120000</v>
      </c>
      <c r="E13497" s="196">
        <v>0</v>
      </c>
      <c r="F13497" s="196">
        <v>120000</v>
      </c>
      <c r="G13497" s="196">
        <v>780000</v>
      </c>
    </row>
    <row r="13498" spans="1:7" x14ac:dyDescent="0.3">
      <c r="A13498" s="198">
        <v>1036685923</v>
      </c>
      <c r="B13498" s="192" t="s">
        <v>1710</v>
      </c>
      <c r="C13498" s="196">
        <v>528000</v>
      </c>
      <c r="D13498" s="196">
        <v>90000</v>
      </c>
      <c r="E13498" s="196">
        <v>0</v>
      </c>
      <c r="F13498" s="196">
        <v>90000</v>
      </c>
      <c r="G13498" s="196">
        <v>618000</v>
      </c>
    </row>
    <row r="13499" spans="1:7" x14ac:dyDescent="0.3">
      <c r="A13499" s="198">
        <v>1017133284</v>
      </c>
      <c r="B13499" s="192" t="s">
        <v>2037</v>
      </c>
      <c r="C13499" s="196">
        <v>351000</v>
      </c>
      <c r="D13499" s="196">
        <v>90000</v>
      </c>
      <c r="E13499" s="196">
        <v>0</v>
      </c>
      <c r="F13499" s="196">
        <v>90000</v>
      </c>
      <c r="G13499" s="196">
        <v>441000</v>
      </c>
    </row>
    <row r="13500" spans="1:7" x14ac:dyDescent="0.3">
      <c r="A13500" s="198">
        <v>1020436418</v>
      </c>
      <c r="B13500" s="192" t="s">
        <v>2040</v>
      </c>
      <c r="C13500" s="196">
        <v>384000</v>
      </c>
      <c r="D13500" s="196">
        <v>90000</v>
      </c>
      <c r="E13500" s="196">
        <v>0</v>
      </c>
      <c r="F13500" s="196">
        <v>90000</v>
      </c>
      <c r="G13500" s="196">
        <v>474000</v>
      </c>
    </row>
    <row r="13501" spans="1:7" x14ac:dyDescent="0.3">
      <c r="A13501" s="198">
        <v>1216723387</v>
      </c>
      <c r="B13501" s="192" t="s">
        <v>1713</v>
      </c>
      <c r="C13501" s="196">
        <v>906667</v>
      </c>
      <c r="D13501" s="196">
        <v>160000</v>
      </c>
      <c r="E13501" s="196">
        <v>0</v>
      </c>
      <c r="F13501" s="196">
        <v>160000</v>
      </c>
      <c r="G13501" s="196">
        <v>1066667</v>
      </c>
    </row>
    <row r="13502" spans="1:7" x14ac:dyDescent="0.3">
      <c r="A13502" s="198">
        <v>1040752245</v>
      </c>
      <c r="B13502" s="192" t="s">
        <v>1678</v>
      </c>
      <c r="C13502" s="196">
        <v>489000</v>
      </c>
      <c r="D13502" s="196">
        <v>84000</v>
      </c>
      <c r="E13502" s="196">
        <v>0</v>
      </c>
      <c r="F13502" s="196">
        <v>84000</v>
      </c>
      <c r="G13502" s="196">
        <v>573000</v>
      </c>
    </row>
    <row r="13503" spans="1:7" x14ac:dyDescent="0.3">
      <c r="A13503" s="198">
        <v>1020431035</v>
      </c>
      <c r="B13503" s="192" t="s">
        <v>1923</v>
      </c>
      <c r="C13503" s="196">
        <v>291000</v>
      </c>
      <c r="D13503" s="196">
        <v>90000</v>
      </c>
      <c r="E13503" s="196">
        <v>0</v>
      </c>
      <c r="F13503" s="196">
        <v>90000</v>
      </c>
      <c r="G13503" s="196">
        <v>381000</v>
      </c>
    </row>
    <row r="13504" spans="1:7" x14ac:dyDescent="0.3">
      <c r="A13504" s="198">
        <v>1026158953</v>
      </c>
      <c r="B13504" s="192" t="s">
        <v>2046</v>
      </c>
      <c r="C13504" s="196">
        <v>462000</v>
      </c>
      <c r="D13504" s="196">
        <v>87000</v>
      </c>
      <c r="E13504" s="196">
        <v>0</v>
      </c>
      <c r="F13504" s="196">
        <v>87000</v>
      </c>
      <c r="G13504" s="196">
        <v>549000</v>
      </c>
    </row>
    <row r="13505" spans="1:7" x14ac:dyDescent="0.3">
      <c r="A13505" s="198">
        <v>1035858442</v>
      </c>
      <c r="B13505" s="192" t="s">
        <v>1927</v>
      </c>
      <c r="C13505" s="196">
        <v>890667</v>
      </c>
      <c r="D13505" s="196">
        <v>154667</v>
      </c>
      <c r="E13505" s="196">
        <v>0</v>
      </c>
      <c r="F13505" s="196">
        <v>154667</v>
      </c>
      <c r="G13505" s="196">
        <v>1045334</v>
      </c>
    </row>
    <row r="13506" spans="1:7" x14ac:dyDescent="0.3">
      <c r="A13506" s="198">
        <v>52245050</v>
      </c>
      <c r="B13506" s="192" t="s">
        <v>2319</v>
      </c>
      <c r="C13506" s="196">
        <v>180000</v>
      </c>
      <c r="D13506" s="196">
        <v>90000</v>
      </c>
      <c r="E13506" s="196">
        <v>0</v>
      </c>
      <c r="F13506" s="196">
        <v>90000</v>
      </c>
      <c r="G13506" s="196">
        <v>270000</v>
      </c>
    </row>
    <row r="13507" spans="1:7" x14ac:dyDescent="0.3">
      <c r="A13507" s="198">
        <v>43256222</v>
      </c>
      <c r="B13507" s="192" t="s">
        <v>2049</v>
      </c>
      <c r="C13507" s="196">
        <v>880000</v>
      </c>
      <c r="D13507" s="196">
        <v>154667</v>
      </c>
      <c r="E13507" s="196">
        <v>0</v>
      </c>
      <c r="F13507" s="196">
        <v>154667</v>
      </c>
      <c r="G13507" s="196">
        <v>1034667</v>
      </c>
    </row>
    <row r="13508" spans="1:7" x14ac:dyDescent="0.3">
      <c r="A13508" s="198">
        <v>809106</v>
      </c>
      <c r="B13508" s="192" t="s">
        <v>1680</v>
      </c>
      <c r="C13508" s="196">
        <v>1800000</v>
      </c>
      <c r="D13508" s="196">
        <v>300000</v>
      </c>
      <c r="E13508" s="196">
        <v>0</v>
      </c>
      <c r="F13508" s="196">
        <v>300000</v>
      </c>
      <c r="G13508" s="196">
        <v>2100000</v>
      </c>
    </row>
    <row r="13509" spans="1:7" x14ac:dyDescent="0.3">
      <c r="A13509" s="198">
        <v>1040748779</v>
      </c>
      <c r="B13509" s="192" t="s">
        <v>2055</v>
      </c>
      <c r="C13509" s="196">
        <v>468000</v>
      </c>
      <c r="D13509" s="196">
        <v>90000</v>
      </c>
      <c r="E13509" s="196">
        <v>0</v>
      </c>
      <c r="F13509" s="196">
        <v>90000</v>
      </c>
      <c r="G13509" s="196">
        <v>558000</v>
      </c>
    </row>
    <row r="13510" spans="1:7" x14ac:dyDescent="0.3">
      <c r="A13510" s="198">
        <v>1000639361</v>
      </c>
      <c r="B13510" s="192" t="s">
        <v>2058</v>
      </c>
      <c r="C13510" s="196">
        <v>176667</v>
      </c>
      <c r="D13510" s="196">
        <v>0</v>
      </c>
      <c r="E13510" s="196">
        <v>0</v>
      </c>
      <c r="F13510" s="196">
        <v>0</v>
      </c>
      <c r="G13510" s="196">
        <v>176667</v>
      </c>
    </row>
    <row r="13511" spans="1:7" x14ac:dyDescent="0.3">
      <c r="A13511" s="198">
        <v>1015067177</v>
      </c>
      <c r="B13511" s="192" t="s">
        <v>2320</v>
      </c>
      <c r="C13511" s="196">
        <v>216000</v>
      </c>
      <c r="D13511" s="196">
        <v>69000</v>
      </c>
      <c r="E13511" s="196">
        <v>0</v>
      </c>
      <c r="F13511" s="196">
        <v>69000</v>
      </c>
      <c r="G13511" s="196">
        <v>285000</v>
      </c>
    </row>
    <row r="13512" spans="1:7" x14ac:dyDescent="0.3">
      <c r="A13512" s="197">
        <v>510551</v>
      </c>
      <c r="B13512" s="191" t="s">
        <v>7451</v>
      </c>
      <c r="C13512" s="195">
        <v>21008616.109999999</v>
      </c>
      <c r="D13512" s="195">
        <v>547982.01</v>
      </c>
      <c r="E13512" s="195">
        <v>0</v>
      </c>
      <c r="F13512" s="195">
        <v>547982.01</v>
      </c>
      <c r="G13512" s="195">
        <v>21556598.120000001</v>
      </c>
    </row>
    <row r="13513" spans="1:7" x14ac:dyDescent="0.3">
      <c r="A13513" s="198">
        <v>51055101</v>
      </c>
      <c r="B13513" s="192" t="s">
        <v>7451</v>
      </c>
      <c r="C13513" s="196">
        <v>17654299.260000002</v>
      </c>
      <c r="D13513" s="196">
        <v>460489.08</v>
      </c>
      <c r="E13513" s="196">
        <v>0</v>
      </c>
      <c r="F13513" s="196">
        <v>460489.08</v>
      </c>
      <c r="G13513" s="196">
        <v>18114788.34</v>
      </c>
    </row>
    <row r="13514" spans="1:7" x14ac:dyDescent="0.3">
      <c r="A13514" s="198">
        <v>900342297</v>
      </c>
      <c r="B13514" s="192" t="s">
        <v>1872</v>
      </c>
      <c r="C13514" s="196">
        <v>268815.13</v>
      </c>
      <c r="D13514" s="196">
        <v>302504.2</v>
      </c>
      <c r="E13514" s="196">
        <v>0</v>
      </c>
      <c r="F13514" s="196">
        <v>302504.2</v>
      </c>
      <c r="G13514" s="196">
        <v>571319.32999999996</v>
      </c>
    </row>
    <row r="13515" spans="1:7" x14ac:dyDescent="0.3">
      <c r="A13515" s="198">
        <v>900924527</v>
      </c>
      <c r="B13515" s="192" t="s">
        <v>1899</v>
      </c>
      <c r="C13515" s="196">
        <v>1637647.9</v>
      </c>
      <c r="D13515" s="196">
        <v>0</v>
      </c>
      <c r="E13515" s="196">
        <v>0</v>
      </c>
      <c r="F13515" s="196">
        <v>0</v>
      </c>
      <c r="G13515" s="196">
        <v>1637647.9</v>
      </c>
    </row>
    <row r="13516" spans="1:7" x14ac:dyDescent="0.3">
      <c r="A13516" s="198">
        <v>900298420</v>
      </c>
      <c r="B13516" s="192" t="s">
        <v>1637</v>
      </c>
      <c r="C13516" s="196">
        <v>14650940.43</v>
      </c>
      <c r="D13516" s="196">
        <v>157984.88</v>
      </c>
      <c r="E13516" s="196">
        <v>0</v>
      </c>
      <c r="F13516" s="196">
        <v>157984.88</v>
      </c>
      <c r="G13516" s="196">
        <v>14808925.310000001</v>
      </c>
    </row>
    <row r="13517" spans="1:7" x14ac:dyDescent="0.3">
      <c r="A13517" s="198">
        <v>901509662</v>
      </c>
      <c r="B13517" s="192" t="s">
        <v>7452</v>
      </c>
      <c r="C13517" s="196">
        <v>995400</v>
      </c>
      <c r="D13517" s="196">
        <v>0</v>
      </c>
      <c r="E13517" s="196">
        <v>0</v>
      </c>
      <c r="F13517" s="196">
        <v>0</v>
      </c>
      <c r="G13517" s="196">
        <v>995400</v>
      </c>
    </row>
    <row r="13518" spans="1:7" x14ac:dyDescent="0.3">
      <c r="A13518" s="198">
        <v>900756658</v>
      </c>
      <c r="B13518" s="192" t="s">
        <v>7453</v>
      </c>
      <c r="C13518" s="196">
        <v>101495.8</v>
      </c>
      <c r="D13518" s="196">
        <v>0</v>
      </c>
      <c r="E13518" s="196">
        <v>0</v>
      </c>
      <c r="F13518" s="196">
        <v>0</v>
      </c>
      <c r="G13518" s="196">
        <v>101495.8</v>
      </c>
    </row>
    <row r="13519" spans="1:7" x14ac:dyDescent="0.3">
      <c r="A13519" s="198">
        <v>51055198</v>
      </c>
      <c r="B13519" s="192" t="s">
        <v>7454</v>
      </c>
      <c r="C13519" s="196">
        <v>3354316.85</v>
      </c>
      <c r="D13519" s="196">
        <v>87492.93</v>
      </c>
      <c r="E13519" s="196">
        <v>0</v>
      </c>
      <c r="F13519" s="196">
        <v>87492.93</v>
      </c>
      <c r="G13519" s="196">
        <v>3441809.78</v>
      </c>
    </row>
    <row r="13520" spans="1:7" x14ac:dyDescent="0.3">
      <c r="A13520" s="198">
        <v>900342297</v>
      </c>
      <c r="B13520" s="192" t="s">
        <v>1872</v>
      </c>
      <c r="C13520" s="196">
        <v>51074.87</v>
      </c>
      <c r="D13520" s="196">
        <v>57475.8</v>
      </c>
      <c r="E13520" s="196">
        <v>0</v>
      </c>
      <c r="F13520" s="196">
        <v>57475.8</v>
      </c>
      <c r="G13520" s="196">
        <v>108550.67</v>
      </c>
    </row>
    <row r="13521" spans="1:7" x14ac:dyDescent="0.3">
      <c r="A13521" s="198">
        <v>900924527</v>
      </c>
      <c r="B13521" s="192" t="s">
        <v>1899</v>
      </c>
      <c r="C13521" s="196">
        <v>311153.09999999998</v>
      </c>
      <c r="D13521" s="196">
        <v>0</v>
      </c>
      <c r="E13521" s="196">
        <v>0</v>
      </c>
      <c r="F13521" s="196">
        <v>0</v>
      </c>
      <c r="G13521" s="196">
        <v>311153.09999999998</v>
      </c>
    </row>
    <row r="13522" spans="1:7" x14ac:dyDescent="0.3">
      <c r="A13522" s="198">
        <v>900298420</v>
      </c>
      <c r="B13522" s="192" t="s">
        <v>1637</v>
      </c>
      <c r="C13522" s="196">
        <v>2783678.68</v>
      </c>
      <c r="D13522" s="196">
        <v>30017.13</v>
      </c>
      <c r="E13522" s="196">
        <v>0</v>
      </c>
      <c r="F13522" s="196">
        <v>30017.13</v>
      </c>
      <c r="G13522" s="196">
        <v>2813695.81</v>
      </c>
    </row>
    <row r="13523" spans="1:7" x14ac:dyDescent="0.3">
      <c r="A13523" s="198">
        <v>901509662</v>
      </c>
      <c r="B13523" s="192" t="s">
        <v>7452</v>
      </c>
      <c r="C13523" s="196">
        <v>189126</v>
      </c>
      <c r="D13523" s="196">
        <v>0</v>
      </c>
      <c r="E13523" s="196">
        <v>0</v>
      </c>
      <c r="F13523" s="196">
        <v>0</v>
      </c>
      <c r="G13523" s="196">
        <v>189126</v>
      </c>
    </row>
    <row r="13524" spans="1:7" x14ac:dyDescent="0.3">
      <c r="A13524" s="198">
        <v>900756658</v>
      </c>
      <c r="B13524" s="192" t="s">
        <v>7453</v>
      </c>
      <c r="C13524" s="196">
        <v>19284.2</v>
      </c>
      <c r="D13524" s="196">
        <v>0</v>
      </c>
      <c r="E13524" s="196">
        <v>0</v>
      </c>
      <c r="F13524" s="196">
        <v>0</v>
      </c>
      <c r="G13524" s="196">
        <v>19284.2</v>
      </c>
    </row>
    <row r="13525" spans="1:7" x14ac:dyDescent="0.3">
      <c r="A13525" s="197">
        <v>510560</v>
      </c>
      <c r="B13525" s="191" t="s">
        <v>7455</v>
      </c>
      <c r="C13525" s="195">
        <v>6090517</v>
      </c>
      <c r="D13525" s="195">
        <v>0</v>
      </c>
      <c r="E13525" s="195">
        <v>0</v>
      </c>
      <c r="F13525" s="195">
        <v>0</v>
      </c>
      <c r="G13525" s="195">
        <v>6090517</v>
      </c>
    </row>
    <row r="13526" spans="1:7" x14ac:dyDescent="0.3">
      <c r="A13526" s="198">
        <v>51056001</v>
      </c>
      <c r="B13526" s="192" t="s">
        <v>7455</v>
      </c>
      <c r="C13526" s="196">
        <v>6090517</v>
      </c>
      <c r="D13526" s="196">
        <v>0</v>
      </c>
      <c r="E13526" s="196">
        <v>0</v>
      </c>
      <c r="F13526" s="196">
        <v>0</v>
      </c>
      <c r="G13526" s="196">
        <v>6090517</v>
      </c>
    </row>
    <row r="13527" spans="1:7" x14ac:dyDescent="0.3">
      <c r="A13527" s="198">
        <v>1007551247</v>
      </c>
      <c r="B13527" s="192" t="s">
        <v>1712</v>
      </c>
      <c r="C13527" s="196">
        <v>6090517</v>
      </c>
      <c r="D13527" s="196">
        <v>0</v>
      </c>
      <c r="E13527" s="196">
        <v>0</v>
      </c>
      <c r="F13527" s="196">
        <v>0</v>
      </c>
      <c r="G13527" s="196">
        <v>6090517</v>
      </c>
    </row>
    <row r="13528" spans="1:7" x14ac:dyDescent="0.3">
      <c r="A13528" s="197">
        <v>510563</v>
      </c>
      <c r="B13528" s="191" t="s">
        <v>7456</v>
      </c>
      <c r="C13528" s="195">
        <v>11621900</v>
      </c>
      <c r="D13528" s="195">
        <v>7225000</v>
      </c>
      <c r="E13528" s="195">
        <v>0</v>
      </c>
      <c r="F13528" s="195">
        <v>7225000</v>
      </c>
      <c r="G13528" s="195">
        <v>18846900</v>
      </c>
    </row>
    <row r="13529" spans="1:7" x14ac:dyDescent="0.3">
      <c r="A13529" s="198">
        <v>51056301</v>
      </c>
      <c r="B13529" s="192" t="s">
        <v>7456</v>
      </c>
      <c r="C13529" s="196">
        <v>11621900</v>
      </c>
      <c r="D13529" s="196">
        <v>7225000</v>
      </c>
      <c r="E13529" s="196">
        <v>0</v>
      </c>
      <c r="F13529" s="196">
        <v>7225000</v>
      </c>
      <c r="G13529" s="196">
        <v>18846900</v>
      </c>
    </row>
    <row r="13530" spans="1:7" x14ac:dyDescent="0.3">
      <c r="A13530" s="198">
        <v>1017266622</v>
      </c>
      <c r="B13530" s="192" t="s">
        <v>1707</v>
      </c>
      <c r="C13530" s="196">
        <v>225000</v>
      </c>
      <c r="D13530" s="196">
        <v>0</v>
      </c>
      <c r="E13530" s="196">
        <v>0</v>
      </c>
      <c r="F13530" s="196">
        <v>0</v>
      </c>
      <c r="G13530" s="196">
        <v>225000</v>
      </c>
    </row>
    <row r="13531" spans="1:7" x14ac:dyDescent="0.3">
      <c r="A13531" s="198">
        <v>43637480</v>
      </c>
      <c r="B13531" s="192" t="s">
        <v>1876</v>
      </c>
      <c r="C13531" s="196">
        <v>5625000</v>
      </c>
      <c r="D13531" s="196">
        <v>5625000</v>
      </c>
      <c r="E13531" s="196">
        <v>0</v>
      </c>
      <c r="F13531" s="196">
        <v>5625000</v>
      </c>
      <c r="G13531" s="196">
        <v>11250000</v>
      </c>
    </row>
    <row r="13532" spans="1:7" x14ac:dyDescent="0.3">
      <c r="A13532" s="198">
        <v>3901013</v>
      </c>
      <c r="B13532" s="192" t="s">
        <v>1709</v>
      </c>
      <c r="C13532" s="196">
        <v>225000</v>
      </c>
      <c r="D13532" s="196">
        <v>0</v>
      </c>
      <c r="E13532" s="196">
        <v>0</v>
      </c>
      <c r="F13532" s="196">
        <v>0</v>
      </c>
      <c r="G13532" s="196">
        <v>225000</v>
      </c>
    </row>
    <row r="13533" spans="1:7" x14ac:dyDescent="0.3">
      <c r="A13533" s="198">
        <v>1036685923</v>
      </c>
      <c r="B13533" s="192" t="s">
        <v>1710</v>
      </c>
      <c r="C13533" s="196">
        <v>150000</v>
      </c>
      <c r="D13533" s="196">
        <v>0</v>
      </c>
      <c r="E13533" s="196">
        <v>0</v>
      </c>
      <c r="F13533" s="196">
        <v>0</v>
      </c>
      <c r="G13533" s="196">
        <v>150000</v>
      </c>
    </row>
    <row r="13534" spans="1:7" x14ac:dyDescent="0.3">
      <c r="A13534" s="198">
        <v>71526513</v>
      </c>
      <c r="B13534" s="192" t="s">
        <v>1643</v>
      </c>
      <c r="C13534" s="196">
        <v>0</v>
      </c>
      <c r="D13534" s="196">
        <v>1600000</v>
      </c>
      <c r="E13534" s="196">
        <v>0</v>
      </c>
      <c r="F13534" s="196">
        <v>1600000</v>
      </c>
      <c r="G13534" s="196">
        <v>1600000</v>
      </c>
    </row>
    <row r="13535" spans="1:7" x14ac:dyDescent="0.3">
      <c r="A13535" s="198">
        <v>900430124</v>
      </c>
      <c r="B13535" s="192" t="s">
        <v>1990</v>
      </c>
      <c r="C13535" s="196">
        <v>5396900</v>
      </c>
      <c r="D13535" s="196">
        <v>0</v>
      </c>
      <c r="E13535" s="196">
        <v>0</v>
      </c>
      <c r="F13535" s="196">
        <v>0</v>
      </c>
      <c r="G13535" s="196">
        <v>5396900</v>
      </c>
    </row>
    <row r="13536" spans="1:7" x14ac:dyDescent="0.3">
      <c r="A13536" s="197">
        <v>510568</v>
      </c>
      <c r="B13536" s="191" t="s">
        <v>7457</v>
      </c>
      <c r="C13536" s="195">
        <v>5906600</v>
      </c>
      <c r="D13536" s="195">
        <v>942600</v>
      </c>
      <c r="E13536" s="195">
        <v>0</v>
      </c>
      <c r="F13536" s="195">
        <v>942600</v>
      </c>
      <c r="G13536" s="195">
        <v>6849200</v>
      </c>
    </row>
    <row r="13537" spans="1:7" x14ac:dyDescent="0.3">
      <c r="A13537" s="198">
        <v>51056801</v>
      </c>
      <c r="B13537" s="192" t="s">
        <v>7457</v>
      </c>
      <c r="C13537" s="196">
        <v>5906600</v>
      </c>
      <c r="D13537" s="196">
        <v>942600</v>
      </c>
      <c r="E13537" s="196">
        <v>0</v>
      </c>
      <c r="F13537" s="196">
        <v>942600</v>
      </c>
      <c r="G13537" s="196">
        <v>6849200</v>
      </c>
    </row>
    <row r="13538" spans="1:7" x14ac:dyDescent="0.3">
      <c r="A13538" s="198">
        <v>800226175</v>
      </c>
      <c r="B13538" s="192" t="s">
        <v>2069</v>
      </c>
      <c r="C13538" s="196">
        <v>5906600</v>
      </c>
      <c r="D13538" s="196">
        <v>942600</v>
      </c>
      <c r="E13538" s="196">
        <v>0</v>
      </c>
      <c r="F13538" s="196">
        <v>942600</v>
      </c>
      <c r="G13538" s="196">
        <v>6849200</v>
      </c>
    </row>
    <row r="13539" spans="1:7" x14ac:dyDescent="0.3">
      <c r="A13539" s="197">
        <v>510569</v>
      </c>
      <c r="B13539" s="191" t="s">
        <v>7458</v>
      </c>
      <c r="C13539" s="195">
        <v>9443</v>
      </c>
      <c r="D13539" s="195">
        <v>1389</v>
      </c>
      <c r="E13539" s="195">
        <v>0</v>
      </c>
      <c r="F13539" s="195">
        <v>1389</v>
      </c>
      <c r="G13539" s="195">
        <v>10832</v>
      </c>
    </row>
    <row r="13540" spans="1:7" x14ac:dyDescent="0.3">
      <c r="A13540" s="198">
        <v>51056901</v>
      </c>
      <c r="B13540" s="192" t="s">
        <v>7459</v>
      </c>
      <c r="C13540" s="196">
        <v>9443</v>
      </c>
      <c r="D13540" s="196">
        <v>1389</v>
      </c>
      <c r="E13540" s="196">
        <v>0</v>
      </c>
      <c r="F13540" s="196">
        <v>1389</v>
      </c>
      <c r="G13540" s="196">
        <v>10832</v>
      </c>
    </row>
    <row r="13541" spans="1:7" x14ac:dyDescent="0.3">
      <c r="A13541" s="198">
        <v>800088702</v>
      </c>
      <c r="B13541" s="192" t="s">
        <v>2032</v>
      </c>
      <c r="C13541" s="196">
        <v>10920</v>
      </c>
      <c r="D13541" s="196">
        <v>1339</v>
      </c>
      <c r="E13541" s="196">
        <v>0</v>
      </c>
      <c r="F13541" s="196">
        <v>1339</v>
      </c>
      <c r="G13541" s="196">
        <v>12259</v>
      </c>
    </row>
    <row r="13542" spans="1:7" x14ac:dyDescent="0.3">
      <c r="A13542" s="198">
        <v>800251440</v>
      </c>
      <c r="B13542" s="192" t="s">
        <v>2035</v>
      </c>
      <c r="C13542" s="196">
        <v>-1800</v>
      </c>
      <c r="D13542" s="196">
        <v>0</v>
      </c>
      <c r="E13542" s="196">
        <v>0</v>
      </c>
      <c r="F13542" s="196">
        <v>0</v>
      </c>
      <c r="G13542" s="196">
        <v>-1800</v>
      </c>
    </row>
    <row r="13543" spans="1:7" x14ac:dyDescent="0.3">
      <c r="A13543" s="198">
        <v>900156264</v>
      </c>
      <c r="B13543" s="192" t="s">
        <v>2050</v>
      </c>
      <c r="C13543" s="196">
        <v>100</v>
      </c>
      <c r="D13543" s="196">
        <v>0</v>
      </c>
      <c r="E13543" s="196">
        <v>0</v>
      </c>
      <c r="F13543" s="196">
        <v>0</v>
      </c>
      <c r="G13543" s="196">
        <v>100</v>
      </c>
    </row>
    <row r="13544" spans="1:7" x14ac:dyDescent="0.3">
      <c r="A13544" s="198">
        <v>800130907</v>
      </c>
      <c r="B13544" s="192" t="s">
        <v>2052</v>
      </c>
      <c r="C13544" s="196">
        <v>223</v>
      </c>
      <c r="D13544" s="196">
        <v>50</v>
      </c>
      <c r="E13544" s="196">
        <v>0</v>
      </c>
      <c r="F13544" s="196">
        <v>50</v>
      </c>
      <c r="G13544" s="196">
        <v>273</v>
      </c>
    </row>
    <row r="13545" spans="1:7" x14ac:dyDescent="0.3">
      <c r="A13545" s="197">
        <v>510570</v>
      </c>
      <c r="B13545" s="191" t="s">
        <v>7460</v>
      </c>
      <c r="C13545" s="195">
        <v>62002388.850000001</v>
      </c>
      <c r="D13545" s="195">
        <v>11415189</v>
      </c>
      <c r="E13545" s="195">
        <v>0</v>
      </c>
      <c r="F13545" s="195">
        <v>11415189</v>
      </c>
      <c r="G13545" s="195">
        <v>73417577.849999994</v>
      </c>
    </row>
    <row r="13546" spans="1:7" x14ac:dyDescent="0.3">
      <c r="A13546" s="198">
        <v>51057001</v>
      </c>
      <c r="B13546" s="192" t="s">
        <v>7461</v>
      </c>
      <c r="C13546" s="196">
        <v>62002388.850000001</v>
      </c>
      <c r="D13546" s="196">
        <v>11415189</v>
      </c>
      <c r="E13546" s="196">
        <v>0</v>
      </c>
      <c r="F13546" s="196">
        <v>11415189</v>
      </c>
      <c r="G13546" s="196">
        <v>73417577.849999994</v>
      </c>
    </row>
    <row r="13547" spans="1:7" x14ac:dyDescent="0.3">
      <c r="A13547" s="198">
        <v>900336004</v>
      </c>
      <c r="B13547" s="192" t="s">
        <v>2086</v>
      </c>
      <c r="C13547" s="196">
        <v>22281131</v>
      </c>
      <c r="D13547" s="196">
        <v>4460292</v>
      </c>
      <c r="E13547" s="196">
        <v>0</v>
      </c>
      <c r="F13547" s="196">
        <v>4460292</v>
      </c>
      <c r="G13547" s="196">
        <v>26741423</v>
      </c>
    </row>
    <row r="13548" spans="1:7" x14ac:dyDescent="0.3">
      <c r="A13548" s="198">
        <v>800224808</v>
      </c>
      <c r="B13548" s="192" t="s">
        <v>2084</v>
      </c>
      <c r="C13548" s="196">
        <v>9712708.8499999996</v>
      </c>
      <c r="D13548" s="196">
        <v>1788200</v>
      </c>
      <c r="E13548" s="196">
        <v>0</v>
      </c>
      <c r="F13548" s="196">
        <v>1788200</v>
      </c>
      <c r="G13548" s="196">
        <v>11500908.85</v>
      </c>
    </row>
    <row r="13549" spans="1:7" x14ac:dyDescent="0.3">
      <c r="A13549" s="198">
        <v>800229739</v>
      </c>
      <c r="B13549" s="192" t="s">
        <v>2079</v>
      </c>
      <c r="C13549" s="196">
        <v>30008549</v>
      </c>
      <c r="D13549" s="196">
        <v>5166697</v>
      </c>
      <c r="E13549" s="196">
        <v>0</v>
      </c>
      <c r="F13549" s="196">
        <v>5166697</v>
      </c>
      <c r="G13549" s="196">
        <v>35175246</v>
      </c>
    </row>
    <row r="13550" spans="1:7" x14ac:dyDescent="0.3">
      <c r="A13550" s="197">
        <v>510572</v>
      </c>
      <c r="B13550" s="191" t="s">
        <v>7462</v>
      </c>
      <c r="C13550" s="195">
        <v>23254200</v>
      </c>
      <c r="D13550" s="195">
        <v>4211500</v>
      </c>
      <c r="E13550" s="195">
        <v>0</v>
      </c>
      <c r="F13550" s="195">
        <v>4211500</v>
      </c>
      <c r="G13550" s="195">
        <v>27465700</v>
      </c>
    </row>
    <row r="13551" spans="1:7" x14ac:dyDescent="0.3">
      <c r="A13551" s="198">
        <v>51057201</v>
      </c>
      <c r="B13551" s="192" t="s">
        <v>7462</v>
      </c>
      <c r="C13551" s="196">
        <v>23254200</v>
      </c>
      <c r="D13551" s="196">
        <v>4211500</v>
      </c>
      <c r="E13551" s="196">
        <v>0</v>
      </c>
      <c r="F13551" s="196">
        <v>4211500</v>
      </c>
      <c r="G13551" s="196">
        <v>27465700</v>
      </c>
    </row>
    <row r="13552" spans="1:7" x14ac:dyDescent="0.3">
      <c r="A13552" s="198">
        <v>890900841</v>
      </c>
      <c r="B13552" s="192" t="s">
        <v>1866</v>
      </c>
      <c r="C13552" s="196">
        <v>23254200</v>
      </c>
      <c r="D13552" s="196">
        <v>4211500</v>
      </c>
      <c r="E13552" s="196">
        <v>0</v>
      </c>
      <c r="F13552" s="196">
        <v>4211500</v>
      </c>
      <c r="G13552" s="196">
        <v>27465700</v>
      </c>
    </row>
    <row r="13553" spans="1:7" x14ac:dyDescent="0.3">
      <c r="A13553" s="197">
        <v>510584</v>
      </c>
      <c r="B13553" s="191" t="s">
        <v>7463</v>
      </c>
      <c r="C13553" s="195">
        <v>2286029</v>
      </c>
      <c r="D13553" s="195">
        <v>6806</v>
      </c>
      <c r="E13553" s="195">
        <v>0</v>
      </c>
      <c r="F13553" s="195">
        <v>6806</v>
      </c>
      <c r="G13553" s="195">
        <v>2292835</v>
      </c>
    </row>
    <row r="13554" spans="1:7" x14ac:dyDescent="0.3">
      <c r="A13554" s="198">
        <v>51058401</v>
      </c>
      <c r="B13554" s="192" t="s">
        <v>7463</v>
      </c>
      <c r="C13554" s="196">
        <v>2286029</v>
      </c>
      <c r="D13554" s="196">
        <v>6806</v>
      </c>
      <c r="E13554" s="196">
        <v>0</v>
      </c>
      <c r="F13554" s="196">
        <v>6806</v>
      </c>
      <c r="G13554" s="196">
        <v>2292835</v>
      </c>
    </row>
    <row r="13555" spans="1:7" x14ac:dyDescent="0.3">
      <c r="A13555" s="198">
        <v>811007144</v>
      </c>
      <c r="B13555" s="192" t="s">
        <v>1867</v>
      </c>
      <c r="C13555" s="196">
        <v>107900</v>
      </c>
      <c r="D13555" s="196">
        <v>0</v>
      </c>
      <c r="E13555" s="196">
        <v>0</v>
      </c>
      <c r="F13555" s="196">
        <v>0</v>
      </c>
      <c r="G13555" s="196">
        <v>107900</v>
      </c>
    </row>
    <row r="13556" spans="1:7" x14ac:dyDescent="0.3">
      <c r="A13556" s="198">
        <v>800226175</v>
      </c>
      <c r="B13556" s="192" t="s">
        <v>2069</v>
      </c>
      <c r="C13556" s="196">
        <v>86200</v>
      </c>
      <c r="D13556" s="196">
        <v>0</v>
      </c>
      <c r="E13556" s="196">
        <v>0</v>
      </c>
      <c r="F13556" s="196">
        <v>0</v>
      </c>
      <c r="G13556" s="196">
        <v>86200</v>
      </c>
    </row>
    <row r="13557" spans="1:7" x14ac:dyDescent="0.3">
      <c r="A13557" s="198">
        <v>901313185</v>
      </c>
      <c r="B13557" s="192" t="s">
        <v>1874</v>
      </c>
      <c r="C13557" s="196">
        <v>565029</v>
      </c>
      <c r="D13557" s="196">
        <v>0</v>
      </c>
      <c r="E13557" s="196">
        <v>0</v>
      </c>
      <c r="F13557" s="196">
        <v>0</v>
      </c>
      <c r="G13557" s="196">
        <v>565029</v>
      </c>
    </row>
    <row r="13558" spans="1:7" x14ac:dyDescent="0.3">
      <c r="A13558" s="198">
        <v>890941663</v>
      </c>
      <c r="B13558" s="192" t="s">
        <v>1879</v>
      </c>
      <c r="C13558" s="196">
        <v>7600</v>
      </c>
      <c r="D13558" s="196">
        <v>6806</v>
      </c>
      <c r="E13558" s="196">
        <v>0</v>
      </c>
      <c r="F13558" s="196">
        <v>6806</v>
      </c>
      <c r="G13558" s="196">
        <v>14406</v>
      </c>
    </row>
    <row r="13559" spans="1:7" x14ac:dyDescent="0.3">
      <c r="A13559" s="198">
        <v>901489208</v>
      </c>
      <c r="B13559" s="192" t="s">
        <v>1888</v>
      </c>
      <c r="C13559" s="196">
        <v>1019300</v>
      </c>
      <c r="D13559" s="196">
        <v>0</v>
      </c>
      <c r="E13559" s="196">
        <v>0</v>
      </c>
      <c r="F13559" s="196">
        <v>0</v>
      </c>
      <c r="G13559" s="196">
        <v>1019300</v>
      </c>
    </row>
    <row r="13560" spans="1:7" x14ac:dyDescent="0.3">
      <c r="A13560" s="198">
        <v>901438954</v>
      </c>
      <c r="B13560" s="192" t="s">
        <v>1967</v>
      </c>
      <c r="C13560" s="196">
        <v>500000</v>
      </c>
      <c r="D13560" s="196">
        <v>0</v>
      </c>
      <c r="E13560" s="196">
        <v>0</v>
      </c>
      <c r="F13560" s="196">
        <v>0</v>
      </c>
      <c r="G13560" s="196">
        <v>500000</v>
      </c>
    </row>
    <row r="13561" spans="1:7" x14ac:dyDescent="0.3">
      <c r="A13561" s="197">
        <v>5110</v>
      </c>
      <c r="B13561" s="191" t="s">
        <v>7464</v>
      </c>
      <c r="C13561" s="195">
        <v>189081415.37</v>
      </c>
      <c r="D13561" s="195">
        <v>10828772.65</v>
      </c>
      <c r="E13561" s="195">
        <v>0</v>
      </c>
      <c r="F13561" s="195">
        <v>10828772.65</v>
      </c>
      <c r="G13561" s="195">
        <v>199910188.02000001</v>
      </c>
    </row>
    <row r="13562" spans="1:7" x14ac:dyDescent="0.3">
      <c r="A13562" s="197">
        <v>511010</v>
      </c>
      <c r="B13562" s="191" t="s">
        <v>7465</v>
      </c>
      <c r="C13562" s="195">
        <v>12000000</v>
      </c>
      <c r="D13562" s="195">
        <v>4000000</v>
      </c>
      <c r="E13562" s="195">
        <v>0</v>
      </c>
      <c r="F13562" s="195">
        <v>4000000</v>
      </c>
      <c r="G13562" s="195">
        <v>16000000</v>
      </c>
    </row>
    <row r="13563" spans="1:7" x14ac:dyDescent="0.3">
      <c r="A13563" s="198">
        <v>51101001</v>
      </c>
      <c r="B13563" s="192" t="s">
        <v>7465</v>
      </c>
      <c r="C13563" s="196">
        <v>12000000</v>
      </c>
      <c r="D13563" s="196">
        <v>4000000</v>
      </c>
      <c r="E13563" s="196">
        <v>0</v>
      </c>
      <c r="F13563" s="196">
        <v>4000000</v>
      </c>
      <c r="G13563" s="196">
        <v>16000000</v>
      </c>
    </row>
    <row r="13564" spans="1:7" x14ac:dyDescent="0.3">
      <c r="A13564" s="198">
        <v>700023139</v>
      </c>
      <c r="B13564" s="192" t="s">
        <v>1911</v>
      </c>
      <c r="C13564" s="196">
        <v>12000000</v>
      </c>
      <c r="D13564" s="196">
        <v>4000000</v>
      </c>
      <c r="E13564" s="196">
        <v>0</v>
      </c>
      <c r="F13564" s="196">
        <v>4000000</v>
      </c>
      <c r="G13564" s="196">
        <v>16000000</v>
      </c>
    </row>
    <row r="13565" spans="1:7" x14ac:dyDescent="0.3">
      <c r="A13565" s="197">
        <v>511025</v>
      </c>
      <c r="B13565" s="191" t="s">
        <v>7466</v>
      </c>
      <c r="C13565" s="195">
        <v>17852000</v>
      </c>
      <c r="D13565" s="195">
        <v>1488000</v>
      </c>
      <c r="E13565" s="195">
        <v>0</v>
      </c>
      <c r="F13565" s="195">
        <v>1488000</v>
      </c>
      <c r="G13565" s="195">
        <v>19340000</v>
      </c>
    </row>
    <row r="13566" spans="1:7" x14ac:dyDescent="0.3">
      <c r="A13566" s="198">
        <v>51102501</v>
      </c>
      <c r="B13566" s="192" t="s">
        <v>7466</v>
      </c>
      <c r="C13566" s="196">
        <v>15952000</v>
      </c>
      <c r="D13566" s="196">
        <v>1488000</v>
      </c>
      <c r="E13566" s="196">
        <v>0</v>
      </c>
      <c r="F13566" s="196">
        <v>1488000</v>
      </c>
      <c r="G13566" s="196">
        <v>17440000</v>
      </c>
    </row>
    <row r="13567" spans="1:7" x14ac:dyDescent="0.3">
      <c r="A13567" s="198">
        <v>39177660</v>
      </c>
      <c r="B13567" s="192" t="s">
        <v>1862</v>
      </c>
      <c r="C13567" s="196">
        <v>5952000</v>
      </c>
      <c r="D13567" s="196">
        <v>1488000</v>
      </c>
      <c r="E13567" s="196">
        <v>0</v>
      </c>
      <c r="F13567" s="196">
        <v>1488000</v>
      </c>
      <c r="G13567" s="196">
        <v>7440000</v>
      </c>
    </row>
    <row r="13568" spans="1:7" x14ac:dyDescent="0.3">
      <c r="A13568" s="198">
        <v>98548052</v>
      </c>
      <c r="B13568" s="192" t="s">
        <v>1988</v>
      </c>
      <c r="C13568" s="196">
        <v>10000000</v>
      </c>
      <c r="D13568" s="196">
        <v>0</v>
      </c>
      <c r="E13568" s="196">
        <v>0</v>
      </c>
      <c r="F13568" s="196">
        <v>0</v>
      </c>
      <c r="G13568" s="196">
        <v>10000000</v>
      </c>
    </row>
    <row r="13569" spans="1:7" x14ac:dyDescent="0.3">
      <c r="A13569" s="198">
        <v>51102598</v>
      </c>
      <c r="B13569" s="192" t="s">
        <v>7467</v>
      </c>
      <c r="C13569" s="196">
        <v>1900000</v>
      </c>
      <c r="D13569" s="196">
        <v>0</v>
      </c>
      <c r="E13569" s="196">
        <v>0</v>
      </c>
      <c r="F13569" s="196">
        <v>0</v>
      </c>
      <c r="G13569" s="196">
        <v>1900000</v>
      </c>
    </row>
    <row r="13570" spans="1:7" x14ac:dyDescent="0.3">
      <c r="A13570" s="198">
        <v>98548052</v>
      </c>
      <c r="B13570" s="192" t="s">
        <v>1988</v>
      </c>
      <c r="C13570" s="196">
        <v>1900000</v>
      </c>
      <c r="D13570" s="196">
        <v>0</v>
      </c>
      <c r="E13570" s="196">
        <v>0</v>
      </c>
      <c r="F13570" s="196">
        <v>0</v>
      </c>
      <c r="G13570" s="196">
        <v>1900000</v>
      </c>
    </row>
    <row r="13571" spans="1:7" x14ac:dyDescent="0.3">
      <c r="A13571" s="197">
        <v>511035</v>
      </c>
      <c r="B13571" s="191" t="s">
        <v>7468</v>
      </c>
      <c r="C13571" s="195">
        <v>30454768.399999999</v>
      </c>
      <c r="D13571" s="195">
        <v>5340772.6500000004</v>
      </c>
      <c r="E13571" s="195">
        <v>0</v>
      </c>
      <c r="F13571" s="195">
        <v>5340772.6500000004</v>
      </c>
      <c r="G13571" s="195">
        <v>35795541.049999997</v>
      </c>
    </row>
    <row r="13572" spans="1:7" x14ac:dyDescent="0.3">
      <c r="A13572" s="198">
        <v>51103501</v>
      </c>
      <c r="B13572" s="192" t="s">
        <v>7468</v>
      </c>
      <c r="C13572" s="196">
        <v>27398360</v>
      </c>
      <c r="D13572" s="196">
        <v>5147935</v>
      </c>
      <c r="E13572" s="196">
        <v>0</v>
      </c>
      <c r="F13572" s="196">
        <v>5147935</v>
      </c>
      <c r="G13572" s="196">
        <v>32546295</v>
      </c>
    </row>
    <row r="13573" spans="1:7" x14ac:dyDescent="0.3">
      <c r="A13573" s="198">
        <v>43987149</v>
      </c>
      <c r="B13573" s="192" t="s">
        <v>1860</v>
      </c>
      <c r="C13573" s="196">
        <v>3400000</v>
      </c>
      <c r="D13573" s="196">
        <v>4133000</v>
      </c>
      <c r="E13573" s="196">
        <v>0</v>
      </c>
      <c r="F13573" s="196">
        <v>4133000</v>
      </c>
      <c r="G13573" s="196">
        <v>7533000</v>
      </c>
    </row>
    <row r="13574" spans="1:7" x14ac:dyDescent="0.3">
      <c r="A13574" s="198">
        <v>901269126</v>
      </c>
      <c r="B13574" s="192" t="s">
        <v>1890</v>
      </c>
      <c r="C13574" s="196">
        <v>6040360</v>
      </c>
      <c r="D13574" s="196">
        <v>1014935</v>
      </c>
      <c r="E13574" s="196">
        <v>0</v>
      </c>
      <c r="F13574" s="196">
        <v>1014935</v>
      </c>
      <c r="G13574" s="196">
        <v>7055295</v>
      </c>
    </row>
    <row r="13575" spans="1:7" x14ac:dyDescent="0.3">
      <c r="A13575" s="198">
        <v>901904222</v>
      </c>
      <c r="B13575" s="192" t="s">
        <v>1989</v>
      </c>
      <c r="C13575" s="196">
        <v>17208000</v>
      </c>
      <c r="D13575" s="196">
        <v>0</v>
      </c>
      <c r="E13575" s="196">
        <v>0</v>
      </c>
      <c r="F13575" s="196">
        <v>0</v>
      </c>
      <c r="G13575" s="196">
        <v>17208000</v>
      </c>
    </row>
    <row r="13576" spans="1:7" x14ac:dyDescent="0.3">
      <c r="A13576" s="198">
        <v>1128458685</v>
      </c>
      <c r="B13576" s="192" t="s">
        <v>7469</v>
      </c>
      <c r="C13576" s="196">
        <v>750000</v>
      </c>
      <c r="D13576" s="196">
        <v>0</v>
      </c>
      <c r="E13576" s="196">
        <v>0</v>
      </c>
      <c r="F13576" s="196">
        <v>0</v>
      </c>
      <c r="G13576" s="196">
        <v>750000</v>
      </c>
    </row>
    <row r="13577" spans="1:7" x14ac:dyDescent="0.3">
      <c r="A13577" s="198">
        <v>51103598</v>
      </c>
      <c r="B13577" s="192" t="s">
        <v>7470</v>
      </c>
      <c r="C13577" s="196">
        <v>3056408.4</v>
      </c>
      <c r="D13577" s="196">
        <v>192837.65</v>
      </c>
      <c r="E13577" s="196">
        <v>0</v>
      </c>
      <c r="F13577" s="196">
        <v>192837.65</v>
      </c>
      <c r="G13577" s="196">
        <v>3249246.05</v>
      </c>
    </row>
    <row r="13578" spans="1:7" x14ac:dyDescent="0.3">
      <c r="A13578" s="198">
        <v>901269126</v>
      </c>
      <c r="B13578" s="192" t="s">
        <v>1890</v>
      </c>
      <c r="C13578" s="196">
        <v>1147668.3999999999</v>
      </c>
      <c r="D13578" s="196">
        <v>192837.65</v>
      </c>
      <c r="E13578" s="196">
        <v>0</v>
      </c>
      <c r="F13578" s="196">
        <v>192837.65</v>
      </c>
      <c r="G13578" s="196">
        <v>1340506.05</v>
      </c>
    </row>
    <row r="13579" spans="1:7" x14ac:dyDescent="0.3">
      <c r="A13579" s="198">
        <v>901904222</v>
      </c>
      <c r="B13579" s="192" t="s">
        <v>1989</v>
      </c>
      <c r="C13579" s="196">
        <v>1908740</v>
      </c>
      <c r="D13579" s="196">
        <v>0</v>
      </c>
      <c r="E13579" s="196">
        <v>0</v>
      </c>
      <c r="F13579" s="196">
        <v>0</v>
      </c>
      <c r="G13579" s="196">
        <v>1908740</v>
      </c>
    </row>
    <row r="13580" spans="1:7" x14ac:dyDescent="0.3">
      <c r="A13580" s="197">
        <v>511095</v>
      </c>
      <c r="B13580" s="191" t="s">
        <v>7471</v>
      </c>
      <c r="C13580" s="195">
        <v>128774646.97</v>
      </c>
      <c r="D13580" s="195">
        <v>0</v>
      </c>
      <c r="E13580" s="195">
        <v>0</v>
      </c>
      <c r="F13580" s="195">
        <v>0</v>
      </c>
      <c r="G13580" s="195">
        <v>128774646.97</v>
      </c>
    </row>
    <row r="13581" spans="1:7" x14ac:dyDescent="0.3">
      <c r="A13581" s="198">
        <v>51109503</v>
      </c>
      <c r="B13581" s="192" t="s">
        <v>7472</v>
      </c>
      <c r="C13581" s="196">
        <v>126844178</v>
      </c>
      <c r="D13581" s="196">
        <v>0</v>
      </c>
      <c r="E13581" s="196">
        <v>0</v>
      </c>
      <c r="F13581" s="196">
        <v>0</v>
      </c>
      <c r="G13581" s="196">
        <v>126844178</v>
      </c>
    </row>
    <row r="13582" spans="1:7" x14ac:dyDescent="0.3">
      <c r="A13582" s="198">
        <v>900399128</v>
      </c>
      <c r="B13582" s="192" t="s">
        <v>1741</v>
      </c>
      <c r="C13582" s="196">
        <v>116844178</v>
      </c>
      <c r="D13582" s="196">
        <v>0</v>
      </c>
      <c r="E13582" s="196">
        <v>0</v>
      </c>
      <c r="F13582" s="196">
        <v>0</v>
      </c>
      <c r="G13582" s="196">
        <v>116844178</v>
      </c>
    </row>
    <row r="13583" spans="1:7" x14ac:dyDescent="0.3">
      <c r="A13583" s="198">
        <v>1152439303</v>
      </c>
      <c r="B13583" s="192" t="s">
        <v>7473</v>
      </c>
      <c r="C13583" s="196">
        <v>10000000</v>
      </c>
      <c r="D13583" s="196">
        <v>0</v>
      </c>
      <c r="E13583" s="196">
        <v>0</v>
      </c>
      <c r="F13583" s="196">
        <v>0</v>
      </c>
      <c r="G13583" s="196">
        <v>10000000</v>
      </c>
    </row>
    <row r="13584" spans="1:7" x14ac:dyDescent="0.3">
      <c r="A13584" s="198">
        <v>51109598</v>
      </c>
      <c r="B13584" s="192" t="s">
        <v>7474</v>
      </c>
      <c r="C13584" s="196">
        <v>1930468.97</v>
      </c>
      <c r="D13584" s="196">
        <v>0</v>
      </c>
      <c r="E13584" s="196">
        <v>0</v>
      </c>
      <c r="F13584" s="196">
        <v>0</v>
      </c>
      <c r="G13584" s="196">
        <v>1930468.97</v>
      </c>
    </row>
    <row r="13585" spans="1:7" x14ac:dyDescent="0.3">
      <c r="A13585" s="198">
        <v>900399128</v>
      </c>
      <c r="B13585" s="192" t="s">
        <v>1741</v>
      </c>
      <c r="C13585" s="196">
        <v>1930468.97</v>
      </c>
      <c r="D13585" s="196">
        <v>0</v>
      </c>
      <c r="E13585" s="196">
        <v>0</v>
      </c>
      <c r="F13585" s="196">
        <v>0</v>
      </c>
      <c r="G13585" s="196">
        <v>1930468.97</v>
      </c>
    </row>
    <row r="13586" spans="1:7" x14ac:dyDescent="0.3">
      <c r="A13586" s="197">
        <v>5115</v>
      </c>
      <c r="B13586" s="191" t="s">
        <v>7475</v>
      </c>
      <c r="C13586" s="195">
        <v>42865952.18</v>
      </c>
      <c r="D13586" s="195">
        <v>6673521.04</v>
      </c>
      <c r="E13586" s="195">
        <v>0</v>
      </c>
      <c r="F13586" s="195">
        <v>6673521.04</v>
      </c>
      <c r="G13586" s="195">
        <v>49539473.219999999</v>
      </c>
    </row>
    <row r="13587" spans="1:7" x14ac:dyDescent="0.3">
      <c r="A13587" s="197">
        <v>511515</v>
      </c>
      <c r="B13587" s="191" t="s">
        <v>7476</v>
      </c>
      <c r="C13587" s="195">
        <v>2161284</v>
      </c>
      <c r="D13587" s="195">
        <v>0</v>
      </c>
      <c r="E13587" s="195">
        <v>0</v>
      </c>
      <c r="F13587" s="195">
        <v>0</v>
      </c>
      <c r="G13587" s="195">
        <v>2161284</v>
      </c>
    </row>
    <row r="13588" spans="1:7" x14ac:dyDescent="0.3">
      <c r="A13588" s="198">
        <v>51151501</v>
      </c>
      <c r="B13588" s="192" t="s">
        <v>7476</v>
      </c>
      <c r="C13588" s="196">
        <v>2161284</v>
      </c>
      <c r="D13588" s="196">
        <v>0</v>
      </c>
      <c r="E13588" s="196">
        <v>0</v>
      </c>
      <c r="F13588" s="196">
        <v>0</v>
      </c>
      <c r="G13588" s="196">
        <v>2161284</v>
      </c>
    </row>
    <row r="13589" spans="1:7" x14ac:dyDescent="0.3">
      <c r="A13589" s="198">
        <v>860034313</v>
      </c>
      <c r="B13589" s="192" t="s">
        <v>1629</v>
      </c>
      <c r="C13589" s="196">
        <v>2161284</v>
      </c>
      <c r="D13589" s="196">
        <v>0</v>
      </c>
      <c r="E13589" s="196">
        <v>0</v>
      </c>
      <c r="F13589" s="196">
        <v>0</v>
      </c>
      <c r="G13589" s="196">
        <v>2161284</v>
      </c>
    </row>
    <row r="13590" spans="1:7" x14ac:dyDescent="0.3">
      <c r="A13590" s="197">
        <v>511595</v>
      </c>
      <c r="B13590" s="191" t="s">
        <v>7477</v>
      </c>
      <c r="C13590" s="195">
        <v>40704668.18</v>
      </c>
      <c r="D13590" s="195">
        <v>6673521.04</v>
      </c>
      <c r="E13590" s="195">
        <v>0</v>
      </c>
      <c r="F13590" s="195">
        <v>6673521.04</v>
      </c>
      <c r="G13590" s="195">
        <v>47378189.219999999</v>
      </c>
    </row>
    <row r="13591" spans="1:7" x14ac:dyDescent="0.3">
      <c r="A13591" s="198">
        <v>51159501</v>
      </c>
      <c r="B13591" s="192" t="s">
        <v>7478</v>
      </c>
      <c r="C13591" s="196">
        <v>184862.76</v>
      </c>
      <c r="D13591" s="196">
        <v>0</v>
      </c>
      <c r="E13591" s="196">
        <v>0</v>
      </c>
      <c r="F13591" s="196">
        <v>0</v>
      </c>
      <c r="G13591" s="196">
        <v>184862.76</v>
      </c>
    </row>
    <row r="13592" spans="1:7" x14ac:dyDescent="0.3">
      <c r="A13592" s="198">
        <v>900092385</v>
      </c>
      <c r="B13592" s="192" t="s">
        <v>1673</v>
      </c>
      <c r="C13592" s="196">
        <v>184862.76</v>
      </c>
      <c r="D13592" s="196">
        <v>0</v>
      </c>
      <c r="E13592" s="196">
        <v>0</v>
      </c>
      <c r="F13592" s="196">
        <v>0</v>
      </c>
      <c r="G13592" s="196">
        <v>184862.76</v>
      </c>
    </row>
    <row r="13593" spans="1:7" x14ac:dyDescent="0.3">
      <c r="A13593" s="198">
        <v>51159502</v>
      </c>
      <c r="B13593" s="192" t="s">
        <v>7479</v>
      </c>
      <c r="C13593" s="196">
        <v>1685532.83</v>
      </c>
      <c r="D13593" s="196">
        <v>344221.44</v>
      </c>
      <c r="E13593" s="196">
        <v>0</v>
      </c>
      <c r="F13593" s="196">
        <v>344221.44</v>
      </c>
      <c r="G13593" s="196">
        <v>2029754.27</v>
      </c>
    </row>
    <row r="13594" spans="1:7" x14ac:dyDescent="0.3">
      <c r="A13594" s="198">
        <v>890904996</v>
      </c>
      <c r="B13594" s="192" t="s">
        <v>1635</v>
      </c>
      <c r="C13594" s="196">
        <v>1685532.83</v>
      </c>
      <c r="D13594" s="196">
        <v>344221.44</v>
      </c>
      <c r="E13594" s="196">
        <v>0</v>
      </c>
      <c r="F13594" s="196">
        <v>344221.44</v>
      </c>
      <c r="G13594" s="196">
        <v>2029754.27</v>
      </c>
    </row>
    <row r="13595" spans="1:7" x14ac:dyDescent="0.3">
      <c r="A13595" s="198">
        <v>51159503</v>
      </c>
      <c r="B13595" s="192" t="s">
        <v>7480</v>
      </c>
      <c r="C13595" s="196">
        <v>35704921</v>
      </c>
      <c r="D13595" s="196">
        <v>5791079</v>
      </c>
      <c r="E13595" s="196">
        <v>0</v>
      </c>
      <c r="F13595" s="196">
        <v>5791079</v>
      </c>
      <c r="G13595" s="196">
        <v>41496000</v>
      </c>
    </row>
    <row r="13596" spans="1:7" x14ac:dyDescent="0.3">
      <c r="A13596" s="198">
        <v>860007335</v>
      </c>
      <c r="B13596" s="192" t="s">
        <v>1690</v>
      </c>
      <c r="C13596" s="196">
        <v>14117911</v>
      </c>
      <c r="D13596" s="196">
        <v>2415428</v>
      </c>
      <c r="E13596" s="196">
        <v>0</v>
      </c>
      <c r="F13596" s="196">
        <v>2415428</v>
      </c>
      <c r="G13596" s="196">
        <v>16533339</v>
      </c>
    </row>
    <row r="13597" spans="1:7" x14ac:dyDescent="0.3">
      <c r="A13597" s="198">
        <v>890903938</v>
      </c>
      <c r="B13597" s="192" t="s">
        <v>1691</v>
      </c>
      <c r="C13597" s="196">
        <v>20732935</v>
      </c>
      <c r="D13597" s="196">
        <v>3164427</v>
      </c>
      <c r="E13597" s="196">
        <v>0</v>
      </c>
      <c r="F13597" s="196">
        <v>3164427</v>
      </c>
      <c r="G13597" s="196">
        <v>23897362</v>
      </c>
    </row>
    <row r="13598" spans="1:7" x14ac:dyDescent="0.3">
      <c r="A13598" s="198">
        <v>900406150</v>
      </c>
      <c r="B13598" s="192" t="s">
        <v>1837</v>
      </c>
      <c r="C13598" s="196">
        <v>854075</v>
      </c>
      <c r="D13598" s="196">
        <v>211224</v>
      </c>
      <c r="E13598" s="196">
        <v>0</v>
      </c>
      <c r="F13598" s="196">
        <v>211224</v>
      </c>
      <c r="G13598" s="196">
        <v>1065299</v>
      </c>
    </row>
    <row r="13599" spans="1:7" x14ac:dyDescent="0.3">
      <c r="A13599" s="198">
        <v>51159504</v>
      </c>
      <c r="B13599" s="192" t="s">
        <v>7481</v>
      </c>
      <c r="C13599" s="196">
        <v>507728.5</v>
      </c>
      <c r="D13599" s="196">
        <v>93337.55</v>
      </c>
      <c r="E13599" s="196">
        <v>0</v>
      </c>
      <c r="F13599" s="196">
        <v>93337.55</v>
      </c>
      <c r="G13599" s="196">
        <v>601066.05000000005</v>
      </c>
    </row>
    <row r="13600" spans="1:7" x14ac:dyDescent="0.3">
      <c r="A13600" s="198">
        <v>900573713</v>
      </c>
      <c r="B13600" s="192" t="s">
        <v>7482</v>
      </c>
      <c r="C13600" s="196">
        <v>9592.59</v>
      </c>
      <c r="D13600" s="196">
        <v>0</v>
      </c>
      <c r="E13600" s="196">
        <v>0</v>
      </c>
      <c r="F13600" s="196">
        <v>0</v>
      </c>
      <c r="G13600" s="196">
        <v>9592.59</v>
      </c>
    </row>
    <row r="13601" spans="1:7" x14ac:dyDescent="0.3">
      <c r="A13601" s="198">
        <v>890900608</v>
      </c>
      <c r="B13601" s="192" t="s">
        <v>1856</v>
      </c>
      <c r="C13601" s="196">
        <v>21215.119999999999</v>
      </c>
      <c r="D13601" s="196">
        <v>0</v>
      </c>
      <c r="E13601" s="196">
        <v>0</v>
      </c>
      <c r="F13601" s="196">
        <v>0</v>
      </c>
      <c r="G13601" s="196">
        <v>21215.119999999999</v>
      </c>
    </row>
    <row r="13602" spans="1:7" x14ac:dyDescent="0.3">
      <c r="A13602" s="198">
        <v>901977424</v>
      </c>
      <c r="B13602" s="192" t="s">
        <v>1861</v>
      </c>
      <c r="C13602" s="196">
        <v>0</v>
      </c>
      <c r="D13602" s="196">
        <v>9393</v>
      </c>
      <c r="E13602" s="196">
        <v>0</v>
      </c>
      <c r="F13602" s="196">
        <v>9393</v>
      </c>
      <c r="G13602" s="196">
        <v>9393</v>
      </c>
    </row>
    <row r="13603" spans="1:7" x14ac:dyDescent="0.3">
      <c r="A13603" s="198">
        <v>98561296</v>
      </c>
      <c r="B13603" s="192" t="s">
        <v>7483</v>
      </c>
      <c r="C13603" s="196">
        <v>12222</v>
      </c>
      <c r="D13603" s="196">
        <v>0</v>
      </c>
      <c r="E13603" s="196">
        <v>0</v>
      </c>
      <c r="F13603" s="196">
        <v>0</v>
      </c>
      <c r="G13603" s="196">
        <v>12222</v>
      </c>
    </row>
    <row r="13604" spans="1:7" x14ac:dyDescent="0.3">
      <c r="A13604" s="198">
        <v>901784030</v>
      </c>
      <c r="B13604" s="192" t="s">
        <v>7484</v>
      </c>
      <c r="C13604" s="196">
        <v>6630</v>
      </c>
      <c r="D13604" s="196">
        <v>0</v>
      </c>
      <c r="E13604" s="196">
        <v>0</v>
      </c>
      <c r="F13604" s="196">
        <v>0</v>
      </c>
      <c r="G13604" s="196">
        <v>6630</v>
      </c>
    </row>
    <row r="13605" spans="1:7" x14ac:dyDescent="0.3">
      <c r="A13605" s="198">
        <v>901214840</v>
      </c>
      <c r="B13605" s="192" t="s">
        <v>7485</v>
      </c>
      <c r="C13605" s="196">
        <v>43274.07</v>
      </c>
      <c r="D13605" s="196">
        <v>0</v>
      </c>
      <c r="E13605" s="196">
        <v>0</v>
      </c>
      <c r="F13605" s="196">
        <v>0</v>
      </c>
      <c r="G13605" s="196">
        <v>43274.07</v>
      </c>
    </row>
    <row r="13606" spans="1:7" x14ac:dyDescent="0.3">
      <c r="A13606" s="198">
        <v>800180330</v>
      </c>
      <c r="B13606" s="192" t="s">
        <v>1873</v>
      </c>
      <c r="C13606" s="196">
        <v>0</v>
      </c>
      <c r="D13606" s="196">
        <v>6859.27</v>
      </c>
      <c r="E13606" s="196">
        <v>0</v>
      </c>
      <c r="F13606" s="196">
        <v>6859.27</v>
      </c>
      <c r="G13606" s="196">
        <v>6859.27</v>
      </c>
    </row>
    <row r="13607" spans="1:7" x14ac:dyDescent="0.3">
      <c r="A13607" s="198">
        <v>900528916</v>
      </c>
      <c r="B13607" s="192" t="s">
        <v>7486</v>
      </c>
      <c r="C13607" s="196">
        <v>13844</v>
      </c>
      <c r="D13607" s="196">
        <v>0</v>
      </c>
      <c r="E13607" s="196">
        <v>0</v>
      </c>
      <c r="F13607" s="196">
        <v>0</v>
      </c>
      <c r="G13607" s="196">
        <v>13844</v>
      </c>
    </row>
    <row r="13608" spans="1:7" x14ac:dyDescent="0.3">
      <c r="A13608" s="198">
        <v>900934851</v>
      </c>
      <c r="B13608" s="192" t="s">
        <v>7487</v>
      </c>
      <c r="C13608" s="196">
        <v>46733.31</v>
      </c>
      <c r="D13608" s="196">
        <v>0</v>
      </c>
      <c r="E13608" s="196">
        <v>0</v>
      </c>
      <c r="F13608" s="196">
        <v>0</v>
      </c>
      <c r="G13608" s="196">
        <v>46733.31</v>
      </c>
    </row>
    <row r="13609" spans="1:7" x14ac:dyDescent="0.3">
      <c r="A13609" s="198">
        <v>900661278</v>
      </c>
      <c r="B13609" s="192" t="s">
        <v>1895</v>
      </c>
      <c r="C13609" s="196">
        <v>0</v>
      </c>
      <c r="D13609" s="196">
        <v>11444.44</v>
      </c>
      <c r="E13609" s="196">
        <v>0</v>
      </c>
      <c r="F13609" s="196">
        <v>11444.44</v>
      </c>
      <c r="G13609" s="196">
        <v>11444.44</v>
      </c>
    </row>
    <row r="13610" spans="1:7" x14ac:dyDescent="0.3">
      <c r="A13610" s="198">
        <v>901774397</v>
      </c>
      <c r="B13610" s="192" t="s">
        <v>1898</v>
      </c>
      <c r="C13610" s="196">
        <v>9067</v>
      </c>
      <c r="D13610" s="196">
        <v>0</v>
      </c>
      <c r="E13610" s="196">
        <v>0</v>
      </c>
      <c r="F13610" s="196">
        <v>0</v>
      </c>
      <c r="G13610" s="196">
        <v>9067</v>
      </c>
    </row>
    <row r="13611" spans="1:7" x14ac:dyDescent="0.3">
      <c r="A13611" s="198">
        <v>860533413</v>
      </c>
      <c r="B13611" s="192" t="s">
        <v>1900</v>
      </c>
      <c r="C13611" s="196">
        <v>29071</v>
      </c>
      <c r="D13611" s="196">
        <v>0</v>
      </c>
      <c r="E13611" s="196">
        <v>0</v>
      </c>
      <c r="F13611" s="196">
        <v>0</v>
      </c>
      <c r="G13611" s="196">
        <v>29071</v>
      </c>
    </row>
    <row r="13612" spans="1:7" x14ac:dyDescent="0.3">
      <c r="A13612" s="198">
        <v>901360828</v>
      </c>
      <c r="B13612" s="192" t="s">
        <v>1904</v>
      </c>
      <c r="C13612" s="196">
        <v>8785.19</v>
      </c>
      <c r="D13612" s="196">
        <v>0</v>
      </c>
      <c r="E13612" s="196">
        <v>0</v>
      </c>
      <c r="F13612" s="196">
        <v>0</v>
      </c>
      <c r="G13612" s="196">
        <v>8785.19</v>
      </c>
    </row>
    <row r="13613" spans="1:7" x14ac:dyDescent="0.3">
      <c r="A13613" s="198">
        <v>901038325</v>
      </c>
      <c r="B13613" s="192" t="s">
        <v>1907</v>
      </c>
      <c r="C13613" s="196">
        <v>0</v>
      </c>
      <c r="D13613" s="196">
        <v>8030</v>
      </c>
      <c r="E13613" s="196">
        <v>0</v>
      </c>
      <c r="F13613" s="196">
        <v>8030</v>
      </c>
      <c r="G13613" s="196">
        <v>8030</v>
      </c>
    </row>
    <row r="13614" spans="1:7" x14ac:dyDescent="0.3">
      <c r="A13614" s="198">
        <v>900407432</v>
      </c>
      <c r="B13614" s="192" t="s">
        <v>1914</v>
      </c>
      <c r="C13614" s="196">
        <v>83229</v>
      </c>
      <c r="D13614" s="196">
        <v>11370</v>
      </c>
      <c r="E13614" s="196">
        <v>0</v>
      </c>
      <c r="F13614" s="196">
        <v>11370</v>
      </c>
      <c r="G13614" s="196">
        <v>94599</v>
      </c>
    </row>
    <row r="13615" spans="1:7" x14ac:dyDescent="0.3">
      <c r="A13615" s="198">
        <v>900924249</v>
      </c>
      <c r="B13615" s="192" t="s">
        <v>1922</v>
      </c>
      <c r="C13615" s="196">
        <v>69414.8</v>
      </c>
      <c r="D13615" s="196">
        <v>0</v>
      </c>
      <c r="E13615" s="196">
        <v>0</v>
      </c>
      <c r="F13615" s="196">
        <v>0</v>
      </c>
      <c r="G13615" s="196">
        <v>69414.8</v>
      </c>
    </row>
    <row r="13616" spans="1:7" x14ac:dyDescent="0.3">
      <c r="A13616" s="198">
        <v>901566947</v>
      </c>
      <c r="B13616" s="192" t="s">
        <v>1931</v>
      </c>
      <c r="C13616" s="196">
        <v>12437</v>
      </c>
      <c r="D13616" s="196">
        <v>0</v>
      </c>
      <c r="E13616" s="196">
        <v>0</v>
      </c>
      <c r="F13616" s="196">
        <v>0</v>
      </c>
      <c r="G13616" s="196">
        <v>12437</v>
      </c>
    </row>
    <row r="13617" spans="1:7" x14ac:dyDescent="0.3">
      <c r="A13617" s="198">
        <v>900201094</v>
      </c>
      <c r="B13617" s="192" t="s">
        <v>1937</v>
      </c>
      <c r="C13617" s="196">
        <v>62862</v>
      </c>
      <c r="D13617" s="196">
        <v>16660</v>
      </c>
      <c r="E13617" s="196">
        <v>0</v>
      </c>
      <c r="F13617" s="196">
        <v>16660</v>
      </c>
      <c r="G13617" s="196">
        <v>79522</v>
      </c>
    </row>
    <row r="13618" spans="1:7" x14ac:dyDescent="0.3">
      <c r="A13618" s="198">
        <v>800028002</v>
      </c>
      <c r="B13618" s="192" t="s">
        <v>1942</v>
      </c>
      <c r="C13618" s="196">
        <v>39018.68</v>
      </c>
      <c r="D13618" s="196">
        <v>29392.84</v>
      </c>
      <c r="E13618" s="196">
        <v>0</v>
      </c>
      <c r="F13618" s="196">
        <v>29392.84</v>
      </c>
      <c r="G13618" s="196">
        <v>68411.520000000004</v>
      </c>
    </row>
    <row r="13619" spans="1:7" x14ac:dyDescent="0.3">
      <c r="A13619" s="198">
        <v>901354361</v>
      </c>
      <c r="B13619" s="192" t="s">
        <v>1660</v>
      </c>
      <c r="C13619" s="196">
        <v>992</v>
      </c>
      <c r="D13619" s="196">
        <v>188</v>
      </c>
      <c r="E13619" s="196">
        <v>0</v>
      </c>
      <c r="F13619" s="196">
        <v>188</v>
      </c>
      <c r="G13619" s="196">
        <v>1180</v>
      </c>
    </row>
    <row r="13620" spans="1:7" x14ac:dyDescent="0.3">
      <c r="A13620" s="198">
        <v>811023238</v>
      </c>
      <c r="B13620" s="192" t="s">
        <v>7488</v>
      </c>
      <c r="C13620" s="196">
        <v>22674.07</v>
      </c>
      <c r="D13620" s="196">
        <v>0</v>
      </c>
      <c r="E13620" s="196">
        <v>0</v>
      </c>
      <c r="F13620" s="196">
        <v>0</v>
      </c>
      <c r="G13620" s="196">
        <v>22674.07</v>
      </c>
    </row>
    <row r="13621" spans="1:7" x14ac:dyDescent="0.3">
      <c r="A13621" s="198">
        <v>900528263</v>
      </c>
      <c r="B13621" s="192" t="s">
        <v>7489</v>
      </c>
      <c r="C13621" s="196">
        <v>16666.669999999998</v>
      </c>
      <c r="D13621" s="196">
        <v>0</v>
      </c>
      <c r="E13621" s="196">
        <v>0</v>
      </c>
      <c r="F13621" s="196">
        <v>0</v>
      </c>
      <c r="G13621" s="196">
        <v>16666.669999999998</v>
      </c>
    </row>
    <row r="13622" spans="1:7" x14ac:dyDescent="0.3">
      <c r="A13622" s="198">
        <v>51159505</v>
      </c>
      <c r="B13622" s="192" t="s">
        <v>7490</v>
      </c>
      <c r="C13622" s="196">
        <v>2514898.84</v>
      </c>
      <c r="D13622" s="196">
        <v>443983.05</v>
      </c>
      <c r="E13622" s="196">
        <v>0</v>
      </c>
      <c r="F13622" s="196">
        <v>443983.05</v>
      </c>
      <c r="G13622" s="196">
        <v>2958881.89</v>
      </c>
    </row>
    <row r="13623" spans="1:7" x14ac:dyDescent="0.3">
      <c r="A13623" s="198">
        <v>890904996</v>
      </c>
      <c r="B13623" s="192" t="s">
        <v>1635</v>
      </c>
      <c r="C13623" s="196">
        <v>2514898.84</v>
      </c>
      <c r="D13623" s="196">
        <v>443983.05</v>
      </c>
      <c r="E13623" s="196">
        <v>0</v>
      </c>
      <c r="F13623" s="196">
        <v>443983.05</v>
      </c>
      <c r="G13623" s="196">
        <v>2958881.89</v>
      </c>
    </row>
    <row r="13624" spans="1:7" x14ac:dyDescent="0.3">
      <c r="A13624" s="198">
        <v>51159506</v>
      </c>
      <c r="B13624" s="192" t="s">
        <v>7491</v>
      </c>
      <c r="C13624" s="196">
        <v>33724.25</v>
      </c>
      <c r="D13624" s="196">
        <v>900</v>
      </c>
      <c r="E13624" s="196">
        <v>0</v>
      </c>
      <c r="F13624" s="196">
        <v>900</v>
      </c>
      <c r="G13624" s="196">
        <v>34624.25</v>
      </c>
    </row>
    <row r="13625" spans="1:7" x14ac:dyDescent="0.3">
      <c r="A13625" s="198">
        <v>890900099</v>
      </c>
      <c r="B13625" s="192" t="s">
        <v>2261</v>
      </c>
      <c r="C13625" s="196">
        <v>292</v>
      </c>
      <c r="D13625" s="196">
        <v>0</v>
      </c>
      <c r="E13625" s="196">
        <v>0</v>
      </c>
      <c r="F13625" s="196">
        <v>0</v>
      </c>
      <c r="G13625" s="196">
        <v>292</v>
      </c>
    </row>
    <row r="13626" spans="1:7" x14ac:dyDescent="0.3">
      <c r="A13626" s="198">
        <v>900407432</v>
      </c>
      <c r="B13626" s="192" t="s">
        <v>1914</v>
      </c>
      <c r="C13626" s="196">
        <v>23808</v>
      </c>
      <c r="D13626" s="196">
        <v>0</v>
      </c>
      <c r="E13626" s="196">
        <v>0</v>
      </c>
      <c r="F13626" s="196">
        <v>0</v>
      </c>
      <c r="G13626" s="196">
        <v>23808</v>
      </c>
    </row>
    <row r="13627" spans="1:7" x14ac:dyDescent="0.3">
      <c r="A13627" s="198">
        <v>900311581</v>
      </c>
      <c r="B13627" s="192" t="s">
        <v>1809</v>
      </c>
      <c r="C13627" s="196">
        <v>599.76</v>
      </c>
      <c r="D13627" s="196">
        <v>0</v>
      </c>
      <c r="E13627" s="196">
        <v>0</v>
      </c>
      <c r="F13627" s="196">
        <v>0</v>
      </c>
      <c r="G13627" s="196">
        <v>599.76</v>
      </c>
    </row>
    <row r="13628" spans="1:7" x14ac:dyDescent="0.3">
      <c r="A13628" s="198">
        <v>900943243</v>
      </c>
      <c r="B13628" s="192" t="s">
        <v>1758</v>
      </c>
      <c r="C13628" s="196">
        <v>72.989999999999995</v>
      </c>
      <c r="D13628" s="196">
        <v>0</v>
      </c>
      <c r="E13628" s="196">
        <v>0</v>
      </c>
      <c r="F13628" s="196">
        <v>0</v>
      </c>
      <c r="G13628" s="196">
        <v>72.989999999999995</v>
      </c>
    </row>
    <row r="13629" spans="1:7" x14ac:dyDescent="0.3">
      <c r="A13629" s="198">
        <v>900494362</v>
      </c>
      <c r="B13629" s="192" t="s">
        <v>1672</v>
      </c>
      <c r="C13629" s="196">
        <v>8951.5</v>
      </c>
      <c r="D13629" s="196">
        <v>900</v>
      </c>
      <c r="E13629" s="196">
        <v>0</v>
      </c>
      <c r="F13629" s="196">
        <v>900</v>
      </c>
      <c r="G13629" s="196">
        <v>9851.5</v>
      </c>
    </row>
    <row r="13630" spans="1:7" x14ac:dyDescent="0.3">
      <c r="A13630" s="198">
        <v>51159509</v>
      </c>
      <c r="B13630" s="192" t="s">
        <v>7492</v>
      </c>
      <c r="C13630" s="196">
        <v>73000</v>
      </c>
      <c r="D13630" s="196">
        <v>0</v>
      </c>
      <c r="E13630" s="196">
        <v>0</v>
      </c>
      <c r="F13630" s="196">
        <v>0</v>
      </c>
      <c r="G13630" s="196">
        <v>73000</v>
      </c>
    </row>
    <row r="13631" spans="1:7" x14ac:dyDescent="0.3">
      <c r="A13631" s="198">
        <v>900565011</v>
      </c>
      <c r="B13631" s="192" t="s">
        <v>1959</v>
      </c>
      <c r="C13631" s="196">
        <v>73000</v>
      </c>
      <c r="D13631" s="196">
        <v>0</v>
      </c>
      <c r="E13631" s="196">
        <v>0</v>
      </c>
      <c r="F13631" s="196">
        <v>0</v>
      </c>
      <c r="G13631" s="196">
        <v>73000</v>
      </c>
    </row>
    <row r="13632" spans="1:7" x14ac:dyDescent="0.3">
      <c r="A13632" s="197">
        <v>5120</v>
      </c>
      <c r="B13632" s="191" t="s">
        <v>7493</v>
      </c>
      <c r="C13632" s="195">
        <v>633985999.10000002</v>
      </c>
      <c r="D13632" s="195">
        <v>108010110.17</v>
      </c>
      <c r="E13632" s="195">
        <v>380013.89</v>
      </c>
      <c r="F13632" s="195">
        <v>107630096.28</v>
      </c>
      <c r="G13632" s="195">
        <v>741616095.38</v>
      </c>
    </row>
    <row r="13633" spans="1:7" x14ac:dyDescent="0.3">
      <c r="A13633" s="197">
        <v>512010</v>
      </c>
      <c r="B13633" s="191" t="s">
        <v>7494</v>
      </c>
      <c r="C13633" s="195">
        <v>633295799.10000002</v>
      </c>
      <c r="D13633" s="195">
        <v>107908960.17</v>
      </c>
      <c r="E13633" s="195">
        <v>380013.89</v>
      </c>
      <c r="F13633" s="195">
        <v>107528946.28</v>
      </c>
      <c r="G13633" s="195">
        <v>740824745.38</v>
      </c>
    </row>
    <row r="13634" spans="1:7" x14ac:dyDescent="0.3">
      <c r="A13634" s="198">
        <v>51201001</v>
      </c>
      <c r="B13634" s="192" t="s">
        <v>7494</v>
      </c>
      <c r="C13634" s="196">
        <v>532223935.06</v>
      </c>
      <c r="D13634" s="196">
        <v>91429313.959999993</v>
      </c>
      <c r="E13634" s="196">
        <v>380013.89</v>
      </c>
      <c r="F13634" s="196">
        <v>91049300.069999993</v>
      </c>
      <c r="G13634" s="196">
        <v>623273235.13</v>
      </c>
    </row>
    <row r="13635" spans="1:7" x14ac:dyDescent="0.3">
      <c r="A13635" s="198">
        <v>830053812</v>
      </c>
      <c r="B13635" s="192" t="s">
        <v>1623</v>
      </c>
      <c r="C13635" s="196">
        <v>422658495.06</v>
      </c>
      <c r="D13635" s="196">
        <v>72883620.959999993</v>
      </c>
      <c r="E13635" s="196">
        <v>380013.89</v>
      </c>
      <c r="F13635" s="196">
        <v>72503607.069999993</v>
      </c>
      <c r="G13635" s="196">
        <v>495162102.13</v>
      </c>
    </row>
    <row r="13636" spans="1:7" x14ac:dyDescent="0.3">
      <c r="A13636" s="198">
        <v>43556607</v>
      </c>
      <c r="B13636" s="192" t="s">
        <v>1857</v>
      </c>
      <c r="C13636" s="196">
        <v>25885920</v>
      </c>
      <c r="D13636" s="196">
        <v>4314320</v>
      </c>
      <c r="E13636" s="196">
        <v>0</v>
      </c>
      <c r="F13636" s="196">
        <v>4314320</v>
      </c>
      <c r="G13636" s="196">
        <v>30200240</v>
      </c>
    </row>
    <row r="13637" spans="1:7" x14ac:dyDescent="0.3">
      <c r="A13637" s="198">
        <v>900585869</v>
      </c>
      <c r="B13637" s="192" t="s">
        <v>1654</v>
      </c>
      <c r="C13637" s="196">
        <v>9528000</v>
      </c>
      <c r="D13637" s="196">
        <v>1588000</v>
      </c>
      <c r="E13637" s="196">
        <v>0</v>
      </c>
      <c r="F13637" s="196">
        <v>1588000</v>
      </c>
      <c r="G13637" s="196">
        <v>11116000</v>
      </c>
    </row>
    <row r="13638" spans="1:7" x14ac:dyDescent="0.3">
      <c r="A13638" s="198">
        <v>900565011</v>
      </c>
      <c r="B13638" s="192" t="s">
        <v>1959</v>
      </c>
      <c r="C13638" s="196">
        <v>57260238</v>
      </c>
      <c r="D13638" s="196">
        <v>9543373</v>
      </c>
      <c r="E13638" s="196">
        <v>0</v>
      </c>
      <c r="F13638" s="196">
        <v>9543373</v>
      </c>
      <c r="G13638" s="196">
        <v>66803611</v>
      </c>
    </row>
    <row r="13639" spans="1:7" x14ac:dyDescent="0.3">
      <c r="A13639" s="198">
        <v>43984772</v>
      </c>
      <c r="B13639" s="192" t="s">
        <v>1960</v>
      </c>
      <c r="C13639" s="196">
        <v>16891282</v>
      </c>
      <c r="D13639" s="196">
        <v>3100000</v>
      </c>
      <c r="E13639" s="196">
        <v>0</v>
      </c>
      <c r="F13639" s="196">
        <v>3100000</v>
      </c>
      <c r="G13639" s="196">
        <v>19991282</v>
      </c>
    </row>
    <row r="13640" spans="1:7" x14ac:dyDescent="0.3">
      <c r="A13640" s="198">
        <v>51201098</v>
      </c>
      <c r="B13640" s="192" t="s">
        <v>7495</v>
      </c>
      <c r="C13640" s="196">
        <v>101071864.04000001</v>
      </c>
      <c r="D13640" s="196">
        <v>16479646.210000001</v>
      </c>
      <c r="E13640" s="196">
        <v>0</v>
      </c>
      <c r="F13640" s="196">
        <v>16479646.210000001</v>
      </c>
      <c r="G13640" s="196">
        <v>117551510.25</v>
      </c>
    </row>
    <row r="13641" spans="1:7" x14ac:dyDescent="0.3">
      <c r="A13641" s="198">
        <v>830053812</v>
      </c>
      <c r="B13641" s="192" t="s">
        <v>1623</v>
      </c>
      <c r="C13641" s="196">
        <v>80254430.439999998</v>
      </c>
      <c r="D13641" s="196">
        <v>13775685.34</v>
      </c>
      <c r="E13641" s="196">
        <v>0</v>
      </c>
      <c r="F13641" s="196">
        <v>13775685.34</v>
      </c>
      <c r="G13641" s="196">
        <v>94030115.780000001</v>
      </c>
    </row>
    <row r="13642" spans="1:7" x14ac:dyDescent="0.3">
      <c r="A13642" s="198">
        <v>43556607</v>
      </c>
      <c r="B13642" s="192" t="s">
        <v>1857</v>
      </c>
      <c r="C13642" s="196">
        <v>4918324.8</v>
      </c>
      <c r="D13642" s="196">
        <v>0</v>
      </c>
      <c r="E13642" s="196">
        <v>0</v>
      </c>
      <c r="F13642" s="196">
        <v>0</v>
      </c>
      <c r="G13642" s="196">
        <v>4918324.8</v>
      </c>
    </row>
    <row r="13643" spans="1:7" x14ac:dyDescent="0.3">
      <c r="A13643" s="198">
        <v>900585869</v>
      </c>
      <c r="B13643" s="192" t="s">
        <v>1654</v>
      </c>
      <c r="C13643" s="196">
        <v>1810320</v>
      </c>
      <c r="D13643" s="196">
        <v>301720</v>
      </c>
      <c r="E13643" s="196">
        <v>0</v>
      </c>
      <c r="F13643" s="196">
        <v>301720</v>
      </c>
      <c r="G13643" s="196">
        <v>2112040</v>
      </c>
    </row>
    <row r="13644" spans="1:7" x14ac:dyDescent="0.3">
      <c r="A13644" s="198">
        <v>900565011</v>
      </c>
      <c r="B13644" s="192" t="s">
        <v>1959</v>
      </c>
      <c r="C13644" s="196">
        <v>10879445.220000001</v>
      </c>
      <c r="D13644" s="196">
        <v>1813240.87</v>
      </c>
      <c r="E13644" s="196">
        <v>0</v>
      </c>
      <c r="F13644" s="196">
        <v>1813240.87</v>
      </c>
      <c r="G13644" s="196">
        <v>12692686.09</v>
      </c>
    </row>
    <row r="13645" spans="1:7" x14ac:dyDescent="0.3">
      <c r="A13645" s="198">
        <v>43984772</v>
      </c>
      <c r="B13645" s="192" t="s">
        <v>1960</v>
      </c>
      <c r="C13645" s="196">
        <v>3209343.58</v>
      </c>
      <c r="D13645" s="196">
        <v>589000</v>
      </c>
      <c r="E13645" s="196">
        <v>0</v>
      </c>
      <c r="F13645" s="196">
        <v>589000</v>
      </c>
      <c r="G13645" s="196">
        <v>3798343.58</v>
      </c>
    </row>
    <row r="13646" spans="1:7" x14ac:dyDescent="0.3">
      <c r="A13646" s="197">
        <v>512025</v>
      </c>
      <c r="B13646" s="191" t="s">
        <v>7496</v>
      </c>
      <c r="C13646" s="195">
        <v>690200</v>
      </c>
      <c r="D13646" s="195">
        <v>101150</v>
      </c>
      <c r="E13646" s="195">
        <v>0</v>
      </c>
      <c r="F13646" s="195">
        <v>101150</v>
      </c>
      <c r="G13646" s="195">
        <v>791350</v>
      </c>
    </row>
    <row r="13647" spans="1:7" x14ac:dyDescent="0.3">
      <c r="A13647" s="198">
        <v>51202501</v>
      </c>
      <c r="B13647" s="192" t="s">
        <v>7496</v>
      </c>
      <c r="C13647" s="196">
        <v>625600</v>
      </c>
      <c r="D13647" s="196">
        <v>85000</v>
      </c>
      <c r="E13647" s="196">
        <v>0</v>
      </c>
      <c r="F13647" s="196">
        <v>85000</v>
      </c>
      <c r="G13647" s="196">
        <v>710600</v>
      </c>
    </row>
    <row r="13648" spans="1:7" x14ac:dyDescent="0.3">
      <c r="A13648" s="198">
        <v>8357616</v>
      </c>
      <c r="B13648" s="192" t="s">
        <v>7497</v>
      </c>
      <c r="C13648" s="196">
        <v>285600</v>
      </c>
      <c r="D13648" s="196">
        <v>0</v>
      </c>
      <c r="E13648" s="196">
        <v>0</v>
      </c>
      <c r="F13648" s="196">
        <v>0</v>
      </c>
      <c r="G13648" s="196">
        <v>285600</v>
      </c>
    </row>
    <row r="13649" spans="1:7" x14ac:dyDescent="0.3">
      <c r="A13649" s="198">
        <v>830070527</v>
      </c>
      <c r="B13649" s="192" t="s">
        <v>1952</v>
      </c>
      <c r="C13649" s="196">
        <v>340000</v>
      </c>
      <c r="D13649" s="196">
        <v>85000</v>
      </c>
      <c r="E13649" s="196">
        <v>0</v>
      </c>
      <c r="F13649" s="196">
        <v>85000</v>
      </c>
      <c r="G13649" s="196">
        <v>425000</v>
      </c>
    </row>
    <row r="13650" spans="1:7" x14ac:dyDescent="0.3">
      <c r="A13650" s="198">
        <v>51202598</v>
      </c>
      <c r="B13650" s="192" t="s">
        <v>7498</v>
      </c>
      <c r="C13650" s="196">
        <v>64600</v>
      </c>
      <c r="D13650" s="196">
        <v>16150</v>
      </c>
      <c r="E13650" s="196">
        <v>0</v>
      </c>
      <c r="F13650" s="196">
        <v>16150</v>
      </c>
      <c r="G13650" s="196">
        <v>80750</v>
      </c>
    </row>
    <row r="13651" spans="1:7" x14ac:dyDescent="0.3">
      <c r="A13651" s="198">
        <v>830070527</v>
      </c>
      <c r="B13651" s="192" t="s">
        <v>1952</v>
      </c>
      <c r="C13651" s="196">
        <v>64600</v>
      </c>
      <c r="D13651" s="196">
        <v>16150</v>
      </c>
      <c r="E13651" s="196">
        <v>0</v>
      </c>
      <c r="F13651" s="196">
        <v>16150</v>
      </c>
      <c r="G13651" s="196">
        <v>80750</v>
      </c>
    </row>
    <row r="13652" spans="1:7" x14ac:dyDescent="0.3">
      <c r="A13652" s="197">
        <v>5125</v>
      </c>
      <c r="B13652" s="191" t="s">
        <v>7499</v>
      </c>
      <c r="C13652" s="195">
        <v>102050349.67</v>
      </c>
      <c r="D13652" s="195">
        <v>17968879.079999998</v>
      </c>
      <c r="E13652" s="195">
        <v>0</v>
      </c>
      <c r="F13652" s="195">
        <v>17968879.079999998</v>
      </c>
      <c r="G13652" s="195">
        <v>120019228.75</v>
      </c>
    </row>
    <row r="13653" spans="1:7" x14ac:dyDescent="0.3">
      <c r="A13653" s="197">
        <v>512505</v>
      </c>
      <c r="B13653" s="191" t="s">
        <v>7500</v>
      </c>
      <c r="C13653" s="195">
        <v>69203854.670000002</v>
      </c>
      <c r="D13653" s="195">
        <v>10686265.609999999</v>
      </c>
      <c r="E13653" s="195">
        <v>0</v>
      </c>
      <c r="F13653" s="195">
        <v>10686265.609999999</v>
      </c>
      <c r="G13653" s="195">
        <v>79890120.280000001</v>
      </c>
    </row>
    <row r="13654" spans="1:7" x14ac:dyDescent="0.3">
      <c r="A13654" s="198">
        <v>51250501</v>
      </c>
      <c r="B13654" s="192" t="s">
        <v>7500</v>
      </c>
      <c r="C13654" s="196">
        <v>67819540.700000003</v>
      </c>
      <c r="D13654" s="196">
        <v>10554252.199999999</v>
      </c>
      <c r="E13654" s="196">
        <v>0</v>
      </c>
      <c r="F13654" s="196">
        <v>10554252.199999999</v>
      </c>
      <c r="G13654" s="196">
        <v>78373792.900000006</v>
      </c>
    </row>
    <row r="13655" spans="1:7" x14ac:dyDescent="0.3">
      <c r="A13655" s="198">
        <v>900869110</v>
      </c>
      <c r="B13655" s="192" t="s">
        <v>1850</v>
      </c>
      <c r="C13655" s="196">
        <v>4279174</v>
      </c>
      <c r="D13655" s="196">
        <v>694807.4</v>
      </c>
      <c r="E13655" s="196">
        <v>0</v>
      </c>
      <c r="F13655" s="196">
        <v>694807.4</v>
      </c>
      <c r="G13655" s="196">
        <v>4973981.4000000004</v>
      </c>
    </row>
    <row r="13656" spans="1:7" x14ac:dyDescent="0.3">
      <c r="A13656" s="198">
        <v>900406150</v>
      </c>
      <c r="B13656" s="192" t="s">
        <v>1837</v>
      </c>
      <c r="C13656" s="196">
        <v>599480</v>
      </c>
      <c r="D13656" s="196">
        <v>0</v>
      </c>
      <c r="E13656" s="196">
        <v>0</v>
      </c>
      <c r="F13656" s="196">
        <v>0</v>
      </c>
      <c r="G13656" s="196">
        <v>599480</v>
      </c>
    </row>
    <row r="13657" spans="1:7" x14ac:dyDescent="0.3">
      <c r="A13657" s="198">
        <v>811021621</v>
      </c>
      <c r="B13657" s="192" t="s">
        <v>1945</v>
      </c>
      <c r="C13657" s="196">
        <v>62940886.700000003</v>
      </c>
      <c r="D13657" s="196">
        <v>9859444.8000000007</v>
      </c>
      <c r="E13657" s="196">
        <v>0</v>
      </c>
      <c r="F13657" s="196">
        <v>9859444.8000000007</v>
      </c>
      <c r="G13657" s="196">
        <v>72800331.5</v>
      </c>
    </row>
    <row r="13658" spans="1:7" x14ac:dyDescent="0.3">
      <c r="A13658" s="198">
        <v>51250598</v>
      </c>
      <c r="B13658" s="192" t="s">
        <v>7501</v>
      </c>
      <c r="C13658" s="196">
        <v>1384313.97</v>
      </c>
      <c r="D13658" s="196">
        <v>132013.41</v>
      </c>
      <c r="E13658" s="196">
        <v>0</v>
      </c>
      <c r="F13658" s="196">
        <v>132013.41</v>
      </c>
      <c r="G13658" s="196">
        <v>1516327.38</v>
      </c>
    </row>
    <row r="13659" spans="1:7" x14ac:dyDescent="0.3">
      <c r="A13659" s="198">
        <v>900869110</v>
      </c>
      <c r="B13659" s="192" t="s">
        <v>1850</v>
      </c>
      <c r="C13659" s="196">
        <v>813043.06</v>
      </c>
      <c r="D13659" s="196">
        <v>132013.41</v>
      </c>
      <c r="E13659" s="196">
        <v>0</v>
      </c>
      <c r="F13659" s="196">
        <v>132013.41</v>
      </c>
      <c r="G13659" s="196">
        <v>945056.47</v>
      </c>
    </row>
    <row r="13660" spans="1:7" x14ac:dyDescent="0.3">
      <c r="A13660" s="198">
        <v>811021621</v>
      </c>
      <c r="B13660" s="192" t="s">
        <v>1945</v>
      </c>
      <c r="C13660" s="196">
        <v>571270.91</v>
      </c>
      <c r="D13660" s="196">
        <v>0</v>
      </c>
      <c r="E13660" s="196">
        <v>0</v>
      </c>
      <c r="F13660" s="196">
        <v>0</v>
      </c>
      <c r="G13660" s="196">
        <v>571270.91</v>
      </c>
    </row>
    <row r="13661" spans="1:7" x14ac:dyDescent="0.3">
      <c r="A13661" s="197">
        <v>512510</v>
      </c>
      <c r="B13661" s="191" t="s">
        <v>7502</v>
      </c>
      <c r="C13661" s="195">
        <v>32846495</v>
      </c>
      <c r="D13661" s="195">
        <v>7282613.4699999997</v>
      </c>
      <c r="E13661" s="195">
        <v>0</v>
      </c>
      <c r="F13661" s="195">
        <v>7282613.4699999997</v>
      </c>
      <c r="G13661" s="195">
        <v>40129108.469999999</v>
      </c>
    </row>
    <row r="13662" spans="1:7" x14ac:dyDescent="0.3">
      <c r="A13662" s="198">
        <v>51251001</v>
      </c>
      <c r="B13662" s="192" t="s">
        <v>7502</v>
      </c>
      <c r="C13662" s="196">
        <v>32846495</v>
      </c>
      <c r="D13662" s="196">
        <v>7282613.4699999997</v>
      </c>
      <c r="E13662" s="196">
        <v>0</v>
      </c>
      <c r="F13662" s="196">
        <v>7282613.4699999997</v>
      </c>
      <c r="G13662" s="196">
        <v>40129108.469999999</v>
      </c>
    </row>
    <row r="13663" spans="1:7" x14ac:dyDescent="0.3">
      <c r="A13663" s="198">
        <v>493581</v>
      </c>
      <c r="B13663" s="192" t="s">
        <v>1892</v>
      </c>
      <c r="C13663" s="196">
        <v>32593276</v>
      </c>
      <c r="D13663" s="196">
        <v>7282613.4699999997</v>
      </c>
      <c r="E13663" s="196">
        <v>0</v>
      </c>
      <c r="F13663" s="196">
        <v>7282613.4699999997</v>
      </c>
      <c r="G13663" s="196">
        <v>39875889.469999999</v>
      </c>
    </row>
    <row r="13664" spans="1:7" x14ac:dyDescent="0.3">
      <c r="A13664" s="192" t="s">
        <v>7503</v>
      </c>
      <c r="B13664" s="192" t="s">
        <v>7504</v>
      </c>
      <c r="C13664" s="196">
        <v>253219</v>
      </c>
      <c r="D13664" s="196">
        <v>0</v>
      </c>
      <c r="E13664" s="196">
        <v>0</v>
      </c>
      <c r="F13664" s="196">
        <v>0</v>
      </c>
      <c r="G13664" s="196">
        <v>253219</v>
      </c>
    </row>
    <row r="13665" spans="1:7" x14ac:dyDescent="0.3">
      <c r="A13665" s="197">
        <v>5130</v>
      </c>
      <c r="B13665" s="191" t="s">
        <v>7505</v>
      </c>
      <c r="C13665" s="195">
        <v>118769303.89</v>
      </c>
      <c r="D13665" s="195">
        <v>20734359</v>
      </c>
      <c r="E13665" s="195">
        <v>0</v>
      </c>
      <c r="F13665" s="195">
        <v>20734359</v>
      </c>
      <c r="G13665" s="195">
        <v>139503662.88999999</v>
      </c>
    </row>
    <row r="13666" spans="1:7" x14ac:dyDescent="0.3">
      <c r="A13666" s="197">
        <v>513005</v>
      </c>
      <c r="B13666" s="191" t="s">
        <v>7506</v>
      </c>
      <c r="C13666" s="195">
        <v>373870</v>
      </c>
      <c r="D13666" s="195">
        <v>74774</v>
      </c>
      <c r="E13666" s="195">
        <v>0</v>
      </c>
      <c r="F13666" s="195">
        <v>74774</v>
      </c>
      <c r="G13666" s="195">
        <v>448644</v>
      </c>
    </row>
    <row r="13667" spans="1:7" x14ac:dyDescent="0.3">
      <c r="A13667" s="198">
        <v>51300501</v>
      </c>
      <c r="B13667" s="192" t="s">
        <v>7506</v>
      </c>
      <c r="C13667" s="196">
        <v>373870</v>
      </c>
      <c r="D13667" s="196">
        <v>74774</v>
      </c>
      <c r="E13667" s="196">
        <v>0</v>
      </c>
      <c r="F13667" s="196">
        <v>74774</v>
      </c>
      <c r="G13667" s="196">
        <v>448644</v>
      </c>
    </row>
    <row r="13668" spans="1:7" x14ac:dyDescent="0.3">
      <c r="A13668" s="198">
        <v>860034313</v>
      </c>
      <c r="B13668" s="192" t="s">
        <v>1629</v>
      </c>
      <c r="C13668" s="196">
        <v>373870</v>
      </c>
      <c r="D13668" s="196">
        <v>74774</v>
      </c>
      <c r="E13668" s="196">
        <v>0</v>
      </c>
      <c r="F13668" s="196">
        <v>74774</v>
      </c>
      <c r="G13668" s="196">
        <v>448644</v>
      </c>
    </row>
    <row r="13669" spans="1:7" x14ac:dyDescent="0.3">
      <c r="A13669" s="197">
        <v>513010</v>
      </c>
      <c r="B13669" s="191" t="s">
        <v>7507</v>
      </c>
      <c r="C13669" s="195">
        <v>8960736.8900000006</v>
      </c>
      <c r="D13669" s="195">
        <v>0</v>
      </c>
      <c r="E13669" s="195">
        <v>0</v>
      </c>
      <c r="F13669" s="195">
        <v>0</v>
      </c>
      <c r="G13669" s="195">
        <v>8960736.8900000006</v>
      </c>
    </row>
    <row r="13670" spans="1:7" x14ac:dyDescent="0.3">
      <c r="A13670" s="198">
        <v>51301001</v>
      </c>
      <c r="B13670" s="192" t="s">
        <v>7507</v>
      </c>
      <c r="C13670" s="196">
        <v>8960736.8900000006</v>
      </c>
      <c r="D13670" s="196">
        <v>0</v>
      </c>
      <c r="E13670" s="196">
        <v>0</v>
      </c>
      <c r="F13670" s="196">
        <v>0</v>
      </c>
      <c r="G13670" s="196">
        <v>8960736.8900000006</v>
      </c>
    </row>
    <row r="13671" spans="1:7" x14ac:dyDescent="0.3">
      <c r="A13671" s="198">
        <v>860037013</v>
      </c>
      <c r="B13671" s="192" t="s">
        <v>7508</v>
      </c>
      <c r="C13671" s="196">
        <v>8960736.8900000006</v>
      </c>
      <c r="D13671" s="196">
        <v>0</v>
      </c>
      <c r="E13671" s="196">
        <v>0</v>
      </c>
      <c r="F13671" s="196">
        <v>0</v>
      </c>
      <c r="G13671" s="196">
        <v>8960736.8900000006</v>
      </c>
    </row>
    <row r="13672" spans="1:7" x14ac:dyDescent="0.3">
      <c r="A13672" s="197">
        <v>513060</v>
      </c>
      <c r="B13672" s="191" t="s">
        <v>7509</v>
      </c>
      <c r="C13672" s="195">
        <v>14357075</v>
      </c>
      <c r="D13672" s="195">
        <v>2871415</v>
      </c>
      <c r="E13672" s="195">
        <v>0</v>
      </c>
      <c r="F13672" s="195">
        <v>2871415</v>
      </c>
      <c r="G13672" s="195">
        <v>17228490</v>
      </c>
    </row>
    <row r="13673" spans="1:7" x14ac:dyDescent="0.3">
      <c r="A13673" s="198">
        <v>51306001</v>
      </c>
      <c r="B13673" s="192" t="s">
        <v>7509</v>
      </c>
      <c r="C13673" s="196">
        <v>14357075</v>
      </c>
      <c r="D13673" s="196">
        <v>2871415</v>
      </c>
      <c r="E13673" s="196">
        <v>0</v>
      </c>
      <c r="F13673" s="196">
        <v>2871415</v>
      </c>
      <c r="G13673" s="196">
        <v>17228490</v>
      </c>
    </row>
    <row r="13674" spans="1:7" x14ac:dyDescent="0.3">
      <c r="A13674" s="198">
        <v>890903407</v>
      </c>
      <c r="B13674" s="192" t="s">
        <v>1669</v>
      </c>
      <c r="C13674" s="196">
        <v>14357075</v>
      </c>
      <c r="D13674" s="196">
        <v>2871415</v>
      </c>
      <c r="E13674" s="196">
        <v>0</v>
      </c>
      <c r="F13674" s="196">
        <v>2871415</v>
      </c>
      <c r="G13674" s="196">
        <v>17228490</v>
      </c>
    </row>
    <row r="13675" spans="1:7" x14ac:dyDescent="0.3">
      <c r="A13675" s="197">
        <v>513095</v>
      </c>
      <c r="B13675" s="191" t="s">
        <v>7510</v>
      </c>
      <c r="C13675" s="195">
        <v>95077622</v>
      </c>
      <c r="D13675" s="195">
        <v>17788170</v>
      </c>
      <c r="E13675" s="195">
        <v>0</v>
      </c>
      <c r="F13675" s="195">
        <v>17788170</v>
      </c>
      <c r="G13675" s="195">
        <v>112865792</v>
      </c>
    </row>
    <row r="13676" spans="1:7" x14ac:dyDescent="0.3">
      <c r="A13676" s="198">
        <v>51309501</v>
      </c>
      <c r="B13676" s="192" t="s">
        <v>7511</v>
      </c>
      <c r="C13676" s="196">
        <v>95077622</v>
      </c>
      <c r="D13676" s="196">
        <v>17788170</v>
      </c>
      <c r="E13676" s="196">
        <v>0</v>
      </c>
      <c r="F13676" s="196">
        <v>17788170</v>
      </c>
      <c r="G13676" s="196">
        <v>112865792</v>
      </c>
    </row>
    <row r="13677" spans="1:7" x14ac:dyDescent="0.3">
      <c r="A13677" s="198">
        <v>860038299</v>
      </c>
      <c r="B13677" s="192" t="s">
        <v>1941</v>
      </c>
      <c r="C13677" s="196">
        <v>95077622</v>
      </c>
      <c r="D13677" s="196">
        <v>17788170</v>
      </c>
      <c r="E13677" s="196">
        <v>0</v>
      </c>
      <c r="F13677" s="196">
        <v>17788170</v>
      </c>
      <c r="G13677" s="196">
        <v>112865792</v>
      </c>
    </row>
    <row r="13678" spans="1:7" x14ac:dyDescent="0.3">
      <c r="A13678" s="197">
        <v>5135</v>
      </c>
      <c r="B13678" s="191" t="s">
        <v>7512</v>
      </c>
      <c r="C13678" s="195">
        <v>306607103.94999999</v>
      </c>
      <c r="D13678" s="195">
        <v>50532552.780000001</v>
      </c>
      <c r="E13678" s="195">
        <v>0</v>
      </c>
      <c r="F13678" s="195">
        <v>50532552.780000001</v>
      </c>
      <c r="G13678" s="195">
        <v>357139656.73000002</v>
      </c>
    </row>
    <row r="13679" spans="1:7" x14ac:dyDescent="0.3">
      <c r="A13679" s="197">
        <v>513505</v>
      </c>
      <c r="B13679" s="191" t="s">
        <v>7513</v>
      </c>
      <c r="C13679" s="195">
        <v>46701743</v>
      </c>
      <c r="D13679" s="195">
        <v>7674074</v>
      </c>
      <c r="E13679" s="195">
        <v>0</v>
      </c>
      <c r="F13679" s="195">
        <v>7674074</v>
      </c>
      <c r="G13679" s="195">
        <v>54375817</v>
      </c>
    </row>
    <row r="13680" spans="1:7" x14ac:dyDescent="0.3">
      <c r="A13680" s="198">
        <v>51350501</v>
      </c>
      <c r="B13680" s="192" t="s">
        <v>7513</v>
      </c>
      <c r="C13680" s="196">
        <v>46701743</v>
      </c>
      <c r="D13680" s="196">
        <v>7674074</v>
      </c>
      <c r="E13680" s="196">
        <v>0</v>
      </c>
      <c r="F13680" s="196">
        <v>7674074</v>
      </c>
      <c r="G13680" s="196">
        <v>54375817</v>
      </c>
    </row>
    <row r="13681" spans="1:7" x14ac:dyDescent="0.3">
      <c r="A13681" s="198">
        <v>900869110</v>
      </c>
      <c r="B13681" s="192" t="s">
        <v>1850</v>
      </c>
      <c r="C13681" s="196">
        <v>42791743</v>
      </c>
      <c r="D13681" s="196">
        <v>6948074</v>
      </c>
      <c r="E13681" s="196">
        <v>0</v>
      </c>
      <c r="F13681" s="196">
        <v>6948074</v>
      </c>
      <c r="G13681" s="196">
        <v>49739817</v>
      </c>
    </row>
    <row r="13682" spans="1:7" x14ac:dyDescent="0.3">
      <c r="A13682" s="198">
        <v>52245050</v>
      </c>
      <c r="B13682" s="192" t="s">
        <v>2319</v>
      </c>
      <c r="C13682" s="196">
        <v>360000</v>
      </c>
      <c r="D13682" s="196">
        <v>0</v>
      </c>
      <c r="E13682" s="196">
        <v>0</v>
      </c>
      <c r="F13682" s="196">
        <v>0</v>
      </c>
      <c r="G13682" s="196">
        <v>360000</v>
      </c>
    </row>
    <row r="13683" spans="1:7" x14ac:dyDescent="0.3">
      <c r="A13683" s="198">
        <v>43550437</v>
      </c>
      <c r="B13683" s="192" t="s">
        <v>1936</v>
      </c>
      <c r="C13683" s="196">
        <v>3550000</v>
      </c>
      <c r="D13683" s="196">
        <v>726000</v>
      </c>
      <c r="E13683" s="196">
        <v>0</v>
      </c>
      <c r="F13683" s="196">
        <v>726000</v>
      </c>
      <c r="G13683" s="196">
        <v>4276000</v>
      </c>
    </row>
    <row r="13684" spans="1:7" x14ac:dyDescent="0.3">
      <c r="A13684" s="197">
        <v>513525</v>
      </c>
      <c r="B13684" s="191" t="s">
        <v>7514</v>
      </c>
      <c r="C13684" s="195">
        <v>4604661.6500000004</v>
      </c>
      <c r="D13684" s="195">
        <v>803168.1</v>
      </c>
      <c r="E13684" s="195">
        <v>0</v>
      </c>
      <c r="F13684" s="195">
        <v>803168.1</v>
      </c>
      <c r="G13684" s="195">
        <v>5407829.75</v>
      </c>
    </row>
    <row r="13685" spans="1:7" x14ac:dyDescent="0.3">
      <c r="A13685" s="198">
        <v>51352501</v>
      </c>
      <c r="B13685" s="192" t="s">
        <v>7514</v>
      </c>
      <c r="C13685" s="196">
        <v>4604661.6500000004</v>
      </c>
      <c r="D13685" s="196">
        <v>803168.1</v>
      </c>
      <c r="E13685" s="196">
        <v>0</v>
      </c>
      <c r="F13685" s="196">
        <v>803168.1</v>
      </c>
      <c r="G13685" s="196">
        <v>5407829.75</v>
      </c>
    </row>
    <row r="13686" spans="1:7" x14ac:dyDescent="0.3">
      <c r="A13686" s="198">
        <v>890904996</v>
      </c>
      <c r="B13686" s="192" t="s">
        <v>1635</v>
      </c>
      <c r="C13686" s="196">
        <v>4604661.6500000004</v>
      </c>
      <c r="D13686" s="196">
        <v>803168.1</v>
      </c>
      <c r="E13686" s="196">
        <v>0</v>
      </c>
      <c r="F13686" s="196">
        <v>803168.1</v>
      </c>
      <c r="G13686" s="196">
        <v>5407829.75</v>
      </c>
    </row>
    <row r="13687" spans="1:7" x14ac:dyDescent="0.3">
      <c r="A13687" s="197">
        <v>513530</v>
      </c>
      <c r="B13687" s="191" t="s">
        <v>7515</v>
      </c>
      <c r="C13687" s="195">
        <v>38841866.93</v>
      </c>
      <c r="D13687" s="195">
        <v>8766292.5999999996</v>
      </c>
      <c r="E13687" s="195">
        <v>0</v>
      </c>
      <c r="F13687" s="195">
        <v>8766292.5999999996</v>
      </c>
      <c r="G13687" s="195">
        <v>47608159.530000001</v>
      </c>
    </row>
    <row r="13688" spans="1:7" x14ac:dyDescent="0.3">
      <c r="A13688" s="198">
        <v>51353001</v>
      </c>
      <c r="B13688" s="192" t="s">
        <v>7515</v>
      </c>
      <c r="C13688" s="196">
        <v>38841866.93</v>
      </c>
      <c r="D13688" s="196">
        <v>8766292.5999999996</v>
      </c>
      <c r="E13688" s="196">
        <v>0</v>
      </c>
      <c r="F13688" s="196">
        <v>8766292.5999999996</v>
      </c>
      <c r="G13688" s="196">
        <v>47608159.530000001</v>
      </c>
    </row>
    <row r="13689" spans="1:7" x14ac:dyDescent="0.3">
      <c r="A13689" s="198">
        <v>890904996</v>
      </c>
      <c r="B13689" s="192" t="s">
        <v>1635</v>
      </c>
      <c r="C13689" s="196">
        <v>38841866.93</v>
      </c>
      <c r="D13689" s="196">
        <v>8766292.5999999996</v>
      </c>
      <c r="E13689" s="196">
        <v>0</v>
      </c>
      <c r="F13689" s="196">
        <v>8766292.5999999996</v>
      </c>
      <c r="G13689" s="196">
        <v>47608159.530000001</v>
      </c>
    </row>
    <row r="13690" spans="1:7" x14ac:dyDescent="0.3">
      <c r="A13690" s="197">
        <v>513535</v>
      </c>
      <c r="B13690" s="191" t="s">
        <v>7516</v>
      </c>
      <c r="C13690" s="195">
        <v>16059089.74</v>
      </c>
      <c r="D13690" s="195">
        <v>1679975.32</v>
      </c>
      <c r="E13690" s="195">
        <v>0</v>
      </c>
      <c r="F13690" s="195">
        <v>1679975.32</v>
      </c>
      <c r="G13690" s="195">
        <v>17739065.059999999</v>
      </c>
    </row>
    <row r="13691" spans="1:7" x14ac:dyDescent="0.3">
      <c r="A13691" s="198">
        <v>51353501</v>
      </c>
      <c r="B13691" s="192" t="s">
        <v>7517</v>
      </c>
      <c r="C13691" s="196">
        <v>575780.9</v>
      </c>
      <c r="D13691" s="196">
        <v>94209.96</v>
      </c>
      <c r="E13691" s="196">
        <v>0</v>
      </c>
      <c r="F13691" s="196">
        <v>94209.96</v>
      </c>
      <c r="G13691" s="196">
        <v>669990.86</v>
      </c>
    </row>
    <row r="13692" spans="1:7" x14ac:dyDescent="0.3">
      <c r="A13692" s="198">
        <v>830114921</v>
      </c>
      <c r="B13692" s="192" t="s">
        <v>1870</v>
      </c>
      <c r="C13692" s="196">
        <v>407495.76</v>
      </c>
      <c r="D13692" s="196">
        <v>67915.960000000006</v>
      </c>
      <c r="E13692" s="196">
        <v>0</v>
      </c>
      <c r="F13692" s="196">
        <v>67915.960000000006</v>
      </c>
      <c r="G13692" s="196">
        <v>475411.72</v>
      </c>
    </row>
    <row r="13693" spans="1:7" x14ac:dyDescent="0.3">
      <c r="A13693" s="198">
        <v>900092385</v>
      </c>
      <c r="B13693" s="192" t="s">
        <v>1673</v>
      </c>
      <c r="C13693" s="196">
        <v>168285.14</v>
      </c>
      <c r="D13693" s="196">
        <v>26294</v>
      </c>
      <c r="E13693" s="196">
        <v>0</v>
      </c>
      <c r="F13693" s="196">
        <v>26294</v>
      </c>
      <c r="G13693" s="196">
        <v>194579.14</v>
      </c>
    </row>
    <row r="13694" spans="1:7" x14ac:dyDescent="0.3">
      <c r="A13694" s="198">
        <v>51353502</v>
      </c>
      <c r="B13694" s="192" t="s">
        <v>7518</v>
      </c>
      <c r="C13694" s="196">
        <v>933759</v>
      </c>
      <c r="D13694" s="196">
        <v>79156</v>
      </c>
      <c r="E13694" s="196">
        <v>0</v>
      </c>
      <c r="F13694" s="196">
        <v>79156</v>
      </c>
      <c r="G13694" s="196">
        <v>1012915</v>
      </c>
    </row>
    <row r="13695" spans="1:7" x14ac:dyDescent="0.3">
      <c r="A13695" s="198">
        <v>901354361</v>
      </c>
      <c r="B13695" s="192" t="s">
        <v>1660</v>
      </c>
      <c r="C13695" s="196">
        <v>431029</v>
      </c>
      <c r="D13695" s="196">
        <v>79156</v>
      </c>
      <c r="E13695" s="196">
        <v>0</v>
      </c>
      <c r="F13695" s="196">
        <v>79156</v>
      </c>
      <c r="G13695" s="196">
        <v>510185</v>
      </c>
    </row>
    <row r="13696" spans="1:7" x14ac:dyDescent="0.3">
      <c r="A13696" s="198">
        <v>900092385</v>
      </c>
      <c r="B13696" s="192" t="s">
        <v>1673</v>
      </c>
      <c r="C13696" s="196">
        <v>502730</v>
      </c>
      <c r="D13696" s="196">
        <v>0</v>
      </c>
      <c r="E13696" s="196">
        <v>0</v>
      </c>
      <c r="F13696" s="196">
        <v>0</v>
      </c>
      <c r="G13696" s="196">
        <v>502730</v>
      </c>
    </row>
    <row r="13697" spans="1:7" x14ac:dyDescent="0.3">
      <c r="A13697" s="198">
        <v>51353503</v>
      </c>
      <c r="B13697" s="192" t="s">
        <v>7519</v>
      </c>
      <c r="C13697" s="196">
        <v>12082169.460000001</v>
      </c>
      <c r="D13697" s="196">
        <v>1238378</v>
      </c>
      <c r="E13697" s="196">
        <v>0</v>
      </c>
      <c r="F13697" s="196">
        <v>1238378</v>
      </c>
      <c r="G13697" s="196">
        <v>13320547.460000001</v>
      </c>
    </row>
    <row r="13698" spans="1:7" x14ac:dyDescent="0.3">
      <c r="A13698" s="198">
        <v>830078515</v>
      </c>
      <c r="B13698" s="192" t="s">
        <v>1919</v>
      </c>
      <c r="C13698" s="196">
        <v>7251206.0599999996</v>
      </c>
      <c r="D13698" s="196">
        <v>1238378</v>
      </c>
      <c r="E13698" s="196">
        <v>0</v>
      </c>
      <c r="F13698" s="196">
        <v>1238378</v>
      </c>
      <c r="G13698" s="196">
        <v>8489584.0600000005</v>
      </c>
    </row>
    <row r="13699" spans="1:7" x14ac:dyDescent="0.3">
      <c r="A13699" s="198">
        <v>900092385</v>
      </c>
      <c r="B13699" s="192" t="s">
        <v>1673</v>
      </c>
      <c r="C13699" s="196">
        <v>4830963.4000000004</v>
      </c>
      <c r="D13699" s="196">
        <v>0</v>
      </c>
      <c r="E13699" s="196">
        <v>0</v>
      </c>
      <c r="F13699" s="196">
        <v>0</v>
      </c>
      <c r="G13699" s="196">
        <v>4830963.4000000004</v>
      </c>
    </row>
    <row r="13700" spans="1:7" x14ac:dyDescent="0.3">
      <c r="A13700" s="198">
        <v>51353598</v>
      </c>
      <c r="B13700" s="192" t="s">
        <v>7520</v>
      </c>
      <c r="C13700" s="196">
        <v>2467380.38</v>
      </c>
      <c r="D13700" s="196">
        <v>268231.36</v>
      </c>
      <c r="E13700" s="196">
        <v>0</v>
      </c>
      <c r="F13700" s="196">
        <v>268231.36</v>
      </c>
      <c r="G13700" s="196">
        <v>2735611.74</v>
      </c>
    </row>
    <row r="13701" spans="1:7" x14ac:dyDescent="0.3">
      <c r="A13701" s="198">
        <v>830114921</v>
      </c>
      <c r="B13701" s="192" t="s">
        <v>1870</v>
      </c>
      <c r="C13701" s="196">
        <v>77424.240000000005</v>
      </c>
      <c r="D13701" s="196">
        <v>12904.04</v>
      </c>
      <c r="E13701" s="196">
        <v>0</v>
      </c>
      <c r="F13701" s="196">
        <v>12904.04</v>
      </c>
      <c r="G13701" s="196">
        <v>90328.28</v>
      </c>
    </row>
    <row r="13702" spans="1:7" x14ac:dyDescent="0.3">
      <c r="A13702" s="198">
        <v>830078515</v>
      </c>
      <c r="B13702" s="192" t="s">
        <v>1919</v>
      </c>
      <c r="C13702" s="196">
        <v>1377729.15</v>
      </c>
      <c r="D13702" s="196">
        <v>235291.82</v>
      </c>
      <c r="E13702" s="196">
        <v>0</v>
      </c>
      <c r="F13702" s="196">
        <v>235291.82</v>
      </c>
      <c r="G13702" s="196">
        <v>1613020.97</v>
      </c>
    </row>
    <row r="13703" spans="1:7" x14ac:dyDescent="0.3">
      <c r="A13703" s="198">
        <v>901354361</v>
      </c>
      <c r="B13703" s="192" t="s">
        <v>1660</v>
      </c>
      <c r="C13703" s="196">
        <v>81895.509999999995</v>
      </c>
      <c r="D13703" s="196">
        <v>15039.64</v>
      </c>
      <c r="E13703" s="196">
        <v>0</v>
      </c>
      <c r="F13703" s="196">
        <v>15039.64</v>
      </c>
      <c r="G13703" s="196">
        <v>96935.15</v>
      </c>
    </row>
    <row r="13704" spans="1:7" x14ac:dyDescent="0.3">
      <c r="A13704" s="198">
        <v>900092385</v>
      </c>
      <c r="B13704" s="192" t="s">
        <v>1673</v>
      </c>
      <c r="C13704" s="196">
        <v>930331.48</v>
      </c>
      <c r="D13704" s="196">
        <v>4995.8599999999997</v>
      </c>
      <c r="E13704" s="196">
        <v>0</v>
      </c>
      <c r="F13704" s="196">
        <v>4995.8599999999997</v>
      </c>
      <c r="G13704" s="196">
        <v>935327.34</v>
      </c>
    </row>
    <row r="13705" spans="1:7" x14ac:dyDescent="0.3">
      <c r="A13705" s="197">
        <v>513550</v>
      </c>
      <c r="B13705" s="191" t="s">
        <v>7521</v>
      </c>
      <c r="C13705" s="195">
        <v>10378186</v>
      </c>
      <c r="D13705" s="195">
        <v>493999.96</v>
      </c>
      <c r="E13705" s="195">
        <v>0</v>
      </c>
      <c r="F13705" s="195">
        <v>493999.96</v>
      </c>
      <c r="G13705" s="195">
        <v>10872185.960000001</v>
      </c>
    </row>
    <row r="13706" spans="1:7" x14ac:dyDescent="0.3">
      <c r="A13706" s="198">
        <v>51355001</v>
      </c>
      <c r="B13706" s="192" t="s">
        <v>7521</v>
      </c>
      <c r="C13706" s="196">
        <v>9802463.7100000009</v>
      </c>
      <c r="D13706" s="196">
        <v>470040.8</v>
      </c>
      <c r="E13706" s="196">
        <v>0</v>
      </c>
      <c r="F13706" s="196">
        <v>470040.8</v>
      </c>
      <c r="G13706" s="196">
        <v>10272504.51</v>
      </c>
    </row>
    <row r="13707" spans="1:7" x14ac:dyDescent="0.3">
      <c r="A13707" s="198">
        <v>900955569</v>
      </c>
      <c r="B13707" s="192" t="s">
        <v>7522</v>
      </c>
      <c r="C13707" s="196">
        <v>250000</v>
      </c>
      <c r="D13707" s="196">
        <v>0</v>
      </c>
      <c r="E13707" s="196">
        <v>0</v>
      </c>
      <c r="F13707" s="196">
        <v>0</v>
      </c>
      <c r="G13707" s="196">
        <v>250000</v>
      </c>
    </row>
    <row r="13708" spans="1:7" x14ac:dyDescent="0.3">
      <c r="A13708" s="198">
        <v>900740595</v>
      </c>
      <c r="B13708" s="192" t="s">
        <v>1630</v>
      </c>
      <c r="C13708" s="196">
        <v>140000</v>
      </c>
      <c r="D13708" s="196">
        <v>40000</v>
      </c>
      <c r="E13708" s="196">
        <v>0</v>
      </c>
      <c r="F13708" s="196">
        <v>40000</v>
      </c>
      <c r="G13708" s="196">
        <v>180000</v>
      </c>
    </row>
    <row r="13709" spans="1:7" x14ac:dyDescent="0.3">
      <c r="A13709" s="198">
        <v>901112882</v>
      </c>
      <c r="B13709" s="192" t="s">
        <v>1864</v>
      </c>
      <c r="C13709" s="196">
        <v>12000</v>
      </c>
      <c r="D13709" s="196">
        <v>0</v>
      </c>
      <c r="E13709" s="196">
        <v>0</v>
      </c>
      <c r="F13709" s="196">
        <v>0</v>
      </c>
      <c r="G13709" s="196">
        <v>12000</v>
      </c>
    </row>
    <row r="13710" spans="1:7" x14ac:dyDescent="0.3">
      <c r="A13710" s="198">
        <v>800130961</v>
      </c>
      <c r="B13710" s="192" t="s">
        <v>1740</v>
      </c>
      <c r="C13710" s="196">
        <v>2400000</v>
      </c>
      <c r="D13710" s="196">
        <v>0</v>
      </c>
      <c r="E13710" s="196">
        <v>0</v>
      </c>
      <c r="F13710" s="196">
        <v>0</v>
      </c>
      <c r="G13710" s="196">
        <v>2400000</v>
      </c>
    </row>
    <row r="13711" spans="1:7" x14ac:dyDescent="0.3">
      <c r="A13711" s="198">
        <v>1128437290</v>
      </c>
      <c r="B13711" s="192" t="s">
        <v>7523</v>
      </c>
      <c r="C13711" s="196">
        <v>30000</v>
      </c>
      <c r="D13711" s="196">
        <v>0</v>
      </c>
      <c r="E13711" s="196">
        <v>0</v>
      </c>
      <c r="F13711" s="196">
        <v>0</v>
      </c>
      <c r="G13711" s="196">
        <v>30000</v>
      </c>
    </row>
    <row r="13712" spans="1:7" x14ac:dyDescent="0.3">
      <c r="A13712" s="198">
        <v>890981683</v>
      </c>
      <c r="B13712" s="192" t="s">
        <v>7524</v>
      </c>
      <c r="C13712" s="196">
        <v>6554.62</v>
      </c>
      <c r="D13712" s="196">
        <v>0</v>
      </c>
      <c r="E13712" s="196">
        <v>0</v>
      </c>
      <c r="F13712" s="196">
        <v>0</v>
      </c>
      <c r="G13712" s="196">
        <v>6554.62</v>
      </c>
    </row>
    <row r="13713" spans="1:7" x14ac:dyDescent="0.3">
      <c r="A13713" s="198">
        <v>1041229735</v>
      </c>
      <c r="B13713" s="192" t="s">
        <v>2033</v>
      </c>
      <c r="C13713" s="196">
        <v>25000</v>
      </c>
      <c r="D13713" s="196">
        <v>0</v>
      </c>
      <c r="E13713" s="196">
        <v>0</v>
      </c>
      <c r="F13713" s="196">
        <v>0</v>
      </c>
      <c r="G13713" s="196">
        <v>25000</v>
      </c>
    </row>
    <row r="13714" spans="1:7" x14ac:dyDescent="0.3">
      <c r="A13714" s="198">
        <v>43605890</v>
      </c>
      <c r="B13714" s="192" t="s">
        <v>565</v>
      </c>
      <c r="C13714" s="196">
        <v>314500</v>
      </c>
      <c r="D13714" s="196">
        <v>0</v>
      </c>
      <c r="E13714" s="196">
        <v>0</v>
      </c>
      <c r="F13714" s="196">
        <v>0</v>
      </c>
      <c r="G13714" s="196">
        <v>314500</v>
      </c>
    </row>
    <row r="13715" spans="1:7" x14ac:dyDescent="0.3">
      <c r="A13715" s="198">
        <v>800058195</v>
      </c>
      <c r="B13715" s="192" t="s">
        <v>1638</v>
      </c>
      <c r="C13715" s="196">
        <v>40000</v>
      </c>
      <c r="D13715" s="196">
        <v>0</v>
      </c>
      <c r="E13715" s="196">
        <v>0</v>
      </c>
      <c r="F13715" s="196">
        <v>0</v>
      </c>
      <c r="G13715" s="196">
        <v>40000</v>
      </c>
    </row>
    <row r="13716" spans="1:7" x14ac:dyDescent="0.3">
      <c r="A13716" s="198">
        <v>800131750</v>
      </c>
      <c r="B13716" s="192" t="s">
        <v>1639</v>
      </c>
      <c r="C13716" s="196">
        <v>30252</v>
      </c>
      <c r="D13716" s="196">
        <v>10084</v>
      </c>
      <c r="E13716" s="196">
        <v>0</v>
      </c>
      <c r="F13716" s="196">
        <v>10084</v>
      </c>
      <c r="G13716" s="196">
        <v>40336</v>
      </c>
    </row>
    <row r="13717" spans="1:7" x14ac:dyDescent="0.3">
      <c r="A13717" s="198">
        <v>901147181</v>
      </c>
      <c r="B13717" s="192" t="s">
        <v>1916</v>
      </c>
      <c r="C13717" s="196">
        <v>25400</v>
      </c>
      <c r="D13717" s="196">
        <v>0</v>
      </c>
      <c r="E13717" s="196">
        <v>0</v>
      </c>
      <c r="F13717" s="196">
        <v>0</v>
      </c>
      <c r="G13717" s="196">
        <v>25400</v>
      </c>
    </row>
    <row r="13718" spans="1:7" x14ac:dyDescent="0.3">
      <c r="A13718" s="198">
        <v>1035436936</v>
      </c>
      <c r="B13718" s="192" t="s">
        <v>7525</v>
      </c>
      <c r="C13718" s="196">
        <v>15000</v>
      </c>
      <c r="D13718" s="196">
        <v>0</v>
      </c>
      <c r="E13718" s="196">
        <v>0</v>
      </c>
      <c r="F13718" s="196">
        <v>0</v>
      </c>
      <c r="G13718" s="196">
        <v>15000</v>
      </c>
    </row>
    <row r="13719" spans="1:7" x14ac:dyDescent="0.3">
      <c r="A13719" s="198">
        <v>802017441</v>
      </c>
      <c r="B13719" s="192" t="s">
        <v>1918</v>
      </c>
      <c r="C13719" s="196">
        <v>20000</v>
      </c>
      <c r="D13719" s="196">
        <v>0</v>
      </c>
      <c r="E13719" s="196">
        <v>0</v>
      </c>
      <c r="F13719" s="196">
        <v>0</v>
      </c>
      <c r="G13719" s="196">
        <v>20000</v>
      </c>
    </row>
    <row r="13720" spans="1:7" x14ac:dyDescent="0.3">
      <c r="A13720" s="198">
        <v>1020431035</v>
      </c>
      <c r="B13720" s="192" t="s">
        <v>1923</v>
      </c>
      <c r="C13720" s="196">
        <v>17000</v>
      </c>
      <c r="D13720" s="196">
        <v>0</v>
      </c>
      <c r="E13720" s="196">
        <v>0</v>
      </c>
      <c r="F13720" s="196">
        <v>0</v>
      </c>
      <c r="G13720" s="196">
        <v>17000</v>
      </c>
    </row>
    <row r="13721" spans="1:7" x14ac:dyDescent="0.3">
      <c r="A13721" s="198">
        <v>8061419</v>
      </c>
      <c r="B13721" s="192" t="s">
        <v>7526</v>
      </c>
      <c r="C13721" s="196">
        <v>470000</v>
      </c>
      <c r="D13721" s="196">
        <v>0</v>
      </c>
      <c r="E13721" s="196">
        <v>0</v>
      </c>
      <c r="F13721" s="196">
        <v>0</v>
      </c>
      <c r="G13721" s="196">
        <v>470000</v>
      </c>
    </row>
    <row r="13722" spans="1:7" x14ac:dyDescent="0.3">
      <c r="A13722" s="198">
        <v>901707512</v>
      </c>
      <c r="B13722" s="192" t="s">
        <v>1925</v>
      </c>
      <c r="C13722" s="196">
        <v>375000</v>
      </c>
      <c r="D13722" s="196">
        <v>50000</v>
      </c>
      <c r="E13722" s="196">
        <v>0</v>
      </c>
      <c r="F13722" s="196">
        <v>50000</v>
      </c>
      <c r="G13722" s="196">
        <v>425000</v>
      </c>
    </row>
    <row r="13723" spans="1:7" x14ac:dyDescent="0.3">
      <c r="A13723" s="198">
        <v>830142523</v>
      </c>
      <c r="B13723" s="192" t="s">
        <v>1653</v>
      </c>
      <c r="C13723" s="196">
        <v>153404.62</v>
      </c>
      <c r="D13723" s="196">
        <v>32000</v>
      </c>
      <c r="E13723" s="196">
        <v>0</v>
      </c>
      <c r="F13723" s="196">
        <v>32000</v>
      </c>
      <c r="G13723" s="196">
        <v>185404.62</v>
      </c>
    </row>
    <row r="13724" spans="1:7" x14ac:dyDescent="0.3">
      <c r="A13724" s="198">
        <v>860005114</v>
      </c>
      <c r="B13724" s="192" t="s">
        <v>1656</v>
      </c>
      <c r="C13724" s="196">
        <v>694700</v>
      </c>
      <c r="D13724" s="196">
        <v>138940</v>
      </c>
      <c r="E13724" s="196">
        <v>0</v>
      </c>
      <c r="F13724" s="196">
        <v>138940</v>
      </c>
      <c r="G13724" s="196">
        <v>833640</v>
      </c>
    </row>
    <row r="13725" spans="1:7" x14ac:dyDescent="0.3">
      <c r="A13725" s="198">
        <v>890900297</v>
      </c>
      <c r="B13725" s="192" t="s">
        <v>1792</v>
      </c>
      <c r="C13725" s="196">
        <v>80000</v>
      </c>
      <c r="D13725" s="196">
        <v>0</v>
      </c>
      <c r="E13725" s="196">
        <v>0</v>
      </c>
      <c r="F13725" s="196">
        <v>0</v>
      </c>
      <c r="G13725" s="196">
        <v>80000</v>
      </c>
    </row>
    <row r="13726" spans="1:7" x14ac:dyDescent="0.3">
      <c r="A13726" s="198">
        <v>43206080</v>
      </c>
      <c r="B13726" s="192" t="s">
        <v>1770</v>
      </c>
      <c r="C13726" s="196">
        <v>2838145</v>
      </c>
      <c r="D13726" s="196">
        <v>0</v>
      </c>
      <c r="E13726" s="196">
        <v>0</v>
      </c>
      <c r="F13726" s="196">
        <v>0</v>
      </c>
      <c r="G13726" s="196">
        <v>2838145</v>
      </c>
    </row>
    <row r="13727" spans="1:7" x14ac:dyDescent="0.3">
      <c r="A13727" s="198">
        <v>860527744</v>
      </c>
      <c r="B13727" s="192" t="s">
        <v>1659</v>
      </c>
      <c r="C13727" s="196">
        <v>36000</v>
      </c>
      <c r="D13727" s="196">
        <v>18000</v>
      </c>
      <c r="E13727" s="196">
        <v>0</v>
      </c>
      <c r="F13727" s="196">
        <v>18000</v>
      </c>
      <c r="G13727" s="196">
        <v>54000</v>
      </c>
    </row>
    <row r="13728" spans="1:7" x14ac:dyDescent="0.3">
      <c r="A13728" s="198">
        <v>830062565</v>
      </c>
      <c r="B13728" s="192" t="s">
        <v>1771</v>
      </c>
      <c r="C13728" s="196">
        <v>86000</v>
      </c>
      <c r="D13728" s="196">
        <v>22000</v>
      </c>
      <c r="E13728" s="196">
        <v>0</v>
      </c>
      <c r="F13728" s="196">
        <v>22000</v>
      </c>
      <c r="G13728" s="196">
        <v>108000</v>
      </c>
    </row>
    <row r="13729" spans="1:7" x14ac:dyDescent="0.3">
      <c r="A13729" s="198">
        <v>830011469</v>
      </c>
      <c r="B13729" s="192" t="s">
        <v>1943</v>
      </c>
      <c r="C13729" s="196">
        <v>288000</v>
      </c>
      <c r="D13729" s="196">
        <v>102000</v>
      </c>
      <c r="E13729" s="196">
        <v>0</v>
      </c>
      <c r="F13729" s="196">
        <v>102000</v>
      </c>
      <c r="G13729" s="196">
        <v>390000</v>
      </c>
    </row>
    <row r="13730" spans="1:7" x14ac:dyDescent="0.3">
      <c r="A13730" s="198">
        <v>900839961</v>
      </c>
      <c r="B13730" s="192" t="s">
        <v>7527</v>
      </c>
      <c r="C13730" s="196">
        <v>14000</v>
      </c>
      <c r="D13730" s="196">
        <v>0</v>
      </c>
      <c r="E13730" s="196">
        <v>0</v>
      </c>
      <c r="F13730" s="196">
        <v>0</v>
      </c>
      <c r="G13730" s="196">
        <v>14000</v>
      </c>
    </row>
    <row r="13731" spans="1:7" x14ac:dyDescent="0.3">
      <c r="A13731" s="198">
        <v>900689727</v>
      </c>
      <c r="B13731" s="192" t="s">
        <v>1953</v>
      </c>
      <c r="C13731" s="196">
        <v>135000</v>
      </c>
      <c r="D13731" s="196">
        <v>15000</v>
      </c>
      <c r="E13731" s="196">
        <v>0</v>
      </c>
      <c r="F13731" s="196">
        <v>15000</v>
      </c>
      <c r="G13731" s="196">
        <v>150000</v>
      </c>
    </row>
    <row r="13732" spans="1:7" x14ac:dyDescent="0.3">
      <c r="A13732" s="198">
        <v>8347349</v>
      </c>
      <c r="B13732" s="192" t="s">
        <v>1793</v>
      </c>
      <c r="C13732" s="196">
        <v>75630.25</v>
      </c>
      <c r="D13732" s="196">
        <v>0</v>
      </c>
      <c r="E13732" s="196">
        <v>0</v>
      </c>
      <c r="F13732" s="196">
        <v>0</v>
      </c>
      <c r="G13732" s="196">
        <v>75630.25</v>
      </c>
    </row>
    <row r="13733" spans="1:7" x14ac:dyDescent="0.3">
      <c r="A13733" s="198">
        <v>300809106</v>
      </c>
      <c r="B13733" s="192" t="s">
        <v>1679</v>
      </c>
      <c r="C13733" s="196">
        <v>400000</v>
      </c>
      <c r="D13733" s="196">
        <v>0</v>
      </c>
      <c r="E13733" s="196">
        <v>0</v>
      </c>
      <c r="F13733" s="196">
        <v>0</v>
      </c>
      <c r="G13733" s="196">
        <v>400000</v>
      </c>
    </row>
    <row r="13734" spans="1:7" x14ac:dyDescent="0.3">
      <c r="A13734" s="198">
        <v>809106</v>
      </c>
      <c r="B13734" s="192" t="s">
        <v>1680</v>
      </c>
      <c r="C13734" s="196">
        <v>410000</v>
      </c>
      <c r="D13734" s="196">
        <v>0</v>
      </c>
      <c r="E13734" s="196">
        <v>0</v>
      </c>
      <c r="F13734" s="196">
        <v>0</v>
      </c>
      <c r="G13734" s="196">
        <v>410000</v>
      </c>
    </row>
    <row r="13735" spans="1:7" x14ac:dyDescent="0.3">
      <c r="A13735" s="198">
        <v>900181068</v>
      </c>
      <c r="B13735" s="192" t="s">
        <v>1961</v>
      </c>
      <c r="C13735" s="196">
        <v>180000</v>
      </c>
      <c r="D13735" s="196">
        <v>0</v>
      </c>
      <c r="E13735" s="196">
        <v>0</v>
      </c>
      <c r="F13735" s="196">
        <v>0</v>
      </c>
      <c r="G13735" s="196">
        <v>180000</v>
      </c>
    </row>
    <row r="13736" spans="1:7" x14ac:dyDescent="0.3">
      <c r="A13736" s="198">
        <v>900053978</v>
      </c>
      <c r="B13736" s="192" t="s">
        <v>1963</v>
      </c>
      <c r="C13736" s="196">
        <v>27600</v>
      </c>
      <c r="D13736" s="196">
        <v>0</v>
      </c>
      <c r="E13736" s="196">
        <v>0</v>
      </c>
      <c r="F13736" s="196">
        <v>0</v>
      </c>
      <c r="G13736" s="196">
        <v>27600</v>
      </c>
    </row>
    <row r="13737" spans="1:7" x14ac:dyDescent="0.3">
      <c r="A13737" s="198">
        <v>900494362</v>
      </c>
      <c r="B13737" s="192" t="s">
        <v>1672</v>
      </c>
      <c r="C13737" s="196">
        <v>213277.22</v>
      </c>
      <c r="D13737" s="196">
        <v>42016.800000000003</v>
      </c>
      <c r="E13737" s="196">
        <v>0</v>
      </c>
      <c r="F13737" s="196">
        <v>42016.800000000003</v>
      </c>
      <c r="G13737" s="196">
        <v>255294.02</v>
      </c>
    </row>
    <row r="13738" spans="1:7" x14ac:dyDescent="0.3">
      <c r="A13738" s="198">
        <v>51355098</v>
      </c>
      <c r="B13738" s="192" t="s">
        <v>7528</v>
      </c>
      <c r="C13738" s="196">
        <v>575722.29</v>
      </c>
      <c r="D13738" s="196">
        <v>23959.16</v>
      </c>
      <c r="E13738" s="196">
        <v>0</v>
      </c>
      <c r="F13738" s="196">
        <v>23959.16</v>
      </c>
      <c r="G13738" s="196">
        <v>599681.44999999995</v>
      </c>
    </row>
    <row r="13739" spans="1:7" x14ac:dyDescent="0.3">
      <c r="A13739" s="198">
        <v>800130961</v>
      </c>
      <c r="B13739" s="192" t="s">
        <v>1740</v>
      </c>
      <c r="C13739" s="196">
        <v>456000</v>
      </c>
      <c r="D13739" s="196">
        <v>0</v>
      </c>
      <c r="E13739" s="196">
        <v>0</v>
      </c>
      <c r="F13739" s="196">
        <v>0</v>
      </c>
      <c r="G13739" s="196">
        <v>456000</v>
      </c>
    </row>
    <row r="13740" spans="1:7" x14ac:dyDescent="0.3">
      <c r="A13740" s="198">
        <v>890981683</v>
      </c>
      <c r="B13740" s="192" t="s">
        <v>7524</v>
      </c>
      <c r="C13740" s="196">
        <v>1245.3800000000001</v>
      </c>
      <c r="D13740" s="196">
        <v>0</v>
      </c>
      <c r="E13740" s="196">
        <v>0</v>
      </c>
      <c r="F13740" s="196">
        <v>0</v>
      </c>
      <c r="G13740" s="196">
        <v>1245.3800000000001</v>
      </c>
    </row>
    <row r="13741" spans="1:7" x14ac:dyDescent="0.3">
      <c r="A13741" s="198">
        <v>800058195</v>
      </c>
      <c r="B13741" s="192" t="s">
        <v>1638</v>
      </c>
      <c r="C13741" s="196">
        <v>7600</v>
      </c>
      <c r="D13741" s="196">
        <v>0</v>
      </c>
      <c r="E13741" s="196">
        <v>0</v>
      </c>
      <c r="F13741" s="196">
        <v>0</v>
      </c>
      <c r="G13741" s="196">
        <v>7600</v>
      </c>
    </row>
    <row r="13742" spans="1:7" x14ac:dyDescent="0.3">
      <c r="A13742" s="198">
        <v>800131750</v>
      </c>
      <c r="B13742" s="192" t="s">
        <v>1639</v>
      </c>
      <c r="C13742" s="196">
        <v>5747.88</v>
      </c>
      <c r="D13742" s="196">
        <v>1915.96</v>
      </c>
      <c r="E13742" s="196">
        <v>0</v>
      </c>
      <c r="F13742" s="196">
        <v>1915.96</v>
      </c>
      <c r="G13742" s="196">
        <v>7663.84</v>
      </c>
    </row>
    <row r="13743" spans="1:7" x14ac:dyDescent="0.3">
      <c r="A13743" s="198">
        <v>830142523</v>
      </c>
      <c r="B13743" s="192" t="s">
        <v>1653</v>
      </c>
      <c r="C13743" s="196">
        <v>1596.57</v>
      </c>
      <c r="D13743" s="196">
        <v>0</v>
      </c>
      <c r="E13743" s="196">
        <v>0</v>
      </c>
      <c r="F13743" s="196">
        <v>0</v>
      </c>
      <c r="G13743" s="196">
        <v>1596.57</v>
      </c>
    </row>
    <row r="13744" spans="1:7" x14ac:dyDescent="0.3">
      <c r="A13744" s="198">
        <v>890900297</v>
      </c>
      <c r="B13744" s="192" t="s">
        <v>1792</v>
      </c>
      <c r="C13744" s="196">
        <v>15200</v>
      </c>
      <c r="D13744" s="196">
        <v>0</v>
      </c>
      <c r="E13744" s="196">
        <v>0</v>
      </c>
      <c r="F13744" s="196">
        <v>0</v>
      </c>
      <c r="G13744" s="196">
        <v>15200</v>
      </c>
    </row>
    <row r="13745" spans="1:7" x14ac:dyDescent="0.3">
      <c r="A13745" s="198">
        <v>830011469</v>
      </c>
      <c r="B13745" s="192" t="s">
        <v>1943</v>
      </c>
      <c r="C13745" s="196">
        <v>33440</v>
      </c>
      <c r="D13745" s="196">
        <v>14060</v>
      </c>
      <c r="E13745" s="196">
        <v>0</v>
      </c>
      <c r="F13745" s="196">
        <v>14060</v>
      </c>
      <c r="G13745" s="196">
        <v>47500</v>
      </c>
    </row>
    <row r="13746" spans="1:7" x14ac:dyDescent="0.3">
      <c r="A13746" s="198">
        <v>8347349</v>
      </c>
      <c r="B13746" s="192" t="s">
        <v>1793</v>
      </c>
      <c r="C13746" s="196">
        <v>14369.75</v>
      </c>
      <c r="D13746" s="196">
        <v>0</v>
      </c>
      <c r="E13746" s="196">
        <v>0</v>
      </c>
      <c r="F13746" s="196">
        <v>0</v>
      </c>
      <c r="G13746" s="196">
        <v>14369.75</v>
      </c>
    </row>
    <row r="13747" spans="1:7" x14ac:dyDescent="0.3">
      <c r="A13747" s="198">
        <v>900494362</v>
      </c>
      <c r="B13747" s="192" t="s">
        <v>1672</v>
      </c>
      <c r="C13747" s="196">
        <v>40522.71</v>
      </c>
      <c r="D13747" s="196">
        <v>7983.2</v>
      </c>
      <c r="E13747" s="196">
        <v>0</v>
      </c>
      <c r="F13747" s="196">
        <v>7983.2</v>
      </c>
      <c r="G13747" s="196">
        <v>48505.91</v>
      </c>
    </row>
    <row r="13748" spans="1:7" x14ac:dyDescent="0.3">
      <c r="A13748" s="197">
        <v>513595</v>
      </c>
      <c r="B13748" s="191" t="s">
        <v>7529</v>
      </c>
      <c r="C13748" s="195">
        <v>190021556.63</v>
      </c>
      <c r="D13748" s="195">
        <v>31115042.800000001</v>
      </c>
      <c r="E13748" s="195">
        <v>0</v>
      </c>
      <c r="F13748" s="195">
        <v>31115042.800000001</v>
      </c>
      <c r="G13748" s="195">
        <v>221136599.43000001</v>
      </c>
    </row>
    <row r="13749" spans="1:7" x14ac:dyDescent="0.3">
      <c r="A13749" s="198">
        <v>51359502</v>
      </c>
      <c r="B13749" s="192" t="s">
        <v>7530</v>
      </c>
      <c r="C13749" s="196">
        <v>104000</v>
      </c>
      <c r="D13749" s="196">
        <v>0</v>
      </c>
      <c r="E13749" s="196">
        <v>0</v>
      </c>
      <c r="F13749" s="196">
        <v>0</v>
      </c>
      <c r="G13749" s="196">
        <v>104000</v>
      </c>
    </row>
    <row r="13750" spans="1:7" x14ac:dyDescent="0.3">
      <c r="A13750" s="198">
        <v>800251569</v>
      </c>
      <c r="B13750" s="192" t="s">
        <v>7531</v>
      </c>
      <c r="C13750" s="196">
        <v>18000</v>
      </c>
      <c r="D13750" s="196">
        <v>0</v>
      </c>
      <c r="E13750" s="196">
        <v>0</v>
      </c>
      <c r="F13750" s="196">
        <v>0</v>
      </c>
      <c r="G13750" s="196">
        <v>18000</v>
      </c>
    </row>
    <row r="13751" spans="1:7" x14ac:dyDescent="0.3">
      <c r="A13751" s="198">
        <v>98664562</v>
      </c>
      <c r="B13751" s="192" t="s">
        <v>1908</v>
      </c>
      <c r="C13751" s="196">
        <v>56000</v>
      </c>
      <c r="D13751" s="196">
        <v>0</v>
      </c>
      <c r="E13751" s="196">
        <v>0</v>
      </c>
      <c r="F13751" s="196">
        <v>0</v>
      </c>
      <c r="G13751" s="196">
        <v>56000</v>
      </c>
    </row>
    <row r="13752" spans="1:7" x14ac:dyDescent="0.3">
      <c r="A13752" s="198">
        <v>809106</v>
      </c>
      <c r="B13752" s="192" t="s">
        <v>1680</v>
      </c>
      <c r="C13752" s="196">
        <v>30000</v>
      </c>
      <c r="D13752" s="196">
        <v>0</v>
      </c>
      <c r="E13752" s="196">
        <v>0</v>
      </c>
      <c r="F13752" s="196">
        <v>0</v>
      </c>
      <c r="G13752" s="196">
        <v>30000</v>
      </c>
    </row>
    <row r="13753" spans="1:7" x14ac:dyDescent="0.3">
      <c r="A13753" s="198">
        <v>51359503</v>
      </c>
      <c r="B13753" s="192" t="s">
        <v>7532</v>
      </c>
      <c r="C13753" s="196">
        <v>42336493.920000002</v>
      </c>
      <c r="D13753" s="196">
        <v>5155571.1900000004</v>
      </c>
      <c r="E13753" s="196">
        <v>0</v>
      </c>
      <c r="F13753" s="196">
        <v>5155571.1900000004</v>
      </c>
      <c r="G13753" s="196">
        <v>47492065.109999999</v>
      </c>
    </row>
    <row r="13754" spans="1:7" x14ac:dyDescent="0.3">
      <c r="A13754" s="198">
        <v>900293637</v>
      </c>
      <c r="B13754" s="192" t="s">
        <v>1868</v>
      </c>
      <c r="C13754" s="196">
        <v>168058.82</v>
      </c>
      <c r="D13754" s="196">
        <v>0</v>
      </c>
      <c r="E13754" s="196">
        <v>0</v>
      </c>
      <c r="F13754" s="196">
        <v>0</v>
      </c>
      <c r="G13754" s="196">
        <v>168058.82</v>
      </c>
    </row>
    <row r="13755" spans="1:7" x14ac:dyDescent="0.3">
      <c r="A13755" s="198">
        <v>1037583982</v>
      </c>
      <c r="B13755" s="192" t="s">
        <v>1798</v>
      </c>
      <c r="C13755" s="196">
        <v>7048000</v>
      </c>
      <c r="D13755" s="196">
        <v>528000</v>
      </c>
      <c r="E13755" s="196">
        <v>0</v>
      </c>
      <c r="F13755" s="196">
        <v>528000</v>
      </c>
      <c r="G13755" s="196">
        <v>7576000</v>
      </c>
    </row>
    <row r="13756" spans="1:7" x14ac:dyDescent="0.3">
      <c r="A13756" s="198">
        <v>8032287</v>
      </c>
      <c r="B13756" s="192" t="s">
        <v>7533</v>
      </c>
      <c r="C13756" s="196">
        <v>600000</v>
      </c>
      <c r="D13756" s="196">
        <v>0</v>
      </c>
      <c r="E13756" s="196">
        <v>0</v>
      </c>
      <c r="F13756" s="196">
        <v>0</v>
      </c>
      <c r="G13756" s="196">
        <v>600000</v>
      </c>
    </row>
    <row r="13757" spans="1:7" x14ac:dyDescent="0.3">
      <c r="A13757" s="192" t="s">
        <v>1881</v>
      </c>
      <c r="B13757" s="192" t="s">
        <v>1882</v>
      </c>
      <c r="C13757" s="196">
        <v>299411</v>
      </c>
      <c r="D13757" s="196">
        <v>140594.20000000001</v>
      </c>
      <c r="E13757" s="196">
        <v>0</v>
      </c>
      <c r="F13757" s="196">
        <v>140594.20000000001</v>
      </c>
      <c r="G13757" s="196">
        <v>440005.2</v>
      </c>
    </row>
    <row r="13758" spans="1:7" x14ac:dyDescent="0.3">
      <c r="A13758" s="198">
        <v>901361537</v>
      </c>
      <c r="B13758" s="192" t="s">
        <v>1997</v>
      </c>
      <c r="C13758" s="196">
        <v>7313520</v>
      </c>
      <c r="D13758" s="196">
        <v>0</v>
      </c>
      <c r="E13758" s="196">
        <v>0</v>
      </c>
      <c r="F13758" s="196">
        <v>0</v>
      </c>
      <c r="G13758" s="196">
        <v>7313520</v>
      </c>
    </row>
    <row r="13759" spans="1:7" x14ac:dyDescent="0.3">
      <c r="A13759" s="198">
        <v>700215370</v>
      </c>
      <c r="B13759" s="192" t="s">
        <v>1663</v>
      </c>
      <c r="C13759" s="196">
        <v>16150000</v>
      </c>
      <c r="D13759" s="196">
        <v>0</v>
      </c>
      <c r="E13759" s="196">
        <v>0</v>
      </c>
      <c r="F13759" s="196">
        <v>0</v>
      </c>
      <c r="G13759" s="196">
        <v>16150000</v>
      </c>
    </row>
    <row r="13760" spans="1:7" x14ac:dyDescent="0.3">
      <c r="A13760" s="198">
        <v>68956</v>
      </c>
      <c r="B13760" s="192" t="s">
        <v>1951</v>
      </c>
      <c r="C13760" s="196">
        <v>74489.100000000006</v>
      </c>
      <c r="D13760" s="196">
        <v>130596.99</v>
      </c>
      <c r="E13760" s="196">
        <v>0</v>
      </c>
      <c r="F13760" s="196">
        <v>130596.99</v>
      </c>
      <c r="G13760" s="196">
        <v>205086.09</v>
      </c>
    </row>
    <row r="13761" spans="1:7" x14ac:dyDescent="0.3">
      <c r="A13761" s="198">
        <v>901095797</v>
      </c>
      <c r="B13761" s="192" t="s">
        <v>1957</v>
      </c>
      <c r="C13761" s="196">
        <v>10683015</v>
      </c>
      <c r="D13761" s="196">
        <v>4356380</v>
      </c>
      <c r="E13761" s="196">
        <v>0</v>
      </c>
      <c r="F13761" s="196">
        <v>4356380</v>
      </c>
      <c r="G13761" s="196">
        <v>15039395</v>
      </c>
    </row>
    <row r="13762" spans="1:7" x14ac:dyDescent="0.3">
      <c r="A13762" s="198">
        <v>51359504</v>
      </c>
      <c r="B13762" s="192" t="s">
        <v>7534</v>
      </c>
      <c r="C13762" s="196">
        <v>129136044.03</v>
      </c>
      <c r="D13762" s="196">
        <v>23214063</v>
      </c>
      <c r="E13762" s="196">
        <v>0</v>
      </c>
      <c r="F13762" s="196">
        <v>23214063</v>
      </c>
      <c r="G13762" s="196">
        <v>152350107.03</v>
      </c>
    </row>
    <row r="13763" spans="1:7" x14ac:dyDescent="0.3">
      <c r="A13763" s="198">
        <v>12604950</v>
      </c>
      <c r="B13763" s="192" t="s">
        <v>1626</v>
      </c>
      <c r="C13763" s="196">
        <v>32549266.859999999</v>
      </c>
      <c r="D13763" s="196">
        <v>5312879</v>
      </c>
      <c r="E13763" s="196">
        <v>0</v>
      </c>
      <c r="F13763" s="196">
        <v>5312879</v>
      </c>
      <c r="G13763" s="196">
        <v>37862145.859999999</v>
      </c>
    </row>
    <row r="13764" spans="1:7" x14ac:dyDescent="0.3">
      <c r="A13764" s="198">
        <v>493581</v>
      </c>
      <c r="B13764" s="192" t="s">
        <v>1892</v>
      </c>
      <c r="C13764" s="196">
        <v>4000000</v>
      </c>
      <c r="D13764" s="196">
        <v>0</v>
      </c>
      <c r="E13764" s="196">
        <v>0</v>
      </c>
      <c r="F13764" s="196">
        <v>0</v>
      </c>
      <c r="G13764" s="196">
        <v>4000000</v>
      </c>
    </row>
    <row r="13765" spans="1:7" x14ac:dyDescent="0.3">
      <c r="A13765" s="198">
        <v>98778941</v>
      </c>
      <c r="B13765" s="192" t="s">
        <v>1999</v>
      </c>
      <c r="C13765" s="196">
        <v>850000</v>
      </c>
      <c r="D13765" s="196">
        <v>0</v>
      </c>
      <c r="E13765" s="196">
        <v>0</v>
      </c>
      <c r="F13765" s="196">
        <v>0</v>
      </c>
      <c r="G13765" s="196">
        <v>850000</v>
      </c>
    </row>
    <row r="13766" spans="1:7" x14ac:dyDescent="0.3">
      <c r="A13766" s="198">
        <v>1027740123</v>
      </c>
      <c r="B13766" s="192" t="s">
        <v>1928</v>
      </c>
      <c r="C13766" s="196">
        <v>2150000</v>
      </c>
      <c r="D13766" s="196">
        <v>1500000</v>
      </c>
      <c r="E13766" s="196">
        <v>0</v>
      </c>
      <c r="F13766" s="196">
        <v>1500000</v>
      </c>
      <c r="G13766" s="196">
        <v>3650000</v>
      </c>
    </row>
    <row r="13767" spans="1:7" x14ac:dyDescent="0.3">
      <c r="A13767" s="192" t="s">
        <v>1929</v>
      </c>
      <c r="B13767" s="192" t="s">
        <v>1930</v>
      </c>
      <c r="C13767" s="196">
        <v>33433242.91</v>
      </c>
      <c r="D13767" s="196">
        <v>7340174</v>
      </c>
      <c r="E13767" s="196">
        <v>0</v>
      </c>
      <c r="F13767" s="196">
        <v>7340174</v>
      </c>
      <c r="G13767" s="196">
        <v>40773416.909999996</v>
      </c>
    </row>
    <row r="13768" spans="1:7" x14ac:dyDescent="0.3">
      <c r="A13768" s="198">
        <v>811021621</v>
      </c>
      <c r="B13768" s="192" t="s">
        <v>1945</v>
      </c>
      <c r="C13768" s="196">
        <v>1392000</v>
      </c>
      <c r="D13768" s="196">
        <v>232000</v>
      </c>
      <c r="E13768" s="196">
        <v>0</v>
      </c>
      <c r="F13768" s="196">
        <v>232000</v>
      </c>
      <c r="G13768" s="196">
        <v>1624000</v>
      </c>
    </row>
    <row r="13769" spans="1:7" x14ac:dyDescent="0.3">
      <c r="A13769" s="198">
        <v>901143440</v>
      </c>
      <c r="B13769" s="192" t="s">
        <v>1966</v>
      </c>
      <c r="C13769" s="196">
        <v>54651571.899999999</v>
      </c>
      <c r="D13769" s="196">
        <v>8829010</v>
      </c>
      <c r="E13769" s="196">
        <v>0</v>
      </c>
      <c r="F13769" s="196">
        <v>8829010</v>
      </c>
      <c r="G13769" s="196">
        <v>63480581.899999999</v>
      </c>
    </row>
    <row r="13770" spans="1:7" x14ac:dyDescent="0.3">
      <c r="A13770" s="198">
        <v>941045401</v>
      </c>
      <c r="B13770" s="192" t="s">
        <v>7535</v>
      </c>
      <c r="C13770" s="196">
        <v>109962.36</v>
      </c>
      <c r="D13770" s="196">
        <v>0</v>
      </c>
      <c r="E13770" s="196">
        <v>0</v>
      </c>
      <c r="F13770" s="196">
        <v>0</v>
      </c>
      <c r="G13770" s="196">
        <v>109962.36</v>
      </c>
    </row>
    <row r="13771" spans="1:7" x14ac:dyDescent="0.3">
      <c r="A13771" s="198">
        <v>51359598</v>
      </c>
      <c r="B13771" s="192" t="s">
        <v>7536</v>
      </c>
      <c r="C13771" s="196">
        <v>18445018.68</v>
      </c>
      <c r="D13771" s="196">
        <v>2745408.61</v>
      </c>
      <c r="E13771" s="196">
        <v>0</v>
      </c>
      <c r="F13771" s="196">
        <v>2745408.61</v>
      </c>
      <c r="G13771" s="196">
        <v>21190427.289999999</v>
      </c>
    </row>
    <row r="13772" spans="1:7" x14ac:dyDescent="0.3">
      <c r="A13772" s="198">
        <v>12604950</v>
      </c>
      <c r="B13772" s="192" t="s">
        <v>1626</v>
      </c>
      <c r="C13772" s="196">
        <v>6184360.7000000002</v>
      </c>
      <c r="D13772" s="196">
        <v>1009447.01</v>
      </c>
      <c r="E13772" s="196">
        <v>0</v>
      </c>
      <c r="F13772" s="196">
        <v>1009447.01</v>
      </c>
      <c r="G13772" s="196">
        <v>7193807.71</v>
      </c>
    </row>
    <row r="13773" spans="1:7" x14ac:dyDescent="0.3">
      <c r="A13773" s="198">
        <v>900293637</v>
      </c>
      <c r="B13773" s="192" t="s">
        <v>1868</v>
      </c>
      <c r="C13773" s="196">
        <v>31931.18</v>
      </c>
      <c r="D13773" s="196">
        <v>0</v>
      </c>
      <c r="E13773" s="196">
        <v>0</v>
      </c>
      <c r="F13773" s="196">
        <v>0</v>
      </c>
      <c r="G13773" s="196">
        <v>31931.18</v>
      </c>
    </row>
    <row r="13774" spans="1:7" x14ac:dyDescent="0.3">
      <c r="A13774" s="198">
        <v>98778941</v>
      </c>
      <c r="B13774" s="192" t="s">
        <v>1999</v>
      </c>
      <c r="C13774" s="196">
        <v>161500</v>
      </c>
      <c r="D13774" s="196">
        <v>0</v>
      </c>
      <c r="E13774" s="196">
        <v>0</v>
      </c>
      <c r="F13774" s="196">
        <v>0</v>
      </c>
      <c r="G13774" s="196">
        <v>161500</v>
      </c>
    </row>
    <row r="13775" spans="1:7" x14ac:dyDescent="0.3">
      <c r="A13775" s="198">
        <v>811021621</v>
      </c>
      <c r="B13775" s="192" t="s">
        <v>1945</v>
      </c>
      <c r="C13775" s="196">
        <v>264480</v>
      </c>
      <c r="D13775" s="196">
        <v>44080</v>
      </c>
      <c r="E13775" s="196">
        <v>0</v>
      </c>
      <c r="F13775" s="196">
        <v>44080</v>
      </c>
      <c r="G13775" s="196">
        <v>308560</v>
      </c>
    </row>
    <row r="13776" spans="1:7" x14ac:dyDescent="0.3">
      <c r="A13776" s="198">
        <v>700215370</v>
      </c>
      <c r="B13776" s="192" t="s">
        <v>1663</v>
      </c>
      <c r="C13776" s="196">
        <v>3068500</v>
      </c>
      <c r="D13776" s="196">
        <v>0</v>
      </c>
      <c r="E13776" s="196">
        <v>0</v>
      </c>
      <c r="F13776" s="196">
        <v>0</v>
      </c>
      <c r="G13776" s="196">
        <v>3068500</v>
      </c>
    </row>
    <row r="13777" spans="1:7" x14ac:dyDescent="0.3">
      <c r="A13777" s="198">
        <v>901095797</v>
      </c>
      <c r="B13777" s="192" t="s">
        <v>1957</v>
      </c>
      <c r="C13777" s="196">
        <v>346687.3</v>
      </c>
      <c r="D13777" s="196">
        <v>14369.7</v>
      </c>
      <c r="E13777" s="196">
        <v>0</v>
      </c>
      <c r="F13777" s="196">
        <v>14369.7</v>
      </c>
      <c r="G13777" s="196">
        <v>361057</v>
      </c>
    </row>
    <row r="13778" spans="1:7" x14ac:dyDescent="0.3">
      <c r="A13778" s="198">
        <v>901143440</v>
      </c>
      <c r="B13778" s="192" t="s">
        <v>1966</v>
      </c>
      <c r="C13778" s="196">
        <v>8387559.5</v>
      </c>
      <c r="D13778" s="196">
        <v>1677511.9</v>
      </c>
      <c r="E13778" s="196">
        <v>0</v>
      </c>
      <c r="F13778" s="196">
        <v>1677511.9</v>
      </c>
      <c r="G13778" s="196">
        <v>10065071.4</v>
      </c>
    </row>
    <row r="13779" spans="1:7" x14ac:dyDescent="0.3">
      <c r="A13779" s="197">
        <v>5140</v>
      </c>
      <c r="B13779" s="191" t="s">
        <v>7537</v>
      </c>
      <c r="C13779" s="195">
        <v>9074108.1899999995</v>
      </c>
      <c r="D13779" s="195">
        <v>12100</v>
      </c>
      <c r="E13779" s="195">
        <v>0</v>
      </c>
      <c r="F13779" s="195">
        <v>12100</v>
      </c>
      <c r="G13779" s="195">
        <v>9086208.1899999995</v>
      </c>
    </row>
    <row r="13780" spans="1:7" x14ac:dyDescent="0.3">
      <c r="A13780" s="197">
        <v>514005</v>
      </c>
      <c r="B13780" s="191" t="s">
        <v>7538</v>
      </c>
      <c r="C13780" s="195">
        <v>77707</v>
      </c>
      <c r="D13780" s="195">
        <v>0</v>
      </c>
      <c r="E13780" s="195">
        <v>0</v>
      </c>
      <c r="F13780" s="195">
        <v>0</v>
      </c>
      <c r="G13780" s="195">
        <v>77707</v>
      </c>
    </row>
    <row r="13781" spans="1:7" x14ac:dyDescent="0.3">
      <c r="A13781" s="198">
        <v>51400501</v>
      </c>
      <c r="B13781" s="192" t="s">
        <v>7538</v>
      </c>
      <c r="C13781" s="196">
        <v>65300</v>
      </c>
      <c r="D13781" s="196">
        <v>0</v>
      </c>
      <c r="E13781" s="196">
        <v>0</v>
      </c>
      <c r="F13781" s="196">
        <v>0</v>
      </c>
      <c r="G13781" s="196">
        <v>65300</v>
      </c>
    </row>
    <row r="13782" spans="1:7" x14ac:dyDescent="0.3">
      <c r="A13782" s="198">
        <v>71594219</v>
      </c>
      <c r="B13782" s="192" t="s">
        <v>1935</v>
      </c>
      <c r="C13782" s="196">
        <v>65300</v>
      </c>
      <c r="D13782" s="196">
        <v>0</v>
      </c>
      <c r="E13782" s="196">
        <v>0</v>
      </c>
      <c r="F13782" s="196">
        <v>0</v>
      </c>
      <c r="G13782" s="196">
        <v>65300</v>
      </c>
    </row>
    <row r="13783" spans="1:7" x14ac:dyDescent="0.3">
      <c r="A13783" s="198">
        <v>51400598</v>
      </c>
      <c r="B13783" s="192" t="s">
        <v>7539</v>
      </c>
      <c r="C13783" s="196">
        <v>12407</v>
      </c>
      <c r="D13783" s="196">
        <v>0</v>
      </c>
      <c r="E13783" s="196">
        <v>0</v>
      </c>
      <c r="F13783" s="196">
        <v>0</v>
      </c>
      <c r="G13783" s="196">
        <v>12407</v>
      </c>
    </row>
    <row r="13784" spans="1:7" x14ac:dyDescent="0.3">
      <c r="A13784" s="198">
        <v>71594219</v>
      </c>
      <c r="B13784" s="192" t="s">
        <v>1935</v>
      </c>
      <c r="C13784" s="196">
        <v>12407</v>
      </c>
      <c r="D13784" s="196">
        <v>0</v>
      </c>
      <c r="E13784" s="196">
        <v>0</v>
      </c>
      <c r="F13784" s="196">
        <v>0</v>
      </c>
      <c r="G13784" s="196">
        <v>12407</v>
      </c>
    </row>
    <row r="13785" spans="1:7" x14ac:dyDescent="0.3">
      <c r="A13785" s="197">
        <v>514010</v>
      </c>
      <c r="B13785" s="191" t="s">
        <v>7540</v>
      </c>
      <c r="C13785" s="195">
        <v>7600600</v>
      </c>
      <c r="D13785" s="195">
        <v>0</v>
      </c>
      <c r="E13785" s="195">
        <v>0</v>
      </c>
      <c r="F13785" s="195">
        <v>0</v>
      </c>
      <c r="G13785" s="195">
        <v>7600600</v>
      </c>
    </row>
    <row r="13786" spans="1:7" x14ac:dyDescent="0.3">
      <c r="A13786" s="198">
        <v>51401001</v>
      </c>
      <c r="B13786" s="192" t="s">
        <v>7540</v>
      </c>
      <c r="C13786" s="196">
        <v>7600600</v>
      </c>
      <c r="D13786" s="196">
        <v>0</v>
      </c>
      <c r="E13786" s="196">
        <v>0</v>
      </c>
      <c r="F13786" s="196">
        <v>0</v>
      </c>
      <c r="G13786" s="196">
        <v>7600600</v>
      </c>
    </row>
    <row r="13787" spans="1:7" x14ac:dyDescent="0.3">
      <c r="A13787" s="198">
        <v>890905080</v>
      </c>
      <c r="B13787" s="192" t="s">
        <v>1631</v>
      </c>
      <c r="C13787" s="196">
        <v>7600600</v>
      </c>
      <c r="D13787" s="196">
        <v>0</v>
      </c>
      <c r="E13787" s="196">
        <v>0</v>
      </c>
      <c r="F13787" s="196">
        <v>0</v>
      </c>
      <c r="G13787" s="196">
        <v>7600600</v>
      </c>
    </row>
    <row r="13788" spans="1:7" x14ac:dyDescent="0.3">
      <c r="A13788" s="197">
        <v>514015</v>
      </c>
      <c r="B13788" s="191" t="s">
        <v>7541</v>
      </c>
      <c r="C13788" s="195">
        <v>1359501.19</v>
      </c>
      <c r="D13788" s="195">
        <v>0</v>
      </c>
      <c r="E13788" s="195">
        <v>0</v>
      </c>
      <c r="F13788" s="195">
        <v>0</v>
      </c>
      <c r="G13788" s="195">
        <v>1359501.19</v>
      </c>
    </row>
    <row r="13789" spans="1:7" x14ac:dyDescent="0.3">
      <c r="A13789" s="198">
        <v>51401501</v>
      </c>
      <c r="B13789" s="192" t="s">
        <v>7541</v>
      </c>
      <c r="C13789" s="196">
        <v>1302501</v>
      </c>
      <c r="D13789" s="196">
        <v>0</v>
      </c>
      <c r="E13789" s="196">
        <v>0</v>
      </c>
      <c r="F13789" s="196">
        <v>0</v>
      </c>
      <c r="G13789" s="196">
        <v>1302501</v>
      </c>
    </row>
    <row r="13790" spans="1:7" x14ac:dyDescent="0.3">
      <c r="A13790" s="198">
        <v>890905080</v>
      </c>
      <c r="B13790" s="192" t="s">
        <v>1631</v>
      </c>
      <c r="C13790" s="196">
        <v>306500</v>
      </c>
      <c r="D13790" s="196">
        <v>0</v>
      </c>
      <c r="E13790" s="196">
        <v>0</v>
      </c>
      <c r="F13790" s="196">
        <v>0</v>
      </c>
      <c r="G13790" s="196">
        <v>306500</v>
      </c>
    </row>
    <row r="13791" spans="1:7" x14ac:dyDescent="0.3">
      <c r="A13791" s="198">
        <v>890900286</v>
      </c>
      <c r="B13791" s="192" t="s">
        <v>7542</v>
      </c>
      <c r="C13791" s="196">
        <v>584000</v>
      </c>
      <c r="D13791" s="196">
        <v>0</v>
      </c>
      <c r="E13791" s="196">
        <v>0</v>
      </c>
      <c r="F13791" s="196">
        <v>0</v>
      </c>
      <c r="G13791" s="196">
        <v>584000</v>
      </c>
    </row>
    <row r="13792" spans="1:7" x14ac:dyDescent="0.3">
      <c r="A13792" s="198">
        <v>43605890</v>
      </c>
      <c r="B13792" s="192" t="s">
        <v>565</v>
      </c>
      <c r="C13792" s="196">
        <v>54000</v>
      </c>
      <c r="D13792" s="196">
        <v>0</v>
      </c>
      <c r="E13792" s="196">
        <v>0</v>
      </c>
      <c r="F13792" s="196">
        <v>0</v>
      </c>
      <c r="G13792" s="196">
        <v>54000</v>
      </c>
    </row>
    <row r="13793" spans="1:7" x14ac:dyDescent="0.3">
      <c r="A13793" s="198">
        <v>98664562</v>
      </c>
      <c r="B13793" s="192" t="s">
        <v>1908</v>
      </c>
      <c r="C13793" s="196">
        <v>58000</v>
      </c>
      <c r="D13793" s="196">
        <v>0</v>
      </c>
      <c r="E13793" s="196">
        <v>0</v>
      </c>
      <c r="F13793" s="196">
        <v>0</v>
      </c>
      <c r="G13793" s="196">
        <v>58000</v>
      </c>
    </row>
    <row r="13794" spans="1:7" x14ac:dyDescent="0.3">
      <c r="A13794" s="198">
        <v>830084433</v>
      </c>
      <c r="B13794" s="192" t="s">
        <v>1670</v>
      </c>
      <c r="C13794" s="196">
        <v>300001</v>
      </c>
      <c r="D13794" s="196">
        <v>0</v>
      </c>
      <c r="E13794" s="196">
        <v>0</v>
      </c>
      <c r="F13794" s="196">
        <v>0</v>
      </c>
      <c r="G13794" s="196">
        <v>300001</v>
      </c>
    </row>
    <row r="13795" spans="1:7" x14ac:dyDescent="0.3">
      <c r="A13795" s="198">
        <v>51401598</v>
      </c>
      <c r="B13795" s="192" t="s">
        <v>7543</v>
      </c>
      <c r="C13795" s="196">
        <v>57000.19</v>
      </c>
      <c r="D13795" s="196">
        <v>0</v>
      </c>
      <c r="E13795" s="196">
        <v>0</v>
      </c>
      <c r="F13795" s="196">
        <v>0</v>
      </c>
      <c r="G13795" s="196">
        <v>57000.19</v>
      </c>
    </row>
    <row r="13796" spans="1:7" x14ac:dyDescent="0.3">
      <c r="A13796" s="198">
        <v>830084433</v>
      </c>
      <c r="B13796" s="192" t="s">
        <v>1670</v>
      </c>
      <c r="C13796" s="196">
        <v>57000.19</v>
      </c>
      <c r="D13796" s="196">
        <v>0</v>
      </c>
      <c r="E13796" s="196">
        <v>0</v>
      </c>
      <c r="F13796" s="196">
        <v>0</v>
      </c>
      <c r="G13796" s="196">
        <v>57000.19</v>
      </c>
    </row>
    <row r="13797" spans="1:7" x14ac:dyDescent="0.3">
      <c r="A13797" s="198">
        <v>5140950102</v>
      </c>
      <c r="B13797" s="192" t="s">
        <v>7544</v>
      </c>
      <c r="C13797" s="196">
        <v>36300</v>
      </c>
      <c r="D13797" s="196">
        <v>12100</v>
      </c>
      <c r="E13797" s="196">
        <v>0</v>
      </c>
      <c r="F13797" s="196">
        <v>12100</v>
      </c>
      <c r="G13797" s="196">
        <v>48400</v>
      </c>
    </row>
    <row r="13798" spans="1:7" x14ac:dyDescent="0.3">
      <c r="A13798" s="198">
        <v>890905080</v>
      </c>
      <c r="B13798" s="192" t="s">
        <v>1631</v>
      </c>
      <c r="C13798" s="196">
        <v>36300</v>
      </c>
      <c r="D13798" s="196">
        <v>12100</v>
      </c>
      <c r="E13798" s="196">
        <v>0</v>
      </c>
      <c r="F13798" s="196">
        <v>12100</v>
      </c>
      <c r="G13798" s="196">
        <v>48400</v>
      </c>
    </row>
    <row r="13799" spans="1:7" x14ac:dyDescent="0.3">
      <c r="A13799" s="197">
        <v>5145</v>
      </c>
      <c r="B13799" s="191" t="s">
        <v>7545</v>
      </c>
      <c r="C13799" s="195">
        <v>271281392.08999997</v>
      </c>
      <c r="D13799" s="195">
        <v>35842871.82</v>
      </c>
      <c r="E13799" s="195">
        <v>1096702.81</v>
      </c>
      <c r="F13799" s="195">
        <v>34746169.009999998</v>
      </c>
      <c r="G13799" s="195">
        <v>306027561.10000002</v>
      </c>
    </row>
    <row r="13800" spans="1:7" x14ac:dyDescent="0.3">
      <c r="A13800" s="197">
        <v>514510</v>
      </c>
      <c r="B13800" s="191" t="s">
        <v>7546</v>
      </c>
      <c r="C13800" s="195">
        <v>18305681.890000001</v>
      </c>
      <c r="D13800" s="195">
        <v>5527767.54</v>
      </c>
      <c r="E13800" s="195">
        <v>1096702.81</v>
      </c>
      <c r="F13800" s="195">
        <v>4431064.7300000004</v>
      </c>
      <c r="G13800" s="195">
        <v>22736746.620000001</v>
      </c>
    </row>
    <row r="13801" spans="1:7" x14ac:dyDescent="0.3">
      <c r="A13801" s="198">
        <v>51451001</v>
      </c>
      <c r="B13801" s="192" t="s">
        <v>7547</v>
      </c>
      <c r="C13801" s="196">
        <v>9628201.2100000009</v>
      </c>
      <c r="D13801" s="196">
        <v>0</v>
      </c>
      <c r="E13801" s="196">
        <v>0</v>
      </c>
      <c r="F13801" s="196">
        <v>0</v>
      </c>
      <c r="G13801" s="196">
        <v>9628201.2100000009</v>
      </c>
    </row>
    <row r="13802" spans="1:7" x14ac:dyDescent="0.3">
      <c r="A13802" s="198">
        <v>900912248</v>
      </c>
      <c r="B13802" s="192" t="s">
        <v>2254</v>
      </c>
      <c r="C13802" s="196">
        <v>8000.37</v>
      </c>
      <c r="D13802" s="196">
        <v>0</v>
      </c>
      <c r="E13802" s="196">
        <v>0</v>
      </c>
      <c r="F13802" s="196">
        <v>0</v>
      </c>
      <c r="G13802" s="196">
        <v>8000.37</v>
      </c>
    </row>
    <row r="13803" spans="1:7" x14ac:dyDescent="0.3">
      <c r="A13803" s="198">
        <v>901872782</v>
      </c>
      <c r="B13803" s="192" t="s">
        <v>2023</v>
      </c>
      <c r="C13803" s="196">
        <v>241500</v>
      </c>
      <c r="D13803" s="196">
        <v>0</v>
      </c>
      <c r="E13803" s="196">
        <v>0</v>
      </c>
      <c r="F13803" s="196">
        <v>0</v>
      </c>
      <c r="G13803" s="196">
        <v>241500</v>
      </c>
    </row>
    <row r="13804" spans="1:7" x14ac:dyDescent="0.3">
      <c r="A13804" s="198">
        <v>901516127</v>
      </c>
      <c r="B13804" s="192" t="s">
        <v>1745</v>
      </c>
      <c r="C13804" s="196">
        <v>5529600</v>
      </c>
      <c r="D13804" s="196">
        <v>0</v>
      </c>
      <c r="E13804" s="196">
        <v>0</v>
      </c>
      <c r="F13804" s="196">
        <v>0</v>
      </c>
      <c r="G13804" s="196">
        <v>5529600</v>
      </c>
    </row>
    <row r="13805" spans="1:7" x14ac:dyDescent="0.3">
      <c r="A13805" s="198">
        <v>901260836</v>
      </c>
      <c r="B13805" s="192" t="s">
        <v>7548</v>
      </c>
      <c r="C13805" s="196">
        <v>252100.84</v>
      </c>
      <c r="D13805" s="196">
        <v>0</v>
      </c>
      <c r="E13805" s="196">
        <v>0</v>
      </c>
      <c r="F13805" s="196">
        <v>0</v>
      </c>
      <c r="G13805" s="196">
        <v>252100.84</v>
      </c>
    </row>
    <row r="13806" spans="1:7" x14ac:dyDescent="0.3">
      <c r="A13806" s="198">
        <v>900557226</v>
      </c>
      <c r="B13806" s="192" t="s">
        <v>1920</v>
      </c>
      <c r="C13806" s="196">
        <v>780000</v>
      </c>
      <c r="D13806" s="196">
        <v>0</v>
      </c>
      <c r="E13806" s="196">
        <v>0</v>
      </c>
      <c r="F13806" s="196">
        <v>0</v>
      </c>
      <c r="G13806" s="196">
        <v>780000</v>
      </c>
    </row>
    <row r="13807" spans="1:7" x14ac:dyDescent="0.3">
      <c r="A13807" s="198">
        <v>43548307</v>
      </c>
      <c r="B13807" s="192" t="s">
        <v>7549</v>
      </c>
      <c r="C13807" s="196">
        <v>557000</v>
      </c>
      <c r="D13807" s="196">
        <v>0</v>
      </c>
      <c r="E13807" s="196">
        <v>0</v>
      </c>
      <c r="F13807" s="196">
        <v>0</v>
      </c>
      <c r="G13807" s="196">
        <v>557000</v>
      </c>
    </row>
    <row r="13808" spans="1:7" x14ac:dyDescent="0.3">
      <c r="A13808" s="198">
        <v>80727858</v>
      </c>
      <c r="B13808" s="192" t="s">
        <v>7550</v>
      </c>
      <c r="C13808" s="196">
        <v>2260000</v>
      </c>
      <c r="D13808" s="196">
        <v>0</v>
      </c>
      <c r="E13808" s="196">
        <v>0</v>
      </c>
      <c r="F13808" s="196">
        <v>0</v>
      </c>
      <c r="G13808" s="196">
        <v>2260000</v>
      </c>
    </row>
    <row r="13809" spans="1:7" x14ac:dyDescent="0.3">
      <c r="A13809" s="198">
        <v>51451002</v>
      </c>
      <c r="B13809" s="192" t="s">
        <v>7551</v>
      </c>
      <c r="C13809" s="196">
        <v>6995903.7999999998</v>
      </c>
      <c r="D13809" s="196">
        <v>4649174.4000000004</v>
      </c>
      <c r="E13809" s="196">
        <v>921599</v>
      </c>
      <c r="F13809" s="196">
        <v>3727575.4</v>
      </c>
      <c r="G13809" s="196">
        <v>10723479.199999999</v>
      </c>
    </row>
    <row r="13810" spans="1:7" x14ac:dyDescent="0.3">
      <c r="A13810" s="198">
        <v>811004655</v>
      </c>
      <c r="B13810" s="192" t="s">
        <v>1851</v>
      </c>
      <c r="C13810" s="196">
        <v>0</v>
      </c>
      <c r="D13810" s="196">
        <v>140000</v>
      </c>
      <c r="E13810" s="196">
        <v>0</v>
      </c>
      <c r="F13810" s="196">
        <v>140000</v>
      </c>
      <c r="G13810" s="196">
        <v>140000</v>
      </c>
    </row>
    <row r="13811" spans="1:7" x14ac:dyDescent="0.3">
      <c r="A13811" s="198">
        <v>42027440</v>
      </c>
      <c r="B13811" s="192" t="s">
        <v>7552</v>
      </c>
      <c r="C13811" s="196">
        <v>130900</v>
      </c>
      <c r="D13811" s="196">
        <v>0</v>
      </c>
      <c r="E13811" s="196">
        <v>0</v>
      </c>
      <c r="F13811" s="196">
        <v>0</v>
      </c>
      <c r="G13811" s="196">
        <v>130900</v>
      </c>
    </row>
    <row r="13812" spans="1:7" x14ac:dyDescent="0.3">
      <c r="A13812" s="198">
        <v>900990900</v>
      </c>
      <c r="B13812" s="192" t="s">
        <v>7553</v>
      </c>
      <c r="C13812" s="196">
        <v>123020</v>
      </c>
      <c r="D13812" s="196">
        <v>0</v>
      </c>
      <c r="E13812" s="196">
        <v>0</v>
      </c>
      <c r="F13812" s="196">
        <v>0</v>
      </c>
      <c r="G13812" s="196">
        <v>123020</v>
      </c>
    </row>
    <row r="13813" spans="1:7" x14ac:dyDescent="0.3">
      <c r="A13813" s="198">
        <v>1037583982</v>
      </c>
      <c r="B13813" s="192" t="s">
        <v>1798</v>
      </c>
      <c r="C13813" s="196">
        <v>426000</v>
      </c>
      <c r="D13813" s="196">
        <v>0</v>
      </c>
      <c r="E13813" s="196">
        <v>0</v>
      </c>
      <c r="F13813" s="196">
        <v>0</v>
      </c>
      <c r="G13813" s="196">
        <v>426000</v>
      </c>
    </row>
    <row r="13814" spans="1:7" x14ac:dyDescent="0.3">
      <c r="A13814" s="198">
        <v>1007045915</v>
      </c>
      <c r="B13814" s="192" t="s">
        <v>1634</v>
      </c>
      <c r="C13814" s="196">
        <v>570000</v>
      </c>
      <c r="D13814" s="196">
        <v>0</v>
      </c>
      <c r="E13814" s="196">
        <v>0</v>
      </c>
      <c r="F13814" s="196">
        <v>0</v>
      </c>
      <c r="G13814" s="196">
        <v>570000</v>
      </c>
    </row>
    <row r="13815" spans="1:7" x14ac:dyDescent="0.3">
      <c r="A13815" s="198">
        <v>900912248</v>
      </c>
      <c r="B13815" s="192" t="s">
        <v>2254</v>
      </c>
      <c r="C13815" s="196">
        <v>53781.52</v>
      </c>
      <c r="D13815" s="196">
        <v>0</v>
      </c>
      <c r="E13815" s="196">
        <v>0</v>
      </c>
      <c r="F13815" s="196">
        <v>0</v>
      </c>
      <c r="G13815" s="196">
        <v>53781.52</v>
      </c>
    </row>
    <row r="13816" spans="1:7" x14ac:dyDescent="0.3">
      <c r="A13816" s="198">
        <v>71718309</v>
      </c>
      <c r="B13816" s="192" t="s">
        <v>2137</v>
      </c>
      <c r="C13816" s="196">
        <v>260000</v>
      </c>
      <c r="D13816" s="196">
        <v>0</v>
      </c>
      <c r="E13816" s="196">
        <v>0</v>
      </c>
      <c r="F13816" s="196">
        <v>0</v>
      </c>
      <c r="G13816" s="196">
        <v>260000</v>
      </c>
    </row>
    <row r="13817" spans="1:7" x14ac:dyDescent="0.3">
      <c r="A13817" s="198">
        <v>71278776</v>
      </c>
      <c r="B13817" s="192" t="s">
        <v>7554</v>
      </c>
      <c r="C13817" s="196">
        <v>2950000</v>
      </c>
      <c r="D13817" s="196">
        <v>0</v>
      </c>
      <c r="E13817" s="196">
        <v>0</v>
      </c>
      <c r="F13817" s="196">
        <v>0</v>
      </c>
      <c r="G13817" s="196">
        <v>2950000</v>
      </c>
    </row>
    <row r="13818" spans="1:7" x14ac:dyDescent="0.3">
      <c r="A13818" s="198">
        <v>900188685</v>
      </c>
      <c r="B13818" s="192" t="s">
        <v>7555</v>
      </c>
      <c r="C13818" s="196">
        <v>22688</v>
      </c>
      <c r="D13818" s="196">
        <v>0</v>
      </c>
      <c r="E13818" s="196">
        <v>0</v>
      </c>
      <c r="F13818" s="196">
        <v>0</v>
      </c>
      <c r="G13818" s="196">
        <v>22688</v>
      </c>
    </row>
    <row r="13819" spans="1:7" x14ac:dyDescent="0.3">
      <c r="A13819" s="198">
        <v>43605890</v>
      </c>
      <c r="B13819" s="192" t="s">
        <v>565</v>
      </c>
      <c r="C13819" s="196">
        <v>0</v>
      </c>
      <c r="D13819" s="196">
        <v>25000</v>
      </c>
      <c r="E13819" s="196">
        <v>0</v>
      </c>
      <c r="F13819" s="196">
        <v>25000</v>
      </c>
      <c r="G13819" s="196">
        <v>25000</v>
      </c>
    </row>
    <row r="13820" spans="1:7" x14ac:dyDescent="0.3">
      <c r="A13820" s="198">
        <v>901516127</v>
      </c>
      <c r="B13820" s="192" t="s">
        <v>1745</v>
      </c>
      <c r="C13820" s="196">
        <v>0</v>
      </c>
      <c r="D13820" s="196">
        <v>1176900</v>
      </c>
      <c r="E13820" s="196">
        <v>921599</v>
      </c>
      <c r="F13820" s="196">
        <v>255301</v>
      </c>
      <c r="G13820" s="196">
        <v>255301</v>
      </c>
    </row>
    <row r="13821" spans="1:7" x14ac:dyDescent="0.3">
      <c r="A13821" s="198">
        <v>900488499</v>
      </c>
      <c r="B13821" s="192" t="s">
        <v>1893</v>
      </c>
      <c r="C13821" s="196">
        <v>2333800</v>
      </c>
      <c r="D13821" s="196">
        <v>3290300</v>
      </c>
      <c r="E13821" s="196">
        <v>0</v>
      </c>
      <c r="F13821" s="196">
        <v>3290300</v>
      </c>
      <c r="G13821" s="196">
        <v>5624100</v>
      </c>
    </row>
    <row r="13822" spans="1:7" x14ac:dyDescent="0.3">
      <c r="A13822" s="198">
        <v>901244349</v>
      </c>
      <c r="B13822" s="192" t="s">
        <v>1750</v>
      </c>
      <c r="C13822" s="196">
        <v>45714.28</v>
      </c>
      <c r="D13822" s="196">
        <v>0</v>
      </c>
      <c r="E13822" s="196">
        <v>0</v>
      </c>
      <c r="F13822" s="196">
        <v>0</v>
      </c>
      <c r="G13822" s="196">
        <v>45714.28</v>
      </c>
    </row>
    <row r="13823" spans="1:7" x14ac:dyDescent="0.3">
      <c r="A13823" s="198">
        <v>811028650</v>
      </c>
      <c r="B13823" s="192" t="s">
        <v>1752</v>
      </c>
      <c r="C13823" s="196">
        <v>0</v>
      </c>
      <c r="D13823" s="196">
        <v>16974.400000000001</v>
      </c>
      <c r="E13823" s="196">
        <v>0</v>
      </c>
      <c r="F13823" s="196">
        <v>16974.400000000001</v>
      </c>
      <c r="G13823" s="196">
        <v>16974.400000000001</v>
      </c>
    </row>
    <row r="13824" spans="1:7" x14ac:dyDescent="0.3">
      <c r="A13824" s="198">
        <v>800242106</v>
      </c>
      <c r="B13824" s="192" t="s">
        <v>1757</v>
      </c>
      <c r="C13824" s="196">
        <v>80000</v>
      </c>
      <c r="D13824" s="196">
        <v>0</v>
      </c>
      <c r="E13824" s="196">
        <v>0</v>
      </c>
      <c r="F13824" s="196">
        <v>0</v>
      </c>
      <c r="G13824" s="196">
        <v>80000</v>
      </c>
    </row>
    <row r="13825" spans="1:7" x14ac:dyDescent="0.3">
      <c r="A13825" s="198">
        <v>51451098</v>
      </c>
      <c r="B13825" s="192" t="s">
        <v>7556</v>
      </c>
      <c r="C13825" s="196">
        <v>1668580.45</v>
      </c>
      <c r="D13825" s="196">
        <v>651757</v>
      </c>
      <c r="E13825" s="196">
        <v>175103.81</v>
      </c>
      <c r="F13825" s="196">
        <v>476653.19</v>
      </c>
      <c r="G13825" s="196">
        <v>2145233.64</v>
      </c>
    </row>
    <row r="13826" spans="1:7" x14ac:dyDescent="0.3">
      <c r="A13826" s="198">
        <v>811004655</v>
      </c>
      <c r="B13826" s="192" t="s">
        <v>1851</v>
      </c>
      <c r="C13826" s="196">
        <v>0</v>
      </c>
      <c r="D13826" s="196">
        <v>26600</v>
      </c>
      <c r="E13826" s="196">
        <v>0</v>
      </c>
      <c r="F13826" s="196">
        <v>26600</v>
      </c>
      <c r="G13826" s="196">
        <v>26600</v>
      </c>
    </row>
    <row r="13827" spans="1:7" x14ac:dyDescent="0.3">
      <c r="A13827" s="198">
        <v>900990900</v>
      </c>
      <c r="B13827" s="192" t="s">
        <v>7553</v>
      </c>
      <c r="C13827" s="196">
        <v>23373.8</v>
      </c>
      <c r="D13827" s="196">
        <v>0</v>
      </c>
      <c r="E13827" s="196">
        <v>0</v>
      </c>
      <c r="F13827" s="196">
        <v>0</v>
      </c>
      <c r="G13827" s="196">
        <v>23373.8</v>
      </c>
    </row>
    <row r="13828" spans="1:7" x14ac:dyDescent="0.3">
      <c r="A13828" s="198">
        <v>900912248</v>
      </c>
      <c r="B13828" s="192" t="s">
        <v>2254</v>
      </c>
      <c r="C13828" s="196">
        <v>10218.49</v>
      </c>
      <c r="D13828" s="196">
        <v>0</v>
      </c>
      <c r="E13828" s="196">
        <v>0</v>
      </c>
      <c r="F13828" s="196">
        <v>0</v>
      </c>
      <c r="G13828" s="196">
        <v>10218.49</v>
      </c>
    </row>
    <row r="13829" spans="1:7" x14ac:dyDescent="0.3">
      <c r="A13829" s="198">
        <v>901872782</v>
      </c>
      <c r="B13829" s="192" t="s">
        <v>2023</v>
      </c>
      <c r="C13829" s="196">
        <v>1995</v>
      </c>
      <c r="D13829" s="196">
        <v>0</v>
      </c>
      <c r="E13829" s="196">
        <v>0</v>
      </c>
      <c r="F13829" s="196">
        <v>0</v>
      </c>
      <c r="G13829" s="196">
        <v>1995</v>
      </c>
    </row>
    <row r="13830" spans="1:7" x14ac:dyDescent="0.3">
      <c r="A13830" s="198">
        <v>901516127</v>
      </c>
      <c r="B13830" s="192" t="s">
        <v>1745</v>
      </c>
      <c r="C13830" s="196">
        <v>1050624</v>
      </c>
      <c r="D13830" s="196">
        <v>0</v>
      </c>
      <c r="E13830" s="196">
        <v>175103.81</v>
      </c>
      <c r="F13830" s="196">
        <v>-175103.81</v>
      </c>
      <c r="G13830" s="196">
        <v>875520.19</v>
      </c>
    </row>
    <row r="13831" spans="1:7" x14ac:dyDescent="0.3">
      <c r="A13831" s="198">
        <v>900488499</v>
      </c>
      <c r="B13831" s="192" t="s">
        <v>1893</v>
      </c>
      <c r="C13831" s="196">
        <v>371070</v>
      </c>
      <c r="D13831" s="196">
        <v>625157</v>
      </c>
      <c r="E13831" s="196">
        <v>0</v>
      </c>
      <c r="F13831" s="196">
        <v>625157</v>
      </c>
      <c r="G13831" s="196">
        <v>996227</v>
      </c>
    </row>
    <row r="13832" spans="1:7" x14ac:dyDescent="0.3">
      <c r="A13832" s="198">
        <v>901260836</v>
      </c>
      <c r="B13832" s="192" t="s">
        <v>7548</v>
      </c>
      <c r="C13832" s="196">
        <v>47899.16</v>
      </c>
      <c r="D13832" s="196">
        <v>0</v>
      </c>
      <c r="E13832" s="196">
        <v>0</v>
      </c>
      <c r="F13832" s="196">
        <v>0</v>
      </c>
      <c r="G13832" s="196">
        <v>47899.16</v>
      </c>
    </row>
    <row r="13833" spans="1:7" x14ac:dyDescent="0.3">
      <c r="A13833" s="198">
        <v>900557226</v>
      </c>
      <c r="B13833" s="192" t="s">
        <v>1920</v>
      </c>
      <c r="C13833" s="196">
        <v>148200</v>
      </c>
      <c r="D13833" s="196">
        <v>0</v>
      </c>
      <c r="E13833" s="196">
        <v>0</v>
      </c>
      <c r="F13833" s="196">
        <v>0</v>
      </c>
      <c r="G13833" s="196">
        <v>148200</v>
      </c>
    </row>
    <row r="13834" spans="1:7" x14ac:dyDescent="0.3">
      <c r="A13834" s="198">
        <v>800242106</v>
      </c>
      <c r="B13834" s="192" t="s">
        <v>1757</v>
      </c>
      <c r="C13834" s="196">
        <v>15200</v>
      </c>
      <c r="D13834" s="196">
        <v>0</v>
      </c>
      <c r="E13834" s="196">
        <v>0</v>
      </c>
      <c r="F13834" s="196">
        <v>0</v>
      </c>
      <c r="G13834" s="196">
        <v>15200</v>
      </c>
    </row>
    <row r="13835" spans="1:7" x14ac:dyDescent="0.3">
      <c r="A13835" s="198">
        <v>51451099</v>
      </c>
      <c r="B13835" s="192" t="s">
        <v>7557</v>
      </c>
      <c r="C13835" s="196">
        <v>12996.43</v>
      </c>
      <c r="D13835" s="196">
        <v>226836.14</v>
      </c>
      <c r="E13835" s="196">
        <v>0</v>
      </c>
      <c r="F13835" s="196">
        <v>226836.14</v>
      </c>
      <c r="G13835" s="196">
        <v>239832.57</v>
      </c>
    </row>
    <row r="13836" spans="1:7" x14ac:dyDescent="0.3">
      <c r="A13836" s="198">
        <v>900188685</v>
      </c>
      <c r="B13836" s="192" t="s">
        <v>7555</v>
      </c>
      <c r="C13836" s="196">
        <v>4310.72</v>
      </c>
      <c r="D13836" s="196">
        <v>0</v>
      </c>
      <c r="E13836" s="196">
        <v>0</v>
      </c>
      <c r="F13836" s="196">
        <v>0</v>
      </c>
      <c r="G13836" s="196">
        <v>4310.72</v>
      </c>
    </row>
    <row r="13837" spans="1:7" x14ac:dyDescent="0.3">
      <c r="A13837" s="198">
        <v>901516127</v>
      </c>
      <c r="B13837" s="192" t="s">
        <v>1745</v>
      </c>
      <c r="C13837" s="196">
        <v>0</v>
      </c>
      <c r="D13837" s="196">
        <v>223611</v>
      </c>
      <c r="E13837" s="196">
        <v>0</v>
      </c>
      <c r="F13837" s="196">
        <v>223611</v>
      </c>
      <c r="G13837" s="196">
        <v>223611</v>
      </c>
    </row>
    <row r="13838" spans="1:7" x14ac:dyDescent="0.3">
      <c r="A13838" s="198">
        <v>901244349</v>
      </c>
      <c r="B13838" s="192" t="s">
        <v>1750</v>
      </c>
      <c r="C13838" s="196">
        <v>8685.7099999999991</v>
      </c>
      <c r="D13838" s="196">
        <v>0</v>
      </c>
      <c r="E13838" s="196">
        <v>0</v>
      </c>
      <c r="F13838" s="196">
        <v>0</v>
      </c>
      <c r="G13838" s="196">
        <v>8685.7099999999991</v>
      </c>
    </row>
    <row r="13839" spans="1:7" x14ac:dyDescent="0.3">
      <c r="A13839" s="198">
        <v>811028650</v>
      </c>
      <c r="B13839" s="192" t="s">
        <v>1752</v>
      </c>
      <c r="C13839" s="196">
        <v>0</v>
      </c>
      <c r="D13839" s="196">
        <v>3225.14</v>
      </c>
      <c r="E13839" s="196">
        <v>0</v>
      </c>
      <c r="F13839" s="196">
        <v>3225.14</v>
      </c>
      <c r="G13839" s="196">
        <v>3225.14</v>
      </c>
    </row>
    <row r="13840" spans="1:7" x14ac:dyDescent="0.3">
      <c r="A13840" s="197">
        <v>514515</v>
      </c>
      <c r="B13840" s="191" t="s">
        <v>7558</v>
      </c>
      <c r="C13840" s="195">
        <v>225786580.74000001</v>
      </c>
      <c r="D13840" s="195">
        <v>27920567.829999998</v>
      </c>
      <c r="E13840" s="195">
        <v>0</v>
      </c>
      <c r="F13840" s="195">
        <v>27920567.829999998</v>
      </c>
      <c r="G13840" s="195">
        <v>253707148.56999999</v>
      </c>
    </row>
    <row r="13841" spans="1:7" x14ac:dyDescent="0.3">
      <c r="A13841" s="198">
        <v>51451501</v>
      </c>
      <c r="B13841" s="192" t="s">
        <v>7559</v>
      </c>
      <c r="C13841" s="196">
        <v>120233948.66</v>
      </c>
      <c r="D13841" s="196">
        <v>22762057</v>
      </c>
      <c r="E13841" s="196">
        <v>0</v>
      </c>
      <c r="F13841" s="196">
        <v>22762057</v>
      </c>
      <c r="G13841" s="196">
        <v>142996005.66</v>
      </c>
    </row>
    <row r="13842" spans="1:7" x14ac:dyDescent="0.3">
      <c r="A13842" s="198">
        <v>71373883</v>
      </c>
      <c r="B13842" s="192" t="s">
        <v>1910</v>
      </c>
      <c r="C13842" s="196">
        <v>11000000</v>
      </c>
      <c r="D13842" s="196">
        <v>1800000</v>
      </c>
      <c r="E13842" s="196">
        <v>0</v>
      </c>
      <c r="F13842" s="196">
        <v>1800000</v>
      </c>
      <c r="G13842" s="196">
        <v>12800000</v>
      </c>
    </row>
    <row r="13843" spans="1:7" x14ac:dyDescent="0.3">
      <c r="A13843" s="198">
        <v>860019041</v>
      </c>
      <c r="B13843" s="192" t="s">
        <v>1647</v>
      </c>
      <c r="C13843" s="196">
        <v>100652807.42</v>
      </c>
      <c r="D13843" s="196">
        <v>20325062</v>
      </c>
      <c r="E13843" s="196">
        <v>0</v>
      </c>
      <c r="F13843" s="196">
        <v>20325062</v>
      </c>
      <c r="G13843" s="196">
        <v>120977869.42</v>
      </c>
    </row>
    <row r="13844" spans="1:7" x14ac:dyDescent="0.3">
      <c r="A13844" s="198">
        <v>890940259</v>
      </c>
      <c r="B13844" s="192" t="s">
        <v>1648</v>
      </c>
      <c r="C13844" s="196">
        <v>2278141.2400000002</v>
      </c>
      <c r="D13844" s="196">
        <v>636995</v>
      </c>
      <c r="E13844" s="196">
        <v>0</v>
      </c>
      <c r="F13844" s="196">
        <v>636995</v>
      </c>
      <c r="G13844" s="196">
        <v>2915136.24</v>
      </c>
    </row>
    <row r="13845" spans="1:7" x14ac:dyDescent="0.3">
      <c r="A13845" s="198">
        <v>830004892</v>
      </c>
      <c r="B13845" s="192" t="s">
        <v>1773</v>
      </c>
      <c r="C13845" s="196">
        <v>6303000</v>
      </c>
      <c r="D13845" s="196">
        <v>0</v>
      </c>
      <c r="E13845" s="196">
        <v>0</v>
      </c>
      <c r="F13845" s="196">
        <v>0</v>
      </c>
      <c r="G13845" s="196">
        <v>6303000</v>
      </c>
    </row>
    <row r="13846" spans="1:7" x14ac:dyDescent="0.3">
      <c r="A13846" s="198">
        <v>51451502</v>
      </c>
      <c r="B13846" s="192" t="s">
        <v>7560</v>
      </c>
      <c r="C13846" s="196">
        <v>68561980.079999998</v>
      </c>
      <c r="D13846" s="196">
        <v>988000</v>
      </c>
      <c r="E13846" s="196">
        <v>0</v>
      </c>
      <c r="F13846" s="196">
        <v>988000</v>
      </c>
      <c r="G13846" s="196">
        <v>69549980.079999998</v>
      </c>
    </row>
    <row r="13847" spans="1:7" x14ac:dyDescent="0.3">
      <c r="A13847" s="198">
        <v>890900943</v>
      </c>
      <c r="B13847" s="192" t="s">
        <v>1783</v>
      </c>
      <c r="C13847" s="196">
        <v>125210.08</v>
      </c>
      <c r="D13847" s="196">
        <v>0</v>
      </c>
      <c r="E13847" s="196">
        <v>0</v>
      </c>
      <c r="F13847" s="196">
        <v>0</v>
      </c>
      <c r="G13847" s="196">
        <v>125210.08</v>
      </c>
    </row>
    <row r="13848" spans="1:7" x14ac:dyDescent="0.3">
      <c r="A13848" s="198">
        <v>860019041</v>
      </c>
      <c r="B13848" s="192" t="s">
        <v>1647</v>
      </c>
      <c r="C13848" s="196">
        <v>68436770</v>
      </c>
      <c r="D13848" s="196">
        <v>988000</v>
      </c>
      <c r="E13848" s="196">
        <v>0</v>
      </c>
      <c r="F13848" s="196">
        <v>988000</v>
      </c>
      <c r="G13848" s="196">
        <v>69424770</v>
      </c>
    </row>
    <row r="13849" spans="1:7" x14ac:dyDescent="0.3">
      <c r="A13849" s="198">
        <v>51451598</v>
      </c>
      <c r="B13849" s="192" t="s">
        <v>7561</v>
      </c>
      <c r="C13849" s="196">
        <v>35771612</v>
      </c>
      <c r="D13849" s="196">
        <v>4170510.83</v>
      </c>
      <c r="E13849" s="196">
        <v>0</v>
      </c>
      <c r="F13849" s="196">
        <v>4170510.83</v>
      </c>
      <c r="G13849" s="196">
        <v>39942122.829999998</v>
      </c>
    </row>
    <row r="13850" spans="1:7" x14ac:dyDescent="0.3">
      <c r="A13850" s="198">
        <v>890900943</v>
      </c>
      <c r="B13850" s="192" t="s">
        <v>1783</v>
      </c>
      <c r="C13850" s="196">
        <v>23789.919999999998</v>
      </c>
      <c r="D13850" s="196">
        <v>0</v>
      </c>
      <c r="E13850" s="196">
        <v>0</v>
      </c>
      <c r="F13850" s="196">
        <v>0</v>
      </c>
      <c r="G13850" s="196">
        <v>23789.919999999998</v>
      </c>
    </row>
    <row r="13851" spans="1:7" x14ac:dyDescent="0.3">
      <c r="A13851" s="198">
        <v>860019041</v>
      </c>
      <c r="B13851" s="192" t="s">
        <v>1647</v>
      </c>
      <c r="C13851" s="196">
        <v>34143428.450000003</v>
      </c>
      <c r="D13851" s="196">
        <v>4049481.78</v>
      </c>
      <c r="E13851" s="196">
        <v>0</v>
      </c>
      <c r="F13851" s="196">
        <v>4049481.78</v>
      </c>
      <c r="G13851" s="196">
        <v>38192910.229999997</v>
      </c>
    </row>
    <row r="13852" spans="1:7" x14ac:dyDescent="0.3">
      <c r="A13852" s="198">
        <v>890940259</v>
      </c>
      <c r="B13852" s="192" t="s">
        <v>1648</v>
      </c>
      <c r="C13852" s="196">
        <v>406823.63</v>
      </c>
      <c r="D13852" s="196">
        <v>121029.05</v>
      </c>
      <c r="E13852" s="196">
        <v>0</v>
      </c>
      <c r="F13852" s="196">
        <v>121029.05</v>
      </c>
      <c r="G13852" s="196">
        <v>527852.68000000005</v>
      </c>
    </row>
    <row r="13853" spans="1:7" x14ac:dyDescent="0.3">
      <c r="A13853" s="198">
        <v>830004892</v>
      </c>
      <c r="B13853" s="192" t="s">
        <v>1773</v>
      </c>
      <c r="C13853" s="196">
        <v>1197570</v>
      </c>
      <c r="D13853" s="196">
        <v>0</v>
      </c>
      <c r="E13853" s="196">
        <v>0</v>
      </c>
      <c r="F13853" s="196">
        <v>0</v>
      </c>
      <c r="G13853" s="196">
        <v>1197570</v>
      </c>
    </row>
    <row r="13854" spans="1:7" x14ac:dyDescent="0.3">
      <c r="A13854" s="198">
        <v>51451599</v>
      </c>
      <c r="B13854" s="192" t="s">
        <v>7562</v>
      </c>
      <c r="C13854" s="196">
        <v>1219040</v>
      </c>
      <c r="D13854" s="196">
        <v>0</v>
      </c>
      <c r="E13854" s="196">
        <v>0</v>
      </c>
      <c r="F13854" s="196">
        <v>0</v>
      </c>
      <c r="G13854" s="196">
        <v>1219040</v>
      </c>
    </row>
    <row r="13855" spans="1:7" x14ac:dyDescent="0.3">
      <c r="A13855" s="198">
        <v>860019041</v>
      </c>
      <c r="B13855" s="192" t="s">
        <v>1647</v>
      </c>
      <c r="C13855" s="196">
        <v>1219040</v>
      </c>
      <c r="D13855" s="196">
        <v>0</v>
      </c>
      <c r="E13855" s="196">
        <v>0</v>
      </c>
      <c r="F13855" s="196">
        <v>0</v>
      </c>
      <c r="G13855" s="196">
        <v>1219040</v>
      </c>
    </row>
    <row r="13856" spans="1:7" x14ac:dyDescent="0.3">
      <c r="A13856" s="197">
        <v>514520</v>
      </c>
      <c r="B13856" s="191" t="s">
        <v>7563</v>
      </c>
      <c r="C13856" s="195">
        <v>761619.52</v>
      </c>
      <c r="D13856" s="195">
        <v>0</v>
      </c>
      <c r="E13856" s="195">
        <v>0</v>
      </c>
      <c r="F13856" s="195">
        <v>0</v>
      </c>
      <c r="G13856" s="195">
        <v>761619.52</v>
      </c>
    </row>
    <row r="13857" spans="1:7" x14ac:dyDescent="0.3">
      <c r="A13857" s="198">
        <v>51452001</v>
      </c>
      <c r="B13857" s="192" t="s">
        <v>7563</v>
      </c>
      <c r="C13857" s="196">
        <v>728808.28</v>
      </c>
      <c r="D13857" s="196">
        <v>0</v>
      </c>
      <c r="E13857" s="196">
        <v>0</v>
      </c>
      <c r="F13857" s="196">
        <v>0</v>
      </c>
      <c r="G13857" s="196">
        <v>728808.28</v>
      </c>
    </row>
    <row r="13858" spans="1:7" x14ac:dyDescent="0.3">
      <c r="A13858" s="198">
        <v>900723785</v>
      </c>
      <c r="B13858" s="192" t="s">
        <v>1627</v>
      </c>
      <c r="C13858" s="196">
        <v>256117.52</v>
      </c>
      <c r="D13858" s="196">
        <v>0</v>
      </c>
      <c r="E13858" s="196">
        <v>0</v>
      </c>
      <c r="F13858" s="196">
        <v>0</v>
      </c>
      <c r="G13858" s="196">
        <v>256117.52</v>
      </c>
    </row>
    <row r="13859" spans="1:7" x14ac:dyDescent="0.3">
      <c r="A13859" s="198">
        <v>70728681</v>
      </c>
      <c r="B13859" s="192" t="s">
        <v>7564</v>
      </c>
      <c r="C13859" s="196">
        <v>350000</v>
      </c>
      <c r="D13859" s="196">
        <v>0</v>
      </c>
      <c r="E13859" s="196">
        <v>0</v>
      </c>
      <c r="F13859" s="196">
        <v>0</v>
      </c>
      <c r="G13859" s="196">
        <v>350000</v>
      </c>
    </row>
    <row r="13860" spans="1:7" x14ac:dyDescent="0.3">
      <c r="A13860" s="198">
        <v>8347349</v>
      </c>
      <c r="B13860" s="192" t="s">
        <v>1793</v>
      </c>
      <c r="C13860" s="196">
        <v>122690.76</v>
      </c>
      <c r="D13860" s="196">
        <v>0</v>
      </c>
      <c r="E13860" s="196">
        <v>0</v>
      </c>
      <c r="F13860" s="196">
        <v>0</v>
      </c>
      <c r="G13860" s="196">
        <v>122690.76</v>
      </c>
    </row>
    <row r="13861" spans="1:7" x14ac:dyDescent="0.3">
      <c r="A13861" s="198">
        <v>51452098</v>
      </c>
      <c r="B13861" s="192" t="s">
        <v>7565</v>
      </c>
      <c r="C13861" s="196">
        <v>32811.24</v>
      </c>
      <c r="D13861" s="196">
        <v>0</v>
      </c>
      <c r="E13861" s="196">
        <v>0</v>
      </c>
      <c r="F13861" s="196">
        <v>0</v>
      </c>
      <c r="G13861" s="196">
        <v>32811.24</v>
      </c>
    </row>
    <row r="13862" spans="1:7" x14ac:dyDescent="0.3">
      <c r="A13862" s="198">
        <v>900723785</v>
      </c>
      <c r="B13862" s="192" t="s">
        <v>1627</v>
      </c>
      <c r="C13862" s="196">
        <v>9500</v>
      </c>
      <c r="D13862" s="196">
        <v>0</v>
      </c>
      <c r="E13862" s="196">
        <v>0</v>
      </c>
      <c r="F13862" s="196">
        <v>0</v>
      </c>
      <c r="G13862" s="196">
        <v>9500</v>
      </c>
    </row>
    <row r="13863" spans="1:7" x14ac:dyDescent="0.3">
      <c r="A13863" s="198">
        <v>8347349</v>
      </c>
      <c r="B13863" s="192" t="s">
        <v>1793</v>
      </c>
      <c r="C13863" s="196">
        <v>23311.24</v>
      </c>
      <c r="D13863" s="196">
        <v>0</v>
      </c>
      <c r="E13863" s="196">
        <v>0</v>
      </c>
      <c r="F13863" s="196">
        <v>0</v>
      </c>
      <c r="G13863" s="196">
        <v>23311.24</v>
      </c>
    </row>
    <row r="13864" spans="1:7" x14ac:dyDescent="0.3">
      <c r="A13864" s="197">
        <v>514525</v>
      </c>
      <c r="B13864" s="191" t="s">
        <v>7566</v>
      </c>
      <c r="C13864" s="195">
        <v>26427509.940000001</v>
      </c>
      <c r="D13864" s="195">
        <v>2394536.4500000002</v>
      </c>
      <c r="E13864" s="195">
        <v>0</v>
      </c>
      <c r="F13864" s="195">
        <v>2394536.4500000002</v>
      </c>
      <c r="G13864" s="195">
        <v>28822046.390000001</v>
      </c>
    </row>
    <row r="13865" spans="1:7" x14ac:dyDescent="0.3">
      <c r="A13865" s="198">
        <v>51452501</v>
      </c>
      <c r="B13865" s="192" t="s">
        <v>7567</v>
      </c>
      <c r="C13865" s="196">
        <v>11359726</v>
      </c>
      <c r="D13865" s="196">
        <v>1860955</v>
      </c>
      <c r="E13865" s="196">
        <v>0</v>
      </c>
      <c r="F13865" s="196">
        <v>1860955</v>
      </c>
      <c r="G13865" s="196">
        <v>13220681</v>
      </c>
    </row>
    <row r="13866" spans="1:7" x14ac:dyDescent="0.3">
      <c r="A13866" s="198">
        <v>1037583982</v>
      </c>
      <c r="B13866" s="192" t="s">
        <v>1798</v>
      </c>
      <c r="C13866" s="196">
        <v>120000</v>
      </c>
      <c r="D13866" s="196">
        <v>0</v>
      </c>
      <c r="E13866" s="196">
        <v>0</v>
      </c>
      <c r="F13866" s="196">
        <v>0</v>
      </c>
      <c r="G13866" s="196">
        <v>120000</v>
      </c>
    </row>
    <row r="13867" spans="1:7" x14ac:dyDescent="0.3">
      <c r="A13867" s="198">
        <v>35851205</v>
      </c>
      <c r="B13867" s="192" t="s">
        <v>1946</v>
      </c>
      <c r="C13867" s="196">
        <v>214200</v>
      </c>
      <c r="D13867" s="196">
        <v>0</v>
      </c>
      <c r="E13867" s="196">
        <v>0</v>
      </c>
      <c r="F13867" s="196">
        <v>0</v>
      </c>
      <c r="G13867" s="196">
        <v>214200</v>
      </c>
    </row>
    <row r="13868" spans="1:7" x14ac:dyDescent="0.3">
      <c r="A13868" s="198">
        <v>900046486</v>
      </c>
      <c r="B13868" s="192" t="s">
        <v>1965</v>
      </c>
      <c r="C13868" s="196">
        <v>11025526</v>
      </c>
      <c r="D13868" s="196">
        <v>1860955</v>
      </c>
      <c r="E13868" s="196">
        <v>0</v>
      </c>
      <c r="F13868" s="196">
        <v>1860955</v>
      </c>
      <c r="G13868" s="196">
        <v>12886481</v>
      </c>
    </row>
    <row r="13869" spans="1:7" x14ac:dyDescent="0.3">
      <c r="A13869" s="198">
        <v>51452502</v>
      </c>
      <c r="B13869" s="192" t="s">
        <v>7568</v>
      </c>
      <c r="C13869" s="196">
        <v>10987843.699999999</v>
      </c>
      <c r="D13869" s="196">
        <v>180000</v>
      </c>
      <c r="E13869" s="196">
        <v>0</v>
      </c>
      <c r="F13869" s="196">
        <v>180000</v>
      </c>
      <c r="G13869" s="196">
        <v>11167843.699999999</v>
      </c>
    </row>
    <row r="13870" spans="1:7" x14ac:dyDescent="0.3">
      <c r="A13870" s="198">
        <v>1037583982</v>
      </c>
      <c r="B13870" s="192" t="s">
        <v>1798</v>
      </c>
      <c r="C13870" s="196">
        <v>180000</v>
      </c>
      <c r="D13870" s="196">
        <v>180000</v>
      </c>
      <c r="E13870" s="196">
        <v>0</v>
      </c>
      <c r="F13870" s="196">
        <v>180000</v>
      </c>
      <c r="G13870" s="196">
        <v>360000</v>
      </c>
    </row>
    <row r="13871" spans="1:7" x14ac:dyDescent="0.3">
      <c r="A13871" s="198">
        <v>900311581</v>
      </c>
      <c r="B13871" s="192" t="s">
        <v>1809</v>
      </c>
      <c r="C13871" s="196">
        <v>209243.7</v>
      </c>
      <c r="D13871" s="196">
        <v>0</v>
      </c>
      <c r="E13871" s="196">
        <v>0</v>
      </c>
      <c r="F13871" s="196">
        <v>0</v>
      </c>
      <c r="G13871" s="196">
        <v>209243.7</v>
      </c>
    </row>
    <row r="13872" spans="1:7" x14ac:dyDescent="0.3">
      <c r="A13872" s="198">
        <v>700215370</v>
      </c>
      <c r="B13872" s="192" t="s">
        <v>1663</v>
      </c>
      <c r="C13872" s="196">
        <v>10598600</v>
      </c>
      <c r="D13872" s="196">
        <v>0</v>
      </c>
      <c r="E13872" s="196">
        <v>0</v>
      </c>
      <c r="F13872" s="196">
        <v>0</v>
      </c>
      <c r="G13872" s="196">
        <v>10598600</v>
      </c>
    </row>
    <row r="13873" spans="1:7" x14ac:dyDescent="0.3">
      <c r="A13873" s="198">
        <v>51452598</v>
      </c>
      <c r="B13873" s="192" t="s">
        <v>7569</v>
      </c>
      <c r="C13873" s="196">
        <v>4079940.24</v>
      </c>
      <c r="D13873" s="196">
        <v>353581.45</v>
      </c>
      <c r="E13873" s="196">
        <v>0</v>
      </c>
      <c r="F13873" s="196">
        <v>353581.45</v>
      </c>
      <c r="G13873" s="196">
        <v>4433521.6900000004</v>
      </c>
    </row>
    <row r="13874" spans="1:7" x14ac:dyDescent="0.3">
      <c r="A13874" s="198">
        <v>900311581</v>
      </c>
      <c r="B13874" s="192" t="s">
        <v>1809</v>
      </c>
      <c r="C13874" s="196">
        <v>39756.300000000003</v>
      </c>
      <c r="D13874" s="196">
        <v>0</v>
      </c>
      <c r="E13874" s="196">
        <v>0</v>
      </c>
      <c r="F13874" s="196">
        <v>0</v>
      </c>
      <c r="G13874" s="196">
        <v>39756.300000000003</v>
      </c>
    </row>
    <row r="13875" spans="1:7" x14ac:dyDescent="0.3">
      <c r="A13875" s="198">
        <v>700215370</v>
      </c>
      <c r="B13875" s="192" t="s">
        <v>1663</v>
      </c>
      <c r="C13875" s="196">
        <v>1945334</v>
      </c>
      <c r="D13875" s="196">
        <v>0</v>
      </c>
      <c r="E13875" s="196">
        <v>0</v>
      </c>
      <c r="F13875" s="196">
        <v>0</v>
      </c>
      <c r="G13875" s="196">
        <v>1945334</v>
      </c>
    </row>
    <row r="13876" spans="1:7" x14ac:dyDescent="0.3">
      <c r="A13876" s="198">
        <v>900046486</v>
      </c>
      <c r="B13876" s="192" t="s">
        <v>1965</v>
      </c>
      <c r="C13876" s="196">
        <v>2094849.94</v>
      </c>
      <c r="D13876" s="196">
        <v>353581.45</v>
      </c>
      <c r="E13876" s="196">
        <v>0</v>
      </c>
      <c r="F13876" s="196">
        <v>353581.45</v>
      </c>
      <c r="G13876" s="196">
        <v>2448431.39</v>
      </c>
    </row>
    <row r="13877" spans="1:7" x14ac:dyDescent="0.3">
      <c r="A13877" s="197">
        <v>5155</v>
      </c>
      <c r="B13877" s="191" t="s">
        <v>7570</v>
      </c>
      <c r="C13877" s="195">
        <v>828817.01</v>
      </c>
      <c r="D13877" s="195">
        <v>0</v>
      </c>
      <c r="E13877" s="195">
        <v>0</v>
      </c>
      <c r="F13877" s="195">
        <v>0</v>
      </c>
      <c r="G13877" s="195">
        <v>828817.01</v>
      </c>
    </row>
    <row r="13878" spans="1:7" x14ac:dyDescent="0.3">
      <c r="A13878" s="197">
        <v>515505</v>
      </c>
      <c r="B13878" s="191" t="s">
        <v>7571</v>
      </c>
      <c r="C13878" s="195">
        <v>828814.82</v>
      </c>
      <c r="D13878" s="195">
        <v>0</v>
      </c>
      <c r="E13878" s="195">
        <v>0</v>
      </c>
      <c r="F13878" s="195">
        <v>0</v>
      </c>
      <c r="G13878" s="195">
        <v>828814.82</v>
      </c>
    </row>
    <row r="13879" spans="1:7" x14ac:dyDescent="0.3">
      <c r="A13879" s="198">
        <v>51550501</v>
      </c>
      <c r="B13879" s="192" t="s">
        <v>7571</v>
      </c>
      <c r="C13879" s="196">
        <v>828814.82</v>
      </c>
      <c r="D13879" s="196">
        <v>0</v>
      </c>
      <c r="E13879" s="196">
        <v>0</v>
      </c>
      <c r="F13879" s="196">
        <v>0</v>
      </c>
      <c r="G13879" s="196">
        <v>828814.82</v>
      </c>
    </row>
    <row r="13880" spans="1:7" x14ac:dyDescent="0.3">
      <c r="A13880" s="198">
        <v>901360828</v>
      </c>
      <c r="B13880" s="192" t="s">
        <v>1904</v>
      </c>
      <c r="C13880" s="196">
        <v>828814.82</v>
      </c>
      <c r="D13880" s="196">
        <v>0</v>
      </c>
      <c r="E13880" s="196">
        <v>0</v>
      </c>
      <c r="F13880" s="196">
        <v>0</v>
      </c>
      <c r="G13880" s="196">
        <v>828814.82</v>
      </c>
    </row>
    <row r="13881" spans="1:7" x14ac:dyDescent="0.3">
      <c r="A13881" s="197">
        <v>515515</v>
      </c>
      <c r="B13881" s="191" t="s">
        <v>7572</v>
      </c>
      <c r="C13881" s="195">
        <v>2.19</v>
      </c>
      <c r="D13881" s="195">
        <v>0</v>
      </c>
      <c r="E13881" s="195">
        <v>0</v>
      </c>
      <c r="F13881" s="195">
        <v>0</v>
      </c>
      <c r="G13881" s="195">
        <v>2.19</v>
      </c>
    </row>
    <row r="13882" spans="1:7" x14ac:dyDescent="0.3">
      <c r="A13882" s="198">
        <v>51551501</v>
      </c>
      <c r="B13882" s="192" t="s">
        <v>7572</v>
      </c>
      <c r="C13882" s="196">
        <v>2</v>
      </c>
      <c r="D13882" s="196">
        <v>0</v>
      </c>
      <c r="E13882" s="196">
        <v>0</v>
      </c>
      <c r="F13882" s="196">
        <v>0</v>
      </c>
      <c r="G13882" s="196">
        <v>2</v>
      </c>
    </row>
    <row r="13883" spans="1:7" x14ac:dyDescent="0.3">
      <c r="A13883" s="198">
        <v>890100577</v>
      </c>
      <c r="B13883" s="192" t="s">
        <v>7573</v>
      </c>
      <c r="C13883" s="196">
        <v>2</v>
      </c>
      <c r="D13883" s="196">
        <v>0</v>
      </c>
      <c r="E13883" s="196">
        <v>0</v>
      </c>
      <c r="F13883" s="196">
        <v>0</v>
      </c>
      <c r="G13883" s="196">
        <v>2</v>
      </c>
    </row>
    <row r="13884" spans="1:7" x14ac:dyDescent="0.3">
      <c r="A13884" s="198">
        <v>51551524</v>
      </c>
      <c r="B13884" s="192" t="s">
        <v>7574</v>
      </c>
      <c r="C13884" s="196">
        <v>0.19</v>
      </c>
      <c r="D13884" s="196">
        <v>0</v>
      </c>
      <c r="E13884" s="196">
        <v>0</v>
      </c>
      <c r="F13884" s="196">
        <v>0</v>
      </c>
      <c r="G13884" s="196">
        <v>0.19</v>
      </c>
    </row>
    <row r="13885" spans="1:7" x14ac:dyDescent="0.3">
      <c r="A13885" s="198">
        <v>890100577</v>
      </c>
      <c r="B13885" s="192" t="s">
        <v>7573</v>
      </c>
      <c r="C13885" s="196">
        <v>0.19</v>
      </c>
      <c r="D13885" s="196">
        <v>0</v>
      </c>
      <c r="E13885" s="196">
        <v>0</v>
      </c>
      <c r="F13885" s="196">
        <v>0</v>
      </c>
      <c r="G13885" s="196">
        <v>0.19</v>
      </c>
    </row>
    <row r="13886" spans="1:7" x14ac:dyDescent="0.3">
      <c r="A13886" s="197">
        <v>5160</v>
      </c>
      <c r="B13886" s="191" t="s">
        <v>7575</v>
      </c>
      <c r="C13886" s="195">
        <v>376370071</v>
      </c>
      <c r="D13886" s="195">
        <v>64968726</v>
      </c>
      <c r="E13886" s="195">
        <v>0</v>
      </c>
      <c r="F13886" s="195">
        <v>64968726</v>
      </c>
      <c r="G13886" s="195">
        <v>441338797</v>
      </c>
    </row>
    <row r="13887" spans="1:7" x14ac:dyDescent="0.3">
      <c r="A13887" s="197">
        <v>516005</v>
      </c>
      <c r="B13887" s="191" t="s">
        <v>7576</v>
      </c>
      <c r="C13887" s="195">
        <v>135003447</v>
      </c>
      <c r="D13887" s="195">
        <v>23204749</v>
      </c>
      <c r="E13887" s="195">
        <v>0</v>
      </c>
      <c r="F13887" s="195">
        <v>23204749</v>
      </c>
      <c r="G13887" s="195">
        <v>158208196</v>
      </c>
    </row>
    <row r="13888" spans="1:7" x14ac:dyDescent="0.3">
      <c r="A13888" s="198">
        <v>51600501</v>
      </c>
      <c r="B13888" s="192" t="s">
        <v>7576</v>
      </c>
      <c r="C13888" s="196">
        <v>135003447</v>
      </c>
      <c r="D13888" s="196">
        <v>23204749</v>
      </c>
      <c r="E13888" s="196">
        <v>0</v>
      </c>
      <c r="F13888" s="196">
        <v>23204749</v>
      </c>
      <c r="G13888" s="196">
        <v>158208196</v>
      </c>
    </row>
    <row r="13889" spans="1:7" x14ac:dyDescent="0.3">
      <c r="A13889" s="198">
        <v>900755062</v>
      </c>
      <c r="B13889" s="192" t="s">
        <v>1700</v>
      </c>
      <c r="C13889" s="196">
        <v>135003447</v>
      </c>
      <c r="D13889" s="196">
        <v>23204749</v>
      </c>
      <c r="E13889" s="196">
        <v>0</v>
      </c>
      <c r="F13889" s="196">
        <v>23204749</v>
      </c>
      <c r="G13889" s="196">
        <v>158208196</v>
      </c>
    </row>
    <row r="13890" spans="1:7" x14ac:dyDescent="0.3">
      <c r="A13890" s="197">
        <v>516015</v>
      </c>
      <c r="B13890" s="191" t="s">
        <v>7577</v>
      </c>
      <c r="C13890" s="195">
        <v>9423163</v>
      </c>
      <c r="D13890" s="195">
        <v>1805694</v>
      </c>
      <c r="E13890" s="195">
        <v>0</v>
      </c>
      <c r="F13890" s="195">
        <v>1805694</v>
      </c>
      <c r="G13890" s="195">
        <v>11228857</v>
      </c>
    </row>
    <row r="13891" spans="1:7" x14ac:dyDescent="0.3">
      <c r="A13891" s="198">
        <v>51601501</v>
      </c>
      <c r="B13891" s="192" t="s">
        <v>7577</v>
      </c>
      <c r="C13891" s="196">
        <v>9423163</v>
      </c>
      <c r="D13891" s="196">
        <v>1805694</v>
      </c>
      <c r="E13891" s="196">
        <v>0</v>
      </c>
      <c r="F13891" s="196">
        <v>1805694</v>
      </c>
      <c r="G13891" s="196">
        <v>11228857</v>
      </c>
    </row>
    <row r="13892" spans="1:7" x14ac:dyDescent="0.3">
      <c r="A13892" s="198">
        <v>900755062</v>
      </c>
      <c r="B13892" s="192" t="s">
        <v>1700</v>
      </c>
      <c r="C13892" s="196">
        <v>9423163</v>
      </c>
      <c r="D13892" s="196">
        <v>1805694</v>
      </c>
      <c r="E13892" s="196">
        <v>0</v>
      </c>
      <c r="F13892" s="196">
        <v>1805694</v>
      </c>
      <c r="G13892" s="196">
        <v>11228857</v>
      </c>
    </row>
    <row r="13893" spans="1:7" x14ac:dyDescent="0.3">
      <c r="A13893" s="197">
        <v>516020</v>
      </c>
      <c r="B13893" s="191" t="s">
        <v>7578</v>
      </c>
      <c r="C13893" s="195">
        <v>17143515</v>
      </c>
      <c r="D13893" s="195">
        <v>3345577</v>
      </c>
      <c r="E13893" s="195">
        <v>0</v>
      </c>
      <c r="F13893" s="195">
        <v>3345577</v>
      </c>
      <c r="G13893" s="195">
        <v>20489092</v>
      </c>
    </row>
    <row r="13894" spans="1:7" x14ac:dyDescent="0.3">
      <c r="A13894" s="198">
        <v>51602001</v>
      </c>
      <c r="B13894" s="192" t="s">
        <v>7578</v>
      </c>
      <c r="C13894" s="196">
        <v>17143515</v>
      </c>
      <c r="D13894" s="196">
        <v>3345577</v>
      </c>
      <c r="E13894" s="196">
        <v>0</v>
      </c>
      <c r="F13894" s="196">
        <v>3345577</v>
      </c>
      <c r="G13894" s="196">
        <v>20489092</v>
      </c>
    </row>
    <row r="13895" spans="1:7" x14ac:dyDescent="0.3">
      <c r="A13895" s="198">
        <v>900755062</v>
      </c>
      <c r="B13895" s="192" t="s">
        <v>1700</v>
      </c>
      <c r="C13895" s="196">
        <v>17143515</v>
      </c>
      <c r="D13895" s="196">
        <v>3345577</v>
      </c>
      <c r="E13895" s="196">
        <v>0</v>
      </c>
      <c r="F13895" s="196">
        <v>3345577</v>
      </c>
      <c r="G13895" s="196">
        <v>20489092</v>
      </c>
    </row>
    <row r="13896" spans="1:7" x14ac:dyDescent="0.3">
      <c r="A13896" s="197">
        <v>516030</v>
      </c>
      <c r="B13896" s="191" t="s">
        <v>7579</v>
      </c>
      <c r="C13896" s="195">
        <v>214799946</v>
      </c>
      <c r="D13896" s="195">
        <v>36612706</v>
      </c>
      <c r="E13896" s="195">
        <v>0</v>
      </c>
      <c r="F13896" s="195">
        <v>36612706</v>
      </c>
      <c r="G13896" s="195">
        <v>251412652</v>
      </c>
    </row>
    <row r="13897" spans="1:7" x14ac:dyDescent="0.3">
      <c r="A13897" s="198">
        <v>51603001</v>
      </c>
      <c r="B13897" s="192" t="s">
        <v>7579</v>
      </c>
      <c r="C13897" s="196">
        <v>214799946</v>
      </c>
      <c r="D13897" s="196">
        <v>36612706</v>
      </c>
      <c r="E13897" s="196">
        <v>0</v>
      </c>
      <c r="F13897" s="196">
        <v>36612706</v>
      </c>
      <c r="G13897" s="196">
        <v>251412652</v>
      </c>
    </row>
    <row r="13898" spans="1:7" x14ac:dyDescent="0.3">
      <c r="A13898" s="198">
        <v>900755062</v>
      </c>
      <c r="B13898" s="192" t="s">
        <v>1700</v>
      </c>
      <c r="C13898" s="196">
        <v>214799946</v>
      </c>
      <c r="D13898" s="196">
        <v>36612706</v>
      </c>
      <c r="E13898" s="196">
        <v>0</v>
      </c>
      <c r="F13898" s="196">
        <v>36612706</v>
      </c>
      <c r="G13898" s="196">
        <v>251412652</v>
      </c>
    </row>
    <row r="13899" spans="1:7" x14ac:dyDescent="0.3">
      <c r="A13899" s="197">
        <v>5165</v>
      </c>
      <c r="B13899" s="191" t="s">
        <v>7580</v>
      </c>
      <c r="C13899" s="195">
        <v>56656974</v>
      </c>
      <c r="D13899" s="195">
        <v>9442829</v>
      </c>
      <c r="E13899" s="195">
        <v>0</v>
      </c>
      <c r="F13899" s="195">
        <v>9442829</v>
      </c>
      <c r="G13899" s="195">
        <v>66099803</v>
      </c>
    </row>
    <row r="13900" spans="1:7" x14ac:dyDescent="0.3">
      <c r="A13900" s="197">
        <v>516515</v>
      </c>
      <c r="B13900" s="191" t="s">
        <v>7581</v>
      </c>
      <c r="C13900" s="195">
        <v>56656974</v>
      </c>
      <c r="D13900" s="195">
        <v>9442829</v>
      </c>
      <c r="E13900" s="195">
        <v>0</v>
      </c>
      <c r="F13900" s="195">
        <v>9442829</v>
      </c>
      <c r="G13900" s="195">
        <v>66099803</v>
      </c>
    </row>
    <row r="13901" spans="1:7" x14ac:dyDescent="0.3">
      <c r="A13901" s="198">
        <v>51651501</v>
      </c>
      <c r="B13901" s="192" t="s">
        <v>7431</v>
      </c>
      <c r="C13901" s="196">
        <v>56656974</v>
      </c>
      <c r="D13901" s="196">
        <v>9442829</v>
      </c>
      <c r="E13901" s="196">
        <v>0</v>
      </c>
      <c r="F13901" s="196">
        <v>9442829</v>
      </c>
      <c r="G13901" s="196">
        <v>66099803</v>
      </c>
    </row>
    <row r="13902" spans="1:7" x14ac:dyDescent="0.3">
      <c r="A13902" s="198">
        <v>860019041</v>
      </c>
      <c r="B13902" s="192" t="s">
        <v>1647</v>
      </c>
      <c r="C13902" s="196">
        <v>56656974</v>
      </c>
      <c r="D13902" s="196">
        <v>9442829</v>
      </c>
      <c r="E13902" s="196">
        <v>0</v>
      </c>
      <c r="F13902" s="196">
        <v>9442829</v>
      </c>
      <c r="G13902" s="196">
        <v>66099803</v>
      </c>
    </row>
    <row r="13903" spans="1:7" x14ac:dyDescent="0.3">
      <c r="A13903" s="197">
        <v>5195</v>
      </c>
      <c r="B13903" s="191" t="s">
        <v>7582</v>
      </c>
      <c r="C13903" s="195">
        <v>174964255.49000001</v>
      </c>
      <c r="D13903" s="195">
        <v>30389586.030000001</v>
      </c>
      <c r="E13903" s="195">
        <v>1314950</v>
      </c>
      <c r="F13903" s="195">
        <v>29074636.030000001</v>
      </c>
      <c r="G13903" s="195">
        <v>204038891.52000001</v>
      </c>
    </row>
    <row r="13904" spans="1:7" x14ac:dyDescent="0.3">
      <c r="A13904" s="197">
        <v>519505</v>
      </c>
      <c r="B13904" s="191" t="s">
        <v>7583</v>
      </c>
      <c r="C13904" s="195">
        <v>943670</v>
      </c>
      <c r="D13904" s="195">
        <v>2281825</v>
      </c>
      <c r="E13904" s="195">
        <v>1314950</v>
      </c>
      <c r="F13904" s="195">
        <v>966875</v>
      </c>
      <c r="G13904" s="195">
        <v>1910545</v>
      </c>
    </row>
    <row r="13905" spans="1:7" x14ac:dyDescent="0.3">
      <c r="A13905" s="198">
        <v>51950501</v>
      </c>
      <c r="B13905" s="192" t="s">
        <v>7583</v>
      </c>
      <c r="C13905" s="196">
        <v>793000</v>
      </c>
      <c r="D13905" s="196">
        <v>1936025</v>
      </c>
      <c r="E13905" s="196">
        <v>1123525</v>
      </c>
      <c r="F13905" s="196">
        <v>812500</v>
      </c>
      <c r="G13905" s="196">
        <v>1605500</v>
      </c>
    </row>
    <row r="13906" spans="1:7" x14ac:dyDescent="0.3">
      <c r="A13906" s="198">
        <v>901216768</v>
      </c>
      <c r="B13906" s="192" t="s">
        <v>97</v>
      </c>
      <c r="C13906" s="196">
        <v>793000</v>
      </c>
      <c r="D13906" s="196">
        <v>1936025</v>
      </c>
      <c r="E13906" s="196">
        <v>1123525</v>
      </c>
      <c r="F13906" s="196">
        <v>812500</v>
      </c>
      <c r="G13906" s="196">
        <v>1605500</v>
      </c>
    </row>
    <row r="13907" spans="1:7" x14ac:dyDescent="0.3">
      <c r="A13907" s="198">
        <v>51950598</v>
      </c>
      <c r="B13907" s="192" t="s">
        <v>7584</v>
      </c>
      <c r="C13907" s="196">
        <v>150670</v>
      </c>
      <c r="D13907" s="196">
        <v>345800</v>
      </c>
      <c r="E13907" s="196">
        <v>191425</v>
      </c>
      <c r="F13907" s="196">
        <v>154375</v>
      </c>
      <c r="G13907" s="196">
        <v>305045</v>
      </c>
    </row>
    <row r="13908" spans="1:7" x14ac:dyDescent="0.3">
      <c r="A13908" s="198">
        <v>901216768</v>
      </c>
      <c r="B13908" s="192" t="s">
        <v>97</v>
      </c>
      <c r="C13908" s="196">
        <v>150670</v>
      </c>
      <c r="D13908" s="196">
        <v>345800</v>
      </c>
      <c r="E13908" s="196">
        <v>191425</v>
      </c>
      <c r="F13908" s="196">
        <v>154375</v>
      </c>
      <c r="G13908" s="196">
        <v>305045</v>
      </c>
    </row>
    <row r="13909" spans="1:7" x14ac:dyDescent="0.3">
      <c r="A13909" s="197">
        <v>519520</v>
      </c>
      <c r="B13909" s="191" t="s">
        <v>7585</v>
      </c>
      <c r="C13909" s="195">
        <v>108375733.7</v>
      </c>
      <c r="D13909" s="195">
        <v>19804302.600000001</v>
      </c>
      <c r="E13909" s="195">
        <v>0</v>
      </c>
      <c r="F13909" s="195">
        <v>19804302.600000001</v>
      </c>
      <c r="G13909" s="195">
        <v>128180036.3</v>
      </c>
    </row>
    <row r="13910" spans="1:7" x14ac:dyDescent="0.3">
      <c r="A13910" s="198">
        <v>51952001</v>
      </c>
      <c r="B13910" s="192" t="s">
        <v>7585</v>
      </c>
      <c r="C13910" s="196">
        <v>107359157.59</v>
      </c>
      <c r="D13910" s="196">
        <v>19651426.030000001</v>
      </c>
      <c r="E13910" s="196">
        <v>0</v>
      </c>
      <c r="F13910" s="196">
        <v>19651426.030000001</v>
      </c>
      <c r="G13910" s="196">
        <v>127010583.62</v>
      </c>
    </row>
    <row r="13911" spans="1:7" x14ac:dyDescent="0.3">
      <c r="A13911" s="198">
        <v>901977424</v>
      </c>
      <c r="B13911" s="192" t="s">
        <v>1861</v>
      </c>
      <c r="C13911" s="196">
        <v>0</v>
      </c>
      <c r="D13911" s="196">
        <v>117407</v>
      </c>
      <c r="E13911" s="196">
        <v>0</v>
      </c>
      <c r="F13911" s="196">
        <v>117407</v>
      </c>
      <c r="G13911" s="196">
        <v>117407</v>
      </c>
    </row>
    <row r="13912" spans="1:7" x14ac:dyDescent="0.3">
      <c r="A13912" s="198">
        <v>98561296</v>
      </c>
      <c r="B13912" s="192" t="s">
        <v>7483</v>
      </c>
      <c r="C13912" s="196">
        <v>152778</v>
      </c>
      <c r="D13912" s="196">
        <v>0</v>
      </c>
      <c r="E13912" s="196">
        <v>0</v>
      </c>
      <c r="F13912" s="196">
        <v>0</v>
      </c>
      <c r="G13912" s="196">
        <v>152778</v>
      </c>
    </row>
    <row r="13913" spans="1:7" x14ac:dyDescent="0.3">
      <c r="A13913" s="198">
        <v>1020423981</v>
      </c>
      <c r="B13913" s="192" t="s">
        <v>2030</v>
      </c>
      <c r="C13913" s="196">
        <v>25000</v>
      </c>
      <c r="D13913" s="196">
        <v>0</v>
      </c>
      <c r="E13913" s="196">
        <v>0</v>
      </c>
      <c r="F13913" s="196">
        <v>0</v>
      </c>
      <c r="G13913" s="196">
        <v>25000</v>
      </c>
    </row>
    <row r="13914" spans="1:7" x14ac:dyDescent="0.3">
      <c r="A13914" s="198">
        <v>901784030</v>
      </c>
      <c r="B13914" s="192" t="s">
        <v>7484</v>
      </c>
      <c r="C13914" s="196">
        <v>82870</v>
      </c>
      <c r="D13914" s="196">
        <v>0</v>
      </c>
      <c r="E13914" s="196">
        <v>0</v>
      </c>
      <c r="F13914" s="196">
        <v>0</v>
      </c>
      <c r="G13914" s="196">
        <v>82870</v>
      </c>
    </row>
    <row r="13915" spans="1:7" x14ac:dyDescent="0.3">
      <c r="A13915" s="198">
        <v>890900841</v>
      </c>
      <c r="B13915" s="192" t="s">
        <v>1866</v>
      </c>
      <c r="C13915" s="196">
        <v>0</v>
      </c>
      <c r="D13915" s="196">
        <v>158400</v>
      </c>
      <c r="E13915" s="196">
        <v>0</v>
      </c>
      <c r="F13915" s="196">
        <v>158400</v>
      </c>
      <c r="G13915" s="196">
        <v>158400</v>
      </c>
    </row>
    <row r="13916" spans="1:7" x14ac:dyDescent="0.3">
      <c r="A13916" s="198">
        <v>1152689568</v>
      </c>
      <c r="B13916" s="192" t="s">
        <v>1705</v>
      </c>
      <c r="C13916" s="196">
        <v>25000</v>
      </c>
      <c r="D13916" s="196">
        <v>0</v>
      </c>
      <c r="E13916" s="196">
        <v>0</v>
      </c>
      <c r="F13916" s="196">
        <v>0</v>
      </c>
      <c r="G13916" s="196">
        <v>25000</v>
      </c>
    </row>
    <row r="13917" spans="1:7" x14ac:dyDescent="0.3">
      <c r="A13917" s="198">
        <v>32144343</v>
      </c>
      <c r="B13917" s="192" t="s">
        <v>1706</v>
      </c>
      <c r="C13917" s="196">
        <v>25000</v>
      </c>
      <c r="D13917" s="196">
        <v>0</v>
      </c>
      <c r="E13917" s="196">
        <v>0</v>
      </c>
      <c r="F13917" s="196">
        <v>0</v>
      </c>
      <c r="G13917" s="196">
        <v>25000</v>
      </c>
    </row>
    <row r="13918" spans="1:7" x14ac:dyDescent="0.3">
      <c r="A13918" s="198">
        <v>800180330</v>
      </c>
      <c r="B13918" s="192" t="s">
        <v>1873</v>
      </c>
      <c r="C13918" s="196">
        <v>248000</v>
      </c>
      <c r="D13918" s="196">
        <v>280000</v>
      </c>
      <c r="E13918" s="196">
        <v>0</v>
      </c>
      <c r="F13918" s="196">
        <v>280000</v>
      </c>
      <c r="G13918" s="196">
        <v>528000</v>
      </c>
    </row>
    <row r="13919" spans="1:7" x14ac:dyDescent="0.3">
      <c r="A13919" s="198">
        <v>1002422647</v>
      </c>
      <c r="B13919" s="192" t="s">
        <v>7586</v>
      </c>
      <c r="C13919" s="196">
        <v>255000</v>
      </c>
      <c r="D13919" s="196">
        <v>0</v>
      </c>
      <c r="E13919" s="196">
        <v>0</v>
      </c>
      <c r="F13919" s="196">
        <v>0</v>
      </c>
      <c r="G13919" s="196">
        <v>255000</v>
      </c>
    </row>
    <row r="13920" spans="1:7" x14ac:dyDescent="0.3">
      <c r="A13920" s="198">
        <v>1017266622</v>
      </c>
      <c r="B13920" s="192" t="s">
        <v>1707</v>
      </c>
      <c r="C13920" s="196">
        <v>103333.33</v>
      </c>
      <c r="D13920" s="196">
        <v>0</v>
      </c>
      <c r="E13920" s="196">
        <v>0</v>
      </c>
      <c r="F13920" s="196">
        <v>0</v>
      </c>
      <c r="G13920" s="196">
        <v>103333.33</v>
      </c>
    </row>
    <row r="13921" spans="1:7" x14ac:dyDescent="0.3">
      <c r="A13921" s="198">
        <v>3901013</v>
      </c>
      <c r="B13921" s="192" t="s">
        <v>1709</v>
      </c>
      <c r="C13921" s="196">
        <v>140733.32999999999</v>
      </c>
      <c r="D13921" s="196">
        <v>0</v>
      </c>
      <c r="E13921" s="196">
        <v>0</v>
      </c>
      <c r="F13921" s="196">
        <v>0</v>
      </c>
      <c r="G13921" s="196">
        <v>140733.32999999999</v>
      </c>
    </row>
    <row r="13922" spans="1:7" x14ac:dyDescent="0.3">
      <c r="A13922" s="198">
        <v>43605890</v>
      </c>
      <c r="B13922" s="192" t="s">
        <v>565</v>
      </c>
      <c r="C13922" s="196">
        <v>1058200</v>
      </c>
      <c r="D13922" s="196">
        <v>1350000</v>
      </c>
      <c r="E13922" s="196">
        <v>0</v>
      </c>
      <c r="F13922" s="196">
        <v>1350000</v>
      </c>
      <c r="G13922" s="196">
        <v>2408200</v>
      </c>
    </row>
    <row r="13923" spans="1:7" x14ac:dyDescent="0.3">
      <c r="A13923" s="198">
        <v>1036685923</v>
      </c>
      <c r="B13923" s="192" t="s">
        <v>1710</v>
      </c>
      <c r="C13923" s="196">
        <v>103333.33</v>
      </c>
      <c r="D13923" s="196">
        <v>0</v>
      </c>
      <c r="E13923" s="196">
        <v>0</v>
      </c>
      <c r="F13923" s="196">
        <v>0</v>
      </c>
      <c r="G13923" s="196">
        <v>103333.33</v>
      </c>
    </row>
    <row r="13924" spans="1:7" x14ac:dyDescent="0.3">
      <c r="A13924" s="198">
        <v>900178348</v>
      </c>
      <c r="B13924" s="192" t="s">
        <v>1887</v>
      </c>
      <c r="C13924" s="196">
        <v>464184.92</v>
      </c>
      <c r="D13924" s="196">
        <v>47058.82</v>
      </c>
      <c r="E13924" s="196">
        <v>0</v>
      </c>
      <c r="F13924" s="196">
        <v>47058.82</v>
      </c>
      <c r="G13924" s="196">
        <v>511243.74</v>
      </c>
    </row>
    <row r="13925" spans="1:7" x14ac:dyDescent="0.3">
      <c r="A13925" s="198">
        <v>900528916</v>
      </c>
      <c r="B13925" s="192" t="s">
        <v>7486</v>
      </c>
      <c r="C13925" s="196">
        <v>173056</v>
      </c>
      <c r="D13925" s="196">
        <v>0</v>
      </c>
      <c r="E13925" s="196">
        <v>0</v>
      </c>
      <c r="F13925" s="196">
        <v>0</v>
      </c>
      <c r="G13925" s="196">
        <v>173056</v>
      </c>
    </row>
    <row r="13926" spans="1:7" x14ac:dyDescent="0.3">
      <c r="A13926" s="198">
        <v>39700992</v>
      </c>
      <c r="B13926" s="192" t="s">
        <v>7587</v>
      </c>
      <c r="C13926" s="196">
        <v>40000</v>
      </c>
      <c r="D13926" s="196">
        <v>0</v>
      </c>
      <c r="E13926" s="196">
        <v>0</v>
      </c>
      <c r="F13926" s="196">
        <v>0</v>
      </c>
      <c r="G13926" s="196">
        <v>40000</v>
      </c>
    </row>
    <row r="13927" spans="1:7" x14ac:dyDescent="0.3">
      <c r="A13927" s="198">
        <v>900661278</v>
      </c>
      <c r="B13927" s="192" t="s">
        <v>1895</v>
      </c>
      <c r="C13927" s="196">
        <v>44800</v>
      </c>
      <c r="D13927" s="196">
        <v>143055.5</v>
      </c>
      <c r="E13927" s="196">
        <v>0</v>
      </c>
      <c r="F13927" s="196">
        <v>143055.5</v>
      </c>
      <c r="G13927" s="196">
        <v>187855.5</v>
      </c>
    </row>
    <row r="13928" spans="1:7" x14ac:dyDescent="0.3">
      <c r="A13928" s="198">
        <v>901774397</v>
      </c>
      <c r="B13928" s="192" t="s">
        <v>1898</v>
      </c>
      <c r="C13928" s="196">
        <v>113333</v>
      </c>
      <c r="D13928" s="196">
        <v>0</v>
      </c>
      <c r="E13928" s="196">
        <v>0</v>
      </c>
      <c r="F13928" s="196">
        <v>0</v>
      </c>
      <c r="G13928" s="196">
        <v>113333</v>
      </c>
    </row>
    <row r="13929" spans="1:7" x14ac:dyDescent="0.3">
      <c r="A13929" s="198">
        <v>901207319</v>
      </c>
      <c r="B13929" s="192" t="s">
        <v>7588</v>
      </c>
      <c r="C13929" s="196">
        <v>155966</v>
      </c>
      <c r="D13929" s="196">
        <v>0</v>
      </c>
      <c r="E13929" s="196">
        <v>0</v>
      </c>
      <c r="F13929" s="196">
        <v>0</v>
      </c>
      <c r="G13929" s="196">
        <v>155966</v>
      </c>
    </row>
    <row r="13930" spans="1:7" x14ac:dyDescent="0.3">
      <c r="A13930" s="198">
        <v>3587880</v>
      </c>
      <c r="B13930" s="192" t="s">
        <v>7589</v>
      </c>
      <c r="C13930" s="196">
        <v>185000</v>
      </c>
      <c r="D13930" s="196">
        <v>0</v>
      </c>
      <c r="E13930" s="196">
        <v>0</v>
      </c>
      <c r="F13930" s="196">
        <v>0</v>
      </c>
      <c r="G13930" s="196">
        <v>185000</v>
      </c>
    </row>
    <row r="13931" spans="1:7" x14ac:dyDescent="0.3">
      <c r="A13931" s="198">
        <v>1127941782</v>
      </c>
      <c r="B13931" s="192" t="s">
        <v>1618</v>
      </c>
      <c r="C13931" s="196">
        <v>9800</v>
      </c>
      <c r="D13931" s="196">
        <v>0</v>
      </c>
      <c r="E13931" s="196">
        <v>0</v>
      </c>
      <c r="F13931" s="196">
        <v>0</v>
      </c>
      <c r="G13931" s="196">
        <v>9800</v>
      </c>
    </row>
    <row r="13932" spans="1:7" x14ac:dyDescent="0.3">
      <c r="A13932" s="198">
        <v>1152440998</v>
      </c>
      <c r="B13932" s="192" t="s">
        <v>2039</v>
      </c>
      <c r="C13932" s="196">
        <v>25000</v>
      </c>
      <c r="D13932" s="196">
        <v>0</v>
      </c>
      <c r="E13932" s="196">
        <v>0</v>
      </c>
      <c r="F13932" s="196">
        <v>0</v>
      </c>
      <c r="G13932" s="196">
        <v>25000</v>
      </c>
    </row>
    <row r="13933" spans="1:7" x14ac:dyDescent="0.3">
      <c r="A13933" s="198">
        <v>1216723387</v>
      </c>
      <c r="B13933" s="192" t="s">
        <v>1713</v>
      </c>
      <c r="C13933" s="196">
        <v>25000</v>
      </c>
      <c r="D13933" s="196">
        <v>0</v>
      </c>
      <c r="E13933" s="196">
        <v>0</v>
      </c>
      <c r="F13933" s="196">
        <v>0</v>
      </c>
      <c r="G13933" s="196">
        <v>25000</v>
      </c>
    </row>
    <row r="13934" spans="1:7" x14ac:dyDescent="0.3">
      <c r="A13934" s="198">
        <v>1040752245</v>
      </c>
      <c r="B13934" s="192" t="s">
        <v>1678</v>
      </c>
      <c r="C13934" s="196">
        <v>41200</v>
      </c>
      <c r="D13934" s="196">
        <v>0</v>
      </c>
      <c r="E13934" s="196">
        <v>0</v>
      </c>
      <c r="F13934" s="196">
        <v>0</v>
      </c>
      <c r="G13934" s="196">
        <v>41200</v>
      </c>
    </row>
    <row r="13935" spans="1:7" x14ac:dyDescent="0.3">
      <c r="A13935" s="198">
        <v>1128385262</v>
      </c>
      <c r="B13935" s="192" t="s">
        <v>1714</v>
      </c>
      <c r="C13935" s="196">
        <v>25000</v>
      </c>
      <c r="D13935" s="196">
        <v>0</v>
      </c>
      <c r="E13935" s="196">
        <v>0</v>
      </c>
      <c r="F13935" s="196">
        <v>0</v>
      </c>
      <c r="G13935" s="196">
        <v>25000</v>
      </c>
    </row>
    <row r="13936" spans="1:7" x14ac:dyDescent="0.3">
      <c r="A13936" s="198">
        <v>900924249</v>
      </c>
      <c r="B13936" s="192" t="s">
        <v>1922</v>
      </c>
      <c r="C13936" s="196">
        <v>373240.73</v>
      </c>
      <c r="D13936" s="196">
        <v>0</v>
      </c>
      <c r="E13936" s="196">
        <v>0</v>
      </c>
      <c r="F13936" s="196">
        <v>0</v>
      </c>
      <c r="G13936" s="196">
        <v>373240.73</v>
      </c>
    </row>
    <row r="13937" spans="1:7" x14ac:dyDescent="0.3">
      <c r="A13937" s="198">
        <v>1020431035</v>
      </c>
      <c r="B13937" s="192" t="s">
        <v>1923</v>
      </c>
      <c r="C13937" s="196">
        <v>25000</v>
      </c>
      <c r="D13937" s="196">
        <v>0</v>
      </c>
      <c r="E13937" s="196">
        <v>0</v>
      </c>
      <c r="F13937" s="196">
        <v>0</v>
      </c>
      <c r="G13937" s="196">
        <v>25000</v>
      </c>
    </row>
    <row r="13938" spans="1:7" x14ac:dyDescent="0.3">
      <c r="A13938" s="198">
        <v>1035858442</v>
      </c>
      <c r="B13938" s="192" t="s">
        <v>1927</v>
      </c>
      <c r="C13938" s="196">
        <v>25000</v>
      </c>
      <c r="D13938" s="196">
        <v>43700</v>
      </c>
      <c r="E13938" s="196">
        <v>0</v>
      </c>
      <c r="F13938" s="196">
        <v>43700</v>
      </c>
      <c r="G13938" s="196">
        <v>68700</v>
      </c>
    </row>
    <row r="13939" spans="1:7" x14ac:dyDescent="0.3">
      <c r="A13939" s="198">
        <v>1036639954</v>
      </c>
      <c r="B13939" s="192" t="s">
        <v>2047</v>
      </c>
      <c r="C13939" s="196">
        <v>25000</v>
      </c>
      <c r="D13939" s="196">
        <v>0</v>
      </c>
      <c r="E13939" s="196">
        <v>0</v>
      </c>
      <c r="F13939" s="196">
        <v>0</v>
      </c>
      <c r="G13939" s="196">
        <v>25000</v>
      </c>
    </row>
    <row r="13940" spans="1:7" x14ac:dyDescent="0.3">
      <c r="A13940" s="198">
        <v>901449777</v>
      </c>
      <c r="B13940" s="192" t="s">
        <v>7590</v>
      </c>
      <c r="C13940" s="196">
        <v>33403.370000000003</v>
      </c>
      <c r="D13940" s="196">
        <v>0</v>
      </c>
      <c r="E13940" s="196">
        <v>0</v>
      </c>
      <c r="F13940" s="196">
        <v>0</v>
      </c>
      <c r="G13940" s="196">
        <v>33403.370000000003</v>
      </c>
    </row>
    <row r="13941" spans="1:7" x14ac:dyDescent="0.3">
      <c r="A13941" s="198">
        <v>1013456905</v>
      </c>
      <c r="B13941" s="192" t="s">
        <v>1932</v>
      </c>
      <c r="C13941" s="196">
        <v>0</v>
      </c>
      <c r="D13941" s="196">
        <v>25000</v>
      </c>
      <c r="E13941" s="196">
        <v>0</v>
      </c>
      <c r="F13941" s="196">
        <v>25000</v>
      </c>
      <c r="G13941" s="196">
        <v>25000</v>
      </c>
    </row>
    <row r="13942" spans="1:7" x14ac:dyDescent="0.3">
      <c r="A13942" s="198">
        <v>1214732527</v>
      </c>
      <c r="B13942" s="192" t="s">
        <v>1983</v>
      </c>
      <c r="C13942" s="196">
        <v>25000</v>
      </c>
      <c r="D13942" s="196">
        <v>0</v>
      </c>
      <c r="E13942" s="196">
        <v>0</v>
      </c>
      <c r="F13942" s="196">
        <v>0</v>
      </c>
      <c r="G13942" s="196">
        <v>25000</v>
      </c>
    </row>
    <row r="13943" spans="1:7" x14ac:dyDescent="0.3">
      <c r="A13943" s="198">
        <v>43800621</v>
      </c>
      <c r="B13943" s="192" t="s">
        <v>1933</v>
      </c>
      <c r="C13943" s="196">
        <v>124400</v>
      </c>
      <c r="D13943" s="196">
        <v>51000</v>
      </c>
      <c r="E13943" s="196">
        <v>0</v>
      </c>
      <c r="F13943" s="196">
        <v>51000</v>
      </c>
      <c r="G13943" s="196">
        <v>175400</v>
      </c>
    </row>
    <row r="13944" spans="1:7" x14ac:dyDescent="0.3">
      <c r="A13944" s="198">
        <v>900201094</v>
      </c>
      <c r="B13944" s="192" t="s">
        <v>1937</v>
      </c>
      <c r="C13944" s="196">
        <v>785778</v>
      </c>
      <c r="D13944" s="196">
        <v>208250</v>
      </c>
      <c r="E13944" s="196">
        <v>0</v>
      </c>
      <c r="F13944" s="196">
        <v>208250</v>
      </c>
      <c r="G13944" s="196">
        <v>994028</v>
      </c>
    </row>
    <row r="13945" spans="1:7" x14ac:dyDescent="0.3">
      <c r="A13945" s="198">
        <v>901607321</v>
      </c>
      <c r="B13945" s="192" t="s">
        <v>7591</v>
      </c>
      <c r="C13945" s="196">
        <v>25900</v>
      </c>
      <c r="D13945" s="196">
        <v>0</v>
      </c>
      <c r="E13945" s="196">
        <v>0</v>
      </c>
      <c r="F13945" s="196">
        <v>0</v>
      </c>
      <c r="G13945" s="196">
        <v>25900</v>
      </c>
    </row>
    <row r="13946" spans="1:7" x14ac:dyDescent="0.3">
      <c r="A13946" s="198">
        <v>900209956</v>
      </c>
      <c r="B13946" s="192" t="s">
        <v>1947</v>
      </c>
      <c r="C13946" s="196">
        <v>101833941</v>
      </c>
      <c r="D13946" s="196">
        <v>17215790</v>
      </c>
      <c r="E13946" s="196">
        <v>0</v>
      </c>
      <c r="F13946" s="196">
        <v>17215790</v>
      </c>
      <c r="G13946" s="196">
        <v>119049731</v>
      </c>
    </row>
    <row r="13947" spans="1:7" x14ac:dyDescent="0.3">
      <c r="A13947" s="198">
        <v>830112317</v>
      </c>
      <c r="B13947" s="192" t="s">
        <v>7592</v>
      </c>
      <c r="C13947" s="196">
        <v>160673.93</v>
      </c>
      <c r="D13947" s="196">
        <v>0</v>
      </c>
      <c r="E13947" s="196">
        <v>0</v>
      </c>
      <c r="F13947" s="196">
        <v>0</v>
      </c>
      <c r="G13947" s="196">
        <v>160673.93</v>
      </c>
    </row>
    <row r="13948" spans="1:7" x14ac:dyDescent="0.3">
      <c r="A13948" s="198">
        <v>811023238</v>
      </c>
      <c r="B13948" s="192" t="s">
        <v>7488</v>
      </c>
      <c r="C13948" s="196">
        <v>283425.93</v>
      </c>
      <c r="D13948" s="196">
        <v>0</v>
      </c>
      <c r="E13948" s="196">
        <v>0</v>
      </c>
      <c r="F13948" s="196">
        <v>0</v>
      </c>
      <c r="G13948" s="196">
        <v>283425.93</v>
      </c>
    </row>
    <row r="13949" spans="1:7" x14ac:dyDescent="0.3">
      <c r="A13949" s="198">
        <v>1028042115</v>
      </c>
      <c r="B13949" s="192" t="s">
        <v>2067</v>
      </c>
      <c r="C13949" s="196">
        <v>25000</v>
      </c>
      <c r="D13949" s="196">
        <v>0</v>
      </c>
      <c r="E13949" s="196">
        <v>0</v>
      </c>
      <c r="F13949" s="196">
        <v>0</v>
      </c>
      <c r="G13949" s="196">
        <v>25000</v>
      </c>
    </row>
    <row r="13950" spans="1:7" x14ac:dyDescent="0.3">
      <c r="A13950" s="198">
        <v>900943243</v>
      </c>
      <c r="B13950" s="192" t="s">
        <v>1758</v>
      </c>
      <c r="C13950" s="196">
        <v>16806.72</v>
      </c>
      <c r="D13950" s="196">
        <v>11764.71</v>
      </c>
      <c r="E13950" s="196">
        <v>0</v>
      </c>
      <c r="F13950" s="196">
        <v>11764.71</v>
      </c>
      <c r="G13950" s="196">
        <v>28571.43</v>
      </c>
    </row>
    <row r="13951" spans="1:7" x14ac:dyDescent="0.3">
      <c r="A13951" s="198">
        <v>1152207950</v>
      </c>
      <c r="B13951" s="192" t="s">
        <v>2056</v>
      </c>
      <c r="C13951" s="196">
        <v>25000</v>
      </c>
      <c r="D13951" s="196">
        <v>0</v>
      </c>
      <c r="E13951" s="196">
        <v>0</v>
      </c>
      <c r="F13951" s="196">
        <v>0</v>
      </c>
      <c r="G13951" s="196">
        <v>25000</v>
      </c>
    </row>
    <row r="13952" spans="1:7" x14ac:dyDescent="0.3">
      <c r="A13952" s="198">
        <v>1000639361</v>
      </c>
      <c r="B13952" s="192" t="s">
        <v>2058</v>
      </c>
      <c r="C13952" s="196">
        <v>25000</v>
      </c>
      <c r="D13952" s="196">
        <v>0</v>
      </c>
      <c r="E13952" s="196">
        <v>0</v>
      </c>
      <c r="F13952" s="196">
        <v>0</v>
      </c>
      <c r="G13952" s="196">
        <v>25000</v>
      </c>
    </row>
    <row r="13953" spans="1:7" x14ac:dyDescent="0.3">
      <c r="A13953" s="198">
        <v>32299587</v>
      </c>
      <c r="B13953" s="192" t="s">
        <v>2060</v>
      </c>
      <c r="C13953" s="196">
        <v>25000</v>
      </c>
      <c r="D13953" s="196">
        <v>0</v>
      </c>
      <c r="E13953" s="196">
        <v>0</v>
      </c>
      <c r="F13953" s="196">
        <v>0</v>
      </c>
      <c r="G13953" s="196">
        <v>25000</v>
      </c>
    </row>
    <row r="13954" spans="1:7" x14ac:dyDescent="0.3">
      <c r="A13954" s="198">
        <v>51952098</v>
      </c>
      <c r="B13954" s="192" t="s">
        <v>7593</v>
      </c>
      <c r="C13954" s="196">
        <v>1016576.11</v>
      </c>
      <c r="D13954" s="196">
        <v>152876.57</v>
      </c>
      <c r="E13954" s="196">
        <v>0</v>
      </c>
      <c r="F13954" s="196">
        <v>152876.57</v>
      </c>
      <c r="G13954" s="196">
        <v>1169452.68</v>
      </c>
    </row>
    <row r="13955" spans="1:7" x14ac:dyDescent="0.3">
      <c r="A13955" s="198">
        <v>900178348</v>
      </c>
      <c r="B13955" s="192" t="s">
        <v>1887</v>
      </c>
      <c r="C13955" s="196">
        <v>66915.06</v>
      </c>
      <c r="D13955" s="196">
        <v>8941.18</v>
      </c>
      <c r="E13955" s="196">
        <v>0</v>
      </c>
      <c r="F13955" s="196">
        <v>8941.18</v>
      </c>
      <c r="G13955" s="196">
        <v>75856.240000000005</v>
      </c>
    </row>
    <row r="13956" spans="1:7" x14ac:dyDescent="0.3">
      <c r="A13956" s="198">
        <v>39700992</v>
      </c>
      <c r="B13956" s="192" t="s">
        <v>7587</v>
      </c>
      <c r="C13956" s="196">
        <v>7600</v>
      </c>
      <c r="D13956" s="196">
        <v>0</v>
      </c>
      <c r="E13956" s="196">
        <v>0</v>
      </c>
      <c r="F13956" s="196">
        <v>0</v>
      </c>
      <c r="G13956" s="196">
        <v>7600</v>
      </c>
    </row>
    <row r="13957" spans="1:7" x14ac:dyDescent="0.3">
      <c r="A13957" s="198">
        <v>901207319</v>
      </c>
      <c r="B13957" s="192" t="s">
        <v>7588</v>
      </c>
      <c r="C13957" s="196">
        <v>29633.54</v>
      </c>
      <c r="D13957" s="196">
        <v>0</v>
      </c>
      <c r="E13957" s="196">
        <v>0</v>
      </c>
      <c r="F13957" s="196">
        <v>0</v>
      </c>
      <c r="G13957" s="196">
        <v>29633.54</v>
      </c>
    </row>
    <row r="13958" spans="1:7" x14ac:dyDescent="0.3">
      <c r="A13958" s="198">
        <v>901449777</v>
      </c>
      <c r="B13958" s="192" t="s">
        <v>7590</v>
      </c>
      <c r="C13958" s="196">
        <v>6346.64</v>
      </c>
      <c r="D13958" s="196">
        <v>0</v>
      </c>
      <c r="E13958" s="196">
        <v>0</v>
      </c>
      <c r="F13958" s="196">
        <v>0</v>
      </c>
      <c r="G13958" s="196">
        <v>6346.64</v>
      </c>
    </row>
    <row r="13959" spans="1:7" x14ac:dyDescent="0.3">
      <c r="A13959" s="198">
        <v>900209956</v>
      </c>
      <c r="B13959" s="192" t="s">
        <v>1947</v>
      </c>
      <c r="C13959" s="196">
        <v>881061.54</v>
      </c>
      <c r="D13959" s="196">
        <v>141700.1</v>
      </c>
      <c r="E13959" s="196">
        <v>0</v>
      </c>
      <c r="F13959" s="196">
        <v>141700.1</v>
      </c>
      <c r="G13959" s="196">
        <v>1022761.64</v>
      </c>
    </row>
    <row r="13960" spans="1:7" x14ac:dyDescent="0.3">
      <c r="A13960" s="198">
        <v>830112317</v>
      </c>
      <c r="B13960" s="192" t="s">
        <v>7592</v>
      </c>
      <c r="C13960" s="196">
        <v>21826.05</v>
      </c>
      <c r="D13960" s="196">
        <v>0</v>
      </c>
      <c r="E13960" s="196">
        <v>0</v>
      </c>
      <c r="F13960" s="196">
        <v>0</v>
      </c>
      <c r="G13960" s="196">
        <v>21826.05</v>
      </c>
    </row>
    <row r="13961" spans="1:7" x14ac:dyDescent="0.3">
      <c r="A13961" s="198">
        <v>900943243</v>
      </c>
      <c r="B13961" s="192" t="s">
        <v>1758</v>
      </c>
      <c r="C13961" s="196">
        <v>3193.28</v>
      </c>
      <c r="D13961" s="196">
        <v>2235.29</v>
      </c>
      <c r="E13961" s="196">
        <v>0</v>
      </c>
      <c r="F13961" s="196">
        <v>2235.29</v>
      </c>
      <c r="G13961" s="196">
        <v>5428.57</v>
      </c>
    </row>
    <row r="13962" spans="1:7" x14ac:dyDescent="0.3">
      <c r="A13962" s="197">
        <v>519525</v>
      </c>
      <c r="B13962" s="191" t="s">
        <v>7594</v>
      </c>
      <c r="C13962" s="195">
        <v>37856031.5</v>
      </c>
      <c r="D13962" s="195">
        <v>5835379.6799999997</v>
      </c>
      <c r="E13962" s="195">
        <v>0</v>
      </c>
      <c r="F13962" s="195">
        <v>5835379.6799999997</v>
      </c>
      <c r="G13962" s="195">
        <v>43691411.18</v>
      </c>
    </row>
    <row r="13963" spans="1:7" x14ac:dyDescent="0.3">
      <c r="A13963" s="198">
        <v>51952501</v>
      </c>
      <c r="B13963" s="192" t="s">
        <v>7595</v>
      </c>
      <c r="C13963" s="196">
        <v>29673555.379999999</v>
      </c>
      <c r="D13963" s="196">
        <v>3156630.58</v>
      </c>
      <c r="E13963" s="196">
        <v>0</v>
      </c>
      <c r="F13963" s="196">
        <v>3156630.58</v>
      </c>
      <c r="G13963" s="196">
        <v>32830185.960000001</v>
      </c>
    </row>
    <row r="13964" spans="1:7" x14ac:dyDescent="0.3">
      <c r="A13964" s="198">
        <v>890900608</v>
      </c>
      <c r="B13964" s="192" t="s">
        <v>1856</v>
      </c>
      <c r="C13964" s="196">
        <v>1971495.93</v>
      </c>
      <c r="D13964" s="196">
        <v>148731.1</v>
      </c>
      <c r="E13964" s="196">
        <v>0</v>
      </c>
      <c r="F13964" s="196">
        <v>148731.1</v>
      </c>
      <c r="G13964" s="196">
        <v>2120227.0299999998</v>
      </c>
    </row>
    <row r="13965" spans="1:7" x14ac:dyDescent="0.3">
      <c r="A13965" s="198">
        <v>901095278</v>
      </c>
      <c r="B13965" s="192" t="s">
        <v>7596</v>
      </c>
      <c r="C13965" s="196">
        <v>335210.07</v>
      </c>
      <c r="D13965" s="196">
        <v>0</v>
      </c>
      <c r="E13965" s="196">
        <v>0</v>
      </c>
      <c r="F13965" s="196">
        <v>0</v>
      </c>
      <c r="G13965" s="196">
        <v>335210.07</v>
      </c>
    </row>
    <row r="13966" spans="1:7" x14ac:dyDescent="0.3">
      <c r="A13966" s="198">
        <v>900557608</v>
      </c>
      <c r="B13966" s="192" t="s">
        <v>2248</v>
      </c>
      <c r="C13966" s="196">
        <v>2277000</v>
      </c>
      <c r="D13966" s="196">
        <v>0</v>
      </c>
      <c r="E13966" s="196">
        <v>0</v>
      </c>
      <c r="F13966" s="196">
        <v>0</v>
      </c>
      <c r="G13966" s="196">
        <v>2277000</v>
      </c>
    </row>
    <row r="13967" spans="1:7" x14ac:dyDescent="0.3">
      <c r="A13967" s="198">
        <v>901621282</v>
      </c>
      <c r="B13967" s="192" t="s">
        <v>7597</v>
      </c>
      <c r="C13967" s="196">
        <v>300266</v>
      </c>
      <c r="D13967" s="196">
        <v>0</v>
      </c>
      <c r="E13967" s="196">
        <v>0</v>
      </c>
      <c r="F13967" s="196">
        <v>0</v>
      </c>
      <c r="G13967" s="196">
        <v>300266</v>
      </c>
    </row>
    <row r="13968" spans="1:7" x14ac:dyDescent="0.3">
      <c r="A13968" s="198">
        <v>890941663</v>
      </c>
      <c r="B13968" s="192" t="s">
        <v>1879</v>
      </c>
      <c r="C13968" s="196">
        <v>3108</v>
      </c>
      <c r="D13968" s="196">
        <v>0</v>
      </c>
      <c r="E13968" s="196">
        <v>0</v>
      </c>
      <c r="F13968" s="196">
        <v>0</v>
      </c>
      <c r="G13968" s="196">
        <v>3108</v>
      </c>
    </row>
    <row r="13969" spans="1:7" x14ac:dyDescent="0.3">
      <c r="A13969" s="198">
        <v>900393480</v>
      </c>
      <c r="B13969" s="192" t="s">
        <v>1886</v>
      </c>
      <c r="C13969" s="196">
        <v>235053.12</v>
      </c>
      <c r="D13969" s="196">
        <v>0</v>
      </c>
      <c r="E13969" s="196">
        <v>0</v>
      </c>
      <c r="F13969" s="196">
        <v>0</v>
      </c>
      <c r="G13969" s="196">
        <v>235053.12</v>
      </c>
    </row>
    <row r="13970" spans="1:7" x14ac:dyDescent="0.3">
      <c r="A13970" s="198">
        <v>890903939</v>
      </c>
      <c r="B13970" s="192" t="s">
        <v>1889</v>
      </c>
      <c r="C13970" s="196">
        <v>33613.440000000002</v>
      </c>
      <c r="D13970" s="196">
        <v>0</v>
      </c>
      <c r="E13970" s="196">
        <v>0</v>
      </c>
      <c r="F13970" s="196">
        <v>0</v>
      </c>
      <c r="G13970" s="196">
        <v>33613.440000000002</v>
      </c>
    </row>
    <row r="13971" spans="1:7" x14ac:dyDescent="0.3">
      <c r="A13971" s="198">
        <v>800131750</v>
      </c>
      <c r="B13971" s="192" t="s">
        <v>1639</v>
      </c>
      <c r="C13971" s="196">
        <v>86890</v>
      </c>
      <c r="D13971" s="196">
        <v>0</v>
      </c>
      <c r="E13971" s="196">
        <v>0</v>
      </c>
      <c r="F13971" s="196">
        <v>0</v>
      </c>
      <c r="G13971" s="196">
        <v>86890</v>
      </c>
    </row>
    <row r="13972" spans="1:7" x14ac:dyDescent="0.3">
      <c r="A13972" s="198">
        <v>900516123</v>
      </c>
      <c r="B13972" s="192" t="s">
        <v>1902</v>
      </c>
      <c r="C13972" s="196">
        <v>0</v>
      </c>
      <c r="D13972" s="196">
        <v>8756.0300000000007</v>
      </c>
      <c r="E13972" s="196">
        <v>0</v>
      </c>
      <c r="F13972" s="196">
        <v>8756.0300000000007</v>
      </c>
      <c r="G13972" s="196">
        <v>8756.0300000000007</v>
      </c>
    </row>
    <row r="13973" spans="1:7" x14ac:dyDescent="0.3">
      <c r="A13973" s="198">
        <v>1018222880</v>
      </c>
      <c r="B13973" s="192" t="s">
        <v>7598</v>
      </c>
      <c r="C13973" s="196">
        <v>17400</v>
      </c>
      <c r="D13973" s="196">
        <v>0</v>
      </c>
      <c r="E13973" s="196">
        <v>0</v>
      </c>
      <c r="F13973" s="196">
        <v>0</v>
      </c>
      <c r="G13973" s="196">
        <v>17400</v>
      </c>
    </row>
    <row r="13974" spans="1:7" x14ac:dyDescent="0.3">
      <c r="A13974" s="198">
        <v>901137699</v>
      </c>
      <c r="B13974" s="192" t="s">
        <v>2270</v>
      </c>
      <c r="C13974" s="196">
        <v>13277.26</v>
      </c>
      <c r="D13974" s="196">
        <v>0</v>
      </c>
      <c r="E13974" s="196">
        <v>0</v>
      </c>
      <c r="F13974" s="196">
        <v>0</v>
      </c>
      <c r="G13974" s="196">
        <v>13277.26</v>
      </c>
    </row>
    <row r="13975" spans="1:7" x14ac:dyDescent="0.3">
      <c r="A13975" s="198">
        <v>860002130</v>
      </c>
      <c r="B13975" s="192" t="s">
        <v>1934</v>
      </c>
      <c r="C13975" s="196">
        <v>1072127.8</v>
      </c>
      <c r="D13975" s="196">
        <v>428571</v>
      </c>
      <c r="E13975" s="196">
        <v>0</v>
      </c>
      <c r="F13975" s="196">
        <v>428571</v>
      </c>
      <c r="G13975" s="196">
        <v>1500698.8</v>
      </c>
    </row>
    <row r="13976" spans="1:7" x14ac:dyDescent="0.3">
      <c r="A13976" s="198">
        <v>800028002</v>
      </c>
      <c r="B13976" s="192" t="s">
        <v>1942</v>
      </c>
      <c r="C13976" s="196">
        <v>264260</v>
      </c>
      <c r="D13976" s="196">
        <v>205648</v>
      </c>
      <c r="E13976" s="196">
        <v>0</v>
      </c>
      <c r="F13976" s="196">
        <v>205648</v>
      </c>
      <c r="G13976" s="196">
        <v>469908</v>
      </c>
    </row>
    <row r="13977" spans="1:7" x14ac:dyDescent="0.3">
      <c r="A13977" s="198">
        <v>900319753</v>
      </c>
      <c r="B13977" s="192" t="s">
        <v>1950</v>
      </c>
      <c r="C13977" s="196">
        <v>2654289.87</v>
      </c>
      <c r="D13977" s="196">
        <v>992807.1</v>
      </c>
      <c r="E13977" s="196">
        <v>0</v>
      </c>
      <c r="F13977" s="196">
        <v>992807.1</v>
      </c>
      <c r="G13977" s="196">
        <v>3647096.97</v>
      </c>
    </row>
    <row r="13978" spans="1:7" x14ac:dyDescent="0.3">
      <c r="A13978" s="198">
        <v>830112317</v>
      </c>
      <c r="B13978" s="192" t="s">
        <v>7592</v>
      </c>
      <c r="C13978" s="196">
        <v>86470.59</v>
      </c>
      <c r="D13978" s="196">
        <v>0</v>
      </c>
      <c r="E13978" s="196">
        <v>0</v>
      </c>
      <c r="F13978" s="196">
        <v>0</v>
      </c>
      <c r="G13978" s="196">
        <v>86470.59</v>
      </c>
    </row>
    <row r="13979" spans="1:7" x14ac:dyDescent="0.3">
      <c r="A13979" s="198">
        <v>890929073</v>
      </c>
      <c r="B13979" s="192" t="s">
        <v>1666</v>
      </c>
      <c r="C13979" s="196">
        <v>41280</v>
      </c>
      <c r="D13979" s="196">
        <v>78133.61</v>
      </c>
      <c r="E13979" s="196">
        <v>0</v>
      </c>
      <c r="F13979" s="196">
        <v>78133.61</v>
      </c>
      <c r="G13979" s="196">
        <v>119413.61</v>
      </c>
    </row>
    <row r="13980" spans="1:7" x14ac:dyDescent="0.3">
      <c r="A13980" s="198">
        <v>900943243</v>
      </c>
      <c r="B13980" s="192" t="s">
        <v>1758</v>
      </c>
      <c r="C13980" s="196">
        <v>670126.13</v>
      </c>
      <c r="D13980" s="196">
        <v>36134.44</v>
      </c>
      <c r="E13980" s="196">
        <v>0</v>
      </c>
      <c r="F13980" s="196">
        <v>36134.44</v>
      </c>
      <c r="G13980" s="196">
        <v>706260.57</v>
      </c>
    </row>
    <row r="13981" spans="1:7" x14ac:dyDescent="0.3">
      <c r="A13981" s="198">
        <v>900181068</v>
      </c>
      <c r="B13981" s="192" t="s">
        <v>1961</v>
      </c>
      <c r="C13981" s="196">
        <v>19523451.879999999</v>
      </c>
      <c r="D13981" s="196">
        <v>868353.51</v>
      </c>
      <c r="E13981" s="196">
        <v>0</v>
      </c>
      <c r="F13981" s="196">
        <v>868353.51</v>
      </c>
      <c r="G13981" s="196">
        <v>20391805.390000001</v>
      </c>
    </row>
    <row r="13982" spans="1:7" x14ac:dyDescent="0.3">
      <c r="A13982" s="198">
        <v>900494362</v>
      </c>
      <c r="B13982" s="192" t="s">
        <v>1672</v>
      </c>
      <c r="C13982" s="196">
        <v>88235.29</v>
      </c>
      <c r="D13982" s="196">
        <v>389495.79</v>
      </c>
      <c r="E13982" s="196">
        <v>0</v>
      </c>
      <c r="F13982" s="196">
        <v>389495.79</v>
      </c>
      <c r="G13982" s="196">
        <v>477731.08</v>
      </c>
    </row>
    <row r="13983" spans="1:7" x14ac:dyDescent="0.3">
      <c r="A13983" s="198">
        <v>51952502</v>
      </c>
      <c r="B13983" s="192" t="s">
        <v>7599</v>
      </c>
      <c r="C13983" s="196">
        <v>3397603.48</v>
      </c>
      <c r="D13983" s="196">
        <v>1981018.75</v>
      </c>
      <c r="E13983" s="196">
        <v>0</v>
      </c>
      <c r="F13983" s="196">
        <v>1981018.75</v>
      </c>
      <c r="G13983" s="196">
        <v>5378622.2300000004</v>
      </c>
    </row>
    <row r="13984" spans="1:7" x14ac:dyDescent="0.3">
      <c r="A13984" s="198">
        <v>890900608</v>
      </c>
      <c r="B13984" s="192" t="s">
        <v>1856</v>
      </c>
      <c r="C13984" s="196">
        <v>287713.90000000002</v>
      </c>
      <c r="D13984" s="196">
        <v>0</v>
      </c>
      <c r="E13984" s="196">
        <v>0</v>
      </c>
      <c r="F13984" s="196">
        <v>0</v>
      </c>
      <c r="G13984" s="196">
        <v>287713.90000000002</v>
      </c>
    </row>
    <row r="13985" spans="1:7" x14ac:dyDescent="0.3">
      <c r="A13985" s="198">
        <v>43605890</v>
      </c>
      <c r="B13985" s="192" t="s">
        <v>565</v>
      </c>
      <c r="C13985" s="196">
        <v>15000</v>
      </c>
      <c r="D13985" s="196">
        <v>0</v>
      </c>
      <c r="E13985" s="196">
        <v>0</v>
      </c>
      <c r="F13985" s="196">
        <v>0</v>
      </c>
      <c r="G13985" s="196">
        <v>15000</v>
      </c>
    </row>
    <row r="13986" spans="1:7" x14ac:dyDescent="0.3">
      <c r="A13986" s="198">
        <v>890903939</v>
      </c>
      <c r="B13986" s="192" t="s">
        <v>1889</v>
      </c>
      <c r="C13986" s="196">
        <v>1805740.44</v>
      </c>
      <c r="D13986" s="196">
        <v>293700</v>
      </c>
      <c r="E13986" s="196">
        <v>0</v>
      </c>
      <c r="F13986" s="196">
        <v>293700</v>
      </c>
      <c r="G13986" s="196">
        <v>2099440.44</v>
      </c>
    </row>
    <row r="13987" spans="1:7" x14ac:dyDescent="0.3">
      <c r="A13987" s="198">
        <v>1128393794</v>
      </c>
      <c r="B13987" s="192" t="s">
        <v>7600</v>
      </c>
      <c r="C13987" s="196">
        <v>372000</v>
      </c>
      <c r="D13987" s="196">
        <v>0</v>
      </c>
      <c r="E13987" s="196">
        <v>0</v>
      </c>
      <c r="F13987" s="196">
        <v>0</v>
      </c>
      <c r="G13987" s="196">
        <v>372000</v>
      </c>
    </row>
    <row r="13988" spans="1:7" x14ac:dyDescent="0.3">
      <c r="A13988" s="198">
        <v>900536372</v>
      </c>
      <c r="B13988" s="192" t="s">
        <v>7601</v>
      </c>
      <c r="C13988" s="196">
        <v>64000</v>
      </c>
      <c r="D13988" s="196">
        <v>0</v>
      </c>
      <c r="E13988" s="196">
        <v>0</v>
      </c>
      <c r="F13988" s="196">
        <v>0</v>
      </c>
      <c r="G13988" s="196">
        <v>64000</v>
      </c>
    </row>
    <row r="13989" spans="1:7" x14ac:dyDescent="0.3">
      <c r="A13989" s="198">
        <v>900319753</v>
      </c>
      <c r="B13989" s="192" t="s">
        <v>1950</v>
      </c>
      <c r="C13989" s="196">
        <v>277801.2</v>
      </c>
      <c r="D13989" s="196">
        <v>54900</v>
      </c>
      <c r="E13989" s="196">
        <v>0</v>
      </c>
      <c r="F13989" s="196">
        <v>54900</v>
      </c>
      <c r="G13989" s="196">
        <v>332701.2</v>
      </c>
    </row>
    <row r="13990" spans="1:7" x14ac:dyDescent="0.3">
      <c r="A13990" s="198">
        <v>900181068</v>
      </c>
      <c r="B13990" s="192" t="s">
        <v>1961</v>
      </c>
      <c r="C13990" s="196">
        <v>95347.94</v>
      </c>
      <c r="D13990" s="196">
        <v>1632418.75</v>
      </c>
      <c r="E13990" s="196">
        <v>0</v>
      </c>
      <c r="F13990" s="196">
        <v>1632418.75</v>
      </c>
      <c r="G13990" s="196">
        <v>1727766.69</v>
      </c>
    </row>
    <row r="13991" spans="1:7" x14ac:dyDescent="0.3">
      <c r="A13991" s="198">
        <v>1037665188</v>
      </c>
      <c r="B13991" s="192" t="s">
        <v>7602</v>
      </c>
      <c r="C13991" s="196">
        <v>480000</v>
      </c>
      <c r="D13991" s="196">
        <v>0</v>
      </c>
      <c r="E13991" s="196">
        <v>0</v>
      </c>
      <c r="F13991" s="196">
        <v>0</v>
      </c>
      <c r="G13991" s="196">
        <v>480000</v>
      </c>
    </row>
    <row r="13992" spans="1:7" x14ac:dyDescent="0.3">
      <c r="A13992" s="198">
        <v>51952598</v>
      </c>
      <c r="B13992" s="192" t="s">
        <v>7603</v>
      </c>
      <c r="C13992" s="196">
        <v>4784872.6399999997</v>
      </c>
      <c r="D13992" s="196">
        <v>697730.35</v>
      </c>
      <c r="E13992" s="196">
        <v>0</v>
      </c>
      <c r="F13992" s="196">
        <v>697730.35</v>
      </c>
      <c r="G13992" s="196">
        <v>5482602.9900000002</v>
      </c>
    </row>
    <row r="13993" spans="1:7" x14ac:dyDescent="0.3">
      <c r="A13993" s="198">
        <v>890900608</v>
      </c>
      <c r="B13993" s="192" t="s">
        <v>1856</v>
      </c>
      <c r="C13993" s="196">
        <v>298288.21000000002</v>
      </c>
      <c r="D13993" s="196">
        <v>28258.9</v>
      </c>
      <c r="E13993" s="196">
        <v>0</v>
      </c>
      <c r="F13993" s="196">
        <v>28258.9</v>
      </c>
      <c r="G13993" s="196">
        <v>326547.11</v>
      </c>
    </row>
    <row r="13994" spans="1:7" x14ac:dyDescent="0.3">
      <c r="A13994" s="198">
        <v>901095278</v>
      </c>
      <c r="B13994" s="192" t="s">
        <v>7596</v>
      </c>
      <c r="C13994" s="196">
        <v>63689.9</v>
      </c>
      <c r="D13994" s="196">
        <v>0</v>
      </c>
      <c r="E13994" s="196">
        <v>0</v>
      </c>
      <c r="F13994" s="196">
        <v>0</v>
      </c>
      <c r="G13994" s="196">
        <v>63689.9</v>
      </c>
    </row>
    <row r="13995" spans="1:7" x14ac:dyDescent="0.3">
      <c r="A13995" s="198">
        <v>900557608</v>
      </c>
      <c r="B13995" s="192" t="s">
        <v>2248</v>
      </c>
      <c r="C13995" s="196">
        <v>432630</v>
      </c>
      <c r="D13995" s="196">
        <v>0</v>
      </c>
      <c r="E13995" s="196">
        <v>0</v>
      </c>
      <c r="F13995" s="196">
        <v>0</v>
      </c>
      <c r="G13995" s="196">
        <v>432630</v>
      </c>
    </row>
    <row r="13996" spans="1:7" x14ac:dyDescent="0.3">
      <c r="A13996" s="198">
        <v>901621282</v>
      </c>
      <c r="B13996" s="192" t="s">
        <v>7597</v>
      </c>
      <c r="C13996" s="196">
        <v>57050.54</v>
      </c>
      <c r="D13996" s="196">
        <v>0</v>
      </c>
      <c r="E13996" s="196">
        <v>0</v>
      </c>
      <c r="F13996" s="196">
        <v>0</v>
      </c>
      <c r="G13996" s="196">
        <v>57050.54</v>
      </c>
    </row>
    <row r="13997" spans="1:7" x14ac:dyDescent="0.3">
      <c r="A13997" s="198">
        <v>890941663</v>
      </c>
      <c r="B13997" s="192" t="s">
        <v>1879</v>
      </c>
      <c r="C13997" s="196">
        <v>590.52</v>
      </c>
      <c r="D13997" s="196">
        <v>0</v>
      </c>
      <c r="E13997" s="196">
        <v>0</v>
      </c>
      <c r="F13997" s="196">
        <v>0</v>
      </c>
      <c r="G13997" s="196">
        <v>590.52</v>
      </c>
    </row>
    <row r="13998" spans="1:7" x14ac:dyDescent="0.3">
      <c r="A13998" s="198">
        <v>900393480</v>
      </c>
      <c r="B13998" s="192" t="s">
        <v>1886</v>
      </c>
      <c r="C13998" s="196">
        <v>19959.12</v>
      </c>
      <c r="D13998" s="196">
        <v>0</v>
      </c>
      <c r="E13998" s="196">
        <v>0</v>
      </c>
      <c r="F13998" s="196">
        <v>0</v>
      </c>
      <c r="G13998" s="196">
        <v>19959.12</v>
      </c>
    </row>
    <row r="13999" spans="1:7" x14ac:dyDescent="0.3">
      <c r="A13999" s="198">
        <v>890903939</v>
      </c>
      <c r="B13999" s="192" t="s">
        <v>1889</v>
      </c>
      <c r="C13999" s="196">
        <v>12773.1</v>
      </c>
      <c r="D13999" s="196">
        <v>0</v>
      </c>
      <c r="E13999" s="196">
        <v>0</v>
      </c>
      <c r="F13999" s="196">
        <v>0</v>
      </c>
      <c r="G13999" s="196">
        <v>12773.1</v>
      </c>
    </row>
    <row r="14000" spans="1:7" x14ac:dyDescent="0.3">
      <c r="A14000" s="198">
        <v>800131750</v>
      </c>
      <c r="B14000" s="192" t="s">
        <v>1639</v>
      </c>
      <c r="C14000" s="196">
        <v>16509.099999999999</v>
      </c>
      <c r="D14000" s="196">
        <v>0</v>
      </c>
      <c r="E14000" s="196">
        <v>0</v>
      </c>
      <c r="F14000" s="196">
        <v>0</v>
      </c>
      <c r="G14000" s="196">
        <v>16509.099999999999</v>
      </c>
    </row>
    <row r="14001" spans="1:7" x14ac:dyDescent="0.3">
      <c r="A14001" s="198">
        <v>900516123</v>
      </c>
      <c r="B14001" s="192" t="s">
        <v>1902</v>
      </c>
      <c r="C14001" s="196">
        <v>0</v>
      </c>
      <c r="D14001" s="196">
        <v>1663.65</v>
      </c>
      <c r="E14001" s="196">
        <v>0</v>
      </c>
      <c r="F14001" s="196">
        <v>1663.65</v>
      </c>
      <c r="G14001" s="196">
        <v>1663.65</v>
      </c>
    </row>
    <row r="14002" spans="1:7" x14ac:dyDescent="0.3">
      <c r="A14002" s="198">
        <v>901137699</v>
      </c>
      <c r="B14002" s="192" t="s">
        <v>2270</v>
      </c>
      <c r="C14002" s="196">
        <v>2522.6799999999998</v>
      </c>
      <c r="D14002" s="196">
        <v>0</v>
      </c>
      <c r="E14002" s="196">
        <v>0</v>
      </c>
      <c r="F14002" s="196">
        <v>0</v>
      </c>
      <c r="G14002" s="196">
        <v>2522.6799999999998</v>
      </c>
    </row>
    <row r="14003" spans="1:7" x14ac:dyDescent="0.3">
      <c r="A14003" s="198">
        <v>860002130</v>
      </c>
      <c r="B14003" s="192" t="s">
        <v>1934</v>
      </c>
      <c r="C14003" s="196">
        <v>115370.89</v>
      </c>
      <c r="D14003" s="196">
        <v>21428.55</v>
      </c>
      <c r="E14003" s="196">
        <v>0</v>
      </c>
      <c r="F14003" s="196">
        <v>21428.55</v>
      </c>
      <c r="G14003" s="196">
        <v>136799.44</v>
      </c>
    </row>
    <row r="14004" spans="1:7" x14ac:dyDescent="0.3">
      <c r="A14004" s="198">
        <v>900319753</v>
      </c>
      <c r="B14004" s="192" t="s">
        <v>1950</v>
      </c>
      <c r="C14004" s="196">
        <v>401608.42</v>
      </c>
      <c r="D14004" s="196">
        <v>124793.35</v>
      </c>
      <c r="E14004" s="196">
        <v>0</v>
      </c>
      <c r="F14004" s="196">
        <v>124793.35</v>
      </c>
      <c r="G14004" s="196">
        <v>526401.77</v>
      </c>
    </row>
    <row r="14005" spans="1:7" x14ac:dyDescent="0.3">
      <c r="A14005" s="198">
        <v>830112317</v>
      </c>
      <c r="B14005" s="192" t="s">
        <v>7592</v>
      </c>
      <c r="C14005" s="196">
        <v>16429.400000000001</v>
      </c>
      <c r="D14005" s="196">
        <v>0</v>
      </c>
      <c r="E14005" s="196">
        <v>0</v>
      </c>
      <c r="F14005" s="196">
        <v>0</v>
      </c>
      <c r="G14005" s="196">
        <v>16429.400000000001</v>
      </c>
    </row>
    <row r="14006" spans="1:7" x14ac:dyDescent="0.3">
      <c r="A14006" s="198">
        <v>890929073</v>
      </c>
      <c r="B14006" s="192" t="s">
        <v>1666</v>
      </c>
      <c r="C14006" s="196">
        <v>7843.2</v>
      </c>
      <c r="D14006" s="196">
        <v>14845.39</v>
      </c>
      <c r="E14006" s="196">
        <v>0</v>
      </c>
      <c r="F14006" s="196">
        <v>14845.39</v>
      </c>
      <c r="G14006" s="196">
        <v>22688.59</v>
      </c>
    </row>
    <row r="14007" spans="1:7" x14ac:dyDescent="0.3">
      <c r="A14007" s="198">
        <v>900943243</v>
      </c>
      <c r="B14007" s="192" t="s">
        <v>1758</v>
      </c>
      <c r="C14007" s="196">
        <v>116873.95</v>
      </c>
      <c r="D14007" s="196">
        <v>6865.54</v>
      </c>
      <c r="E14007" s="196">
        <v>0</v>
      </c>
      <c r="F14007" s="196">
        <v>6865.54</v>
      </c>
      <c r="G14007" s="196">
        <v>123739.49</v>
      </c>
    </row>
    <row r="14008" spans="1:7" x14ac:dyDescent="0.3">
      <c r="A14008" s="198">
        <v>900181068</v>
      </c>
      <c r="B14008" s="192" t="s">
        <v>1961</v>
      </c>
      <c r="C14008" s="196">
        <v>3205968.9</v>
      </c>
      <c r="D14008" s="196">
        <v>425870.76</v>
      </c>
      <c r="E14008" s="196">
        <v>0</v>
      </c>
      <c r="F14008" s="196">
        <v>425870.76</v>
      </c>
      <c r="G14008" s="196">
        <v>3631839.66</v>
      </c>
    </row>
    <row r="14009" spans="1:7" x14ac:dyDescent="0.3">
      <c r="A14009" s="198">
        <v>900494362</v>
      </c>
      <c r="B14009" s="192" t="s">
        <v>1672</v>
      </c>
      <c r="C14009" s="196">
        <v>16764.71</v>
      </c>
      <c r="D14009" s="196">
        <v>74004.210000000006</v>
      </c>
      <c r="E14009" s="196">
        <v>0</v>
      </c>
      <c r="F14009" s="196">
        <v>74004.210000000006</v>
      </c>
      <c r="G14009" s="196">
        <v>90768.92</v>
      </c>
    </row>
    <row r="14010" spans="1:7" x14ac:dyDescent="0.3">
      <c r="A14010" s="197">
        <v>519530</v>
      </c>
      <c r="B14010" s="191" t="s">
        <v>7604</v>
      </c>
      <c r="C14010" s="195">
        <v>6427118.7800000003</v>
      </c>
      <c r="D14010" s="195">
        <v>857500.01</v>
      </c>
      <c r="E14010" s="195">
        <v>0</v>
      </c>
      <c r="F14010" s="195">
        <v>857500.01</v>
      </c>
      <c r="G14010" s="195">
        <v>7284618.79</v>
      </c>
    </row>
    <row r="14011" spans="1:7" x14ac:dyDescent="0.3">
      <c r="A14011" s="198">
        <v>51953001</v>
      </c>
      <c r="B14011" s="192" t="s">
        <v>7604</v>
      </c>
      <c r="C14011" s="196">
        <v>5816193.9299999997</v>
      </c>
      <c r="D14011" s="196">
        <v>720588.25</v>
      </c>
      <c r="E14011" s="196">
        <v>0</v>
      </c>
      <c r="F14011" s="196">
        <v>720588.25</v>
      </c>
      <c r="G14011" s="196">
        <v>6536782.1799999997</v>
      </c>
    </row>
    <row r="14012" spans="1:7" x14ac:dyDescent="0.3">
      <c r="A14012" s="198">
        <v>1128437290</v>
      </c>
      <c r="B14012" s="192" t="s">
        <v>7523</v>
      </c>
      <c r="C14012" s="196">
        <v>1884000</v>
      </c>
      <c r="D14012" s="196">
        <v>0</v>
      </c>
      <c r="E14012" s="196">
        <v>0</v>
      </c>
      <c r="F14012" s="196">
        <v>0</v>
      </c>
      <c r="G14012" s="196">
        <v>1884000</v>
      </c>
    </row>
    <row r="14013" spans="1:7" x14ac:dyDescent="0.3">
      <c r="A14013" s="198">
        <v>890900943</v>
      </c>
      <c r="B14013" s="192" t="s">
        <v>1783</v>
      </c>
      <c r="C14013" s="196">
        <v>296218.49</v>
      </c>
      <c r="D14013" s="196">
        <v>0</v>
      </c>
      <c r="E14013" s="196">
        <v>0</v>
      </c>
      <c r="F14013" s="196">
        <v>0</v>
      </c>
      <c r="G14013" s="196">
        <v>296218.49</v>
      </c>
    </row>
    <row r="14014" spans="1:7" x14ac:dyDescent="0.3">
      <c r="A14014" s="198">
        <v>1037583982</v>
      </c>
      <c r="B14014" s="192" t="s">
        <v>1798</v>
      </c>
      <c r="C14014" s="196">
        <v>455000</v>
      </c>
      <c r="D14014" s="196">
        <v>0</v>
      </c>
      <c r="E14014" s="196">
        <v>0</v>
      </c>
      <c r="F14014" s="196">
        <v>0</v>
      </c>
      <c r="G14014" s="196">
        <v>455000</v>
      </c>
    </row>
    <row r="14015" spans="1:7" x14ac:dyDescent="0.3">
      <c r="A14015" s="198">
        <v>890900286</v>
      </c>
      <c r="B14015" s="192" t="s">
        <v>7542</v>
      </c>
      <c r="C14015" s="196">
        <v>174000</v>
      </c>
      <c r="D14015" s="196">
        <v>0</v>
      </c>
      <c r="E14015" s="196">
        <v>0</v>
      </c>
      <c r="F14015" s="196">
        <v>0</v>
      </c>
      <c r="G14015" s="196">
        <v>174000</v>
      </c>
    </row>
    <row r="14016" spans="1:7" x14ac:dyDescent="0.3">
      <c r="A14016" s="198">
        <v>800194997</v>
      </c>
      <c r="B14016" s="192" t="s">
        <v>7605</v>
      </c>
      <c r="C14016" s="196">
        <v>239411.57</v>
      </c>
      <c r="D14016" s="196">
        <v>0</v>
      </c>
      <c r="E14016" s="196">
        <v>0</v>
      </c>
      <c r="F14016" s="196">
        <v>0</v>
      </c>
      <c r="G14016" s="196">
        <v>239411.57</v>
      </c>
    </row>
    <row r="14017" spans="1:7" x14ac:dyDescent="0.3">
      <c r="A14017" s="198">
        <v>900595290</v>
      </c>
      <c r="B14017" s="192" t="s">
        <v>1883</v>
      </c>
      <c r="C14017" s="196">
        <v>37647.06</v>
      </c>
      <c r="D14017" s="196">
        <v>35294.120000000003</v>
      </c>
      <c r="E14017" s="196">
        <v>0</v>
      </c>
      <c r="F14017" s="196">
        <v>35294.120000000003</v>
      </c>
      <c r="G14017" s="196">
        <v>72941.179999999993</v>
      </c>
    </row>
    <row r="14018" spans="1:7" x14ac:dyDescent="0.3">
      <c r="A14018" s="198">
        <v>43605890</v>
      </c>
      <c r="B14018" s="192" t="s">
        <v>565</v>
      </c>
      <c r="C14018" s="196">
        <v>13000</v>
      </c>
      <c r="D14018" s="196">
        <v>0</v>
      </c>
      <c r="E14018" s="196">
        <v>0</v>
      </c>
      <c r="F14018" s="196">
        <v>0</v>
      </c>
      <c r="G14018" s="196">
        <v>13000</v>
      </c>
    </row>
    <row r="14019" spans="1:7" x14ac:dyDescent="0.3">
      <c r="A14019" s="198">
        <v>900041593</v>
      </c>
      <c r="B14019" s="192" t="s">
        <v>1897</v>
      </c>
      <c r="C14019" s="196">
        <v>211764.73</v>
      </c>
      <c r="D14019" s="196">
        <v>663025.21</v>
      </c>
      <c r="E14019" s="196">
        <v>0</v>
      </c>
      <c r="F14019" s="196">
        <v>663025.21</v>
      </c>
      <c r="G14019" s="196">
        <v>874789.94</v>
      </c>
    </row>
    <row r="14020" spans="1:7" x14ac:dyDescent="0.3">
      <c r="A14020" s="198">
        <v>71526513</v>
      </c>
      <c r="B14020" s="192" t="s">
        <v>1643</v>
      </c>
      <c r="C14020" s="196">
        <v>27800</v>
      </c>
      <c r="D14020" s="196">
        <v>0</v>
      </c>
      <c r="E14020" s="196">
        <v>0</v>
      </c>
      <c r="F14020" s="196">
        <v>0</v>
      </c>
      <c r="G14020" s="196">
        <v>27800</v>
      </c>
    </row>
    <row r="14021" spans="1:7" x14ac:dyDescent="0.3">
      <c r="A14021" s="198">
        <v>800240009</v>
      </c>
      <c r="B14021" s="192" t="s">
        <v>7606</v>
      </c>
      <c r="C14021" s="196">
        <v>210084</v>
      </c>
      <c r="D14021" s="196">
        <v>0</v>
      </c>
      <c r="E14021" s="196">
        <v>0</v>
      </c>
      <c r="F14021" s="196">
        <v>0</v>
      </c>
      <c r="G14021" s="196">
        <v>210084</v>
      </c>
    </row>
    <row r="14022" spans="1:7" x14ac:dyDescent="0.3">
      <c r="A14022" s="198">
        <v>900707533</v>
      </c>
      <c r="B14022" s="192" t="s">
        <v>7607</v>
      </c>
      <c r="C14022" s="196">
        <v>40336.129999999997</v>
      </c>
      <c r="D14022" s="196">
        <v>0</v>
      </c>
      <c r="E14022" s="196">
        <v>0</v>
      </c>
      <c r="F14022" s="196">
        <v>0</v>
      </c>
      <c r="G14022" s="196">
        <v>40336.129999999997</v>
      </c>
    </row>
    <row r="14023" spans="1:7" x14ac:dyDescent="0.3">
      <c r="A14023" s="198">
        <v>800242106</v>
      </c>
      <c r="B14023" s="192" t="s">
        <v>1757</v>
      </c>
      <c r="C14023" s="196">
        <v>38487.4</v>
      </c>
      <c r="D14023" s="196">
        <v>0</v>
      </c>
      <c r="E14023" s="196">
        <v>0</v>
      </c>
      <c r="F14023" s="196">
        <v>0</v>
      </c>
      <c r="G14023" s="196">
        <v>38487.4</v>
      </c>
    </row>
    <row r="14024" spans="1:7" x14ac:dyDescent="0.3">
      <c r="A14024" s="198">
        <v>900943243</v>
      </c>
      <c r="B14024" s="192" t="s">
        <v>1758</v>
      </c>
      <c r="C14024" s="196">
        <v>192610.86</v>
      </c>
      <c r="D14024" s="196">
        <v>22268.92</v>
      </c>
      <c r="E14024" s="196">
        <v>0</v>
      </c>
      <c r="F14024" s="196">
        <v>22268.92</v>
      </c>
      <c r="G14024" s="196">
        <v>214879.78</v>
      </c>
    </row>
    <row r="14025" spans="1:7" x14ac:dyDescent="0.3">
      <c r="A14025" s="198">
        <v>900252156</v>
      </c>
      <c r="B14025" s="192" t="s">
        <v>2281</v>
      </c>
      <c r="C14025" s="196">
        <v>71511</v>
      </c>
      <c r="D14025" s="196">
        <v>0</v>
      </c>
      <c r="E14025" s="196">
        <v>0</v>
      </c>
      <c r="F14025" s="196">
        <v>0</v>
      </c>
      <c r="G14025" s="196">
        <v>71511</v>
      </c>
    </row>
    <row r="14026" spans="1:7" x14ac:dyDescent="0.3">
      <c r="A14026" s="198">
        <v>811019431</v>
      </c>
      <c r="B14026" s="192" t="s">
        <v>7608</v>
      </c>
      <c r="C14026" s="196">
        <v>1889322.69</v>
      </c>
      <c r="D14026" s="196">
        <v>0</v>
      </c>
      <c r="E14026" s="196">
        <v>0</v>
      </c>
      <c r="F14026" s="196">
        <v>0</v>
      </c>
      <c r="G14026" s="196">
        <v>1889322.69</v>
      </c>
    </row>
    <row r="14027" spans="1:7" x14ac:dyDescent="0.3">
      <c r="A14027" s="198">
        <v>1006231802</v>
      </c>
      <c r="B14027" s="192" t="s">
        <v>7609</v>
      </c>
      <c r="C14027" s="196">
        <v>35000</v>
      </c>
      <c r="D14027" s="196">
        <v>0</v>
      </c>
      <c r="E14027" s="196">
        <v>0</v>
      </c>
      <c r="F14027" s="196">
        <v>0</v>
      </c>
      <c r="G14027" s="196">
        <v>35000</v>
      </c>
    </row>
    <row r="14028" spans="1:7" x14ac:dyDescent="0.3">
      <c r="A14028" s="198">
        <v>51953098</v>
      </c>
      <c r="B14028" s="192" t="s">
        <v>7610</v>
      </c>
      <c r="C14028" s="196">
        <v>610924.85</v>
      </c>
      <c r="D14028" s="196">
        <v>136911.76</v>
      </c>
      <c r="E14028" s="196">
        <v>0</v>
      </c>
      <c r="F14028" s="196">
        <v>136911.76</v>
      </c>
      <c r="G14028" s="196">
        <v>747836.61</v>
      </c>
    </row>
    <row r="14029" spans="1:7" x14ac:dyDescent="0.3">
      <c r="A14029" s="198">
        <v>890900943</v>
      </c>
      <c r="B14029" s="192" t="s">
        <v>1783</v>
      </c>
      <c r="C14029" s="196">
        <v>56281.52</v>
      </c>
      <c r="D14029" s="196">
        <v>0</v>
      </c>
      <c r="E14029" s="196">
        <v>0</v>
      </c>
      <c r="F14029" s="196">
        <v>0</v>
      </c>
      <c r="G14029" s="196">
        <v>56281.52</v>
      </c>
    </row>
    <row r="14030" spans="1:7" x14ac:dyDescent="0.3">
      <c r="A14030" s="198">
        <v>800194997</v>
      </c>
      <c r="B14030" s="192" t="s">
        <v>7605</v>
      </c>
      <c r="C14030" s="196">
        <v>45488.19</v>
      </c>
      <c r="D14030" s="196">
        <v>0</v>
      </c>
      <c r="E14030" s="196">
        <v>0</v>
      </c>
      <c r="F14030" s="196">
        <v>0</v>
      </c>
      <c r="G14030" s="196">
        <v>45488.19</v>
      </c>
    </row>
    <row r="14031" spans="1:7" x14ac:dyDescent="0.3">
      <c r="A14031" s="198">
        <v>900595290</v>
      </c>
      <c r="B14031" s="192" t="s">
        <v>1883</v>
      </c>
      <c r="C14031" s="196">
        <v>7152.94</v>
      </c>
      <c r="D14031" s="196">
        <v>6705.88</v>
      </c>
      <c r="E14031" s="196">
        <v>0</v>
      </c>
      <c r="F14031" s="196">
        <v>6705.88</v>
      </c>
      <c r="G14031" s="196">
        <v>13858.82</v>
      </c>
    </row>
    <row r="14032" spans="1:7" x14ac:dyDescent="0.3">
      <c r="A14032" s="198">
        <v>900041593</v>
      </c>
      <c r="B14032" s="192" t="s">
        <v>1897</v>
      </c>
      <c r="C14032" s="196">
        <v>40235.300000000003</v>
      </c>
      <c r="D14032" s="196">
        <v>125974.79</v>
      </c>
      <c r="E14032" s="196">
        <v>0</v>
      </c>
      <c r="F14032" s="196">
        <v>125974.79</v>
      </c>
      <c r="G14032" s="196">
        <v>166210.09</v>
      </c>
    </row>
    <row r="14033" spans="1:7" x14ac:dyDescent="0.3">
      <c r="A14033" s="198">
        <v>800240009</v>
      </c>
      <c r="B14033" s="192" t="s">
        <v>7606</v>
      </c>
      <c r="C14033" s="196">
        <v>39915.96</v>
      </c>
      <c r="D14033" s="196">
        <v>0</v>
      </c>
      <c r="E14033" s="196">
        <v>0</v>
      </c>
      <c r="F14033" s="196">
        <v>0</v>
      </c>
      <c r="G14033" s="196">
        <v>39915.96</v>
      </c>
    </row>
    <row r="14034" spans="1:7" x14ac:dyDescent="0.3">
      <c r="A14034" s="198">
        <v>900707533</v>
      </c>
      <c r="B14034" s="192" t="s">
        <v>7607</v>
      </c>
      <c r="C14034" s="196">
        <v>7663.86</v>
      </c>
      <c r="D14034" s="196">
        <v>0</v>
      </c>
      <c r="E14034" s="196">
        <v>0</v>
      </c>
      <c r="F14034" s="196">
        <v>0</v>
      </c>
      <c r="G14034" s="196">
        <v>7663.86</v>
      </c>
    </row>
    <row r="14035" spans="1:7" x14ac:dyDescent="0.3">
      <c r="A14035" s="198">
        <v>800242106</v>
      </c>
      <c r="B14035" s="192" t="s">
        <v>1757</v>
      </c>
      <c r="C14035" s="196">
        <v>7312.61</v>
      </c>
      <c r="D14035" s="196">
        <v>0</v>
      </c>
      <c r="E14035" s="196">
        <v>0</v>
      </c>
      <c r="F14035" s="196">
        <v>0</v>
      </c>
      <c r="G14035" s="196">
        <v>7312.61</v>
      </c>
    </row>
    <row r="14036" spans="1:7" x14ac:dyDescent="0.3">
      <c r="A14036" s="198">
        <v>900943243</v>
      </c>
      <c r="B14036" s="192" t="s">
        <v>1758</v>
      </c>
      <c r="C14036" s="196">
        <v>34316.07</v>
      </c>
      <c r="D14036" s="196">
        <v>4231.09</v>
      </c>
      <c r="E14036" s="196">
        <v>0</v>
      </c>
      <c r="F14036" s="196">
        <v>4231.09</v>
      </c>
      <c r="G14036" s="196">
        <v>38547.160000000003</v>
      </c>
    </row>
    <row r="14037" spans="1:7" x14ac:dyDescent="0.3">
      <c r="A14037" s="198">
        <v>900252156</v>
      </c>
      <c r="B14037" s="192" t="s">
        <v>2281</v>
      </c>
      <c r="C14037" s="196">
        <v>13587.09</v>
      </c>
      <c r="D14037" s="196">
        <v>0</v>
      </c>
      <c r="E14037" s="196">
        <v>0</v>
      </c>
      <c r="F14037" s="196">
        <v>0</v>
      </c>
      <c r="G14037" s="196">
        <v>13587.09</v>
      </c>
    </row>
    <row r="14038" spans="1:7" x14ac:dyDescent="0.3">
      <c r="A14038" s="198">
        <v>811019431</v>
      </c>
      <c r="B14038" s="192" t="s">
        <v>7608</v>
      </c>
      <c r="C14038" s="196">
        <v>358971.31</v>
      </c>
      <c r="D14038" s="196">
        <v>0</v>
      </c>
      <c r="E14038" s="196">
        <v>0</v>
      </c>
      <c r="F14038" s="196">
        <v>0</v>
      </c>
      <c r="G14038" s="196">
        <v>358971.31</v>
      </c>
    </row>
    <row r="14039" spans="1:7" x14ac:dyDescent="0.3">
      <c r="A14039" s="197">
        <v>519545</v>
      </c>
      <c r="B14039" s="191" t="s">
        <v>7611</v>
      </c>
      <c r="C14039" s="195">
        <v>2777701</v>
      </c>
      <c r="D14039" s="195">
        <v>173000</v>
      </c>
      <c r="E14039" s="195">
        <v>0</v>
      </c>
      <c r="F14039" s="195">
        <v>173000</v>
      </c>
      <c r="G14039" s="195">
        <v>2950701</v>
      </c>
    </row>
    <row r="14040" spans="1:7" x14ac:dyDescent="0.3">
      <c r="A14040" s="198">
        <v>51954501</v>
      </c>
      <c r="B14040" s="192" t="s">
        <v>7611</v>
      </c>
      <c r="C14040" s="196">
        <v>2777701</v>
      </c>
      <c r="D14040" s="196">
        <v>173000</v>
      </c>
      <c r="E14040" s="196">
        <v>0</v>
      </c>
      <c r="F14040" s="196">
        <v>173000</v>
      </c>
      <c r="G14040" s="196">
        <v>2950701</v>
      </c>
    </row>
    <row r="14041" spans="1:7" x14ac:dyDescent="0.3">
      <c r="A14041" s="198">
        <v>31948684</v>
      </c>
      <c r="B14041" s="192" t="s">
        <v>165</v>
      </c>
      <c r="C14041" s="196">
        <v>225800</v>
      </c>
      <c r="D14041" s="196">
        <v>0</v>
      </c>
      <c r="E14041" s="196">
        <v>0</v>
      </c>
      <c r="F14041" s="196">
        <v>0</v>
      </c>
      <c r="G14041" s="196">
        <v>225800</v>
      </c>
    </row>
    <row r="14042" spans="1:7" x14ac:dyDescent="0.3">
      <c r="A14042" s="198">
        <v>1037583982</v>
      </c>
      <c r="B14042" s="192" t="s">
        <v>1798</v>
      </c>
      <c r="C14042" s="196">
        <v>339100</v>
      </c>
      <c r="D14042" s="196">
        <v>65000</v>
      </c>
      <c r="E14042" s="196">
        <v>0</v>
      </c>
      <c r="F14042" s="196">
        <v>65000</v>
      </c>
      <c r="G14042" s="196">
        <v>404100</v>
      </c>
    </row>
    <row r="14043" spans="1:7" x14ac:dyDescent="0.3">
      <c r="A14043" s="198">
        <v>43605890</v>
      </c>
      <c r="B14043" s="192" t="s">
        <v>565</v>
      </c>
      <c r="C14043" s="196">
        <v>493750</v>
      </c>
      <c r="D14043" s="196">
        <v>38000</v>
      </c>
      <c r="E14043" s="196">
        <v>0</v>
      </c>
      <c r="F14043" s="196">
        <v>38000</v>
      </c>
      <c r="G14043" s="196">
        <v>531750</v>
      </c>
    </row>
    <row r="14044" spans="1:7" x14ac:dyDescent="0.3">
      <c r="A14044" s="198">
        <v>71526513</v>
      </c>
      <c r="B14044" s="192" t="s">
        <v>1643</v>
      </c>
      <c r="C14044" s="196">
        <v>261400</v>
      </c>
      <c r="D14044" s="196">
        <v>0</v>
      </c>
      <c r="E14044" s="196">
        <v>0</v>
      </c>
      <c r="F14044" s="196">
        <v>0</v>
      </c>
      <c r="G14044" s="196">
        <v>261400</v>
      </c>
    </row>
    <row r="14045" spans="1:7" x14ac:dyDescent="0.3">
      <c r="A14045" s="198">
        <v>1093744869</v>
      </c>
      <c r="B14045" s="192" t="s">
        <v>1906</v>
      </c>
      <c r="C14045" s="196">
        <v>65000</v>
      </c>
      <c r="D14045" s="196">
        <v>0</v>
      </c>
      <c r="E14045" s="196">
        <v>0</v>
      </c>
      <c r="F14045" s="196">
        <v>0</v>
      </c>
      <c r="G14045" s="196">
        <v>65000</v>
      </c>
    </row>
    <row r="14046" spans="1:7" x14ac:dyDescent="0.3">
      <c r="A14046" s="198">
        <v>98664562</v>
      </c>
      <c r="B14046" s="192" t="s">
        <v>1908</v>
      </c>
      <c r="C14046" s="196">
        <v>455000</v>
      </c>
      <c r="D14046" s="196">
        <v>45000</v>
      </c>
      <c r="E14046" s="196">
        <v>0</v>
      </c>
      <c r="F14046" s="196">
        <v>45000</v>
      </c>
      <c r="G14046" s="196">
        <v>500000</v>
      </c>
    </row>
    <row r="14047" spans="1:7" x14ac:dyDescent="0.3">
      <c r="A14047" s="198">
        <v>1017133284</v>
      </c>
      <c r="B14047" s="192" t="s">
        <v>2037</v>
      </c>
      <c r="C14047" s="196">
        <v>50000</v>
      </c>
      <c r="D14047" s="196">
        <v>0</v>
      </c>
      <c r="E14047" s="196">
        <v>0</v>
      </c>
      <c r="F14047" s="196">
        <v>0</v>
      </c>
      <c r="G14047" s="196">
        <v>50000</v>
      </c>
    </row>
    <row r="14048" spans="1:7" x14ac:dyDescent="0.3">
      <c r="A14048" s="198">
        <v>1216723387</v>
      </c>
      <c r="B14048" s="192" t="s">
        <v>1713</v>
      </c>
      <c r="C14048" s="196">
        <v>191400</v>
      </c>
      <c r="D14048" s="196">
        <v>0</v>
      </c>
      <c r="E14048" s="196">
        <v>0</v>
      </c>
      <c r="F14048" s="196">
        <v>0</v>
      </c>
      <c r="G14048" s="196">
        <v>191400</v>
      </c>
    </row>
    <row r="14049" spans="1:7" x14ac:dyDescent="0.3">
      <c r="A14049" s="198">
        <v>1035436936</v>
      </c>
      <c r="B14049" s="192" t="s">
        <v>7525</v>
      </c>
      <c r="C14049" s="196">
        <v>167000</v>
      </c>
      <c r="D14049" s="196">
        <v>0</v>
      </c>
      <c r="E14049" s="196">
        <v>0</v>
      </c>
      <c r="F14049" s="196">
        <v>0</v>
      </c>
      <c r="G14049" s="196">
        <v>167000</v>
      </c>
    </row>
    <row r="14050" spans="1:7" x14ac:dyDescent="0.3">
      <c r="A14050" s="198">
        <v>1128385262</v>
      </c>
      <c r="B14050" s="192" t="s">
        <v>1714</v>
      </c>
      <c r="C14050" s="196">
        <v>25000</v>
      </c>
      <c r="D14050" s="196">
        <v>0</v>
      </c>
      <c r="E14050" s="196">
        <v>0</v>
      </c>
      <c r="F14050" s="196">
        <v>0</v>
      </c>
      <c r="G14050" s="196">
        <v>25000</v>
      </c>
    </row>
    <row r="14051" spans="1:7" x14ac:dyDescent="0.3">
      <c r="A14051" s="198">
        <v>1020431035</v>
      </c>
      <c r="B14051" s="192" t="s">
        <v>1923</v>
      </c>
      <c r="C14051" s="196">
        <v>0</v>
      </c>
      <c r="D14051" s="196">
        <v>25000</v>
      </c>
      <c r="E14051" s="196">
        <v>0</v>
      </c>
      <c r="F14051" s="196">
        <v>25000</v>
      </c>
      <c r="G14051" s="196">
        <v>25000</v>
      </c>
    </row>
    <row r="14052" spans="1:7" x14ac:dyDescent="0.3">
      <c r="A14052" s="198">
        <v>1214732527</v>
      </c>
      <c r="B14052" s="192" t="s">
        <v>1983</v>
      </c>
      <c r="C14052" s="196">
        <v>30000</v>
      </c>
      <c r="D14052" s="196">
        <v>0</v>
      </c>
      <c r="E14052" s="196">
        <v>0</v>
      </c>
      <c r="F14052" s="196">
        <v>0</v>
      </c>
      <c r="G14052" s="196">
        <v>30000</v>
      </c>
    </row>
    <row r="14053" spans="1:7" x14ac:dyDescent="0.3">
      <c r="A14053" s="198">
        <v>300809106</v>
      </c>
      <c r="B14053" s="192" t="s">
        <v>1679</v>
      </c>
      <c r="C14053" s="196">
        <v>350000</v>
      </c>
      <c r="D14053" s="196">
        <v>0</v>
      </c>
      <c r="E14053" s="196">
        <v>0</v>
      </c>
      <c r="F14053" s="196">
        <v>0</v>
      </c>
      <c r="G14053" s="196">
        <v>350000</v>
      </c>
    </row>
    <row r="14054" spans="1:7" x14ac:dyDescent="0.3">
      <c r="A14054" s="198">
        <v>1028042115</v>
      </c>
      <c r="B14054" s="192" t="s">
        <v>2067</v>
      </c>
      <c r="C14054" s="196">
        <v>50000</v>
      </c>
      <c r="D14054" s="196">
        <v>0</v>
      </c>
      <c r="E14054" s="196">
        <v>0</v>
      </c>
      <c r="F14054" s="196">
        <v>0</v>
      </c>
      <c r="G14054" s="196">
        <v>50000</v>
      </c>
    </row>
    <row r="14055" spans="1:7" x14ac:dyDescent="0.3">
      <c r="A14055" s="198">
        <v>1040748779</v>
      </c>
      <c r="B14055" s="192" t="s">
        <v>2055</v>
      </c>
      <c r="C14055" s="196">
        <v>46400</v>
      </c>
      <c r="D14055" s="196">
        <v>0</v>
      </c>
      <c r="E14055" s="196">
        <v>0</v>
      </c>
      <c r="F14055" s="196">
        <v>0</v>
      </c>
      <c r="G14055" s="196">
        <v>46400</v>
      </c>
    </row>
    <row r="14056" spans="1:7" x14ac:dyDescent="0.3">
      <c r="A14056" s="198">
        <v>901549995</v>
      </c>
      <c r="B14056" s="192" t="s">
        <v>7612</v>
      </c>
      <c r="C14056" s="196">
        <v>-27149</v>
      </c>
      <c r="D14056" s="196">
        <v>0</v>
      </c>
      <c r="E14056" s="196">
        <v>0</v>
      </c>
      <c r="F14056" s="196">
        <v>0</v>
      </c>
      <c r="G14056" s="196">
        <v>-27149</v>
      </c>
    </row>
    <row r="14057" spans="1:7" x14ac:dyDescent="0.3">
      <c r="A14057" s="198">
        <v>1001764247</v>
      </c>
      <c r="B14057" s="192" t="s">
        <v>2057</v>
      </c>
      <c r="C14057" s="196">
        <v>25000</v>
      </c>
      <c r="D14057" s="196">
        <v>0</v>
      </c>
      <c r="E14057" s="196">
        <v>0</v>
      </c>
      <c r="F14057" s="196">
        <v>0</v>
      </c>
      <c r="G14057" s="196">
        <v>25000</v>
      </c>
    </row>
    <row r="14058" spans="1:7" x14ac:dyDescent="0.3">
      <c r="A14058" s="198">
        <v>32299587</v>
      </c>
      <c r="B14058" s="192" t="s">
        <v>2060</v>
      </c>
      <c r="C14058" s="196">
        <v>30000</v>
      </c>
      <c r="D14058" s="196">
        <v>0</v>
      </c>
      <c r="E14058" s="196">
        <v>0</v>
      </c>
      <c r="F14058" s="196">
        <v>0</v>
      </c>
      <c r="G14058" s="196">
        <v>30000</v>
      </c>
    </row>
    <row r="14059" spans="1:7" x14ac:dyDescent="0.3">
      <c r="A14059" s="197">
        <v>519560</v>
      </c>
      <c r="B14059" s="191" t="s">
        <v>7613</v>
      </c>
      <c r="C14059" s="195">
        <v>5439465.1100000003</v>
      </c>
      <c r="D14059" s="195">
        <v>497378.73</v>
      </c>
      <c r="E14059" s="195">
        <v>0</v>
      </c>
      <c r="F14059" s="195">
        <v>497378.73</v>
      </c>
      <c r="G14059" s="195">
        <v>5936843.8399999999</v>
      </c>
    </row>
    <row r="14060" spans="1:7" x14ac:dyDescent="0.3">
      <c r="A14060" s="198">
        <v>51956001</v>
      </c>
      <c r="B14060" s="192" t="s">
        <v>7613</v>
      </c>
      <c r="C14060" s="196">
        <v>5293041.58</v>
      </c>
      <c r="D14060" s="196">
        <v>485755.1</v>
      </c>
      <c r="E14060" s="196">
        <v>0</v>
      </c>
      <c r="F14060" s="196">
        <v>485755.1</v>
      </c>
      <c r="G14060" s="196">
        <v>5778796.6799999997</v>
      </c>
    </row>
    <row r="14061" spans="1:7" x14ac:dyDescent="0.3">
      <c r="A14061" s="198">
        <v>900573713</v>
      </c>
      <c r="B14061" s="192" t="s">
        <v>7482</v>
      </c>
      <c r="C14061" s="196">
        <v>131898.4</v>
      </c>
      <c r="D14061" s="196">
        <v>0</v>
      </c>
      <c r="E14061" s="196">
        <v>0</v>
      </c>
      <c r="F14061" s="196">
        <v>0</v>
      </c>
      <c r="G14061" s="196">
        <v>131898.4</v>
      </c>
    </row>
    <row r="14062" spans="1:7" x14ac:dyDescent="0.3">
      <c r="A14062" s="198">
        <v>901977424</v>
      </c>
      <c r="B14062" s="192" t="s">
        <v>1861</v>
      </c>
      <c r="C14062" s="196">
        <v>0</v>
      </c>
      <c r="D14062" s="196">
        <v>11741</v>
      </c>
      <c r="E14062" s="196">
        <v>0</v>
      </c>
      <c r="F14062" s="196">
        <v>11741</v>
      </c>
      <c r="G14062" s="196">
        <v>11741</v>
      </c>
    </row>
    <row r="14063" spans="1:7" x14ac:dyDescent="0.3">
      <c r="A14063" s="198">
        <v>901214840</v>
      </c>
      <c r="B14063" s="192" t="s">
        <v>7485</v>
      </c>
      <c r="C14063" s="196">
        <v>597625.91</v>
      </c>
      <c r="D14063" s="196">
        <v>0</v>
      </c>
      <c r="E14063" s="196">
        <v>0</v>
      </c>
      <c r="F14063" s="196">
        <v>0</v>
      </c>
      <c r="G14063" s="196">
        <v>597625.91</v>
      </c>
    </row>
    <row r="14064" spans="1:7" x14ac:dyDescent="0.3">
      <c r="A14064" s="198">
        <v>800180330</v>
      </c>
      <c r="B14064" s="192" t="s">
        <v>1873</v>
      </c>
      <c r="C14064" s="196">
        <v>22950</v>
      </c>
      <c r="D14064" s="196">
        <v>102540.73</v>
      </c>
      <c r="E14064" s="196">
        <v>0</v>
      </c>
      <c r="F14064" s="196">
        <v>102540.73</v>
      </c>
      <c r="G14064" s="196">
        <v>125490.73</v>
      </c>
    </row>
    <row r="14065" spans="1:7" x14ac:dyDescent="0.3">
      <c r="A14065" s="198">
        <v>900528916</v>
      </c>
      <c r="B14065" s="192" t="s">
        <v>7486</v>
      </c>
      <c r="C14065" s="196">
        <v>17305.599999999999</v>
      </c>
      <c r="D14065" s="196">
        <v>0</v>
      </c>
      <c r="E14065" s="196">
        <v>0</v>
      </c>
      <c r="F14065" s="196">
        <v>0</v>
      </c>
      <c r="G14065" s="196">
        <v>17305.599999999999</v>
      </c>
    </row>
    <row r="14066" spans="1:7" x14ac:dyDescent="0.3">
      <c r="A14066" s="198">
        <v>900934851</v>
      </c>
      <c r="B14066" s="192" t="s">
        <v>7487</v>
      </c>
      <c r="C14066" s="196">
        <v>641194.77</v>
      </c>
      <c r="D14066" s="196">
        <v>0</v>
      </c>
      <c r="E14066" s="196">
        <v>0</v>
      </c>
      <c r="F14066" s="196">
        <v>0</v>
      </c>
      <c r="G14066" s="196">
        <v>641194.77</v>
      </c>
    </row>
    <row r="14067" spans="1:7" x14ac:dyDescent="0.3">
      <c r="A14067" s="198">
        <v>901774397</v>
      </c>
      <c r="B14067" s="192" t="s">
        <v>1898</v>
      </c>
      <c r="C14067" s="196">
        <v>11333</v>
      </c>
      <c r="D14067" s="196">
        <v>0</v>
      </c>
      <c r="E14067" s="196">
        <v>0</v>
      </c>
      <c r="F14067" s="196">
        <v>0</v>
      </c>
      <c r="G14067" s="196">
        <v>11333</v>
      </c>
    </row>
    <row r="14068" spans="1:7" x14ac:dyDescent="0.3">
      <c r="A14068" s="198">
        <v>860533413</v>
      </c>
      <c r="B14068" s="192" t="s">
        <v>1900</v>
      </c>
      <c r="C14068" s="196">
        <v>565279</v>
      </c>
      <c r="D14068" s="196">
        <v>61177</v>
      </c>
      <c r="E14068" s="196">
        <v>0</v>
      </c>
      <c r="F14068" s="196">
        <v>61177</v>
      </c>
      <c r="G14068" s="196">
        <v>626456</v>
      </c>
    </row>
    <row r="14069" spans="1:7" x14ac:dyDescent="0.3">
      <c r="A14069" s="198">
        <v>900439301</v>
      </c>
      <c r="B14069" s="192" t="s">
        <v>7614</v>
      </c>
      <c r="C14069" s="196">
        <v>59495.5</v>
      </c>
      <c r="D14069" s="196">
        <v>0</v>
      </c>
      <c r="E14069" s="196">
        <v>0</v>
      </c>
      <c r="F14069" s="196">
        <v>0</v>
      </c>
      <c r="G14069" s="196">
        <v>59495.5</v>
      </c>
    </row>
    <row r="14070" spans="1:7" x14ac:dyDescent="0.3">
      <c r="A14070" s="198">
        <v>901038325</v>
      </c>
      <c r="B14070" s="192" t="s">
        <v>1907</v>
      </c>
      <c r="C14070" s="196">
        <v>0</v>
      </c>
      <c r="D14070" s="196">
        <v>110407.37</v>
      </c>
      <c r="E14070" s="196">
        <v>0</v>
      </c>
      <c r="F14070" s="196">
        <v>110407.37</v>
      </c>
      <c r="G14070" s="196">
        <v>110407.37</v>
      </c>
    </row>
    <row r="14071" spans="1:7" x14ac:dyDescent="0.3">
      <c r="A14071" s="198">
        <v>900407432</v>
      </c>
      <c r="B14071" s="192" t="s">
        <v>1914</v>
      </c>
      <c r="C14071" s="196">
        <v>1329463</v>
      </c>
      <c r="D14071" s="196">
        <v>156330</v>
      </c>
      <c r="E14071" s="196">
        <v>0</v>
      </c>
      <c r="F14071" s="196">
        <v>156330</v>
      </c>
      <c r="G14071" s="196">
        <v>1485793</v>
      </c>
    </row>
    <row r="14072" spans="1:7" x14ac:dyDescent="0.3">
      <c r="A14072" s="198">
        <v>900924249</v>
      </c>
      <c r="B14072" s="192" t="s">
        <v>1922</v>
      </c>
      <c r="C14072" s="196">
        <v>581212.96</v>
      </c>
      <c r="D14072" s="196">
        <v>0</v>
      </c>
      <c r="E14072" s="196">
        <v>0</v>
      </c>
      <c r="F14072" s="196">
        <v>0</v>
      </c>
      <c r="G14072" s="196">
        <v>581212.96</v>
      </c>
    </row>
    <row r="14073" spans="1:7" x14ac:dyDescent="0.3">
      <c r="A14073" s="198">
        <v>901566947</v>
      </c>
      <c r="B14073" s="192" t="s">
        <v>1931</v>
      </c>
      <c r="C14073" s="196">
        <v>171009</v>
      </c>
      <c r="D14073" s="196">
        <v>0</v>
      </c>
      <c r="E14073" s="196">
        <v>0</v>
      </c>
      <c r="F14073" s="196">
        <v>0</v>
      </c>
      <c r="G14073" s="196">
        <v>171009</v>
      </c>
    </row>
    <row r="14074" spans="1:7" x14ac:dyDescent="0.3">
      <c r="A14074" s="198">
        <v>900201094</v>
      </c>
      <c r="B14074" s="192" t="s">
        <v>1937</v>
      </c>
      <c r="C14074" s="196">
        <v>17852</v>
      </c>
      <c r="D14074" s="196">
        <v>0</v>
      </c>
      <c r="E14074" s="196">
        <v>0</v>
      </c>
      <c r="F14074" s="196">
        <v>0</v>
      </c>
      <c r="G14074" s="196">
        <v>17852</v>
      </c>
    </row>
    <row r="14075" spans="1:7" x14ac:dyDescent="0.3">
      <c r="A14075" s="198">
        <v>800028002</v>
      </c>
      <c r="B14075" s="192" t="s">
        <v>1942</v>
      </c>
      <c r="C14075" s="196">
        <v>119322</v>
      </c>
      <c r="D14075" s="196">
        <v>43559</v>
      </c>
      <c r="E14075" s="196">
        <v>0</v>
      </c>
      <c r="F14075" s="196">
        <v>43559</v>
      </c>
      <c r="G14075" s="196">
        <v>162881</v>
      </c>
    </row>
    <row r="14076" spans="1:7" x14ac:dyDescent="0.3">
      <c r="A14076" s="198">
        <v>900319753</v>
      </c>
      <c r="B14076" s="192" t="s">
        <v>1950</v>
      </c>
      <c r="C14076" s="196">
        <v>778936</v>
      </c>
      <c r="D14076" s="196">
        <v>0</v>
      </c>
      <c r="E14076" s="196">
        <v>0</v>
      </c>
      <c r="F14076" s="196">
        <v>0</v>
      </c>
      <c r="G14076" s="196">
        <v>778936</v>
      </c>
    </row>
    <row r="14077" spans="1:7" x14ac:dyDescent="0.3">
      <c r="A14077" s="198">
        <v>830112317</v>
      </c>
      <c r="B14077" s="192" t="s">
        <v>7592</v>
      </c>
      <c r="C14077" s="196">
        <v>35294.11</v>
      </c>
      <c r="D14077" s="196">
        <v>0</v>
      </c>
      <c r="E14077" s="196">
        <v>0</v>
      </c>
      <c r="F14077" s="196">
        <v>0</v>
      </c>
      <c r="G14077" s="196">
        <v>35294.11</v>
      </c>
    </row>
    <row r="14078" spans="1:7" x14ac:dyDescent="0.3">
      <c r="A14078" s="198">
        <v>900528263</v>
      </c>
      <c r="B14078" s="192" t="s">
        <v>7489</v>
      </c>
      <c r="C14078" s="196">
        <v>212870.33</v>
      </c>
      <c r="D14078" s="196">
        <v>0</v>
      </c>
      <c r="E14078" s="196">
        <v>0</v>
      </c>
      <c r="F14078" s="196">
        <v>0</v>
      </c>
      <c r="G14078" s="196">
        <v>212870.33</v>
      </c>
    </row>
    <row r="14079" spans="1:7" x14ac:dyDescent="0.3">
      <c r="A14079" s="198">
        <v>51956098</v>
      </c>
      <c r="B14079" s="192" t="s">
        <v>7615</v>
      </c>
      <c r="C14079" s="196">
        <v>146423.53</v>
      </c>
      <c r="D14079" s="196">
        <v>11623.63</v>
      </c>
      <c r="E14079" s="196">
        <v>0</v>
      </c>
      <c r="F14079" s="196">
        <v>11623.63</v>
      </c>
      <c r="G14079" s="196">
        <v>158047.16</v>
      </c>
    </row>
    <row r="14080" spans="1:7" x14ac:dyDescent="0.3">
      <c r="A14080" s="198">
        <v>860533413</v>
      </c>
      <c r="B14080" s="192" t="s">
        <v>1900</v>
      </c>
      <c r="C14080" s="196">
        <v>34551.5</v>
      </c>
      <c r="D14080" s="196">
        <v>11623.63</v>
      </c>
      <c r="E14080" s="196">
        <v>0</v>
      </c>
      <c r="F14080" s="196">
        <v>11623.63</v>
      </c>
      <c r="G14080" s="196">
        <v>46175.13</v>
      </c>
    </row>
    <row r="14081" spans="1:7" x14ac:dyDescent="0.3">
      <c r="A14081" s="198">
        <v>900439301</v>
      </c>
      <c r="B14081" s="192" t="s">
        <v>7614</v>
      </c>
      <c r="C14081" s="196">
        <v>11304.15</v>
      </c>
      <c r="D14081" s="196">
        <v>0</v>
      </c>
      <c r="E14081" s="196">
        <v>0</v>
      </c>
      <c r="F14081" s="196">
        <v>0</v>
      </c>
      <c r="G14081" s="196">
        <v>11304.15</v>
      </c>
    </row>
    <row r="14082" spans="1:7" x14ac:dyDescent="0.3">
      <c r="A14082" s="198">
        <v>900319753</v>
      </c>
      <c r="B14082" s="192" t="s">
        <v>1950</v>
      </c>
      <c r="C14082" s="196">
        <v>93862</v>
      </c>
      <c r="D14082" s="196">
        <v>0</v>
      </c>
      <c r="E14082" s="196">
        <v>0</v>
      </c>
      <c r="F14082" s="196">
        <v>0</v>
      </c>
      <c r="G14082" s="196">
        <v>93862</v>
      </c>
    </row>
    <row r="14083" spans="1:7" x14ac:dyDescent="0.3">
      <c r="A14083" s="198">
        <v>830112317</v>
      </c>
      <c r="B14083" s="192" t="s">
        <v>7592</v>
      </c>
      <c r="C14083" s="196">
        <v>6705.88</v>
      </c>
      <c r="D14083" s="196">
        <v>0</v>
      </c>
      <c r="E14083" s="196">
        <v>0</v>
      </c>
      <c r="F14083" s="196">
        <v>0</v>
      </c>
      <c r="G14083" s="196">
        <v>6705.88</v>
      </c>
    </row>
    <row r="14084" spans="1:7" x14ac:dyDescent="0.3">
      <c r="A14084" s="197">
        <v>519565</v>
      </c>
      <c r="B14084" s="191" t="s">
        <v>7616</v>
      </c>
      <c r="C14084" s="195">
        <v>181400</v>
      </c>
      <c r="D14084" s="195">
        <v>0</v>
      </c>
      <c r="E14084" s="195">
        <v>0</v>
      </c>
      <c r="F14084" s="195">
        <v>0</v>
      </c>
      <c r="G14084" s="195">
        <v>181400</v>
      </c>
    </row>
    <row r="14085" spans="1:7" x14ac:dyDescent="0.3">
      <c r="A14085" s="198">
        <v>51956501</v>
      </c>
      <c r="B14085" s="192" t="s">
        <v>7616</v>
      </c>
      <c r="C14085" s="196">
        <v>181400</v>
      </c>
      <c r="D14085" s="196">
        <v>0</v>
      </c>
      <c r="E14085" s="196">
        <v>0</v>
      </c>
      <c r="F14085" s="196">
        <v>0</v>
      </c>
      <c r="G14085" s="196">
        <v>181400</v>
      </c>
    </row>
    <row r="14086" spans="1:7" x14ac:dyDescent="0.3">
      <c r="A14086" s="198">
        <v>31948684</v>
      </c>
      <c r="B14086" s="192" t="s">
        <v>165</v>
      </c>
      <c r="C14086" s="196">
        <v>21000</v>
      </c>
      <c r="D14086" s="196">
        <v>0</v>
      </c>
      <c r="E14086" s="196">
        <v>0</v>
      </c>
      <c r="F14086" s="196">
        <v>0</v>
      </c>
      <c r="G14086" s="196">
        <v>21000</v>
      </c>
    </row>
    <row r="14087" spans="1:7" x14ac:dyDescent="0.3">
      <c r="A14087" s="198">
        <v>1037583982</v>
      </c>
      <c r="B14087" s="192" t="s">
        <v>1798</v>
      </c>
      <c r="C14087" s="196">
        <v>100000</v>
      </c>
      <c r="D14087" s="196">
        <v>0</v>
      </c>
      <c r="E14087" s="196">
        <v>0</v>
      </c>
      <c r="F14087" s="196">
        <v>0</v>
      </c>
      <c r="G14087" s="196">
        <v>100000</v>
      </c>
    </row>
    <row r="14088" spans="1:7" x14ac:dyDescent="0.3">
      <c r="A14088" s="198">
        <v>1017266622</v>
      </c>
      <c r="B14088" s="192" t="s">
        <v>1707</v>
      </c>
      <c r="C14088" s="196">
        <v>26000</v>
      </c>
      <c r="D14088" s="196">
        <v>0</v>
      </c>
      <c r="E14088" s="196">
        <v>0</v>
      </c>
      <c r="F14088" s="196">
        <v>0</v>
      </c>
      <c r="G14088" s="196">
        <v>26000</v>
      </c>
    </row>
    <row r="14089" spans="1:7" x14ac:dyDescent="0.3">
      <c r="A14089" s="198">
        <v>1036685923</v>
      </c>
      <c r="B14089" s="192" t="s">
        <v>1710</v>
      </c>
      <c r="C14089" s="196">
        <v>34400</v>
      </c>
      <c r="D14089" s="196">
        <v>0</v>
      </c>
      <c r="E14089" s="196">
        <v>0</v>
      </c>
      <c r="F14089" s="196">
        <v>0</v>
      </c>
      <c r="G14089" s="196">
        <v>34400</v>
      </c>
    </row>
    <row r="14090" spans="1:7" x14ac:dyDescent="0.3">
      <c r="A14090" s="197">
        <v>519595</v>
      </c>
      <c r="B14090" s="191" t="s">
        <v>7617</v>
      </c>
      <c r="C14090" s="195">
        <v>12963135.4</v>
      </c>
      <c r="D14090" s="195">
        <v>940200.01</v>
      </c>
      <c r="E14090" s="195">
        <v>0</v>
      </c>
      <c r="F14090" s="195">
        <v>940200.01</v>
      </c>
      <c r="G14090" s="195">
        <v>13903335.41</v>
      </c>
    </row>
    <row r="14091" spans="1:7" x14ac:dyDescent="0.3">
      <c r="A14091" s="198">
        <v>51959504</v>
      </c>
      <c r="B14091" s="192" t="s">
        <v>7618</v>
      </c>
      <c r="C14091" s="196">
        <v>11561589.16</v>
      </c>
      <c r="D14091" s="196">
        <v>790084.04</v>
      </c>
      <c r="E14091" s="196">
        <v>0</v>
      </c>
      <c r="F14091" s="196">
        <v>790084.04</v>
      </c>
      <c r="G14091" s="196">
        <v>12351673.199999999</v>
      </c>
    </row>
    <row r="14092" spans="1:7" x14ac:dyDescent="0.3">
      <c r="A14092" s="198">
        <v>31948684</v>
      </c>
      <c r="B14092" s="192" t="s">
        <v>165</v>
      </c>
      <c r="C14092" s="196">
        <v>2000000</v>
      </c>
      <c r="D14092" s="196">
        <v>0</v>
      </c>
      <c r="E14092" s="196">
        <v>0</v>
      </c>
      <c r="F14092" s="196">
        <v>0</v>
      </c>
      <c r="G14092" s="196">
        <v>2000000</v>
      </c>
    </row>
    <row r="14093" spans="1:7" x14ac:dyDescent="0.3">
      <c r="A14093" s="198">
        <v>890900943</v>
      </c>
      <c r="B14093" s="192" t="s">
        <v>1783</v>
      </c>
      <c r="C14093" s="196">
        <v>649030</v>
      </c>
      <c r="D14093" s="196">
        <v>0</v>
      </c>
      <c r="E14093" s="196">
        <v>0</v>
      </c>
      <c r="F14093" s="196">
        <v>0</v>
      </c>
      <c r="G14093" s="196">
        <v>649030</v>
      </c>
    </row>
    <row r="14094" spans="1:7" x14ac:dyDescent="0.3">
      <c r="A14094" s="198">
        <v>1037583982</v>
      </c>
      <c r="B14094" s="192" t="s">
        <v>1798</v>
      </c>
      <c r="C14094" s="196">
        <v>686000</v>
      </c>
      <c r="D14094" s="196">
        <v>0</v>
      </c>
      <c r="E14094" s="196">
        <v>0</v>
      </c>
      <c r="F14094" s="196">
        <v>0</v>
      </c>
      <c r="G14094" s="196">
        <v>686000</v>
      </c>
    </row>
    <row r="14095" spans="1:7" x14ac:dyDescent="0.3">
      <c r="A14095" s="198">
        <v>900177200</v>
      </c>
      <c r="B14095" s="192" t="s">
        <v>1894</v>
      </c>
      <c r="C14095" s="196">
        <v>4442076.2</v>
      </c>
      <c r="D14095" s="196">
        <v>0</v>
      </c>
      <c r="E14095" s="196">
        <v>0</v>
      </c>
      <c r="F14095" s="196">
        <v>0</v>
      </c>
      <c r="G14095" s="196">
        <v>4442076.2</v>
      </c>
    </row>
    <row r="14096" spans="1:7" x14ac:dyDescent="0.3">
      <c r="A14096" s="198">
        <v>890900099</v>
      </c>
      <c r="B14096" s="192" t="s">
        <v>2261</v>
      </c>
      <c r="C14096" s="196">
        <v>1004621.74</v>
      </c>
      <c r="D14096" s="196">
        <v>0</v>
      </c>
      <c r="E14096" s="196">
        <v>0</v>
      </c>
      <c r="F14096" s="196">
        <v>0</v>
      </c>
      <c r="G14096" s="196">
        <v>1004621.74</v>
      </c>
    </row>
    <row r="14097" spans="1:7" x14ac:dyDescent="0.3">
      <c r="A14097" s="198">
        <v>1094884306</v>
      </c>
      <c r="B14097" s="192" t="s">
        <v>1816</v>
      </c>
      <c r="C14097" s="196">
        <v>850000</v>
      </c>
      <c r="D14097" s="196">
        <v>0</v>
      </c>
      <c r="E14097" s="196">
        <v>0</v>
      </c>
      <c r="F14097" s="196">
        <v>0</v>
      </c>
      <c r="G14097" s="196">
        <v>850000</v>
      </c>
    </row>
    <row r="14098" spans="1:7" x14ac:dyDescent="0.3">
      <c r="A14098" s="198">
        <v>800242106</v>
      </c>
      <c r="B14098" s="192" t="s">
        <v>1757</v>
      </c>
      <c r="C14098" s="196">
        <v>1674107.22</v>
      </c>
      <c r="D14098" s="196">
        <v>790084.04</v>
      </c>
      <c r="E14098" s="196">
        <v>0</v>
      </c>
      <c r="F14098" s="196">
        <v>790084.04</v>
      </c>
      <c r="G14098" s="196">
        <v>2464191.2599999998</v>
      </c>
    </row>
    <row r="14099" spans="1:7" x14ac:dyDescent="0.3">
      <c r="A14099" s="198">
        <v>800252275</v>
      </c>
      <c r="B14099" s="192" t="s">
        <v>7619</v>
      </c>
      <c r="C14099" s="196">
        <v>255754</v>
      </c>
      <c r="D14099" s="196">
        <v>0</v>
      </c>
      <c r="E14099" s="196">
        <v>0</v>
      </c>
      <c r="F14099" s="196">
        <v>0</v>
      </c>
      <c r="G14099" s="196">
        <v>255754</v>
      </c>
    </row>
    <row r="14100" spans="1:7" x14ac:dyDescent="0.3">
      <c r="A14100" s="198">
        <v>51959598</v>
      </c>
      <c r="B14100" s="192" t="s">
        <v>7620</v>
      </c>
      <c r="C14100" s="196">
        <v>1401546.24</v>
      </c>
      <c r="D14100" s="196">
        <v>150115.97</v>
      </c>
      <c r="E14100" s="196">
        <v>0</v>
      </c>
      <c r="F14100" s="196">
        <v>150115.97</v>
      </c>
      <c r="G14100" s="196">
        <v>1551662.21</v>
      </c>
    </row>
    <row r="14101" spans="1:7" x14ac:dyDescent="0.3">
      <c r="A14101" s="198">
        <v>900177200</v>
      </c>
      <c r="B14101" s="192" t="s">
        <v>1894</v>
      </c>
      <c r="C14101" s="196">
        <v>843994.48</v>
      </c>
      <c r="D14101" s="196">
        <v>0</v>
      </c>
      <c r="E14101" s="196">
        <v>0</v>
      </c>
      <c r="F14101" s="196">
        <v>0</v>
      </c>
      <c r="G14101" s="196">
        <v>843994.48</v>
      </c>
    </row>
    <row r="14102" spans="1:7" x14ac:dyDescent="0.3">
      <c r="A14102" s="198">
        <v>890900099</v>
      </c>
      <c r="B14102" s="192" t="s">
        <v>2261</v>
      </c>
      <c r="C14102" s="196">
        <v>190878.13</v>
      </c>
      <c r="D14102" s="196">
        <v>0</v>
      </c>
      <c r="E14102" s="196">
        <v>0</v>
      </c>
      <c r="F14102" s="196">
        <v>0</v>
      </c>
      <c r="G14102" s="196">
        <v>190878.13</v>
      </c>
    </row>
    <row r="14103" spans="1:7" x14ac:dyDescent="0.3">
      <c r="A14103" s="198">
        <v>800242106</v>
      </c>
      <c r="B14103" s="192" t="s">
        <v>1757</v>
      </c>
      <c r="C14103" s="196">
        <v>318080.37</v>
      </c>
      <c r="D14103" s="196">
        <v>150115.97</v>
      </c>
      <c r="E14103" s="196">
        <v>0</v>
      </c>
      <c r="F14103" s="196">
        <v>150115.97</v>
      </c>
      <c r="G14103" s="196">
        <v>468196.34</v>
      </c>
    </row>
    <row r="14104" spans="1:7" x14ac:dyDescent="0.3">
      <c r="A14104" s="198">
        <v>800252275</v>
      </c>
      <c r="B14104" s="192" t="s">
        <v>7619</v>
      </c>
      <c r="C14104" s="196">
        <v>48593.26</v>
      </c>
      <c r="D14104" s="196">
        <v>0</v>
      </c>
      <c r="E14104" s="196">
        <v>0</v>
      </c>
      <c r="F14104" s="196">
        <v>0</v>
      </c>
      <c r="G14104" s="196">
        <v>48593.26</v>
      </c>
    </row>
    <row r="14105" spans="1:7" x14ac:dyDescent="0.3">
      <c r="A14105" s="197">
        <v>52</v>
      </c>
      <c r="B14105" s="191" t="s">
        <v>7621</v>
      </c>
      <c r="C14105" s="195">
        <v>100000</v>
      </c>
      <c r="D14105" s="195">
        <v>0</v>
      </c>
      <c r="E14105" s="195">
        <v>0</v>
      </c>
      <c r="F14105" s="195">
        <v>0</v>
      </c>
      <c r="G14105" s="195">
        <v>100000</v>
      </c>
    </row>
    <row r="14106" spans="1:7" x14ac:dyDescent="0.3">
      <c r="A14106" s="197">
        <v>5295</v>
      </c>
      <c r="B14106" s="191" t="s">
        <v>7622</v>
      </c>
      <c r="C14106" s="195">
        <v>100000</v>
      </c>
      <c r="D14106" s="195">
        <v>0</v>
      </c>
      <c r="E14106" s="195">
        <v>0</v>
      </c>
      <c r="F14106" s="195">
        <v>0</v>
      </c>
      <c r="G14106" s="195">
        <v>100000</v>
      </c>
    </row>
    <row r="14107" spans="1:7" x14ac:dyDescent="0.3">
      <c r="A14107" s="197">
        <v>529545</v>
      </c>
      <c r="B14107" s="191" t="s">
        <v>7623</v>
      </c>
      <c r="C14107" s="195">
        <v>100000</v>
      </c>
      <c r="D14107" s="195">
        <v>0</v>
      </c>
      <c r="E14107" s="195">
        <v>0</v>
      </c>
      <c r="F14107" s="195">
        <v>0</v>
      </c>
      <c r="G14107" s="195">
        <v>100000</v>
      </c>
    </row>
    <row r="14108" spans="1:7" x14ac:dyDescent="0.3">
      <c r="A14108" s="198">
        <v>52954501</v>
      </c>
      <c r="B14108" s="192" t="s">
        <v>7623</v>
      </c>
      <c r="C14108" s="196">
        <v>100000</v>
      </c>
      <c r="D14108" s="196">
        <v>0</v>
      </c>
      <c r="E14108" s="196">
        <v>0</v>
      </c>
      <c r="F14108" s="196">
        <v>0</v>
      </c>
      <c r="G14108" s="196">
        <v>100000</v>
      </c>
    </row>
    <row r="14109" spans="1:7" x14ac:dyDescent="0.3">
      <c r="A14109" s="198">
        <v>43605890</v>
      </c>
      <c r="B14109" s="192" t="s">
        <v>565</v>
      </c>
      <c r="C14109" s="196">
        <v>100000</v>
      </c>
      <c r="D14109" s="196">
        <v>0</v>
      </c>
      <c r="E14109" s="196">
        <v>0</v>
      </c>
      <c r="F14109" s="196">
        <v>0</v>
      </c>
      <c r="G14109" s="196">
        <v>100000</v>
      </c>
    </row>
    <row r="14110" spans="1:7" x14ac:dyDescent="0.3">
      <c r="A14110" s="197">
        <v>53</v>
      </c>
      <c r="B14110" s="191" t="s">
        <v>7624</v>
      </c>
      <c r="C14110" s="195">
        <v>216611676.91</v>
      </c>
      <c r="D14110" s="195">
        <v>40600425.560000002</v>
      </c>
      <c r="E14110" s="195">
        <v>1022321.33</v>
      </c>
      <c r="F14110" s="195">
        <v>39578104.229999997</v>
      </c>
      <c r="G14110" s="195">
        <v>256189781.13999999</v>
      </c>
    </row>
    <row r="14111" spans="1:7" x14ac:dyDescent="0.3">
      <c r="A14111" s="197">
        <v>5305</v>
      </c>
      <c r="B14111" s="191" t="s">
        <v>7625</v>
      </c>
      <c r="C14111" s="195">
        <v>144971896.99000001</v>
      </c>
      <c r="D14111" s="195">
        <v>27974478.920000002</v>
      </c>
      <c r="E14111" s="195">
        <v>1022306.47</v>
      </c>
      <c r="F14111" s="195">
        <v>26952172.449999999</v>
      </c>
      <c r="G14111" s="195">
        <v>171924069.44</v>
      </c>
    </row>
    <row r="14112" spans="1:7" x14ac:dyDescent="0.3">
      <c r="A14112" s="197">
        <v>530505</v>
      </c>
      <c r="B14112" s="191" t="s">
        <v>7626</v>
      </c>
      <c r="C14112" s="195">
        <v>1097839.1000000001</v>
      </c>
      <c r="D14112" s="195">
        <v>137520</v>
      </c>
      <c r="E14112" s="195">
        <v>0</v>
      </c>
      <c r="F14112" s="195">
        <v>137520</v>
      </c>
      <c r="G14112" s="195">
        <v>1235359.1000000001</v>
      </c>
    </row>
    <row r="14113" spans="1:7" x14ac:dyDescent="0.3">
      <c r="A14113" s="198">
        <v>53050501</v>
      </c>
      <c r="B14113" s="192" t="s">
        <v>7626</v>
      </c>
      <c r="C14113" s="196">
        <v>1026667</v>
      </c>
      <c r="D14113" s="196">
        <v>122700</v>
      </c>
      <c r="E14113" s="196">
        <v>0</v>
      </c>
      <c r="F14113" s="196">
        <v>122700</v>
      </c>
      <c r="G14113" s="196">
        <v>1149367</v>
      </c>
    </row>
    <row r="14114" spans="1:7" x14ac:dyDescent="0.3">
      <c r="A14114" s="198">
        <v>901054145</v>
      </c>
      <c r="B14114" s="192" t="s">
        <v>1622</v>
      </c>
      <c r="C14114" s="196">
        <v>92006</v>
      </c>
      <c r="D14114" s="196">
        <v>0</v>
      </c>
      <c r="E14114" s="196">
        <v>0</v>
      </c>
      <c r="F14114" s="196">
        <v>0</v>
      </c>
      <c r="G14114" s="196">
        <v>92006</v>
      </c>
    </row>
    <row r="14115" spans="1:7" x14ac:dyDescent="0.3">
      <c r="A14115" s="198">
        <v>890903938</v>
      </c>
      <c r="B14115" s="192" t="s">
        <v>1691</v>
      </c>
      <c r="C14115" s="196">
        <v>934661</v>
      </c>
      <c r="D14115" s="196">
        <v>122700</v>
      </c>
      <c r="E14115" s="196">
        <v>0</v>
      </c>
      <c r="F14115" s="196">
        <v>122700</v>
      </c>
      <c r="G14115" s="196">
        <v>1057361</v>
      </c>
    </row>
    <row r="14116" spans="1:7" x14ac:dyDescent="0.3">
      <c r="A14116" s="198">
        <v>53050598</v>
      </c>
      <c r="B14116" s="192" t="s">
        <v>7627</v>
      </c>
      <c r="C14116" s="196">
        <v>71172.100000000006</v>
      </c>
      <c r="D14116" s="196">
        <v>14820</v>
      </c>
      <c r="E14116" s="196">
        <v>0</v>
      </c>
      <c r="F14116" s="196">
        <v>14820</v>
      </c>
      <c r="G14116" s="196">
        <v>85992.1</v>
      </c>
    </row>
    <row r="14117" spans="1:7" x14ac:dyDescent="0.3">
      <c r="A14117" s="198">
        <v>890903938</v>
      </c>
      <c r="B14117" s="192" t="s">
        <v>1691</v>
      </c>
      <c r="C14117" s="196">
        <v>71172.100000000006</v>
      </c>
      <c r="D14117" s="196">
        <v>14820</v>
      </c>
      <c r="E14117" s="196">
        <v>0</v>
      </c>
      <c r="F14117" s="196">
        <v>14820</v>
      </c>
      <c r="G14117" s="196">
        <v>85992.1</v>
      </c>
    </row>
    <row r="14118" spans="1:7" x14ac:dyDescent="0.3">
      <c r="A14118" s="197">
        <v>530515</v>
      </c>
      <c r="B14118" s="191" t="s">
        <v>7628</v>
      </c>
      <c r="C14118" s="195">
        <v>67530303.620000005</v>
      </c>
      <c r="D14118" s="195">
        <v>11937470.789999999</v>
      </c>
      <c r="E14118" s="195">
        <v>0</v>
      </c>
      <c r="F14118" s="195">
        <v>11937470.789999999</v>
      </c>
      <c r="G14118" s="195">
        <v>79467774.409999996</v>
      </c>
    </row>
    <row r="14119" spans="1:7" x14ac:dyDescent="0.3">
      <c r="A14119" s="198">
        <v>53051501</v>
      </c>
      <c r="B14119" s="192" t="s">
        <v>7628</v>
      </c>
      <c r="C14119" s="196">
        <v>66434786.420000002</v>
      </c>
      <c r="D14119" s="196">
        <v>11732909.189999999</v>
      </c>
      <c r="E14119" s="196">
        <v>0</v>
      </c>
      <c r="F14119" s="196">
        <v>11732909.189999999</v>
      </c>
      <c r="G14119" s="196">
        <v>78167695.609999999</v>
      </c>
    </row>
    <row r="14120" spans="1:7" x14ac:dyDescent="0.3">
      <c r="A14120" s="198">
        <v>860007335</v>
      </c>
      <c r="B14120" s="192" t="s">
        <v>1690</v>
      </c>
      <c r="C14120" s="196">
        <v>56433122</v>
      </c>
      <c r="D14120" s="196">
        <v>10065028</v>
      </c>
      <c r="E14120" s="196">
        <v>0</v>
      </c>
      <c r="F14120" s="196">
        <v>10065028</v>
      </c>
      <c r="G14120" s="196">
        <v>66498150</v>
      </c>
    </row>
    <row r="14121" spans="1:7" x14ac:dyDescent="0.3">
      <c r="A14121" s="198">
        <v>890903938</v>
      </c>
      <c r="B14121" s="192" t="s">
        <v>1691</v>
      </c>
      <c r="C14121" s="196">
        <v>9757609</v>
      </c>
      <c r="D14121" s="196">
        <v>1591151</v>
      </c>
      <c r="E14121" s="196">
        <v>0</v>
      </c>
      <c r="F14121" s="196">
        <v>1591151</v>
      </c>
      <c r="G14121" s="196">
        <v>11348760</v>
      </c>
    </row>
    <row r="14122" spans="1:7" x14ac:dyDescent="0.3">
      <c r="A14122" s="198">
        <v>900406150</v>
      </c>
      <c r="B14122" s="192" t="s">
        <v>1837</v>
      </c>
      <c r="C14122" s="196">
        <v>244055.42</v>
      </c>
      <c r="D14122" s="196">
        <v>76730.19</v>
      </c>
      <c r="E14122" s="196">
        <v>0</v>
      </c>
      <c r="F14122" s="196">
        <v>76730.19</v>
      </c>
      <c r="G14122" s="196">
        <v>320785.61</v>
      </c>
    </row>
    <row r="14123" spans="1:7" x14ac:dyDescent="0.3">
      <c r="A14123" s="198">
        <v>53051598</v>
      </c>
      <c r="B14123" s="192" t="s">
        <v>7629</v>
      </c>
      <c r="C14123" s="196">
        <v>1095517.2</v>
      </c>
      <c r="D14123" s="196">
        <v>204561.6</v>
      </c>
      <c r="E14123" s="196">
        <v>0</v>
      </c>
      <c r="F14123" s="196">
        <v>204561.6</v>
      </c>
      <c r="G14123" s="196">
        <v>1300078.8</v>
      </c>
    </row>
    <row r="14124" spans="1:7" x14ac:dyDescent="0.3">
      <c r="A14124" s="198">
        <v>890903938</v>
      </c>
      <c r="B14124" s="192" t="s">
        <v>1691</v>
      </c>
      <c r="C14124" s="196">
        <v>1095517.2</v>
      </c>
      <c r="D14124" s="196">
        <v>204561.6</v>
      </c>
      <c r="E14124" s="196">
        <v>0</v>
      </c>
      <c r="F14124" s="196">
        <v>204561.6</v>
      </c>
      <c r="G14124" s="196">
        <v>1300078.8</v>
      </c>
    </row>
    <row r="14125" spans="1:7" x14ac:dyDescent="0.3">
      <c r="A14125" s="197">
        <v>530520</v>
      </c>
      <c r="B14125" s="191" t="s">
        <v>7630</v>
      </c>
      <c r="C14125" s="195">
        <v>70244419.719999999</v>
      </c>
      <c r="D14125" s="195">
        <v>13576785.1</v>
      </c>
      <c r="E14125" s="195">
        <v>1022306.47</v>
      </c>
      <c r="F14125" s="195">
        <v>12554478.630000001</v>
      </c>
      <c r="G14125" s="195">
        <v>82798898.349999994</v>
      </c>
    </row>
    <row r="14126" spans="1:7" x14ac:dyDescent="0.3">
      <c r="A14126" s="198">
        <v>53052001</v>
      </c>
      <c r="B14126" s="192" t="s">
        <v>7630</v>
      </c>
      <c r="C14126" s="196">
        <v>69685229.030000001</v>
      </c>
      <c r="D14126" s="196">
        <v>13511321.359999999</v>
      </c>
      <c r="E14126" s="196">
        <v>1022306.47</v>
      </c>
      <c r="F14126" s="196">
        <v>12489014.890000001</v>
      </c>
      <c r="G14126" s="196">
        <v>82174243.920000002</v>
      </c>
    </row>
    <row r="14127" spans="1:7" x14ac:dyDescent="0.3">
      <c r="A14127" s="198">
        <v>860007335</v>
      </c>
      <c r="B14127" s="192" t="s">
        <v>1690</v>
      </c>
      <c r="C14127" s="196">
        <v>22703574.25</v>
      </c>
      <c r="D14127" s="196">
        <v>4459927.63</v>
      </c>
      <c r="E14127" s="196">
        <v>1022306.47</v>
      </c>
      <c r="F14127" s="196">
        <v>3437621.16</v>
      </c>
      <c r="G14127" s="196">
        <v>26141195.41</v>
      </c>
    </row>
    <row r="14128" spans="1:7" x14ac:dyDescent="0.3">
      <c r="A14128" s="198">
        <v>860034313</v>
      </c>
      <c r="B14128" s="192" t="s">
        <v>1629</v>
      </c>
      <c r="C14128" s="196">
        <v>18091498</v>
      </c>
      <c r="D14128" s="196">
        <v>3691703</v>
      </c>
      <c r="E14128" s="196">
        <v>0</v>
      </c>
      <c r="F14128" s="196">
        <v>3691703</v>
      </c>
      <c r="G14128" s="196">
        <v>21783201</v>
      </c>
    </row>
    <row r="14129" spans="1:7" x14ac:dyDescent="0.3">
      <c r="A14129" s="198">
        <v>890903938</v>
      </c>
      <c r="B14129" s="192" t="s">
        <v>1691</v>
      </c>
      <c r="C14129" s="196">
        <v>4839866</v>
      </c>
      <c r="D14129" s="196">
        <v>955891</v>
      </c>
      <c r="E14129" s="196">
        <v>0</v>
      </c>
      <c r="F14129" s="196">
        <v>955891</v>
      </c>
      <c r="G14129" s="196">
        <v>5795757</v>
      </c>
    </row>
    <row r="14130" spans="1:7" x14ac:dyDescent="0.3">
      <c r="A14130" s="198">
        <v>900406150</v>
      </c>
      <c r="B14130" s="192" t="s">
        <v>1837</v>
      </c>
      <c r="C14130" s="196">
        <v>711319.78</v>
      </c>
      <c r="D14130" s="196">
        <v>285603.73</v>
      </c>
      <c r="E14130" s="196">
        <v>0</v>
      </c>
      <c r="F14130" s="196">
        <v>285603.73</v>
      </c>
      <c r="G14130" s="196">
        <v>996923.51</v>
      </c>
    </row>
    <row r="14131" spans="1:7" x14ac:dyDescent="0.3">
      <c r="A14131" s="198">
        <v>901160048</v>
      </c>
      <c r="B14131" s="192" t="s">
        <v>1664</v>
      </c>
      <c r="C14131" s="196">
        <v>18093911</v>
      </c>
      <c r="D14131" s="196">
        <v>3773650</v>
      </c>
      <c r="E14131" s="196">
        <v>0</v>
      </c>
      <c r="F14131" s="196">
        <v>3773650</v>
      </c>
      <c r="G14131" s="196">
        <v>21867561</v>
      </c>
    </row>
    <row r="14132" spans="1:7" x14ac:dyDescent="0.3">
      <c r="A14132" s="198">
        <v>890903407</v>
      </c>
      <c r="B14132" s="192" t="s">
        <v>1669</v>
      </c>
      <c r="C14132" s="196">
        <v>2126364</v>
      </c>
      <c r="D14132" s="196">
        <v>0</v>
      </c>
      <c r="E14132" s="196">
        <v>0</v>
      </c>
      <c r="F14132" s="196">
        <v>0</v>
      </c>
      <c r="G14132" s="196">
        <v>2126364</v>
      </c>
    </row>
    <row r="14133" spans="1:7" x14ac:dyDescent="0.3">
      <c r="A14133" s="198">
        <v>811036875</v>
      </c>
      <c r="B14133" s="192" t="s">
        <v>1955</v>
      </c>
      <c r="C14133" s="196">
        <v>3118696</v>
      </c>
      <c r="D14133" s="196">
        <v>344546</v>
      </c>
      <c r="E14133" s="196">
        <v>0</v>
      </c>
      <c r="F14133" s="196">
        <v>344546</v>
      </c>
      <c r="G14133" s="196">
        <v>3463242</v>
      </c>
    </row>
    <row r="14134" spans="1:7" x14ac:dyDescent="0.3">
      <c r="A14134" s="198">
        <v>53052098</v>
      </c>
      <c r="B14134" s="192" t="s">
        <v>7631</v>
      </c>
      <c r="C14134" s="196">
        <v>559190.68999999994</v>
      </c>
      <c r="D14134" s="196">
        <v>65463.74</v>
      </c>
      <c r="E14134" s="196">
        <v>0</v>
      </c>
      <c r="F14134" s="196">
        <v>65463.74</v>
      </c>
      <c r="G14134" s="196">
        <v>624654.43000000005</v>
      </c>
    </row>
    <row r="14135" spans="1:7" x14ac:dyDescent="0.3">
      <c r="A14135" s="198">
        <v>890903407</v>
      </c>
      <c r="B14135" s="192" t="s">
        <v>1669</v>
      </c>
      <c r="C14135" s="196">
        <v>404008</v>
      </c>
      <c r="D14135" s="196">
        <v>0</v>
      </c>
      <c r="E14135" s="196">
        <v>0</v>
      </c>
      <c r="F14135" s="196">
        <v>0</v>
      </c>
      <c r="G14135" s="196">
        <v>404008</v>
      </c>
    </row>
    <row r="14136" spans="1:7" x14ac:dyDescent="0.3">
      <c r="A14136" s="198">
        <v>811036875</v>
      </c>
      <c r="B14136" s="192" t="s">
        <v>1955</v>
      </c>
      <c r="C14136" s="196">
        <v>155182.69</v>
      </c>
      <c r="D14136" s="196">
        <v>65463.74</v>
      </c>
      <c r="E14136" s="196">
        <v>0</v>
      </c>
      <c r="F14136" s="196">
        <v>65463.74</v>
      </c>
      <c r="G14136" s="196">
        <v>220646.43</v>
      </c>
    </row>
    <row r="14137" spans="1:7" x14ac:dyDescent="0.3">
      <c r="A14137" s="197">
        <v>530595</v>
      </c>
      <c r="B14137" s="191" t="s">
        <v>7632</v>
      </c>
      <c r="C14137" s="195">
        <v>6099334.5499999998</v>
      </c>
      <c r="D14137" s="195">
        <v>2322703.0299999998</v>
      </c>
      <c r="E14137" s="195">
        <v>0</v>
      </c>
      <c r="F14137" s="195">
        <v>2322703.0299999998</v>
      </c>
      <c r="G14137" s="195">
        <v>8422037.5800000001</v>
      </c>
    </row>
    <row r="14138" spans="1:7" x14ac:dyDescent="0.3">
      <c r="A14138" s="198">
        <v>53059501</v>
      </c>
      <c r="B14138" s="192" t="s">
        <v>7633</v>
      </c>
      <c r="C14138" s="196">
        <v>5894365.0599999996</v>
      </c>
      <c r="D14138" s="196">
        <v>2322703.0299999998</v>
      </c>
      <c r="E14138" s="196">
        <v>0</v>
      </c>
      <c r="F14138" s="196">
        <v>2322703.0299999998</v>
      </c>
      <c r="G14138" s="196">
        <v>8217068.0899999999</v>
      </c>
    </row>
    <row r="14139" spans="1:7" x14ac:dyDescent="0.3">
      <c r="A14139" s="198">
        <v>900336004</v>
      </c>
      <c r="B14139" s="192" t="s">
        <v>2086</v>
      </c>
      <c r="C14139" s="196">
        <v>19600</v>
      </c>
      <c r="D14139" s="196">
        <v>0</v>
      </c>
      <c r="E14139" s="196">
        <v>0</v>
      </c>
      <c r="F14139" s="196">
        <v>0</v>
      </c>
      <c r="G14139" s="196">
        <v>19600</v>
      </c>
    </row>
    <row r="14140" spans="1:7" x14ac:dyDescent="0.3">
      <c r="A14140" s="198">
        <v>830053812</v>
      </c>
      <c r="B14140" s="192" t="s">
        <v>1623</v>
      </c>
      <c r="C14140" s="196">
        <v>431325.88</v>
      </c>
      <c r="D14140" s="196">
        <v>103807.27</v>
      </c>
      <c r="E14140" s="196">
        <v>0</v>
      </c>
      <c r="F14140" s="196">
        <v>103807.27</v>
      </c>
      <c r="G14140" s="196">
        <v>535133.15</v>
      </c>
    </row>
    <row r="14141" spans="1:7" x14ac:dyDescent="0.3">
      <c r="A14141" s="198">
        <v>860034313</v>
      </c>
      <c r="B14141" s="192" t="s">
        <v>1629</v>
      </c>
      <c r="C14141" s="196">
        <v>0</v>
      </c>
      <c r="D14141" s="196">
        <v>1381</v>
      </c>
      <c r="E14141" s="196">
        <v>0</v>
      </c>
      <c r="F14141" s="196">
        <v>1381</v>
      </c>
      <c r="G14141" s="196">
        <v>1381</v>
      </c>
    </row>
    <row r="14142" spans="1:7" x14ac:dyDescent="0.3">
      <c r="A14142" s="198">
        <v>900406150</v>
      </c>
      <c r="B14142" s="192" t="s">
        <v>1837</v>
      </c>
      <c r="C14142" s="196">
        <v>0</v>
      </c>
      <c r="D14142" s="196">
        <v>231.54</v>
      </c>
      <c r="E14142" s="196">
        <v>0</v>
      </c>
      <c r="F14142" s="196">
        <v>231.54</v>
      </c>
      <c r="G14142" s="196">
        <v>231.54</v>
      </c>
    </row>
    <row r="14143" spans="1:7" x14ac:dyDescent="0.3">
      <c r="A14143" s="198">
        <v>890900841</v>
      </c>
      <c r="B14143" s="192" t="s">
        <v>1866</v>
      </c>
      <c r="C14143" s="196">
        <v>19800</v>
      </c>
      <c r="D14143" s="196">
        <v>0</v>
      </c>
      <c r="E14143" s="196">
        <v>0</v>
      </c>
      <c r="F14143" s="196">
        <v>0</v>
      </c>
      <c r="G14143" s="196">
        <v>19800</v>
      </c>
    </row>
    <row r="14144" spans="1:7" x14ac:dyDescent="0.3">
      <c r="A14144" s="198">
        <v>800227940</v>
      </c>
      <c r="B14144" s="192" t="s">
        <v>2087</v>
      </c>
      <c r="C14144" s="196">
        <v>5700</v>
      </c>
      <c r="D14144" s="196">
        <v>0</v>
      </c>
      <c r="E14144" s="196">
        <v>0</v>
      </c>
      <c r="F14144" s="196">
        <v>0</v>
      </c>
      <c r="G14144" s="196">
        <v>5700</v>
      </c>
    </row>
    <row r="14145" spans="1:7" x14ac:dyDescent="0.3">
      <c r="A14145" s="198">
        <v>800226175</v>
      </c>
      <c r="B14145" s="192" t="s">
        <v>2069</v>
      </c>
      <c r="C14145" s="196">
        <v>5200</v>
      </c>
      <c r="D14145" s="196">
        <v>0</v>
      </c>
      <c r="E14145" s="196">
        <v>0</v>
      </c>
      <c r="F14145" s="196">
        <v>0</v>
      </c>
      <c r="G14145" s="196">
        <v>5200</v>
      </c>
    </row>
    <row r="14146" spans="1:7" x14ac:dyDescent="0.3">
      <c r="A14146" s="198">
        <v>800088702</v>
      </c>
      <c r="B14146" s="192" t="s">
        <v>2032</v>
      </c>
      <c r="C14146" s="196">
        <v>18400</v>
      </c>
      <c r="D14146" s="196">
        <v>0</v>
      </c>
      <c r="E14146" s="196">
        <v>0</v>
      </c>
      <c r="F14146" s="196">
        <v>0</v>
      </c>
      <c r="G14146" s="196">
        <v>18400</v>
      </c>
    </row>
    <row r="14147" spans="1:7" x14ac:dyDescent="0.3">
      <c r="A14147" s="198">
        <v>800251440</v>
      </c>
      <c r="B14147" s="192" t="s">
        <v>2035</v>
      </c>
      <c r="C14147" s="196">
        <v>600</v>
      </c>
      <c r="D14147" s="196">
        <v>0</v>
      </c>
      <c r="E14147" s="196">
        <v>0</v>
      </c>
      <c r="F14147" s="196">
        <v>0</v>
      </c>
      <c r="G14147" s="196">
        <v>600</v>
      </c>
    </row>
    <row r="14148" spans="1:7" x14ac:dyDescent="0.3">
      <c r="A14148" s="198">
        <v>900156264</v>
      </c>
      <c r="B14148" s="192" t="s">
        <v>2050</v>
      </c>
      <c r="C14148" s="196">
        <v>400</v>
      </c>
      <c r="D14148" s="196">
        <v>0</v>
      </c>
      <c r="E14148" s="196">
        <v>0</v>
      </c>
      <c r="F14148" s="196">
        <v>0</v>
      </c>
      <c r="G14148" s="196">
        <v>400</v>
      </c>
    </row>
    <row r="14149" spans="1:7" x14ac:dyDescent="0.3">
      <c r="A14149" s="198">
        <v>800224808</v>
      </c>
      <c r="B14149" s="192" t="s">
        <v>2084</v>
      </c>
      <c r="C14149" s="196">
        <v>20200</v>
      </c>
      <c r="D14149" s="196">
        <v>0</v>
      </c>
      <c r="E14149" s="196">
        <v>0</v>
      </c>
      <c r="F14149" s="196">
        <v>0</v>
      </c>
      <c r="G14149" s="196">
        <v>20200</v>
      </c>
    </row>
    <row r="14150" spans="1:7" x14ac:dyDescent="0.3">
      <c r="A14150" s="198">
        <v>800229739</v>
      </c>
      <c r="B14150" s="192" t="s">
        <v>2079</v>
      </c>
      <c r="C14150" s="196">
        <v>28900</v>
      </c>
      <c r="D14150" s="196">
        <v>0</v>
      </c>
      <c r="E14150" s="196">
        <v>0</v>
      </c>
      <c r="F14150" s="196">
        <v>0</v>
      </c>
      <c r="G14150" s="196">
        <v>28900</v>
      </c>
    </row>
    <row r="14151" spans="1:7" x14ac:dyDescent="0.3">
      <c r="A14151" s="198">
        <v>800130907</v>
      </c>
      <c r="B14151" s="192" t="s">
        <v>2052</v>
      </c>
      <c r="C14151" s="196">
        <v>600</v>
      </c>
      <c r="D14151" s="196">
        <v>0</v>
      </c>
      <c r="E14151" s="196">
        <v>0</v>
      </c>
      <c r="F14151" s="196">
        <v>0</v>
      </c>
      <c r="G14151" s="196">
        <v>600</v>
      </c>
    </row>
    <row r="14152" spans="1:7" x14ac:dyDescent="0.3">
      <c r="A14152" s="198">
        <v>800197268</v>
      </c>
      <c r="B14152" s="192" t="s">
        <v>1693</v>
      </c>
      <c r="C14152" s="196">
        <v>4934000</v>
      </c>
      <c r="D14152" s="196">
        <v>2217000</v>
      </c>
      <c r="E14152" s="196">
        <v>0</v>
      </c>
      <c r="F14152" s="196">
        <v>2217000</v>
      </c>
      <c r="G14152" s="196">
        <v>7151000</v>
      </c>
    </row>
    <row r="14153" spans="1:7" x14ac:dyDescent="0.3">
      <c r="A14153" s="198">
        <v>900092385</v>
      </c>
      <c r="B14153" s="192" t="s">
        <v>1673</v>
      </c>
      <c r="C14153" s="196">
        <v>409639.18</v>
      </c>
      <c r="D14153" s="196">
        <v>283.22000000000003</v>
      </c>
      <c r="E14153" s="196">
        <v>0</v>
      </c>
      <c r="F14153" s="196">
        <v>283.22000000000003</v>
      </c>
      <c r="G14153" s="196">
        <v>409922.4</v>
      </c>
    </row>
    <row r="14154" spans="1:7" x14ac:dyDescent="0.3">
      <c r="A14154" s="198">
        <v>53059502</v>
      </c>
      <c r="B14154" s="192" t="s">
        <v>7634</v>
      </c>
      <c r="C14154" s="196">
        <v>127182</v>
      </c>
      <c r="D14154" s="196">
        <v>0</v>
      </c>
      <c r="E14154" s="196">
        <v>0</v>
      </c>
      <c r="F14154" s="196">
        <v>0</v>
      </c>
      <c r="G14154" s="196">
        <v>127182</v>
      </c>
    </row>
    <row r="14155" spans="1:7" x14ac:dyDescent="0.3">
      <c r="A14155" s="198">
        <v>900406150</v>
      </c>
      <c r="B14155" s="192" t="s">
        <v>1837</v>
      </c>
      <c r="C14155" s="196">
        <v>127182</v>
      </c>
      <c r="D14155" s="196">
        <v>0</v>
      </c>
      <c r="E14155" s="196">
        <v>0</v>
      </c>
      <c r="F14155" s="196">
        <v>0</v>
      </c>
      <c r="G14155" s="196">
        <v>127182</v>
      </c>
    </row>
    <row r="14156" spans="1:7" x14ac:dyDescent="0.3">
      <c r="A14156" s="198">
        <v>53059598</v>
      </c>
      <c r="B14156" s="192" t="s">
        <v>7635</v>
      </c>
      <c r="C14156" s="196">
        <v>77787.490000000005</v>
      </c>
      <c r="D14156" s="196">
        <v>0</v>
      </c>
      <c r="E14156" s="196">
        <v>0</v>
      </c>
      <c r="F14156" s="196">
        <v>0</v>
      </c>
      <c r="G14156" s="196">
        <v>77787.490000000005</v>
      </c>
    </row>
    <row r="14157" spans="1:7" x14ac:dyDescent="0.3">
      <c r="A14157" s="198">
        <v>900092385</v>
      </c>
      <c r="B14157" s="192" t="s">
        <v>1673</v>
      </c>
      <c r="C14157" s="196">
        <v>77787.490000000005</v>
      </c>
      <c r="D14157" s="196">
        <v>0</v>
      </c>
      <c r="E14157" s="196">
        <v>0</v>
      </c>
      <c r="F14157" s="196">
        <v>0</v>
      </c>
      <c r="G14157" s="196">
        <v>77787.490000000005</v>
      </c>
    </row>
    <row r="14158" spans="1:7" x14ac:dyDescent="0.3">
      <c r="A14158" s="197">
        <v>5315</v>
      </c>
      <c r="B14158" s="191" t="s">
        <v>7636</v>
      </c>
      <c r="C14158" s="195">
        <v>2010</v>
      </c>
      <c r="D14158" s="195">
        <v>0</v>
      </c>
      <c r="E14158" s="195">
        <v>0</v>
      </c>
      <c r="F14158" s="195">
        <v>0</v>
      </c>
      <c r="G14158" s="195">
        <v>2010</v>
      </c>
    </row>
    <row r="14159" spans="1:7" x14ac:dyDescent="0.3">
      <c r="A14159" s="197">
        <v>531515</v>
      </c>
      <c r="B14159" s="191" t="s">
        <v>7637</v>
      </c>
      <c r="C14159" s="195">
        <v>2010</v>
      </c>
      <c r="D14159" s="195">
        <v>0</v>
      </c>
      <c r="E14159" s="195">
        <v>0</v>
      </c>
      <c r="F14159" s="195">
        <v>0</v>
      </c>
      <c r="G14159" s="195">
        <v>2010</v>
      </c>
    </row>
    <row r="14160" spans="1:7" x14ac:dyDescent="0.3">
      <c r="A14160" s="198">
        <v>53151501</v>
      </c>
      <c r="B14160" s="192" t="s">
        <v>7637</v>
      </c>
      <c r="C14160" s="196">
        <v>2010</v>
      </c>
      <c r="D14160" s="196">
        <v>0</v>
      </c>
      <c r="E14160" s="196">
        <v>0</v>
      </c>
      <c r="F14160" s="196">
        <v>0</v>
      </c>
      <c r="G14160" s="196">
        <v>2010</v>
      </c>
    </row>
    <row r="14161" spans="1:7" x14ac:dyDescent="0.3">
      <c r="A14161" s="198">
        <v>900640334</v>
      </c>
      <c r="B14161" s="192" t="s">
        <v>336</v>
      </c>
      <c r="C14161" s="196">
        <v>2010</v>
      </c>
      <c r="D14161" s="196">
        <v>0</v>
      </c>
      <c r="E14161" s="196">
        <v>0</v>
      </c>
      <c r="F14161" s="196">
        <v>0</v>
      </c>
      <c r="G14161" s="196">
        <v>2010</v>
      </c>
    </row>
    <row r="14162" spans="1:7" x14ac:dyDescent="0.3">
      <c r="A14162" s="197">
        <v>5395</v>
      </c>
      <c r="B14162" s="191" t="s">
        <v>7638</v>
      </c>
      <c r="C14162" s="195">
        <v>71637769.920000002</v>
      </c>
      <c r="D14162" s="195">
        <v>12625946.640000001</v>
      </c>
      <c r="E14162" s="195">
        <v>14.86</v>
      </c>
      <c r="F14162" s="195">
        <v>12625931.779999999</v>
      </c>
      <c r="G14162" s="195">
        <v>84263701.700000003</v>
      </c>
    </row>
    <row r="14163" spans="1:7" x14ac:dyDescent="0.3">
      <c r="A14163" s="197">
        <v>539505</v>
      </c>
      <c r="B14163" s="191" t="s">
        <v>7639</v>
      </c>
      <c r="C14163" s="195">
        <v>0</v>
      </c>
      <c r="D14163" s="195">
        <v>1938572</v>
      </c>
      <c r="E14163" s="195">
        <v>0</v>
      </c>
      <c r="F14163" s="195">
        <v>1938572</v>
      </c>
      <c r="G14163" s="195">
        <v>1938572</v>
      </c>
    </row>
    <row r="14164" spans="1:7" x14ac:dyDescent="0.3">
      <c r="A14164" s="198">
        <v>53959601</v>
      </c>
      <c r="B14164" s="192" t="s">
        <v>7640</v>
      </c>
      <c r="C14164" s="196">
        <v>0</v>
      </c>
      <c r="D14164" s="196">
        <v>1938572</v>
      </c>
      <c r="E14164" s="196">
        <v>0</v>
      </c>
      <c r="F14164" s="196">
        <v>1938572</v>
      </c>
      <c r="G14164" s="196">
        <v>1938572</v>
      </c>
    </row>
    <row r="14165" spans="1:7" x14ac:dyDescent="0.3">
      <c r="A14165" s="198">
        <v>800106339</v>
      </c>
      <c r="B14165" s="192" t="s">
        <v>454</v>
      </c>
      <c r="C14165" s="196">
        <v>0</v>
      </c>
      <c r="D14165" s="196">
        <v>33372</v>
      </c>
      <c r="E14165" s="196">
        <v>0</v>
      </c>
      <c r="F14165" s="196">
        <v>33372</v>
      </c>
      <c r="G14165" s="196">
        <v>33372</v>
      </c>
    </row>
    <row r="14166" spans="1:7" x14ac:dyDescent="0.3">
      <c r="A14166" s="198">
        <v>860002503</v>
      </c>
      <c r="B14166" s="192" t="s">
        <v>455</v>
      </c>
      <c r="C14166" s="196">
        <v>0</v>
      </c>
      <c r="D14166" s="196">
        <v>1905200</v>
      </c>
      <c r="E14166" s="196">
        <v>0</v>
      </c>
      <c r="F14166" s="196">
        <v>1905200</v>
      </c>
      <c r="G14166" s="196">
        <v>1905200</v>
      </c>
    </row>
    <row r="14167" spans="1:7" x14ac:dyDescent="0.3">
      <c r="A14167" s="197">
        <v>539520</v>
      </c>
      <c r="B14167" s="191" t="s">
        <v>7641</v>
      </c>
      <c r="C14167" s="195">
        <v>2530000</v>
      </c>
      <c r="D14167" s="195">
        <v>0</v>
      </c>
      <c r="E14167" s="195">
        <v>0</v>
      </c>
      <c r="F14167" s="195">
        <v>0</v>
      </c>
      <c r="G14167" s="195">
        <v>2530000</v>
      </c>
    </row>
    <row r="14168" spans="1:7" x14ac:dyDescent="0.3">
      <c r="A14168" s="198">
        <v>53952001</v>
      </c>
      <c r="B14168" s="192" t="s">
        <v>7641</v>
      </c>
      <c r="C14168" s="196">
        <v>2530000</v>
      </c>
      <c r="D14168" s="196">
        <v>0</v>
      </c>
      <c r="E14168" s="196">
        <v>0</v>
      </c>
      <c r="F14168" s="196">
        <v>0</v>
      </c>
      <c r="G14168" s="196">
        <v>2530000</v>
      </c>
    </row>
    <row r="14169" spans="1:7" x14ac:dyDescent="0.3">
      <c r="A14169" s="198">
        <v>800197268</v>
      </c>
      <c r="B14169" s="192" t="s">
        <v>1693</v>
      </c>
      <c r="C14169" s="196">
        <v>2530000</v>
      </c>
      <c r="D14169" s="196">
        <v>0</v>
      </c>
      <c r="E14169" s="196">
        <v>0</v>
      </c>
      <c r="F14169" s="196">
        <v>0</v>
      </c>
      <c r="G14169" s="196">
        <v>2530000</v>
      </c>
    </row>
    <row r="14170" spans="1:7" x14ac:dyDescent="0.3">
      <c r="A14170" s="197">
        <v>539595</v>
      </c>
      <c r="B14170" s="191" t="s">
        <v>7642</v>
      </c>
      <c r="C14170" s="195">
        <v>69107769.920000002</v>
      </c>
      <c r="D14170" s="195">
        <v>10687374.640000001</v>
      </c>
      <c r="E14170" s="195">
        <v>14.86</v>
      </c>
      <c r="F14170" s="195">
        <v>10687359.779999999</v>
      </c>
      <c r="G14170" s="195">
        <v>79795129.700000003</v>
      </c>
    </row>
    <row r="14171" spans="1:7" x14ac:dyDescent="0.3">
      <c r="A14171" s="198">
        <v>53959501</v>
      </c>
      <c r="B14171" s="192" t="s">
        <v>7643</v>
      </c>
      <c r="C14171" s="196">
        <v>831495</v>
      </c>
      <c r="D14171" s="196">
        <v>0</v>
      </c>
      <c r="E14171" s="196">
        <v>0</v>
      </c>
      <c r="F14171" s="196">
        <v>0</v>
      </c>
      <c r="G14171" s="196">
        <v>831495</v>
      </c>
    </row>
    <row r="14172" spans="1:7" x14ac:dyDescent="0.3">
      <c r="A14172" s="198">
        <v>1036398766</v>
      </c>
      <c r="B14172" s="192" t="s">
        <v>7644</v>
      </c>
      <c r="C14172" s="196">
        <v>131495</v>
      </c>
      <c r="D14172" s="196">
        <v>0</v>
      </c>
      <c r="E14172" s="196">
        <v>0</v>
      </c>
      <c r="F14172" s="196">
        <v>0</v>
      </c>
      <c r="G14172" s="196">
        <v>131495</v>
      </c>
    </row>
    <row r="14173" spans="1:7" x14ac:dyDescent="0.3">
      <c r="A14173" s="198">
        <v>43990580</v>
      </c>
      <c r="B14173" s="192" t="s">
        <v>7645</v>
      </c>
      <c r="C14173" s="196">
        <v>700000</v>
      </c>
      <c r="D14173" s="196">
        <v>0</v>
      </c>
      <c r="E14173" s="196">
        <v>0</v>
      </c>
      <c r="F14173" s="196">
        <v>0</v>
      </c>
      <c r="G14173" s="196">
        <v>700000</v>
      </c>
    </row>
    <row r="14174" spans="1:7" x14ac:dyDescent="0.3">
      <c r="A14174" s="198">
        <v>53959502</v>
      </c>
      <c r="B14174" s="192" t="s">
        <v>7646</v>
      </c>
      <c r="C14174" s="196">
        <v>42.47</v>
      </c>
      <c r="D14174" s="196">
        <v>14.64</v>
      </c>
      <c r="E14174" s="196">
        <v>14.86</v>
      </c>
      <c r="F14174" s="196">
        <v>-0.22</v>
      </c>
      <c r="G14174" s="196">
        <v>42.25</v>
      </c>
    </row>
    <row r="14175" spans="1:7" x14ac:dyDescent="0.3">
      <c r="A14175" s="198">
        <v>901092093</v>
      </c>
      <c r="B14175" s="192" t="s">
        <v>2011</v>
      </c>
      <c r="C14175" s="196">
        <v>0.38</v>
      </c>
      <c r="D14175" s="196">
        <v>0</v>
      </c>
      <c r="E14175" s="196">
        <v>0</v>
      </c>
      <c r="F14175" s="196">
        <v>0</v>
      </c>
      <c r="G14175" s="196">
        <v>0.38</v>
      </c>
    </row>
    <row r="14176" spans="1:7" x14ac:dyDescent="0.3">
      <c r="A14176" s="198">
        <v>900869110</v>
      </c>
      <c r="B14176" s="192" t="s">
        <v>1850</v>
      </c>
      <c r="C14176" s="196">
        <v>-1.02</v>
      </c>
      <c r="D14176" s="196">
        <v>0.08</v>
      </c>
      <c r="E14176" s="196">
        <v>0.27</v>
      </c>
      <c r="F14176" s="196">
        <v>-0.19</v>
      </c>
      <c r="G14176" s="196">
        <v>-1.21</v>
      </c>
    </row>
    <row r="14177" spans="1:7" x14ac:dyDescent="0.3">
      <c r="A14177" s="198">
        <v>890100577</v>
      </c>
      <c r="B14177" s="192" t="s">
        <v>7573</v>
      </c>
      <c r="C14177" s="196">
        <v>0.81</v>
      </c>
      <c r="D14177" s="196">
        <v>0</v>
      </c>
      <c r="E14177" s="196">
        <v>0</v>
      </c>
      <c r="F14177" s="196">
        <v>0</v>
      </c>
      <c r="G14177" s="196">
        <v>0.81</v>
      </c>
    </row>
    <row r="14178" spans="1:7" x14ac:dyDescent="0.3">
      <c r="A14178" s="198">
        <v>900573713</v>
      </c>
      <c r="B14178" s="192" t="s">
        <v>7482</v>
      </c>
      <c r="C14178" s="196">
        <v>0.01</v>
      </c>
      <c r="D14178" s="196">
        <v>0</v>
      </c>
      <c r="E14178" s="196">
        <v>0</v>
      </c>
      <c r="F14178" s="196">
        <v>0</v>
      </c>
      <c r="G14178" s="196">
        <v>0.01</v>
      </c>
    </row>
    <row r="14179" spans="1:7" x14ac:dyDescent="0.3">
      <c r="A14179" s="198">
        <v>901054145</v>
      </c>
      <c r="B14179" s="192" t="s">
        <v>1622</v>
      </c>
      <c r="C14179" s="196">
        <v>-0.01</v>
      </c>
      <c r="D14179" s="196">
        <v>0</v>
      </c>
      <c r="E14179" s="196">
        <v>0</v>
      </c>
      <c r="F14179" s="196">
        <v>0</v>
      </c>
      <c r="G14179" s="196">
        <v>-0.01</v>
      </c>
    </row>
    <row r="14180" spans="1:7" x14ac:dyDescent="0.3">
      <c r="A14180" s="198">
        <v>830053812</v>
      </c>
      <c r="B14180" s="192" t="s">
        <v>1623</v>
      </c>
      <c r="C14180" s="196">
        <v>-0.38</v>
      </c>
      <c r="D14180" s="196">
        <v>0.15</v>
      </c>
      <c r="E14180" s="196">
        <v>0.83</v>
      </c>
      <c r="F14180" s="196">
        <v>-0.68</v>
      </c>
      <c r="G14180" s="196">
        <v>-1.06</v>
      </c>
    </row>
    <row r="14181" spans="1:7" x14ac:dyDescent="0.3">
      <c r="A14181" s="198">
        <v>890900608</v>
      </c>
      <c r="B14181" s="192" t="s">
        <v>1856</v>
      </c>
      <c r="C14181" s="196">
        <v>0.84</v>
      </c>
      <c r="D14181" s="196">
        <v>0.01</v>
      </c>
      <c r="E14181" s="196">
        <v>0.01</v>
      </c>
      <c r="F14181" s="196">
        <v>0</v>
      </c>
      <c r="G14181" s="196">
        <v>0.84</v>
      </c>
    </row>
    <row r="14182" spans="1:7" x14ac:dyDescent="0.3">
      <c r="A14182" s="198">
        <v>43556607</v>
      </c>
      <c r="B14182" s="192" t="s">
        <v>1857</v>
      </c>
      <c r="C14182" s="196">
        <v>2.4</v>
      </c>
      <c r="D14182" s="196">
        <v>0.2</v>
      </c>
      <c r="E14182" s="196">
        <v>0</v>
      </c>
      <c r="F14182" s="196">
        <v>0.2</v>
      </c>
      <c r="G14182" s="196">
        <v>2.6</v>
      </c>
    </row>
    <row r="14183" spans="1:7" x14ac:dyDescent="0.3">
      <c r="A14183" s="198">
        <v>830064049</v>
      </c>
      <c r="B14183" s="192" t="s">
        <v>1858</v>
      </c>
      <c r="C14183" s="196">
        <v>0.25</v>
      </c>
      <c r="D14183" s="196">
        <v>0</v>
      </c>
      <c r="E14183" s="196">
        <v>0</v>
      </c>
      <c r="F14183" s="196">
        <v>0</v>
      </c>
      <c r="G14183" s="196">
        <v>0.25</v>
      </c>
    </row>
    <row r="14184" spans="1:7" x14ac:dyDescent="0.3">
      <c r="A14184" s="198">
        <v>830103910</v>
      </c>
      <c r="B14184" s="192" t="s">
        <v>1859</v>
      </c>
      <c r="C14184" s="196">
        <v>0.5</v>
      </c>
      <c r="D14184" s="196">
        <v>0.5</v>
      </c>
      <c r="E14184" s="196">
        <v>0</v>
      </c>
      <c r="F14184" s="196">
        <v>0.5</v>
      </c>
      <c r="G14184" s="196">
        <v>1</v>
      </c>
    </row>
    <row r="14185" spans="1:7" x14ac:dyDescent="0.3">
      <c r="A14185" s="198">
        <v>12604950</v>
      </c>
      <c r="B14185" s="192" t="s">
        <v>1626</v>
      </c>
      <c r="C14185" s="196">
        <v>-0.86</v>
      </c>
      <c r="D14185" s="196">
        <v>0</v>
      </c>
      <c r="E14185" s="196">
        <v>0</v>
      </c>
      <c r="F14185" s="196">
        <v>0</v>
      </c>
      <c r="G14185" s="196">
        <v>-0.86</v>
      </c>
    </row>
    <row r="14186" spans="1:7" x14ac:dyDescent="0.3">
      <c r="A14186" s="198">
        <v>900723785</v>
      </c>
      <c r="B14186" s="192" t="s">
        <v>1627</v>
      </c>
      <c r="C14186" s="196">
        <v>-0.2</v>
      </c>
      <c r="D14186" s="196">
        <v>0</v>
      </c>
      <c r="E14186" s="196">
        <v>0</v>
      </c>
      <c r="F14186" s="196">
        <v>0</v>
      </c>
      <c r="G14186" s="196">
        <v>-0.2</v>
      </c>
    </row>
    <row r="14187" spans="1:7" x14ac:dyDescent="0.3">
      <c r="A14187" s="198">
        <v>900538591</v>
      </c>
      <c r="B14187" s="192" t="s">
        <v>7647</v>
      </c>
      <c r="C14187" s="196">
        <v>0.36</v>
      </c>
      <c r="D14187" s="196">
        <v>0</v>
      </c>
      <c r="E14187" s="196">
        <v>0</v>
      </c>
      <c r="F14187" s="196">
        <v>0</v>
      </c>
      <c r="G14187" s="196">
        <v>0.36</v>
      </c>
    </row>
    <row r="14188" spans="1:7" x14ac:dyDescent="0.3">
      <c r="A14188" s="198">
        <v>800158193</v>
      </c>
      <c r="B14188" s="192" t="s">
        <v>1628</v>
      </c>
      <c r="C14188" s="196">
        <v>0.97</v>
      </c>
      <c r="D14188" s="196">
        <v>0.98</v>
      </c>
      <c r="E14188" s="196">
        <v>0.34</v>
      </c>
      <c r="F14188" s="196">
        <v>0.64</v>
      </c>
      <c r="G14188" s="196">
        <v>1.61</v>
      </c>
    </row>
    <row r="14189" spans="1:7" x14ac:dyDescent="0.3">
      <c r="A14189" s="198">
        <v>901569945</v>
      </c>
      <c r="B14189" s="192" t="s">
        <v>1739</v>
      </c>
      <c r="C14189" s="196">
        <v>-0.26</v>
      </c>
      <c r="D14189" s="196">
        <v>0</v>
      </c>
      <c r="E14189" s="196">
        <v>0</v>
      </c>
      <c r="F14189" s="196">
        <v>0</v>
      </c>
      <c r="G14189" s="196">
        <v>-0.26</v>
      </c>
    </row>
    <row r="14190" spans="1:7" x14ac:dyDescent="0.3">
      <c r="A14190" s="198">
        <v>890903938</v>
      </c>
      <c r="B14190" s="192" t="s">
        <v>1691</v>
      </c>
      <c r="C14190" s="196">
        <v>1.7</v>
      </c>
      <c r="D14190" s="196">
        <v>0.4</v>
      </c>
      <c r="E14190" s="196">
        <v>0</v>
      </c>
      <c r="F14190" s="196">
        <v>0.4</v>
      </c>
      <c r="G14190" s="196">
        <v>2.1</v>
      </c>
    </row>
    <row r="14191" spans="1:7" x14ac:dyDescent="0.3">
      <c r="A14191" s="198">
        <v>900406150</v>
      </c>
      <c r="B14191" s="192" t="s">
        <v>1837</v>
      </c>
      <c r="C14191" s="196">
        <v>-0.42</v>
      </c>
      <c r="D14191" s="196">
        <v>0.03</v>
      </c>
      <c r="E14191" s="196">
        <v>0.22</v>
      </c>
      <c r="F14191" s="196">
        <v>-0.19</v>
      </c>
      <c r="G14191" s="196">
        <v>-0.61</v>
      </c>
    </row>
    <row r="14192" spans="1:7" x14ac:dyDescent="0.3">
      <c r="A14192" s="198">
        <v>900740595</v>
      </c>
      <c r="B14192" s="192" t="s">
        <v>1630</v>
      </c>
      <c r="C14192" s="196">
        <v>-0.2</v>
      </c>
      <c r="D14192" s="196">
        <v>0</v>
      </c>
      <c r="E14192" s="196">
        <v>0.28000000000000003</v>
      </c>
      <c r="F14192" s="196">
        <v>-0.28000000000000003</v>
      </c>
      <c r="G14192" s="196">
        <v>-0.48</v>
      </c>
    </row>
    <row r="14193" spans="1:7" x14ac:dyDescent="0.3">
      <c r="A14193" s="198">
        <v>901112882</v>
      </c>
      <c r="B14193" s="192" t="s">
        <v>1864</v>
      </c>
      <c r="C14193" s="196">
        <v>1.5</v>
      </c>
      <c r="D14193" s="196">
        <v>0</v>
      </c>
      <c r="E14193" s="196">
        <v>0</v>
      </c>
      <c r="F14193" s="196">
        <v>0</v>
      </c>
      <c r="G14193" s="196">
        <v>1.5</v>
      </c>
    </row>
    <row r="14194" spans="1:7" x14ac:dyDescent="0.3">
      <c r="A14194" s="198">
        <v>901095278</v>
      </c>
      <c r="B14194" s="192" t="s">
        <v>7596</v>
      </c>
      <c r="C14194" s="196">
        <v>0.03</v>
      </c>
      <c r="D14194" s="196">
        <v>0</v>
      </c>
      <c r="E14194" s="196">
        <v>0</v>
      </c>
      <c r="F14194" s="196">
        <v>0</v>
      </c>
      <c r="G14194" s="196">
        <v>0.03</v>
      </c>
    </row>
    <row r="14195" spans="1:7" x14ac:dyDescent="0.3">
      <c r="A14195" s="198">
        <v>900990900</v>
      </c>
      <c r="B14195" s="192" t="s">
        <v>7553</v>
      </c>
      <c r="C14195" s="196">
        <v>0.2</v>
      </c>
      <c r="D14195" s="196">
        <v>0</v>
      </c>
      <c r="E14195" s="196">
        <v>0</v>
      </c>
      <c r="F14195" s="196">
        <v>0</v>
      </c>
      <c r="G14195" s="196">
        <v>0.2</v>
      </c>
    </row>
    <row r="14196" spans="1:7" x14ac:dyDescent="0.3">
      <c r="A14196" s="198">
        <v>890331949</v>
      </c>
      <c r="B14196" s="192" t="s">
        <v>1632</v>
      </c>
      <c r="C14196" s="196">
        <v>0.05</v>
      </c>
      <c r="D14196" s="196">
        <v>0.35</v>
      </c>
      <c r="E14196" s="196">
        <v>0</v>
      </c>
      <c r="F14196" s="196">
        <v>0.35</v>
      </c>
      <c r="G14196" s="196">
        <v>0.4</v>
      </c>
    </row>
    <row r="14197" spans="1:7" x14ac:dyDescent="0.3">
      <c r="A14197" s="198">
        <v>901214840</v>
      </c>
      <c r="B14197" s="192" t="s">
        <v>7485</v>
      </c>
      <c r="C14197" s="196">
        <v>0.02</v>
      </c>
      <c r="D14197" s="196">
        <v>0</v>
      </c>
      <c r="E14197" s="196">
        <v>0</v>
      </c>
      <c r="F14197" s="196">
        <v>0</v>
      </c>
      <c r="G14197" s="196">
        <v>0.02</v>
      </c>
    </row>
    <row r="14198" spans="1:7" x14ac:dyDescent="0.3">
      <c r="A14198" s="198">
        <v>890900943</v>
      </c>
      <c r="B14198" s="192" t="s">
        <v>1783</v>
      </c>
      <c r="C14198" s="196">
        <v>-0.01</v>
      </c>
      <c r="D14198" s="196">
        <v>0</v>
      </c>
      <c r="E14198" s="196">
        <v>0</v>
      </c>
      <c r="F14198" s="196">
        <v>0</v>
      </c>
      <c r="G14198" s="196">
        <v>-0.01</v>
      </c>
    </row>
    <row r="14199" spans="1:7" x14ac:dyDescent="0.3">
      <c r="A14199" s="198">
        <v>811042584</v>
      </c>
      <c r="B14199" s="192" t="s">
        <v>1871</v>
      </c>
      <c r="C14199" s="196">
        <v>0.45</v>
      </c>
      <c r="D14199" s="196">
        <v>1</v>
      </c>
      <c r="E14199" s="196">
        <v>0</v>
      </c>
      <c r="F14199" s="196">
        <v>1</v>
      </c>
      <c r="G14199" s="196">
        <v>1.45</v>
      </c>
    </row>
    <row r="14200" spans="1:7" x14ac:dyDescent="0.3">
      <c r="A14200" s="198">
        <v>860037013</v>
      </c>
      <c r="B14200" s="192" t="s">
        <v>7508</v>
      </c>
      <c r="C14200" s="196">
        <v>0.11</v>
      </c>
      <c r="D14200" s="196">
        <v>0</v>
      </c>
      <c r="E14200" s="196">
        <v>0</v>
      </c>
      <c r="F14200" s="196">
        <v>0</v>
      </c>
      <c r="G14200" s="196">
        <v>0.11</v>
      </c>
    </row>
    <row r="14201" spans="1:7" x14ac:dyDescent="0.3">
      <c r="A14201" s="198">
        <v>900399128</v>
      </c>
      <c r="B14201" s="192" t="s">
        <v>1741</v>
      </c>
      <c r="C14201" s="196">
        <v>1.0900000000000001</v>
      </c>
      <c r="D14201" s="196">
        <v>0</v>
      </c>
      <c r="E14201" s="196">
        <v>0</v>
      </c>
      <c r="F14201" s="196">
        <v>0</v>
      </c>
      <c r="G14201" s="196">
        <v>1.0900000000000001</v>
      </c>
    </row>
    <row r="14202" spans="1:7" x14ac:dyDescent="0.3">
      <c r="A14202" s="198">
        <v>1017266622</v>
      </c>
      <c r="B14202" s="192" t="s">
        <v>1707</v>
      </c>
      <c r="C14202" s="196">
        <v>-0.33</v>
      </c>
      <c r="D14202" s="196">
        <v>0</v>
      </c>
      <c r="E14202" s="196">
        <v>0</v>
      </c>
      <c r="F14202" s="196">
        <v>0</v>
      </c>
      <c r="G14202" s="196">
        <v>-0.33</v>
      </c>
    </row>
    <row r="14203" spans="1:7" x14ac:dyDescent="0.3">
      <c r="A14203" s="198">
        <v>901621282</v>
      </c>
      <c r="B14203" s="192" t="s">
        <v>7597</v>
      </c>
      <c r="C14203" s="196">
        <v>0.46</v>
      </c>
      <c r="D14203" s="196">
        <v>0</v>
      </c>
      <c r="E14203" s="196">
        <v>0</v>
      </c>
      <c r="F14203" s="196">
        <v>0</v>
      </c>
      <c r="G14203" s="196">
        <v>0.46</v>
      </c>
    </row>
    <row r="14204" spans="1:7" x14ac:dyDescent="0.3">
      <c r="A14204" s="198">
        <v>811000620</v>
      </c>
      <c r="B14204" s="192" t="s">
        <v>1875</v>
      </c>
      <c r="C14204" s="196">
        <v>-0.17</v>
      </c>
      <c r="D14204" s="196">
        <v>0.15</v>
      </c>
      <c r="E14204" s="196">
        <v>0.48</v>
      </c>
      <c r="F14204" s="196">
        <v>-0.33</v>
      </c>
      <c r="G14204" s="196">
        <v>-0.5</v>
      </c>
    </row>
    <row r="14205" spans="1:7" x14ac:dyDescent="0.3">
      <c r="A14205" s="198">
        <v>811037682</v>
      </c>
      <c r="B14205" s="192" t="s">
        <v>1786</v>
      </c>
      <c r="C14205" s="196">
        <v>-0.01</v>
      </c>
      <c r="D14205" s="196">
        <v>0</v>
      </c>
      <c r="E14205" s="196">
        <v>0</v>
      </c>
      <c r="F14205" s="196">
        <v>0</v>
      </c>
      <c r="G14205" s="196">
        <v>-0.01</v>
      </c>
    </row>
    <row r="14206" spans="1:7" x14ac:dyDescent="0.3">
      <c r="A14206" s="198">
        <v>890941663</v>
      </c>
      <c r="B14206" s="192" t="s">
        <v>1879</v>
      </c>
      <c r="C14206" s="196">
        <v>0.53</v>
      </c>
      <c r="D14206" s="196">
        <v>0</v>
      </c>
      <c r="E14206" s="196">
        <v>0</v>
      </c>
      <c r="F14206" s="196">
        <v>0</v>
      </c>
      <c r="G14206" s="196">
        <v>0.53</v>
      </c>
    </row>
    <row r="14207" spans="1:7" x14ac:dyDescent="0.3">
      <c r="A14207" s="198">
        <v>900912248</v>
      </c>
      <c r="B14207" s="192" t="s">
        <v>2254</v>
      </c>
      <c r="C14207" s="196">
        <v>-0.38</v>
      </c>
      <c r="D14207" s="196">
        <v>0</v>
      </c>
      <c r="E14207" s="196">
        <v>0</v>
      </c>
      <c r="F14207" s="196">
        <v>0</v>
      </c>
      <c r="G14207" s="196">
        <v>-0.38</v>
      </c>
    </row>
    <row r="14208" spans="1:7" x14ac:dyDescent="0.3">
      <c r="A14208" s="198">
        <v>800194997</v>
      </c>
      <c r="B14208" s="192" t="s">
        <v>7605</v>
      </c>
      <c r="C14208" s="196">
        <v>0.24</v>
      </c>
      <c r="D14208" s="196">
        <v>0</v>
      </c>
      <c r="E14208" s="196">
        <v>0</v>
      </c>
      <c r="F14208" s="196">
        <v>0</v>
      </c>
      <c r="G14208" s="196">
        <v>0.24</v>
      </c>
    </row>
    <row r="14209" spans="1:7" x14ac:dyDescent="0.3">
      <c r="A14209" s="198">
        <v>3901013</v>
      </c>
      <c r="B14209" s="192" t="s">
        <v>1709</v>
      </c>
      <c r="C14209" s="196">
        <v>-0.33</v>
      </c>
      <c r="D14209" s="196">
        <v>0</v>
      </c>
      <c r="E14209" s="196">
        <v>0</v>
      </c>
      <c r="F14209" s="196">
        <v>0</v>
      </c>
      <c r="G14209" s="196">
        <v>-0.33</v>
      </c>
    </row>
    <row r="14210" spans="1:7" x14ac:dyDescent="0.3">
      <c r="A14210" s="192" t="s">
        <v>1881</v>
      </c>
      <c r="B14210" s="192" t="s">
        <v>1882</v>
      </c>
      <c r="C14210" s="196">
        <v>0</v>
      </c>
      <c r="D14210" s="196">
        <v>0.13</v>
      </c>
      <c r="E14210" s="196">
        <v>0.33</v>
      </c>
      <c r="F14210" s="196">
        <v>-0.2</v>
      </c>
      <c r="G14210" s="196">
        <v>-0.2</v>
      </c>
    </row>
    <row r="14211" spans="1:7" x14ac:dyDescent="0.3">
      <c r="A14211" s="198">
        <v>901872782</v>
      </c>
      <c r="B14211" s="192" t="s">
        <v>2023</v>
      </c>
      <c r="C14211" s="196">
        <v>0.25</v>
      </c>
      <c r="D14211" s="196">
        <v>0</v>
      </c>
      <c r="E14211" s="196">
        <v>0</v>
      </c>
      <c r="F14211" s="196">
        <v>0</v>
      </c>
      <c r="G14211" s="196">
        <v>0.25</v>
      </c>
    </row>
    <row r="14212" spans="1:7" x14ac:dyDescent="0.3">
      <c r="A14212" s="198">
        <v>900188685</v>
      </c>
      <c r="B14212" s="192" t="s">
        <v>7555</v>
      </c>
      <c r="C14212" s="196">
        <v>0.28000000000000003</v>
      </c>
      <c r="D14212" s="196">
        <v>0</v>
      </c>
      <c r="E14212" s="196">
        <v>0</v>
      </c>
      <c r="F14212" s="196">
        <v>0</v>
      </c>
      <c r="G14212" s="196">
        <v>0.28000000000000003</v>
      </c>
    </row>
    <row r="14213" spans="1:7" x14ac:dyDescent="0.3">
      <c r="A14213" s="198">
        <v>890904996</v>
      </c>
      <c r="B14213" s="192" t="s">
        <v>1635</v>
      </c>
      <c r="C14213" s="196">
        <v>3.75</v>
      </c>
      <c r="D14213" s="196">
        <v>0.87</v>
      </c>
      <c r="E14213" s="196">
        <v>1.06</v>
      </c>
      <c r="F14213" s="196">
        <v>-0.19</v>
      </c>
      <c r="G14213" s="196">
        <v>3.56</v>
      </c>
    </row>
    <row r="14214" spans="1:7" x14ac:dyDescent="0.3">
      <c r="A14214" s="198">
        <v>1036685923</v>
      </c>
      <c r="B14214" s="192" t="s">
        <v>1710</v>
      </c>
      <c r="C14214" s="196">
        <v>-0.33</v>
      </c>
      <c r="D14214" s="196">
        <v>0</v>
      </c>
      <c r="E14214" s="196">
        <v>0</v>
      </c>
      <c r="F14214" s="196">
        <v>0</v>
      </c>
      <c r="G14214" s="196">
        <v>-0.33</v>
      </c>
    </row>
    <row r="14215" spans="1:7" x14ac:dyDescent="0.3">
      <c r="A14215" s="198">
        <v>901503425</v>
      </c>
      <c r="B14215" s="192" t="s">
        <v>118</v>
      </c>
      <c r="C14215" s="196">
        <v>0.62</v>
      </c>
      <c r="D14215" s="196">
        <v>0</v>
      </c>
      <c r="E14215" s="196">
        <v>0</v>
      </c>
      <c r="F14215" s="196">
        <v>0</v>
      </c>
      <c r="G14215" s="196">
        <v>0.62</v>
      </c>
    </row>
    <row r="14216" spans="1:7" x14ac:dyDescent="0.3">
      <c r="A14216" s="198">
        <v>901504270</v>
      </c>
      <c r="B14216" s="192" t="s">
        <v>1885</v>
      </c>
      <c r="C14216" s="196">
        <v>-1.46</v>
      </c>
      <c r="D14216" s="196">
        <v>0</v>
      </c>
      <c r="E14216" s="196">
        <v>0.5</v>
      </c>
      <c r="F14216" s="196">
        <v>-0.5</v>
      </c>
      <c r="G14216" s="196">
        <v>-1.96</v>
      </c>
    </row>
    <row r="14217" spans="1:7" x14ac:dyDescent="0.3">
      <c r="A14217" s="198">
        <v>900393480</v>
      </c>
      <c r="B14217" s="192" t="s">
        <v>1886</v>
      </c>
      <c r="C14217" s="196">
        <v>-0.24</v>
      </c>
      <c r="D14217" s="196">
        <v>0</v>
      </c>
      <c r="E14217" s="196">
        <v>0</v>
      </c>
      <c r="F14217" s="196">
        <v>0</v>
      </c>
      <c r="G14217" s="196">
        <v>-0.24</v>
      </c>
    </row>
    <row r="14218" spans="1:7" x14ac:dyDescent="0.3">
      <c r="A14218" s="198">
        <v>900178348</v>
      </c>
      <c r="B14218" s="192" t="s">
        <v>1887</v>
      </c>
      <c r="C14218" s="196">
        <v>0.02</v>
      </c>
      <c r="D14218" s="196">
        <v>0</v>
      </c>
      <c r="E14218" s="196">
        <v>0</v>
      </c>
      <c r="F14218" s="196">
        <v>0</v>
      </c>
      <c r="G14218" s="196">
        <v>0.02</v>
      </c>
    </row>
    <row r="14219" spans="1:7" x14ac:dyDescent="0.3">
      <c r="A14219" s="198">
        <v>901516127</v>
      </c>
      <c r="B14219" s="192" t="s">
        <v>1745</v>
      </c>
      <c r="C14219" s="196">
        <v>0.3</v>
      </c>
      <c r="D14219" s="196">
        <v>0</v>
      </c>
      <c r="E14219" s="196">
        <v>0</v>
      </c>
      <c r="F14219" s="196">
        <v>0</v>
      </c>
      <c r="G14219" s="196">
        <v>0.3</v>
      </c>
    </row>
    <row r="14220" spans="1:7" x14ac:dyDescent="0.3">
      <c r="A14220" s="198">
        <v>900528916</v>
      </c>
      <c r="B14220" s="192" t="s">
        <v>7486</v>
      </c>
      <c r="C14220" s="196">
        <v>0.4</v>
      </c>
      <c r="D14220" s="196">
        <v>0</v>
      </c>
      <c r="E14220" s="196">
        <v>0</v>
      </c>
      <c r="F14220" s="196">
        <v>0</v>
      </c>
      <c r="G14220" s="196">
        <v>0.4</v>
      </c>
    </row>
    <row r="14221" spans="1:7" x14ac:dyDescent="0.3">
      <c r="A14221" s="198">
        <v>890903939</v>
      </c>
      <c r="B14221" s="192" t="s">
        <v>1889</v>
      </c>
      <c r="C14221" s="196">
        <v>0.02</v>
      </c>
      <c r="D14221" s="196">
        <v>0</v>
      </c>
      <c r="E14221" s="196">
        <v>0</v>
      </c>
      <c r="F14221" s="196">
        <v>0</v>
      </c>
      <c r="G14221" s="196">
        <v>0.02</v>
      </c>
    </row>
    <row r="14222" spans="1:7" x14ac:dyDescent="0.3">
      <c r="A14222" s="198">
        <v>900934851</v>
      </c>
      <c r="B14222" s="192" t="s">
        <v>7487</v>
      </c>
      <c r="C14222" s="196">
        <v>-0.08</v>
      </c>
      <c r="D14222" s="196">
        <v>0</v>
      </c>
      <c r="E14222" s="196">
        <v>0</v>
      </c>
      <c r="F14222" s="196">
        <v>0</v>
      </c>
      <c r="G14222" s="196">
        <v>-0.08</v>
      </c>
    </row>
    <row r="14223" spans="1:7" x14ac:dyDescent="0.3">
      <c r="A14223" s="198">
        <v>901269126</v>
      </c>
      <c r="B14223" s="192" t="s">
        <v>1890</v>
      </c>
      <c r="C14223" s="196">
        <v>1.2</v>
      </c>
      <c r="D14223" s="196">
        <v>0.2</v>
      </c>
      <c r="E14223" s="196">
        <v>0</v>
      </c>
      <c r="F14223" s="196">
        <v>0.2</v>
      </c>
      <c r="G14223" s="196">
        <v>1.4</v>
      </c>
    </row>
    <row r="14224" spans="1:7" x14ac:dyDescent="0.3">
      <c r="A14224" s="198">
        <v>493581</v>
      </c>
      <c r="B14224" s="192" t="s">
        <v>1892</v>
      </c>
      <c r="C14224" s="196">
        <v>0</v>
      </c>
      <c r="D14224" s="196">
        <v>0</v>
      </c>
      <c r="E14224" s="196">
        <v>0.47</v>
      </c>
      <c r="F14224" s="196">
        <v>-0.47</v>
      </c>
      <c r="G14224" s="196">
        <v>-0.47</v>
      </c>
    </row>
    <row r="14225" spans="1:7" x14ac:dyDescent="0.3">
      <c r="A14225" s="198">
        <v>900488499</v>
      </c>
      <c r="B14225" s="192" t="s">
        <v>1893</v>
      </c>
      <c r="C14225" s="196">
        <v>0</v>
      </c>
      <c r="D14225" s="196">
        <v>0.5</v>
      </c>
      <c r="E14225" s="196">
        <v>0</v>
      </c>
      <c r="F14225" s="196">
        <v>0.5</v>
      </c>
      <c r="G14225" s="196">
        <v>0.5</v>
      </c>
    </row>
    <row r="14226" spans="1:7" x14ac:dyDescent="0.3">
      <c r="A14226" s="198">
        <v>900177200</v>
      </c>
      <c r="B14226" s="192" t="s">
        <v>1894</v>
      </c>
      <c r="C14226" s="196">
        <v>0.23</v>
      </c>
      <c r="D14226" s="196">
        <v>0</v>
      </c>
      <c r="E14226" s="196">
        <v>0</v>
      </c>
      <c r="F14226" s="196">
        <v>0</v>
      </c>
      <c r="G14226" s="196">
        <v>0.23</v>
      </c>
    </row>
    <row r="14227" spans="1:7" x14ac:dyDescent="0.3">
      <c r="A14227" s="198">
        <v>900661278</v>
      </c>
      <c r="B14227" s="192" t="s">
        <v>1895</v>
      </c>
      <c r="C14227" s="196">
        <v>0</v>
      </c>
      <c r="D14227" s="196">
        <v>0.06</v>
      </c>
      <c r="E14227" s="196">
        <v>0</v>
      </c>
      <c r="F14227" s="196">
        <v>0.06</v>
      </c>
      <c r="G14227" s="196">
        <v>0.06</v>
      </c>
    </row>
    <row r="14228" spans="1:7" x14ac:dyDescent="0.3">
      <c r="A14228" s="198">
        <v>900041593</v>
      </c>
      <c r="B14228" s="192" t="s">
        <v>1897</v>
      </c>
      <c r="C14228" s="196">
        <v>-0.03</v>
      </c>
      <c r="D14228" s="196">
        <v>0</v>
      </c>
      <c r="E14228" s="196">
        <v>0</v>
      </c>
      <c r="F14228" s="196">
        <v>0</v>
      </c>
      <c r="G14228" s="196">
        <v>-0.03</v>
      </c>
    </row>
    <row r="14229" spans="1:7" x14ac:dyDescent="0.3">
      <c r="A14229" s="198">
        <v>900924527</v>
      </c>
      <c r="B14229" s="192" t="s">
        <v>1899</v>
      </c>
      <c r="C14229" s="196">
        <v>-0.56999999999999995</v>
      </c>
      <c r="D14229" s="196">
        <v>0</v>
      </c>
      <c r="E14229" s="196">
        <v>0</v>
      </c>
      <c r="F14229" s="196">
        <v>0</v>
      </c>
      <c r="G14229" s="196">
        <v>-0.56999999999999995</v>
      </c>
    </row>
    <row r="14230" spans="1:7" x14ac:dyDescent="0.3">
      <c r="A14230" s="198">
        <v>900298420</v>
      </c>
      <c r="B14230" s="192" t="s">
        <v>1637</v>
      </c>
      <c r="C14230" s="196">
        <v>0.6</v>
      </c>
      <c r="D14230" s="196">
        <v>0</v>
      </c>
      <c r="E14230" s="196">
        <v>0.44</v>
      </c>
      <c r="F14230" s="196">
        <v>-0.44</v>
      </c>
      <c r="G14230" s="196">
        <v>0.16</v>
      </c>
    </row>
    <row r="14231" spans="1:7" x14ac:dyDescent="0.3">
      <c r="A14231" s="198">
        <v>800058195</v>
      </c>
      <c r="B14231" s="192" t="s">
        <v>1638</v>
      </c>
      <c r="C14231" s="196">
        <v>0.13</v>
      </c>
      <c r="D14231" s="196">
        <v>0</v>
      </c>
      <c r="E14231" s="196">
        <v>0</v>
      </c>
      <c r="F14231" s="196">
        <v>0</v>
      </c>
      <c r="G14231" s="196">
        <v>0.13</v>
      </c>
    </row>
    <row r="14232" spans="1:7" x14ac:dyDescent="0.3">
      <c r="A14232" s="198">
        <v>860533413</v>
      </c>
      <c r="B14232" s="192" t="s">
        <v>1900</v>
      </c>
      <c r="C14232" s="196">
        <v>0.5</v>
      </c>
      <c r="D14232" s="196">
        <v>0.37</v>
      </c>
      <c r="E14232" s="196">
        <v>0</v>
      </c>
      <c r="F14232" s="196">
        <v>0.37</v>
      </c>
      <c r="G14232" s="196">
        <v>0.87</v>
      </c>
    </row>
    <row r="14233" spans="1:7" x14ac:dyDescent="0.3">
      <c r="A14233" s="198">
        <v>800131750</v>
      </c>
      <c r="B14233" s="192" t="s">
        <v>1639</v>
      </c>
      <c r="C14233" s="196">
        <v>-0.3</v>
      </c>
      <c r="D14233" s="196">
        <v>0</v>
      </c>
      <c r="E14233" s="196">
        <v>0.12</v>
      </c>
      <c r="F14233" s="196">
        <v>-0.12</v>
      </c>
      <c r="G14233" s="196">
        <v>-0.42</v>
      </c>
    </row>
    <row r="14234" spans="1:7" x14ac:dyDescent="0.3">
      <c r="A14234" s="198">
        <v>890900099</v>
      </c>
      <c r="B14234" s="192" t="s">
        <v>2261</v>
      </c>
      <c r="C14234" s="196">
        <v>0.13</v>
      </c>
      <c r="D14234" s="196">
        <v>0</v>
      </c>
      <c r="E14234" s="196">
        <v>0</v>
      </c>
      <c r="F14234" s="196">
        <v>0</v>
      </c>
      <c r="G14234" s="196">
        <v>0.13</v>
      </c>
    </row>
    <row r="14235" spans="1:7" x14ac:dyDescent="0.3">
      <c r="A14235" s="198">
        <v>901492487</v>
      </c>
      <c r="B14235" s="192" t="s">
        <v>1901</v>
      </c>
      <c r="C14235" s="196">
        <v>0.87</v>
      </c>
      <c r="D14235" s="196">
        <v>0</v>
      </c>
      <c r="E14235" s="196">
        <v>0.39</v>
      </c>
      <c r="F14235" s="196">
        <v>-0.39</v>
      </c>
      <c r="G14235" s="196">
        <v>0.48</v>
      </c>
    </row>
    <row r="14236" spans="1:7" x14ac:dyDescent="0.3">
      <c r="A14236" s="198">
        <v>901414564</v>
      </c>
      <c r="B14236" s="192" t="s">
        <v>1642</v>
      </c>
      <c r="C14236" s="196">
        <v>-0.05</v>
      </c>
      <c r="D14236" s="196">
        <v>0</v>
      </c>
      <c r="E14236" s="196">
        <v>0.25</v>
      </c>
      <c r="F14236" s="196">
        <v>-0.25</v>
      </c>
      <c r="G14236" s="196">
        <v>-0.3</v>
      </c>
    </row>
    <row r="14237" spans="1:7" x14ac:dyDescent="0.3">
      <c r="A14237" s="198">
        <v>900516123</v>
      </c>
      <c r="B14237" s="192" t="s">
        <v>1902</v>
      </c>
      <c r="C14237" s="196">
        <v>1.77</v>
      </c>
      <c r="D14237" s="196">
        <v>0.8</v>
      </c>
      <c r="E14237" s="196">
        <v>2.15</v>
      </c>
      <c r="F14237" s="196">
        <v>-1.35</v>
      </c>
      <c r="G14237" s="196">
        <v>0.42</v>
      </c>
    </row>
    <row r="14238" spans="1:7" x14ac:dyDescent="0.3">
      <c r="A14238" s="198">
        <v>900439301</v>
      </c>
      <c r="B14238" s="192" t="s">
        <v>7614</v>
      </c>
      <c r="C14238" s="196">
        <v>0.35</v>
      </c>
      <c r="D14238" s="196">
        <v>0</v>
      </c>
      <c r="E14238" s="196">
        <v>0</v>
      </c>
      <c r="F14238" s="196">
        <v>0</v>
      </c>
      <c r="G14238" s="196">
        <v>0.35</v>
      </c>
    </row>
    <row r="14239" spans="1:7" x14ac:dyDescent="0.3">
      <c r="A14239" s="198">
        <v>901207319</v>
      </c>
      <c r="B14239" s="192" t="s">
        <v>7588</v>
      </c>
      <c r="C14239" s="196">
        <v>0.46</v>
      </c>
      <c r="D14239" s="196">
        <v>0</v>
      </c>
      <c r="E14239" s="196">
        <v>0</v>
      </c>
      <c r="F14239" s="196">
        <v>0</v>
      </c>
      <c r="G14239" s="196">
        <v>0.46</v>
      </c>
    </row>
    <row r="14240" spans="1:7" x14ac:dyDescent="0.3">
      <c r="A14240" s="198">
        <v>901360828</v>
      </c>
      <c r="B14240" s="192" t="s">
        <v>1904</v>
      </c>
      <c r="C14240" s="196">
        <v>-0.01</v>
      </c>
      <c r="D14240" s="196">
        <v>0</v>
      </c>
      <c r="E14240" s="196">
        <v>0</v>
      </c>
      <c r="F14240" s="196">
        <v>0</v>
      </c>
      <c r="G14240" s="196">
        <v>-0.01</v>
      </c>
    </row>
    <row r="14241" spans="1:7" x14ac:dyDescent="0.3">
      <c r="A14241" s="198">
        <v>901038325</v>
      </c>
      <c r="B14241" s="192" t="s">
        <v>1907</v>
      </c>
      <c r="C14241" s="196">
        <v>0</v>
      </c>
      <c r="D14241" s="196">
        <v>0</v>
      </c>
      <c r="E14241" s="196">
        <v>0.37</v>
      </c>
      <c r="F14241" s="196">
        <v>-0.37</v>
      </c>
      <c r="G14241" s="196">
        <v>-0.37</v>
      </c>
    </row>
    <row r="14242" spans="1:7" x14ac:dyDescent="0.3">
      <c r="A14242" s="198">
        <v>1144068250</v>
      </c>
      <c r="B14242" s="192" t="s">
        <v>1645</v>
      </c>
      <c r="C14242" s="196">
        <v>1.4</v>
      </c>
      <c r="D14242" s="196">
        <v>0</v>
      </c>
      <c r="E14242" s="196">
        <v>0</v>
      </c>
      <c r="F14242" s="196">
        <v>0</v>
      </c>
      <c r="G14242" s="196">
        <v>1.4</v>
      </c>
    </row>
    <row r="14243" spans="1:7" x14ac:dyDescent="0.3">
      <c r="A14243" s="198">
        <v>800077635</v>
      </c>
      <c r="B14243" s="192" t="s">
        <v>7648</v>
      </c>
      <c r="C14243" s="196">
        <v>-0.2</v>
      </c>
      <c r="D14243" s="196">
        <v>0</v>
      </c>
      <c r="E14243" s="196">
        <v>0</v>
      </c>
      <c r="F14243" s="196">
        <v>0</v>
      </c>
      <c r="G14243" s="196">
        <v>-0.2</v>
      </c>
    </row>
    <row r="14244" spans="1:7" x14ac:dyDescent="0.3">
      <c r="A14244" s="198">
        <v>901244349</v>
      </c>
      <c r="B14244" s="192" t="s">
        <v>1750</v>
      </c>
      <c r="C14244" s="196">
        <v>0.01</v>
      </c>
      <c r="D14244" s="196">
        <v>0</v>
      </c>
      <c r="E14244" s="196">
        <v>0</v>
      </c>
      <c r="F14244" s="196">
        <v>0</v>
      </c>
      <c r="G14244" s="196">
        <v>0.01</v>
      </c>
    </row>
    <row r="14245" spans="1:7" x14ac:dyDescent="0.3">
      <c r="A14245" s="198">
        <v>860019041</v>
      </c>
      <c r="B14245" s="192" t="s">
        <v>1647</v>
      </c>
      <c r="C14245" s="196">
        <v>1.1299999999999999</v>
      </c>
      <c r="D14245" s="196">
        <v>0.22</v>
      </c>
      <c r="E14245" s="196">
        <v>0</v>
      </c>
      <c r="F14245" s="196">
        <v>0.22</v>
      </c>
      <c r="G14245" s="196">
        <v>1.35</v>
      </c>
    </row>
    <row r="14246" spans="1:7" x14ac:dyDescent="0.3">
      <c r="A14246" s="198">
        <v>900551636</v>
      </c>
      <c r="B14246" s="192" t="s">
        <v>1915</v>
      </c>
      <c r="C14246" s="196">
        <v>-0.32</v>
      </c>
      <c r="D14246" s="196">
        <v>0</v>
      </c>
      <c r="E14246" s="196">
        <v>0</v>
      </c>
      <c r="F14246" s="196">
        <v>0</v>
      </c>
      <c r="G14246" s="196">
        <v>-0.32</v>
      </c>
    </row>
    <row r="14247" spans="1:7" x14ac:dyDescent="0.3">
      <c r="A14247" s="198">
        <v>890940259</v>
      </c>
      <c r="B14247" s="192" t="s">
        <v>1648</v>
      </c>
      <c r="C14247" s="196">
        <v>0.3</v>
      </c>
      <c r="D14247" s="196">
        <v>0.19</v>
      </c>
      <c r="E14247" s="196">
        <v>0.24</v>
      </c>
      <c r="F14247" s="196">
        <v>-0.05</v>
      </c>
      <c r="G14247" s="196">
        <v>0.25</v>
      </c>
    </row>
    <row r="14248" spans="1:7" x14ac:dyDescent="0.3">
      <c r="A14248" s="198">
        <v>901893782</v>
      </c>
      <c r="B14248" s="192" t="s">
        <v>1917</v>
      </c>
      <c r="C14248" s="196">
        <v>-0.48</v>
      </c>
      <c r="D14248" s="196">
        <v>0.16</v>
      </c>
      <c r="E14248" s="196">
        <v>0.08</v>
      </c>
      <c r="F14248" s="196">
        <v>0.08</v>
      </c>
      <c r="G14248" s="196">
        <v>-0.4</v>
      </c>
    </row>
    <row r="14249" spans="1:7" x14ac:dyDescent="0.3">
      <c r="A14249" s="198">
        <v>830078515</v>
      </c>
      <c r="B14249" s="192" t="s">
        <v>1919</v>
      </c>
      <c r="C14249" s="196">
        <v>-0.21</v>
      </c>
      <c r="D14249" s="196">
        <v>0.18</v>
      </c>
      <c r="E14249" s="196">
        <v>0</v>
      </c>
      <c r="F14249" s="196">
        <v>0.18</v>
      </c>
      <c r="G14249" s="196">
        <v>-0.03</v>
      </c>
    </row>
    <row r="14250" spans="1:7" x14ac:dyDescent="0.3">
      <c r="A14250" s="198">
        <v>900924249</v>
      </c>
      <c r="B14250" s="192" t="s">
        <v>1922</v>
      </c>
      <c r="C14250" s="196">
        <v>-0.49</v>
      </c>
      <c r="D14250" s="196">
        <v>0</v>
      </c>
      <c r="E14250" s="196">
        <v>0</v>
      </c>
      <c r="F14250" s="196">
        <v>0</v>
      </c>
      <c r="G14250" s="196">
        <v>-0.49</v>
      </c>
    </row>
    <row r="14251" spans="1:7" x14ac:dyDescent="0.3">
      <c r="A14251" s="198">
        <v>901361537</v>
      </c>
      <c r="B14251" s="192" t="s">
        <v>1997</v>
      </c>
      <c r="C14251" s="196">
        <v>0.2</v>
      </c>
      <c r="D14251" s="196">
        <v>0</v>
      </c>
      <c r="E14251" s="196">
        <v>0</v>
      </c>
      <c r="F14251" s="196">
        <v>0</v>
      </c>
      <c r="G14251" s="196">
        <v>0.2</v>
      </c>
    </row>
    <row r="14252" spans="1:7" x14ac:dyDescent="0.3">
      <c r="A14252" s="198">
        <v>900311581</v>
      </c>
      <c r="B14252" s="192" t="s">
        <v>1809</v>
      </c>
      <c r="C14252" s="196">
        <v>-0.33</v>
      </c>
      <c r="D14252" s="196">
        <v>0</v>
      </c>
      <c r="E14252" s="196">
        <v>0</v>
      </c>
      <c r="F14252" s="196">
        <v>0</v>
      </c>
      <c r="G14252" s="196">
        <v>-0.33</v>
      </c>
    </row>
    <row r="14253" spans="1:7" x14ac:dyDescent="0.3">
      <c r="A14253" s="198">
        <v>811028650</v>
      </c>
      <c r="B14253" s="192" t="s">
        <v>1752</v>
      </c>
      <c r="C14253" s="196">
        <v>0</v>
      </c>
      <c r="D14253" s="196">
        <v>0.46</v>
      </c>
      <c r="E14253" s="196">
        <v>0</v>
      </c>
      <c r="F14253" s="196">
        <v>0.46</v>
      </c>
      <c r="G14253" s="196">
        <v>0.46</v>
      </c>
    </row>
    <row r="14254" spans="1:7" x14ac:dyDescent="0.3">
      <c r="A14254" s="198">
        <v>1063167578</v>
      </c>
      <c r="B14254" s="192" t="s">
        <v>1926</v>
      </c>
      <c r="C14254" s="196">
        <v>1.5</v>
      </c>
      <c r="D14254" s="196">
        <v>0</v>
      </c>
      <c r="E14254" s="196">
        <v>0</v>
      </c>
      <c r="F14254" s="196">
        <v>0</v>
      </c>
      <c r="G14254" s="196">
        <v>1.5</v>
      </c>
    </row>
    <row r="14255" spans="1:7" x14ac:dyDescent="0.3">
      <c r="A14255" s="198">
        <v>830142523</v>
      </c>
      <c r="B14255" s="192" t="s">
        <v>1653</v>
      </c>
      <c r="C14255" s="196">
        <v>-1.72</v>
      </c>
      <c r="D14255" s="196">
        <v>0</v>
      </c>
      <c r="E14255" s="196">
        <v>0.34</v>
      </c>
      <c r="F14255" s="196">
        <v>-0.34</v>
      </c>
      <c r="G14255" s="196">
        <v>-2.06</v>
      </c>
    </row>
    <row r="14256" spans="1:7" x14ac:dyDescent="0.3">
      <c r="A14256" s="198">
        <v>860005114</v>
      </c>
      <c r="B14256" s="192" t="s">
        <v>1656</v>
      </c>
      <c r="C14256" s="196">
        <v>1.2</v>
      </c>
      <c r="D14256" s="196">
        <v>0.4</v>
      </c>
      <c r="E14256" s="196">
        <v>0.4</v>
      </c>
      <c r="F14256" s="196">
        <v>0</v>
      </c>
      <c r="G14256" s="196">
        <v>1.2</v>
      </c>
    </row>
    <row r="14257" spans="1:7" x14ac:dyDescent="0.3">
      <c r="A14257" s="192" t="s">
        <v>1929</v>
      </c>
      <c r="B14257" s="192" t="s">
        <v>1930</v>
      </c>
      <c r="C14257" s="196">
        <v>0.09</v>
      </c>
      <c r="D14257" s="196">
        <v>0</v>
      </c>
      <c r="E14257" s="196">
        <v>0</v>
      </c>
      <c r="F14257" s="196">
        <v>0</v>
      </c>
      <c r="G14257" s="196">
        <v>0.09</v>
      </c>
    </row>
    <row r="14258" spans="1:7" x14ac:dyDescent="0.3">
      <c r="A14258" s="198">
        <v>80550424</v>
      </c>
      <c r="B14258" s="192" t="s">
        <v>1619</v>
      </c>
      <c r="C14258" s="196">
        <v>-1.28</v>
      </c>
      <c r="D14258" s="196">
        <v>0.27</v>
      </c>
      <c r="E14258" s="196">
        <v>0</v>
      </c>
      <c r="F14258" s="196">
        <v>0.27</v>
      </c>
      <c r="G14258" s="196">
        <v>-1.01</v>
      </c>
    </row>
    <row r="14259" spans="1:7" x14ac:dyDescent="0.3">
      <c r="A14259" s="198">
        <v>1127941794</v>
      </c>
      <c r="B14259" s="192" t="s">
        <v>1274</v>
      </c>
      <c r="C14259" s="196">
        <v>0.79</v>
      </c>
      <c r="D14259" s="196">
        <v>0</v>
      </c>
      <c r="E14259" s="196">
        <v>0.35</v>
      </c>
      <c r="F14259" s="196">
        <v>-0.35</v>
      </c>
      <c r="G14259" s="196">
        <v>0.44</v>
      </c>
    </row>
    <row r="14260" spans="1:7" x14ac:dyDescent="0.3">
      <c r="A14260" s="198">
        <v>901449777</v>
      </c>
      <c r="B14260" s="192" t="s">
        <v>7590</v>
      </c>
      <c r="C14260" s="196">
        <v>-0.01</v>
      </c>
      <c r="D14260" s="196">
        <v>0</v>
      </c>
      <c r="E14260" s="196">
        <v>0</v>
      </c>
      <c r="F14260" s="196">
        <v>0</v>
      </c>
      <c r="G14260" s="196">
        <v>-0.01</v>
      </c>
    </row>
    <row r="14261" spans="1:7" x14ac:dyDescent="0.3">
      <c r="A14261" s="198">
        <v>901137699</v>
      </c>
      <c r="B14261" s="192" t="s">
        <v>2270</v>
      </c>
      <c r="C14261" s="196">
        <v>0.06</v>
      </c>
      <c r="D14261" s="196">
        <v>0</v>
      </c>
      <c r="E14261" s="196">
        <v>0</v>
      </c>
      <c r="F14261" s="196">
        <v>0</v>
      </c>
      <c r="G14261" s="196">
        <v>0.06</v>
      </c>
    </row>
    <row r="14262" spans="1:7" x14ac:dyDescent="0.3">
      <c r="A14262" s="198">
        <v>800240009</v>
      </c>
      <c r="B14262" s="192" t="s">
        <v>7606</v>
      </c>
      <c r="C14262" s="196">
        <v>0.04</v>
      </c>
      <c r="D14262" s="196">
        <v>0</v>
      </c>
      <c r="E14262" s="196">
        <v>0</v>
      </c>
      <c r="F14262" s="196">
        <v>0</v>
      </c>
      <c r="G14262" s="196">
        <v>0.04</v>
      </c>
    </row>
    <row r="14263" spans="1:7" x14ac:dyDescent="0.3">
      <c r="A14263" s="198">
        <v>890900297</v>
      </c>
      <c r="B14263" s="192" t="s">
        <v>1792</v>
      </c>
      <c r="C14263" s="196">
        <v>0.44</v>
      </c>
      <c r="D14263" s="196">
        <v>0</v>
      </c>
      <c r="E14263" s="196">
        <v>0</v>
      </c>
      <c r="F14263" s="196">
        <v>0</v>
      </c>
      <c r="G14263" s="196">
        <v>0.44</v>
      </c>
    </row>
    <row r="14264" spans="1:7" x14ac:dyDescent="0.3">
      <c r="A14264" s="198">
        <v>43206080</v>
      </c>
      <c r="B14264" s="192" t="s">
        <v>1770</v>
      </c>
      <c r="C14264" s="196">
        <v>0.45</v>
      </c>
      <c r="D14264" s="196">
        <v>0</v>
      </c>
      <c r="E14264" s="196">
        <v>0</v>
      </c>
      <c r="F14264" s="196">
        <v>0</v>
      </c>
      <c r="G14264" s="196">
        <v>0.45</v>
      </c>
    </row>
    <row r="14265" spans="1:7" x14ac:dyDescent="0.3">
      <c r="A14265" s="198">
        <v>1037607033</v>
      </c>
      <c r="B14265" s="192" t="s">
        <v>1657</v>
      </c>
      <c r="C14265" s="196">
        <v>-0.11</v>
      </c>
      <c r="D14265" s="196">
        <v>0.14000000000000001</v>
      </c>
      <c r="E14265" s="196">
        <v>0</v>
      </c>
      <c r="F14265" s="196">
        <v>0.14000000000000001</v>
      </c>
      <c r="G14265" s="196">
        <v>0.03</v>
      </c>
    </row>
    <row r="14266" spans="1:7" x14ac:dyDescent="0.3">
      <c r="A14266" s="198">
        <v>860002130</v>
      </c>
      <c r="B14266" s="192" t="s">
        <v>1934</v>
      </c>
      <c r="C14266" s="196">
        <v>0.01</v>
      </c>
      <c r="D14266" s="196">
        <v>0.45</v>
      </c>
      <c r="E14266" s="196">
        <v>0</v>
      </c>
      <c r="F14266" s="196">
        <v>0.45</v>
      </c>
      <c r="G14266" s="196">
        <v>0.46</v>
      </c>
    </row>
    <row r="14267" spans="1:7" x14ac:dyDescent="0.3">
      <c r="A14267" s="198">
        <v>901578799</v>
      </c>
      <c r="B14267" s="192" t="s">
        <v>1658</v>
      </c>
      <c r="C14267" s="196">
        <v>2</v>
      </c>
      <c r="D14267" s="196">
        <v>0</v>
      </c>
      <c r="E14267" s="196">
        <v>0</v>
      </c>
      <c r="F14267" s="196">
        <v>0</v>
      </c>
      <c r="G14267" s="196">
        <v>2</v>
      </c>
    </row>
    <row r="14268" spans="1:7" x14ac:dyDescent="0.3">
      <c r="A14268" s="198">
        <v>901588752</v>
      </c>
      <c r="B14268" s="192" t="s">
        <v>1938</v>
      </c>
      <c r="C14268" s="196">
        <v>1.2</v>
      </c>
      <c r="D14268" s="196">
        <v>0</v>
      </c>
      <c r="E14268" s="196">
        <v>0</v>
      </c>
      <c r="F14268" s="196">
        <v>0</v>
      </c>
      <c r="G14268" s="196">
        <v>1.2</v>
      </c>
    </row>
    <row r="14269" spans="1:7" x14ac:dyDescent="0.3">
      <c r="A14269" s="198">
        <v>900135828</v>
      </c>
      <c r="B14269" s="192" t="s">
        <v>1939</v>
      </c>
      <c r="C14269" s="196">
        <v>2.5</v>
      </c>
      <c r="D14269" s="196">
        <v>0</v>
      </c>
      <c r="E14269" s="196">
        <v>0</v>
      </c>
      <c r="F14269" s="196">
        <v>0</v>
      </c>
      <c r="G14269" s="196">
        <v>2.5</v>
      </c>
    </row>
    <row r="14270" spans="1:7" x14ac:dyDescent="0.3">
      <c r="A14270" s="198">
        <v>830062565</v>
      </c>
      <c r="B14270" s="192" t="s">
        <v>1771</v>
      </c>
      <c r="C14270" s="196">
        <v>0.87</v>
      </c>
      <c r="D14270" s="196">
        <v>0</v>
      </c>
      <c r="E14270" s="196">
        <v>0</v>
      </c>
      <c r="F14270" s="196">
        <v>0</v>
      </c>
      <c r="G14270" s="196">
        <v>0.87</v>
      </c>
    </row>
    <row r="14271" spans="1:7" x14ac:dyDescent="0.3">
      <c r="A14271" s="198">
        <v>800028002</v>
      </c>
      <c r="B14271" s="192" t="s">
        <v>1942</v>
      </c>
      <c r="C14271" s="196">
        <v>-0.68</v>
      </c>
      <c r="D14271" s="196">
        <v>0.56000000000000005</v>
      </c>
      <c r="E14271" s="196">
        <v>0.4</v>
      </c>
      <c r="F14271" s="196">
        <v>0.16</v>
      </c>
      <c r="G14271" s="196">
        <v>-0.52</v>
      </c>
    </row>
    <row r="14272" spans="1:7" x14ac:dyDescent="0.3">
      <c r="A14272" s="198">
        <v>811021621</v>
      </c>
      <c r="B14272" s="192" t="s">
        <v>1945</v>
      </c>
      <c r="C14272" s="196">
        <v>-0.61</v>
      </c>
      <c r="D14272" s="196">
        <v>0.61</v>
      </c>
      <c r="E14272" s="196">
        <v>0.41</v>
      </c>
      <c r="F14272" s="196">
        <v>0.2</v>
      </c>
      <c r="G14272" s="196">
        <v>-0.41</v>
      </c>
    </row>
    <row r="14273" spans="1:7" x14ac:dyDescent="0.3">
      <c r="A14273" s="198">
        <v>901354361</v>
      </c>
      <c r="B14273" s="192" t="s">
        <v>1660</v>
      </c>
      <c r="C14273" s="196">
        <v>-1.51</v>
      </c>
      <c r="D14273" s="196">
        <v>0.36</v>
      </c>
      <c r="E14273" s="196">
        <v>0</v>
      </c>
      <c r="F14273" s="196">
        <v>0.36</v>
      </c>
      <c r="G14273" s="196">
        <v>-1.1499999999999999</v>
      </c>
    </row>
    <row r="14274" spans="1:7" x14ac:dyDescent="0.3">
      <c r="A14274" s="198">
        <v>900209956</v>
      </c>
      <c r="B14274" s="192" t="s">
        <v>1947</v>
      </c>
      <c r="C14274" s="196">
        <v>5.46</v>
      </c>
      <c r="D14274" s="196">
        <v>0.9</v>
      </c>
      <c r="E14274" s="196">
        <v>0</v>
      </c>
      <c r="F14274" s="196">
        <v>0.9</v>
      </c>
      <c r="G14274" s="196">
        <v>6.36</v>
      </c>
    </row>
    <row r="14275" spans="1:7" x14ac:dyDescent="0.3">
      <c r="A14275" s="198">
        <v>830110109</v>
      </c>
      <c r="B14275" s="192" t="s">
        <v>1948</v>
      </c>
      <c r="C14275" s="196">
        <v>-0.12</v>
      </c>
      <c r="D14275" s="196">
        <v>0.16</v>
      </c>
      <c r="E14275" s="196">
        <v>0</v>
      </c>
      <c r="F14275" s="196">
        <v>0.16</v>
      </c>
      <c r="G14275" s="196">
        <v>0.04</v>
      </c>
    </row>
    <row r="14276" spans="1:7" x14ac:dyDescent="0.3">
      <c r="A14276" s="198">
        <v>900066601</v>
      </c>
      <c r="B14276" s="192" t="s">
        <v>1949</v>
      </c>
      <c r="C14276" s="196">
        <v>0.52</v>
      </c>
      <c r="D14276" s="196">
        <v>0.26</v>
      </c>
      <c r="E14276" s="196">
        <v>0</v>
      </c>
      <c r="F14276" s="196">
        <v>0.26</v>
      </c>
      <c r="G14276" s="196">
        <v>0.78</v>
      </c>
    </row>
    <row r="14277" spans="1:7" x14ac:dyDescent="0.3">
      <c r="A14277" s="198">
        <v>900319753</v>
      </c>
      <c r="B14277" s="192" t="s">
        <v>1950</v>
      </c>
      <c r="C14277" s="196">
        <v>0.51</v>
      </c>
      <c r="D14277" s="196">
        <v>0</v>
      </c>
      <c r="E14277" s="196">
        <v>0.45</v>
      </c>
      <c r="F14277" s="196">
        <v>-0.45</v>
      </c>
      <c r="G14277" s="196">
        <v>0.06</v>
      </c>
    </row>
    <row r="14278" spans="1:7" x14ac:dyDescent="0.3">
      <c r="A14278" s="198">
        <v>830112317</v>
      </c>
      <c r="B14278" s="192" t="s">
        <v>7592</v>
      </c>
      <c r="C14278" s="196">
        <v>0.04</v>
      </c>
      <c r="D14278" s="196">
        <v>0</v>
      </c>
      <c r="E14278" s="196">
        <v>0</v>
      </c>
      <c r="F14278" s="196">
        <v>0</v>
      </c>
      <c r="G14278" s="196">
        <v>0.04</v>
      </c>
    </row>
    <row r="14279" spans="1:7" x14ac:dyDescent="0.3">
      <c r="A14279" s="198">
        <v>68956</v>
      </c>
      <c r="B14279" s="192" t="s">
        <v>1951</v>
      </c>
      <c r="C14279" s="196">
        <v>-0.1</v>
      </c>
      <c r="D14279" s="196">
        <v>0.43</v>
      </c>
      <c r="E14279" s="196">
        <v>0.42</v>
      </c>
      <c r="F14279" s="196">
        <v>0.01</v>
      </c>
      <c r="G14279" s="196">
        <v>-0.09</v>
      </c>
    </row>
    <row r="14280" spans="1:7" x14ac:dyDescent="0.3">
      <c r="A14280" s="198">
        <v>900953638</v>
      </c>
      <c r="B14280" s="192" t="s">
        <v>1754</v>
      </c>
      <c r="C14280" s="196">
        <v>-0.39</v>
      </c>
      <c r="D14280" s="196">
        <v>0</v>
      </c>
      <c r="E14280" s="196">
        <v>0</v>
      </c>
      <c r="F14280" s="196">
        <v>0</v>
      </c>
      <c r="G14280" s="196">
        <v>-0.39</v>
      </c>
    </row>
    <row r="14281" spans="1:7" x14ac:dyDescent="0.3">
      <c r="A14281" s="198">
        <v>900689727</v>
      </c>
      <c r="B14281" s="192" t="s">
        <v>1953</v>
      </c>
      <c r="C14281" s="196">
        <v>4.2300000000000004</v>
      </c>
      <c r="D14281" s="196">
        <v>0.36</v>
      </c>
      <c r="E14281" s="196">
        <v>0.41</v>
      </c>
      <c r="F14281" s="196">
        <v>-0.05</v>
      </c>
      <c r="G14281" s="196">
        <v>4.18</v>
      </c>
    </row>
    <row r="14282" spans="1:7" x14ac:dyDescent="0.3">
      <c r="A14282" s="198">
        <v>901160048</v>
      </c>
      <c r="B14282" s="192" t="s">
        <v>1664</v>
      </c>
      <c r="C14282" s="196">
        <v>-1.23</v>
      </c>
      <c r="D14282" s="196">
        <v>0</v>
      </c>
      <c r="E14282" s="196">
        <v>0.5</v>
      </c>
      <c r="F14282" s="196">
        <v>-0.5</v>
      </c>
      <c r="G14282" s="196">
        <v>-1.73</v>
      </c>
    </row>
    <row r="14283" spans="1:7" x14ac:dyDescent="0.3">
      <c r="A14283" s="198">
        <v>8347349</v>
      </c>
      <c r="B14283" s="192" t="s">
        <v>1793</v>
      </c>
      <c r="C14283" s="196">
        <v>0.4</v>
      </c>
      <c r="D14283" s="196">
        <v>0</v>
      </c>
      <c r="E14283" s="196">
        <v>0</v>
      </c>
      <c r="F14283" s="196">
        <v>0</v>
      </c>
      <c r="G14283" s="196">
        <v>0.4</v>
      </c>
    </row>
    <row r="14284" spans="1:7" x14ac:dyDescent="0.3">
      <c r="A14284" s="198">
        <v>900895205</v>
      </c>
      <c r="B14284" s="192" t="s">
        <v>1665</v>
      </c>
      <c r="C14284" s="196">
        <v>0.48</v>
      </c>
      <c r="D14284" s="196">
        <v>0</v>
      </c>
      <c r="E14284" s="196">
        <v>0</v>
      </c>
      <c r="F14284" s="196">
        <v>0</v>
      </c>
      <c r="G14284" s="196">
        <v>0.48</v>
      </c>
    </row>
    <row r="14285" spans="1:7" x14ac:dyDescent="0.3">
      <c r="A14285" s="198">
        <v>890929073</v>
      </c>
      <c r="B14285" s="192" t="s">
        <v>1666</v>
      </c>
      <c r="C14285" s="196">
        <v>-0.64</v>
      </c>
      <c r="D14285" s="196">
        <v>0.01</v>
      </c>
      <c r="E14285" s="196">
        <v>0</v>
      </c>
      <c r="F14285" s="196">
        <v>0.01</v>
      </c>
      <c r="G14285" s="196">
        <v>-0.63</v>
      </c>
    </row>
    <row r="14286" spans="1:7" x14ac:dyDescent="0.3">
      <c r="A14286" s="198">
        <v>890903407</v>
      </c>
      <c r="B14286" s="192" t="s">
        <v>1669</v>
      </c>
      <c r="C14286" s="196">
        <v>0.4</v>
      </c>
      <c r="D14286" s="196">
        <v>0</v>
      </c>
      <c r="E14286" s="196">
        <v>0</v>
      </c>
      <c r="F14286" s="196">
        <v>0</v>
      </c>
      <c r="G14286" s="196">
        <v>0.4</v>
      </c>
    </row>
    <row r="14287" spans="1:7" x14ac:dyDescent="0.3">
      <c r="A14287" s="198">
        <v>900707533</v>
      </c>
      <c r="B14287" s="192" t="s">
        <v>7607</v>
      </c>
      <c r="C14287" s="196">
        <v>0.01</v>
      </c>
      <c r="D14287" s="196">
        <v>0</v>
      </c>
      <c r="E14287" s="196">
        <v>0</v>
      </c>
      <c r="F14287" s="196">
        <v>0</v>
      </c>
      <c r="G14287" s="196">
        <v>0.01</v>
      </c>
    </row>
    <row r="14288" spans="1:7" x14ac:dyDescent="0.3">
      <c r="A14288" s="198">
        <v>811036875</v>
      </c>
      <c r="B14288" s="192" t="s">
        <v>1955</v>
      </c>
      <c r="C14288" s="196">
        <v>1.31</v>
      </c>
      <c r="D14288" s="196">
        <v>0.26</v>
      </c>
      <c r="E14288" s="196">
        <v>0</v>
      </c>
      <c r="F14288" s="196">
        <v>0.26</v>
      </c>
      <c r="G14288" s="196">
        <v>1.57</v>
      </c>
    </row>
    <row r="14289" spans="1:7" x14ac:dyDescent="0.3">
      <c r="A14289" s="198">
        <v>901095797</v>
      </c>
      <c r="B14289" s="192" t="s">
        <v>1957</v>
      </c>
      <c r="C14289" s="196">
        <v>1.8</v>
      </c>
      <c r="D14289" s="196">
        <v>0</v>
      </c>
      <c r="E14289" s="196">
        <v>0.24</v>
      </c>
      <c r="F14289" s="196">
        <v>-0.24</v>
      </c>
      <c r="G14289" s="196">
        <v>1.56</v>
      </c>
    </row>
    <row r="14290" spans="1:7" x14ac:dyDescent="0.3">
      <c r="A14290" s="198">
        <v>830084433</v>
      </c>
      <c r="B14290" s="192" t="s">
        <v>1670</v>
      </c>
      <c r="C14290" s="196">
        <v>-0.19</v>
      </c>
      <c r="D14290" s="196">
        <v>0</v>
      </c>
      <c r="E14290" s="196">
        <v>0</v>
      </c>
      <c r="F14290" s="196">
        <v>0</v>
      </c>
      <c r="G14290" s="196">
        <v>-0.19</v>
      </c>
    </row>
    <row r="14291" spans="1:7" x14ac:dyDescent="0.3">
      <c r="A14291" s="198">
        <v>800242106</v>
      </c>
      <c r="B14291" s="192" t="s">
        <v>1757</v>
      </c>
      <c r="C14291" s="196">
        <v>0.21</v>
      </c>
      <c r="D14291" s="196">
        <v>0</v>
      </c>
      <c r="E14291" s="196">
        <v>0.01</v>
      </c>
      <c r="F14291" s="196">
        <v>-0.01</v>
      </c>
      <c r="G14291" s="196">
        <v>0.2</v>
      </c>
    </row>
    <row r="14292" spans="1:7" x14ac:dyDescent="0.3">
      <c r="A14292" s="198">
        <v>900245870</v>
      </c>
      <c r="B14292" s="192" t="s">
        <v>1958</v>
      </c>
      <c r="C14292" s="196">
        <v>0.86</v>
      </c>
      <c r="D14292" s="196">
        <v>0.74</v>
      </c>
      <c r="E14292" s="196">
        <v>0.8</v>
      </c>
      <c r="F14292" s="196">
        <v>-0.06</v>
      </c>
      <c r="G14292" s="196">
        <v>0.8</v>
      </c>
    </row>
    <row r="14293" spans="1:7" x14ac:dyDescent="0.3">
      <c r="A14293" s="198">
        <v>900943243</v>
      </c>
      <c r="B14293" s="192" t="s">
        <v>1758</v>
      </c>
      <c r="C14293" s="196">
        <v>0</v>
      </c>
      <c r="D14293" s="196">
        <v>0.02</v>
      </c>
      <c r="E14293" s="196">
        <v>0.01</v>
      </c>
      <c r="F14293" s="196">
        <v>0.01</v>
      </c>
      <c r="G14293" s="196">
        <v>0.01</v>
      </c>
    </row>
    <row r="14294" spans="1:7" x14ac:dyDescent="0.3">
      <c r="A14294" s="198">
        <v>900565011</v>
      </c>
      <c r="B14294" s="192" t="s">
        <v>1959</v>
      </c>
      <c r="C14294" s="196">
        <v>1.1399999999999999</v>
      </c>
      <c r="D14294" s="196">
        <v>0.19</v>
      </c>
      <c r="E14294" s="196">
        <v>0</v>
      </c>
      <c r="F14294" s="196">
        <v>0.19</v>
      </c>
      <c r="G14294" s="196">
        <v>1.33</v>
      </c>
    </row>
    <row r="14295" spans="1:7" x14ac:dyDescent="0.3">
      <c r="A14295" s="198">
        <v>43984772</v>
      </c>
      <c r="B14295" s="192" t="s">
        <v>1960</v>
      </c>
      <c r="C14295" s="196">
        <v>-0.7</v>
      </c>
      <c r="D14295" s="196">
        <v>0</v>
      </c>
      <c r="E14295" s="196">
        <v>0</v>
      </c>
      <c r="F14295" s="196">
        <v>0</v>
      </c>
      <c r="G14295" s="196">
        <v>-0.7</v>
      </c>
    </row>
    <row r="14296" spans="1:7" x14ac:dyDescent="0.3">
      <c r="A14296" s="198">
        <v>900181068</v>
      </c>
      <c r="B14296" s="192" t="s">
        <v>1961</v>
      </c>
      <c r="C14296" s="196">
        <v>1.37</v>
      </c>
      <c r="D14296" s="196">
        <v>0.02</v>
      </c>
      <c r="E14296" s="196">
        <v>0.28999999999999998</v>
      </c>
      <c r="F14296" s="196">
        <v>-0.27</v>
      </c>
      <c r="G14296" s="196">
        <v>1.1000000000000001</v>
      </c>
    </row>
    <row r="14297" spans="1:7" x14ac:dyDescent="0.3">
      <c r="A14297" s="198">
        <v>830004892</v>
      </c>
      <c r="B14297" s="192" t="s">
        <v>1773</v>
      </c>
      <c r="C14297" s="196">
        <v>0.5</v>
      </c>
      <c r="D14297" s="196">
        <v>0</v>
      </c>
      <c r="E14297" s="196">
        <v>0</v>
      </c>
      <c r="F14297" s="196">
        <v>0</v>
      </c>
      <c r="G14297" s="196">
        <v>0.5</v>
      </c>
    </row>
    <row r="14298" spans="1:7" x14ac:dyDescent="0.3">
      <c r="A14298" s="198">
        <v>800252275</v>
      </c>
      <c r="B14298" s="192" t="s">
        <v>7619</v>
      </c>
      <c r="C14298" s="196">
        <v>-0.26</v>
      </c>
      <c r="D14298" s="196">
        <v>0</v>
      </c>
      <c r="E14298" s="196">
        <v>0</v>
      </c>
      <c r="F14298" s="196">
        <v>0</v>
      </c>
      <c r="G14298" s="196">
        <v>-0.26</v>
      </c>
    </row>
    <row r="14299" spans="1:7" x14ac:dyDescent="0.3">
      <c r="A14299" s="198">
        <v>900494362</v>
      </c>
      <c r="B14299" s="192" t="s">
        <v>1672</v>
      </c>
      <c r="C14299" s="196">
        <v>0.59</v>
      </c>
      <c r="D14299" s="196">
        <v>0.01</v>
      </c>
      <c r="E14299" s="196">
        <v>0.47</v>
      </c>
      <c r="F14299" s="196">
        <v>-0.46</v>
      </c>
      <c r="G14299" s="196">
        <v>0.13</v>
      </c>
    </row>
    <row r="14300" spans="1:7" x14ac:dyDescent="0.3">
      <c r="A14300" s="198">
        <v>900252156</v>
      </c>
      <c r="B14300" s="192" t="s">
        <v>2281</v>
      </c>
      <c r="C14300" s="196">
        <v>0.91</v>
      </c>
      <c r="D14300" s="196">
        <v>0</v>
      </c>
      <c r="E14300" s="196">
        <v>0</v>
      </c>
      <c r="F14300" s="196">
        <v>0</v>
      </c>
      <c r="G14300" s="196">
        <v>0.91</v>
      </c>
    </row>
    <row r="14301" spans="1:7" x14ac:dyDescent="0.3">
      <c r="A14301" s="198">
        <v>900046486</v>
      </c>
      <c r="B14301" s="192" t="s">
        <v>1965</v>
      </c>
      <c r="C14301" s="196">
        <v>0.5</v>
      </c>
      <c r="D14301" s="196">
        <v>0</v>
      </c>
      <c r="E14301" s="196">
        <v>0.45</v>
      </c>
      <c r="F14301" s="196">
        <v>-0.45</v>
      </c>
      <c r="G14301" s="196">
        <v>0.05</v>
      </c>
    </row>
    <row r="14302" spans="1:7" x14ac:dyDescent="0.3">
      <c r="A14302" s="198">
        <v>900092385</v>
      </c>
      <c r="B14302" s="192" t="s">
        <v>1673</v>
      </c>
      <c r="C14302" s="196">
        <v>-1.45</v>
      </c>
      <c r="D14302" s="196">
        <v>0</v>
      </c>
      <c r="E14302" s="196">
        <v>0.08</v>
      </c>
      <c r="F14302" s="196">
        <v>-0.08</v>
      </c>
      <c r="G14302" s="196">
        <v>-1.53</v>
      </c>
    </row>
    <row r="14303" spans="1:7" x14ac:dyDescent="0.3">
      <c r="A14303" s="198">
        <v>901143440</v>
      </c>
      <c r="B14303" s="192" t="s">
        <v>1966</v>
      </c>
      <c r="C14303" s="196">
        <v>3</v>
      </c>
      <c r="D14303" s="196">
        <v>0.5</v>
      </c>
      <c r="E14303" s="196">
        <v>0</v>
      </c>
      <c r="F14303" s="196">
        <v>0.5</v>
      </c>
      <c r="G14303" s="196">
        <v>3.5</v>
      </c>
    </row>
    <row r="14304" spans="1:7" x14ac:dyDescent="0.3">
      <c r="A14304" s="198">
        <v>67000885</v>
      </c>
      <c r="B14304" s="192" t="s">
        <v>1969</v>
      </c>
      <c r="C14304" s="196">
        <v>0.6</v>
      </c>
      <c r="D14304" s="196">
        <v>0</v>
      </c>
      <c r="E14304" s="196">
        <v>0</v>
      </c>
      <c r="F14304" s="196">
        <v>0</v>
      </c>
      <c r="G14304" s="196">
        <v>0.6</v>
      </c>
    </row>
    <row r="14305" spans="1:7" x14ac:dyDescent="0.3">
      <c r="A14305" s="198">
        <v>1037574661</v>
      </c>
      <c r="B14305" s="192" t="s">
        <v>1970</v>
      </c>
      <c r="C14305" s="196">
        <v>-0.3</v>
      </c>
      <c r="D14305" s="196">
        <v>0</v>
      </c>
      <c r="E14305" s="196">
        <v>0</v>
      </c>
      <c r="F14305" s="196">
        <v>0</v>
      </c>
      <c r="G14305" s="196">
        <v>-0.3</v>
      </c>
    </row>
    <row r="14306" spans="1:7" x14ac:dyDescent="0.3">
      <c r="A14306" s="198">
        <v>941045401</v>
      </c>
      <c r="B14306" s="192" t="s">
        <v>7535</v>
      </c>
      <c r="C14306" s="196">
        <v>-0.36</v>
      </c>
      <c r="D14306" s="196">
        <v>0</v>
      </c>
      <c r="E14306" s="196">
        <v>0</v>
      </c>
      <c r="F14306" s="196">
        <v>0</v>
      </c>
      <c r="G14306" s="196">
        <v>-0.36</v>
      </c>
    </row>
    <row r="14307" spans="1:7" x14ac:dyDescent="0.3">
      <c r="A14307" s="198">
        <v>53959503</v>
      </c>
      <c r="B14307" s="192" t="s">
        <v>7649</v>
      </c>
      <c r="C14307" s="196">
        <v>68276232.450000003</v>
      </c>
      <c r="D14307" s="196">
        <v>10687360</v>
      </c>
      <c r="E14307" s="196">
        <v>0</v>
      </c>
      <c r="F14307" s="196">
        <v>10687360</v>
      </c>
      <c r="G14307" s="196">
        <v>78963592.450000003</v>
      </c>
    </row>
    <row r="14308" spans="1:7" x14ac:dyDescent="0.3">
      <c r="A14308" s="198">
        <v>830064049</v>
      </c>
      <c r="B14308" s="192" t="s">
        <v>1858</v>
      </c>
      <c r="C14308" s="196">
        <v>13116867.449999999</v>
      </c>
      <c r="D14308" s="196">
        <v>0</v>
      </c>
      <c r="E14308" s="196">
        <v>0</v>
      </c>
      <c r="F14308" s="196">
        <v>0</v>
      </c>
      <c r="G14308" s="196">
        <v>13116867.449999999</v>
      </c>
    </row>
    <row r="14309" spans="1:7" x14ac:dyDescent="0.3">
      <c r="A14309" s="198">
        <v>860037013</v>
      </c>
      <c r="B14309" s="192" t="s">
        <v>7508</v>
      </c>
      <c r="C14309" s="196">
        <v>719950</v>
      </c>
      <c r="D14309" s="196">
        <v>0</v>
      </c>
      <c r="E14309" s="196">
        <v>0</v>
      </c>
      <c r="F14309" s="196">
        <v>0</v>
      </c>
      <c r="G14309" s="196">
        <v>719950</v>
      </c>
    </row>
    <row r="14310" spans="1:7" x14ac:dyDescent="0.3">
      <c r="A14310" s="198">
        <v>890905211</v>
      </c>
      <c r="B14310" s="192" t="s">
        <v>1981</v>
      </c>
      <c r="C14310" s="196">
        <v>54439415</v>
      </c>
      <c r="D14310" s="196">
        <v>10687360</v>
      </c>
      <c r="E14310" s="196">
        <v>0</v>
      </c>
      <c r="F14310" s="196">
        <v>10687360</v>
      </c>
      <c r="G14310" s="196">
        <v>65126775</v>
      </c>
    </row>
    <row r="14311" spans="1:7" x14ac:dyDescent="0.3">
      <c r="A14311" s="197">
        <v>54</v>
      </c>
      <c r="B14311" s="191" t="s">
        <v>7650</v>
      </c>
      <c r="C14311" s="195">
        <v>75957209</v>
      </c>
      <c r="D14311" s="195">
        <v>7369240</v>
      </c>
      <c r="E14311" s="195">
        <v>0</v>
      </c>
      <c r="F14311" s="195">
        <v>7369240</v>
      </c>
      <c r="G14311" s="195">
        <v>83326449</v>
      </c>
    </row>
    <row r="14312" spans="1:7" x14ac:dyDescent="0.3">
      <c r="A14312" s="197">
        <v>5405</v>
      </c>
      <c r="B14312" s="191" t="s">
        <v>7650</v>
      </c>
      <c r="C14312" s="195">
        <v>75957209</v>
      </c>
      <c r="D14312" s="195">
        <v>7369240</v>
      </c>
      <c r="E14312" s="195">
        <v>0</v>
      </c>
      <c r="F14312" s="195">
        <v>7369240</v>
      </c>
      <c r="G14312" s="195">
        <v>83326449</v>
      </c>
    </row>
    <row r="14313" spans="1:7" x14ac:dyDescent="0.3">
      <c r="A14313" s="197">
        <v>540505</v>
      </c>
      <c r="B14313" s="191" t="s">
        <v>2093</v>
      </c>
      <c r="C14313" s="195">
        <v>75957209</v>
      </c>
      <c r="D14313" s="195">
        <v>7369240</v>
      </c>
      <c r="E14313" s="195">
        <v>0</v>
      </c>
      <c r="F14313" s="195">
        <v>7369240</v>
      </c>
      <c r="G14313" s="195">
        <v>83326449</v>
      </c>
    </row>
    <row r="14314" spans="1:7" x14ac:dyDescent="0.3">
      <c r="A14314" s="198">
        <v>54050501</v>
      </c>
      <c r="B14314" s="192" t="s">
        <v>2093</v>
      </c>
      <c r="C14314" s="196">
        <v>75957209</v>
      </c>
      <c r="D14314" s="196">
        <v>7369240</v>
      </c>
      <c r="E14314" s="196">
        <v>0</v>
      </c>
      <c r="F14314" s="196">
        <v>7369240</v>
      </c>
      <c r="G14314" s="196">
        <v>83326449</v>
      </c>
    </row>
    <row r="14315" spans="1:7" x14ac:dyDescent="0.3">
      <c r="A14315" s="197">
        <v>6</v>
      </c>
      <c r="B14315" s="191" t="s">
        <v>7651</v>
      </c>
      <c r="C14315" s="195">
        <v>5030015664.3500004</v>
      </c>
      <c r="D14315" s="195">
        <v>1014482253.27</v>
      </c>
      <c r="E14315" s="195">
        <v>40013047.780000001</v>
      </c>
      <c r="F14315" s="195">
        <v>974469205.49000001</v>
      </c>
      <c r="G14315" s="195">
        <v>6004484869.8400002</v>
      </c>
    </row>
    <row r="14316" spans="1:7" x14ac:dyDescent="0.3">
      <c r="A14316" s="197">
        <v>62</v>
      </c>
      <c r="B14316" s="191" t="s">
        <v>7652</v>
      </c>
      <c r="C14316" s="195">
        <v>5030015664.3500004</v>
      </c>
      <c r="D14316" s="195">
        <v>1014482253.27</v>
      </c>
      <c r="E14316" s="195">
        <v>40013047.780000001</v>
      </c>
      <c r="F14316" s="195">
        <v>974469205.49000001</v>
      </c>
      <c r="G14316" s="195">
        <v>6004484869.8400002</v>
      </c>
    </row>
    <row r="14317" spans="1:7" x14ac:dyDescent="0.3">
      <c r="A14317" s="197">
        <v>6210</v>
      </c>
      <c r="B14317" s="191" t="s">
        <v>7653</v>
      </c>
      <c r="C14317" s="195">
        <v>2894894774.5999999</v>
      </c>
      <c r="D14317" s="195">
        <v>568833313.39999998</v>
      </c>
      <c r="E14317" s="195">
        <v>8518727</v>
      </c>
      <c r="F14317" s="195">
        <v>560314586.39999998</v>
      </c>
      <c r="G14317" s="195">
        <v>3455209361</v>
      </c>
    </row>
    <row r="14318" spans="1:7" x14ac:dyDescent="0.3">
      <c r="A14318" s="197">
        <v>621010</v>
      </c>
      <c r="B14318" s="191" t="s">
        <v>7653</v>
      </c>
      <c r="C14318" s="195">
        <v>2894894774.5999999</v>
      </c>
      <c r="D14318" s="195">
        <v>568833313.39999998</v>
      </c>
      <c r="E14318" s="195">
        <v>8518727</v>
      </c>
      <c r="F14318" s="195">
        <v>560314586.39999998</v>
      </c>
      <c r="G14318" s="195">
        <v>3455209361</v>
      </c>
    </row>
    <row r="14319" spans="1:7" x14ac:dyDescent="0.3">
      <c r="A14319" s="198">
        <v>62101001</v>
      </c>
      <c r="B14319" s="192" t="s">
        <v>7654</v>
      </c>
      <c r="C14319" s="196">
        <v>2606115757.5999999</v>
      </c>
      <c r="D14319" s="196">
        <v>513159462.39999998</v>
      </c>
      <c r="E14319" s="196">
        <v>8518727</v>
      </c>
      <c r="F14319" s="196">
        <v>504640735.39999998</v>
      </c>
      <c r="G14319" s="196">
        <v>3110756493</v>
      </c>
    </row>
    <row r="14320" spans="1:7" x14ac:dyDescent="0.3">
      <c r="A14320" s="198">
        <v>71753384</v>
      </c>
      <c r="B14320" s="192" t="s">
        <v>1854</v>
      </c>
      <c r="C14320" s="196">
        <v>25600000</v>
      </c>
      <c r="D14320" s="196">
        <v>13200000</v>
      </c>
      <c r="E14320" s="196">
        <v>0</v>
      </c>
      <c r="F14320" s="196">
        <v>13200000</v>
      </c>
      <c r="G14320" s="196">
        <v>38800000</v>
      </c>
    </row>
    <row r="14321" spans="1:7" x14ac:dyDescent="0.3">
      <c r="A14321" s="198">
        <v>1214713422</v>
      </c>
      <c r="B14321" s="192" t="s">
        <v>1855</v>
      </c>
      <c r="C14321" s="196">
        <v>397600</v>
      </c>
      <c r="D14321" s="196">
        <v>362460</v>
      </c>
      <c r="E14321" s="196">
        <v>0</v>
      </c>
      <c r="F14321" s="196">
        <v>362460</v>
      </c>
      <c r="G14321" s="196">
        <v>760060</v>
      </c>
    </row>
    <row r="14322" spans="1:7" x14ac:dyDescent="0.3">
      <c r="A14322" s="198">
        <v>901630573</v>
      </c>
      <c r="B14322" s="192" t="s">
        <v>107</v>
      </c>
      <c r="C14322" s="196">
        <v>0</v>
      </c>
      <c r="D14322" s="196">
        <v>10333800</v>
      </c>
      <c r="E14322" s="196">
        <v>0</v>
      </c>
      <c r="F14322" s="196">
        <v>10333800</v>
      </c>
      <c r="G14322" s="196">
        <v>10333800</v>
      </c>
    </row>
    <row r="14323" spans="1:7" x14ac:dyDescent="0.3">
      <c r="A14323" s="198">
        <v>43741352</v>
      </c>
      <c r="B14323" s="192" t="s">
        <v>1869</v>
      </c>
      <c r="C14323" s="196">
        <v>22276520</v>
      </c>
      <c r="D14323" s="196">
        <v>0</v>
      </c>
      <c r="E14323" s="196">
        <v>0</v>
      </c>
      <c r="F14323" s="196">
        <v>0</v>
      </c>
      <c r="G14323" s="196">
        <v>22276520</v>
      </c>
    </row>
    <row r="14324" spans="1:7" x14ac:dyDescent="0.3">
      <c r="A14324" s="198">
        <v>902021545</v>
      </c>
      <c r="B14324" s="192" t="s">
        <v>1880</v>
      </c>
      <c r="C14324" s="196">
        <v>0</v>
      </c>
      <c r="D14324" s="196">
        <v>345590</v>
      </c>
      <c r="E14324" s="196">
        <v>0</v>
      </c>
      <c r="F14324" s="196">
        <v>345590</v>
      </c>
      <c r="G14324" s="196">
        <v>345590</v>
      </c>
    </row>
    <row r="14325" spans="1:7" x14ac:dyDescent="0.3">
      <c r="A14325" s="198">
        <v>901503425</v>
      </c>
      <c r="B14325" s="192" t="s">
        <v>118</v>
      </c>
      <c r="C14325" s="196">
        <v>3442942</v>
      </c>
      <c r="D14325" s="196">
        <v>0</v>
      </c>
      <c r="E14325" s="196">
        <v>0</v>
      </c>
      <c r="F14325" s="196">
        <v>0</v>
      </c>
      <c r="G14325" s="196">
        <v>3442942</v>
      </c>
    </row>
    <row r="14326" spans="1:7" x14ac:dyDescent="0.3">
      <c r="A14326" s="198">
        <v>19897047</v>
      </c>
      <c r="B14326" s="192" t="s">
        <v>1905</v>
      </c>
      <c r="C14326" s="196">
        <v>3838800</v>
      </c>
      <c r="D14326" s="196">
        <v>0</v>
      </c>
      <c r="E14326" s="196">
        <v>0</v>
      </c>
      <c r="F14326" s="196">
        <v>0</v>
      </c>
      <c r="G14326" s="196">
        <v>3838800</v>
      </c>
    </row>
    <row r="14327" spans="1:7" x14ac:dyDescent="0.3">
      <c r="A14327" s="198">
        <v>52884070</v>
      </c>
      <c r="B14327" s="192" t="s">
        <v>790</v>
      </c>
      <c r="C14327" s="196">
        <v>74089300</v>
      </c>
      <c r="D14327" s="196">
        <v>16929500</v>
      </c>
      <c r="E14327" s="196">
        <v>0</v>
      </c>
      <c r="F14327" s="196">
        <v>16929500</v>
      </c>
      <c r="G14327" s="196">
        <v>91018800</v>
      </c>
    </row>
    <row r="14328" spans="1:7" x14ac:dyDescent="0.3">
      <c r="A14328" s="198">
        <v>71527531</v>
      </c>
      <c r="B14328" s="192" t="s">
        <v>124</v>
      </c>
      <c r="C14328" s="196">
        <v>0</v>
      </c>
      <c r="D14328" s="196">
        <v>57017000</v>
      </c>
      <c r="E14328" s="196">
        <v>0</v>
      </c>
      <c r="F14328" s="196">
        <v>57017000</v>
      </c>
      <c r="G14328" s="196">
        <v>57017000</v>
      </c>
    </row>
    <row r="14329" spans="1:7" x14ac:dyDescent="0.3">
      <c r="A14329" s="198">
        <v>1127575113</v>
      </c>
      <c r="B14329" s="192" t="s">
        <v>1720</v>
      </c>
      <c r="C14329" s="196">
        <v>254018275</v>
      </c>
      <c r="D14329" s="196">
        <v>12243754</v>
      </c>
      <c r="E14329" s="196">
        <v>0</v>
      </c>
      <c r="F14329" s="196">
        <v>12243754</v>
      </c>
      <c r="G14329" s="196">
        <v>266262029</v>
      </c>
    </row>
    <row r="14330" spans="1:7" x14ac:dyDescent="0.3">
      <c r="A14330" s="198">
        <v>1127941782</v>
      </c>
      <c r="B14330" s="192" t="s">
        <v>1618</v>
      </c>
      <c r="C14330" s="196">
        <v>26172883</v>
      </c>
      <c r="D14330" s="196">
        <v>52336190</v>
      </c>
      <c r="E14330" s="196">
        <v>0</v>
      </c>
      <c r="F14330" s="196">
        <v>52336190</v>
      </c>
      <c r="G14330" s="196">
        <v>78509073</v>
      </c>
    </row>
    <row r="14331" spans="1:7" x14ac:dyDescent="0.3">
      <c r="A14331" s="198">
        <v>1037573974</v>
      </c>
      <c r="B14331" s="192" t="s">
        <v>1909</v>
      </c>
      <c r="C14331" s="196">
        <v>4762149</v>
      </c>
      <c r="D14331" s="196">
        <v>2936220</v>
      </c>
      <c r="E14331" s="196">
        <v>0</v>
      </c>
      <c r="F14331" s="196">
        <v>2936220</v>
      </c>
      <c r="G14331" s="196">
        <v>7698369</v>
      </c>
    </row>
    <row r="14332" spans="1:7" x14ac:dyDescent="0.3">
      <c r="A14332" s="198">
        <v>1037571984</v>
      </c>
      <c r="B14332" s="192" t="s">
        <v>1912</v>
      </c>
      <c r="C14332" s="196">
        <v>5733200</v>
      </c>
      <c r="D14332" s="196">
        <v>2785527</v>
      </c>
      <c r="E14332" s="196">
        <v>8518727</v>
      </c>
      <c r="F14332" s="196">
        <v>-5733200</v>
      </c>
      <c r="G14332" s="196">
        <v>0</v>
      </c>
    </row>
    <row r="14333" spans="1:7" x14ac:dyDescent="0.3">
      <c r="A14333" s="198">
        <v>1037571984</v>
      </c>
      <c r="B14333" s="192" t="s">
        <v>1912</v>
      </c>
      <c r="C14333" s="196">
        <v>2030682</v>
      </c>
      <c r="D14333" s="196">
        <v>8518727</v>
      </c>
      <c r="E14333" s="196">
        <v>0</v>
      </c>
      <c r="F14333" s="196">
        <v>8518727</v>
      </c>
      <c r="G14333" s="196">
        <v>10549409</v>
      </c>
    </row>
    <row r="14334" spans="1:7" x14ac:dyDescent="0.3">
      <c r="A14334" s="198">
        <v>98555608</v>
      </c>
      <c r="B14334" s="192" t="s">
        <v>126</v>
      </c>
      <c r="C14334" s="196">
        <v>132646031</v>
      </c>
      <c r="D14334" s="196">
        <v>47466322</v>
      </c>
      <c r="E14334" s="196">
        <v>0</v>
      </c>
      <c r="F14334" s="196">
        <v>47466322</v>
      </c>
      <c r="G14334" s="196">
        <v>180112353</v>
      </c>
    </row>
    <row r="14335" spans="1:7" x14ac:dyDescent="0.3">
      <c r="A14335" s="198">
        <v>1144068250</v>
      </c>
      <c r="B14335" s="192" t="s">
        <v>1645</v>
      </c>
      <c r="C14335" s="196">
        <v>263825954.5</v>
      </c>
      <c r="D14335" s="196">
        <v>55635190</v>
      </c>
      <c r="E14335" s="196">
        <v>0</v>
      </c>
      <c r="F14335" s="196">
        <v>55635190</v>
      </c>
      <c r="G14335" s="196">
        <v>319461144.5</v>
      </c>
    </row>
    <row r="14336" spans="1:7" x14ac:dyDescent="0.3">
      <c r="A14336" s="198">
        <v>1128056096</v>
      </c>
      <c r="B14336" s="192" t="s">
        <v>1921</v>
      </c>
      <c r="C14336" s="196">
        <v>0</v>
      </c>
      <c r="D14336" s="196">
        <v>487970</v>
      </c>
      <c r="E14336" s="196">
        <v>0</v>
      </c>
      <c r="F14336" s="196">
        <v>487970</v>
      </c>
      <c r="G14336" s="196">
        <v>487970</v>
      </c>
    </row>
    <row r="14337" spans="1:7" x14ac:dyDescent="0.3">
      <c r="A14337" s="198">
        <v>1063167578</v>
      </c>
      <c r="B14337" s="192" t="s">
        <v>1926</v>
      </c>
      <c r="C14337" s="196">
        <v>41564405.5</v>
      </c>
      <c r="D14337" s="196">
        <v>4380170</v>
      </c>
      <c r="E14337" s="196">
        <v>0</v>
      </c>
      <c r="F14337" s="196">
        <v>4380170</v>
      </c>
      <c r="G14337" s="196">
        <v>45944575.5</v>
      </c>
    </row>
    <row r="14338" spans="1:7" x14ac:dyDescent="0.3">
      <c r="A14338" s="198">
        <v>700095056</v>
      </c>
      <c r="B14338" s="192" t="s">
        <v>131</v>
      </c>
      <c r="C14338" s="196">
        <v>20129786</v>
      </c>
      <c r="D14338" s="196">
        <v>14519894</v>
      </c>
      <c r="E14338" s="196">
        <v>0</v>
      </c>
      <c r="F14338" s="196">
        <v>14519894</v>
      </c>
      <c r="G14338" s="196">
        <v>34649680</v>
      </c>
    </row>
    <row r="14339" spans="1:7" x14ac:dyDescent="0.3">
      <c r="A14339" s="198">
        <v>98664632</v>
      </c>
      <c r="B14339" s="192" t="s">
        <v>1652</v>
      </c>
      <c r="C14339" s="196">
        <v>34447656</v>
      </c>
      <c r="D14339" s="196">
        <v>2918556</v>
      </c>
      <c r="E14339" s="196">
        <v>0</v>
      </c>
      <c r="F14339" s="196">
        <v>2918556</v>
      </c>
      <c r="G14339" s="196">
        <v>37366212</v>
      </c>
    </row>
    <row r="14340" spans="1:7" x14ac:dyDescent="0.3">
      <c r="A14340" s="198">
        <v>700020794</v>
      </c>
      <c r="B14340" s="192" t="s">
        <v>1655</v>
      </c>
      <c r="C14340" s="196">
        <v>27979863</v>
      </c>
      <c r="D14340" s="196">
        <v>3186350</v>
      </c>
      <c r="E14340" s="196">
        <v>0</v>
      </c>
      <c r="F14340" s="196">
        <v>3186350</v>
      </c>
      <c r="G14340" s="196">
        <v>31166213</v>
      </c>
    </row>
    <row r="14341" spans="1:7" x14ac:dyDescent="0.3">
      <c r="A14341" s="198">
        <v>80550424</v>
      </c>
      <c r="B14341" s="192" t="s">
        <v>1619</v>
      </c>
      <c r="C14341" s="196">
        <v>420475552</v>
      </c>
      <c r="D14341" s="196">
        <v>20637357</v>
      </c>
      <c r="E14341" s="196">
        <v>0</v>
      </c>
      <c r="F14341" s="196">
        <v>20637357</v>
      </c>
      <c r="G14341" s="196">
        <v>441112909</v>
      </c>
    </row>
    <row r="14342" spans="1:7" x14ac:dyDescent="0.3">
      <c r="A14342" s="198">
        <v>1127941794</v>
      </c>
      <c r="B14342" s="192" t="s">
        <v>1274</v>
      </c>
      <c r="C14342" s="196">
        <v>756484389</v>
      </c>
      <c r="D14342" s="196">
        <v>118524215</v>
      </c>
      <c r="E14342" s="196">
        <v>0</v>
      </c>
      <c r="F14342" s="196">
        <v>118524215</v>
      </c>
      <c r="G14342" s="196">
        <v>875008604</v>
      </c>
    </row>
    <row r="14343" spans="1:7" x14ac:dyDescent="0.3">
      <c r="A14343" s="198">
        <v>1037607033</v>
      </c>
      <c r="B14343" s="192" t="s">
        <v>1657</v>
      </c>
      <c r="C14343" s="196">
        <v>72968479.900000006</v>
      </c>
      <c r="D14343" s="196">
        <v>12868250.4</v>
      </c>
      <c r="E14343" s="196">
        <v>0</v>
      </c>
      <c r="F14343" s="196">
        <v>12868250.4</v>
      </c>
      <c r="G14343" s="196">
        <v>85836730.299999997</v>
      </c>
    </row>
    <row r="14344" spans="1:7" x14ac:dyDescent="0.3">
      <c r="A14344" s="198">
        <v>901588752</v>
      </c>
      <c r="B14344" s="192" t="s">
        <v>1938</v>
      </c>
      <c r="C14344" s="196">
        <v>193729277.80000001</v>
      </c>
      <c r="D14344" s="196">
        <v>18297017</v>
      </c>
      <c r="E14344" s="196">
        <v>0</v>
      </c>
      <c r="F14344" s="196">
        <v>18297017</v>
      </c>
      <c r="G14344" s="196">
        <v>212026294.80000001</v>
      </c>
    </row>
    <row r="14345" spans="1:7" x14ac:dyDescent="0.3">
      <c r="A14345" s="198">
        <v>71581466</v>
      </c>
      <c r="B14345" s="192" t="s">
        <v>1940</v>
      </c>
      <c r="C14345" s="196">
        <v>0</v>
      </c>
      <c r="D14345" s="196">
        <v>5444000</v>
      </c>
      <c r="E14345" s="196">
        <v>0</v>
      </c>
      <c r="F14345" s="196">
        <v>5444000</v>
      </c>
      <c r="G14345" s="196">
        <v>5444000</v>
      </c>
    </row>
    <row r="14346" spans="1:7" x14ac:dyDescent="0.3">
      <c r="A14346" s="198">
        <v>71634855</v>
      </c>
      <c r="B14346" s="192" t="s">
        <v>1723</v>
      </c>
      <c r="C14346" s="196">
        <v>863190</v>
      </c>
      <c r="D14346" s="196">
        <v>222390</v>
      </c>
      <c r="E14346" s="196">
        <v>0</v>
      </c>
      <c r="F14346" s="196">
        <v>222390</v>
      </c>
      <c r="G14346" s="196">
        <v>1085580</v>
      </c>
    </row>
    <row r="14347" spans="1:7" x14ac:dyDescent="0.3">
      <c r="A14347" s="198">
        <v>1017192980</v>
      </c>
      <c r="B14347" s="192" t="s">
        <v>1456</v>
      </c>
      <c r="C14347" s="196">
        <v>110042845</v>
      </c>
      <c r="D14347" s="196">
        <v>15669635</v>
      </c>
      <c r="E14347" s="196">
        <v>0</v>
      </c>
      <c r="F14347" s="196">
        <v>15669635</v>
      </c>
      <c r="G14347" s="196">
        <v>125712480</v>
      </c>
    </row>
    <row r="14348" spans="1:7" x14ac:dyDescent="0.3">
      <c r="A14348" s="198">
        <v>67000885</v>
      </c>
      <c r="B14348" s="192" t="s">
        <v>1969</v>
      </c>
      <c r="C14348" s="196">
        <v>56293123.899999999</v>
      </c>
      <c r="D14348" s="196">
        <v>9839153</v>
      </c>
      <c r="E14348" s="196">
        <v>0</v>
      </c>
      <c r="F14348" s="196">
        <v>9839153</v>
      </c>
      <c r="G14348" s="196">
        <v>66132276.899999999</v>
      </c>
    </row>
    <row r="14349" spans="1:7" x14ac:dyDescent="0.3">
      <c r="A14349" s="198">
        <v>1037574661</v>
      </c>
      <c r="B14349" s="192" t="s">
        <v>1970</v>
      </c>
      <c r="C14349" s="196">
        <v>19884247</v>
      </c>
      <c r="D14349" s="196">
        <v>2708475</v>
      </c>
      <c r="E14349" s="196">
        <v>0</v>
      </c>
      <c r="F14349" s="196">
        <v>2708475</v>
      </c>
      <c r="G14349" s="196">
        <v>22592722</v>
      </c>
    </row>
    <row r="14350" spans="1:7" x14ac:dyDescent="0.3">
      <c r="A14350" s="198">
        <v>1037574361</v>
      </c>
      <c r="B14350" s="192" t="s">
        <v>1726</v>
      </c>
      <c r="C14350" s="196">
        <v>1826440</v>
      </c>
      <c r="D14350" s="196">
        <v>207620</v>
      </c>
      <c r="E14350" s="196">
        <v>0</v>
      </c>
      <c r="F14350" s="196">
        <v>207620</v>
      </c>
      <c r="G14350" s="196">
        <v>2034060</v>
      </c>
    </row>
    <row r="14351" spans="1:7" x14ac:dyDescent="0.3">
      <c r="A14351" s="198">
        <v>1128384292</v>
      </c>
      <c r="B14351" s="192" t="s">
        <v>1675</v>
      </c>
      <c r="C14351" s="196">
        <v>30592166</v>
      </c>
      <c r="D14351" s="196">
        <v>3138130</v>
      </c>
      <c r="E14351" s="196">
        <v>0</v>
      </c>
      <c r="F14351" s="196">
        <v>3138130</v>
      </c>
      <c r="G14351" s="196">
        <v>33730296</v>
      </c>
    </row>
    <row r="14352" spans="1:7" x14ac:dyDescent="0.3">
      <c r="A14352" s="198">
        <v>62101002</v>
      </c>
      <c r="B14352" s="192" t="s">
        <v>7655</v>
      </c>
      <c r="C14352" s="196">
        <v>48454017</v>
      </c>
      <c r="D14352" s="196">
        <v>9873851</v>
      </c>
      <c r="E14352" s="196">
        <v>0</v>
      </c>
      <c r="F14352" s="196">
        <v>9873851</v>
      </c>
      <c r="G14352" s="196">
        <v>58327868</v>
      </c>
    </row>
    <row r="14353" spans="1:7" x14ac:dyDescent="0.3">
      <c r="A14353" s="198">
        <v>43205122</v>
      </c>
      <c r="B14353" s="192" t="s">
        <v>262</v>
      </c>
      <c r="C14353" s="196">
        <v>7260000</v>
      </c>
      <c r="D14353" s="196">
        <v>0</v>
      </c>
      <c r="E14353" s="196">
        <v>0</v>
      </c>
      <c r="F14353" s="196">
        <v>0</v>
      </c>
      <c r="G14353" s="196">
        <v>7260000</v>
      </c>
    </row>
    <row r="14354" spans="1:7" x14ac:dyDescent="0.3">
      <c r="A14354" s="198">
        <v>901492487</v>
      </c>
      <c r="B14354" s="192" t="s">
        <v>1901</v>
      </c>
      <c r="C14354" s="196">
        <v>12335017</v>
      </c>
      <c r="D14354" s="196">
        <v>5363851</v>
      </c>
      <c r="E14354" s="196">
        <v>0</v>
      </c>
      <c r="F14354" s="196">
        <v>5363851</v>
      </c>
      <c r="G14354" s="196">
        <v>17698868</v>
      </c>
    </row>
    <row r="14355" spans="1:7" x14ac:dyDescent="0.3">
      <c r="A14355" s="198">
        <v>1093744869</v>
      </c>
      <c r="B14355" s="192" t="s">
        <v>1906</v>
      </c>
      <c r="C14355" s="196">
        <v>20639000</v>
      </c>
      <c r="D14355" s="196">
        <v>3080000</v>
      </c>
      <c r="E14355" s="196">
        <v>0</v>
      </c>
      <c r="F14355" s="196">
        <v>3080000</v>
      </c>
      <c r="G14355" s="196">
        <v>23719000</v>
      </c>
    </row>
    <row r="14356" spans="1:7" x14ac:dyDescent="0.3">
      <c r="A14356" s="198">
        <v>1128270317</v>
      </c>
      <c r="B14356" s="192" t="s">
        <v>1962</v>
      </c>
      <c r="C14356" s="196">
        <v>8220000</v>
      </c>
      <c r="D14356" s="196">
        <v>1430000</v>
      </c>
      <c r="E14356" s="196">
        <v>0</v>
      </c>
      <c r="F14356" s="196">
        <v>1430000</v>
      </c>
      <c r="G14356" s="196">
        <v>9650000</v>
      </c>
    </row>
    <row r="14357" spans="1:7" x14ac:dyDescent="0.3">
      <c r="A14357" s="198">
        <v>62101003</v>
      </c>
      <c r="B14357" s="192" t="s">
        <v>7656</v>
      </c>
      <c r="C14357" s="196">
        <v>240325000</v>
      </c>
      <c r="D14357" s="196">
        <v>45800000</v>
      </c>
      <c r="E14357" s="196">
        <v>0</v>
      </c>
      <c r="F14357" s="196">
        <v>45800000</v>
      </c>
      <c r="G14357" s="196">
        <v>286125000</v>
      </c>
    </row>
    <row r="14358" spans="1:7" x14ac:dyDescent="0.3">
      <c r="A14358" s="198">
        <v>43191459</v>
      </c>
      <c r="B14358" s="192" t="s">
        <v>7657</v>
      </c>
      <c r="C14358" s="196">
        <v>29325000</v>
      </c>
      <c r="D14358" s="196">
        <v>0</v>
      </c>
      <c r="E14358" s="196">
        <v>0</v>
      </c>
      <c r="F14358" s="196">
        <v>0</v>
      </c>
      <c r="G14358" s="196">
        <v>29325000</v>
      </c>
    </row>
    <row r="14359" spans="1:7" x14ac:dyDescent="0.3">
      <c r="A14359" s="198">
        <v>1128279034</v>
      </c>
      <c r="B14359" s="192" t="s">
        <v>1852</v>
      </c>
      <c r="C14359" s="196">
        <v>19200000</v>
      </c>
      <c r="D14359" s="196">
        <v>9200000</v>
      </c>
      <c r="E14359" s="196">
        <v>0</v>
      </c>
      <c r="F14359" s="196">
        <v>9200000</v>
      </c>
      <c r="G14359" s="196">
        <v>28400000</v>
      </c>
    </row>
    <row r="14360" spans="1:7" x14ac:dyDescent="0.3">
      <c r="A14360" s="198">
        <v>71753384</v>
      </c>
      <c r="B14360" s="192" t="s">
        <v>1854</v>
      </c>
      <c r="C14360" s="196">
        <v>5200000</v>
      </c>
      <c r="D14360" s="196">
        <v>0</v>
      </c>
      <c r="E14360" s="196">
        <v>0</v>
      </c>
      <c r="F14360" s="196">
        <v>0</v>
      </c>
      <c r="G14360" s="196">
        <v>5200000</v>
      </c>
    </row>
    <row r="14361" spans="1:7" x14ac:dyDescent="0.3">
      <c r="A14361" s="198">
        <v>1037572165</v>
      </c>
      <c r="B14361" s="192" t="s">
        <v>1913</v>
      </c>
      <c r="C14361" s="196">
        <v>3600000</v>
      </c>
      <c r="D14361" s="196">
        <v>3600000</v>
      </c>
      <c r="E14361" s="196">
        <v>0</v>
      </c>
      <c r="F14361" s="196">
        <v>3600000</v>
      </c>
      <c r="G14361" s="196">
        <v>7200000</v>
      </c>
    </row>
    <row r="14362" spans="1:7" x14ac:dyDescent="0.3">
      <c r="A14362" s="198">
        <v>700178622</v>
      </c>
      <c r="B14362" s="192" t="s">
        <v>1924</v>
      </c>
      <c r="C14362" s="196">
        <v>183000000</v>
      </c>
      <c r="D14362" s="196">
        <v>33000000</v>
      </c>
      <c r="E14362" s="196">
        <v>0</v>
      </c>
      <c r="F14362" s="196">
        <v>33000000</v>
      </c>
      <c r="G14362" s="196">
        <v>216000000</v>
      </c>
    </row>
    <row r="14363" spans="1:7" x14ac:dyDescent="0.3">
      <c r="A14363" s="197">
        <v>6220</v>
      </c>
      <c r="B14363" s="191" t="s">
        <v>7658</v>
      </c>
      <c r="C14363" s="195">
        <v>28560000</v>
      </c>
      <c r="D14363" s="195">
        <v>4760000</v>
      </c>
      <c r="E14363" s="195">
        <v>0</v>
      </c>
      <c r="F14363" s="195">
        <v>4760000</v>
      </c>
      <c r="G14363" s="195">
        <v>33320000</v>
      </c>
    </row>
    <row r="14364" spans="1:7" x14ac:dyDescent="0.3">
      <c r="A14364" s="198">
        <v>62201001</v>
      </c>
      <c r="B14364" s="192" t="s">
        <v>7659</v>
      </c>
      <c r="C14364" s="196">
        <v>24760000</v>
      </c>
      <c r="D14364" s="196">
        <v>4000000</v>
      </c>
      <c r="E14364" s="196">
        <v>0</v>
      </c>
      <c r="F14364" s="196">
        <v>4000000</v>
      </c>
      <c r="G14364" s="196">
        <v>28760000</v>
      </c>
    </row>
    <row r="14365" spans="1:7" x14ac:dyDescent="0.3">
      <c r="A14365" s="198">
        <v>901205178</v>
      </c>
      <c r="B14365" s="192" t="s">
        <v>1964</v>
      </c>
      <c r="C14365" s="196">
        <v>24760000</v>
      </c>
      <c r="D14365" s="196">
        <v>4000000</v>
      </c>
      <c r="E14365" s="196">
        <v>0</v>
      </c>
      <c r="F14365" s="196">
        <v>4000000</v>
      </c>
      <c r="G14365" s="196">
        <v>28760000</v>
      </c>
    </row>
    <row r="14366" spans="1:7" x14ac:dyDescent="0.3">
      <c r="A14366" s="198">
        <v>62201098</v>
      </c>
      <c r="B14366" s="192" t="s">
        <v>7660</v>
      </c>
      <c r="C14366" s="196">
        <v>3800000</v>
      </c>
      <c r="D14366" s="196">
        <v>760000</v>
      </c>
      <c r="E14366" s="196">
        <v>0</v>
      </c>
      <c r="F14366" s="196">
        <v>760000</v>
      </c>
      <c r="G14366" s="196">
        <v>4560000</v>
      </c>
    </row>
    <row r="14367" spans="1:7" x14ac:dyDescent="0.3">
      <c r="A14367" s="198">
        <v>901205178</v>
      </c>
      <c r="B14367" s="192" t="s">
        <v>1964</v>
      </c>
      <c r="C14367" s="196">
        <v>3800000</v>
      </c>
      <c r="D14367" s="196">
        <v>760000</v>
      </c>
      <c r="E14367" s="196">
        <v>0</v>
      </c>
      <c r="F14367" s="196">
        <v>760000</v>
      </c>
      <c r="G14367" s="196">
        <v>4560000</v>
      </c>
    </row>
    <row r="14368" spans="1:7" x14ac:dyDescent="0.3">
      <c r="A14368" s="197">
        <v>6235</v>
      </c>
      <c r="B14368" s="191" t="s">
        <v>7661</v>
      </c>
      <c r="C14368" s="195">
        <v>120018681.7</v>
      </c>
      <c r="D14368" s="195">
        <v>40512836.25</v>
      </c>
      <c r="E14368" s="195">
        <v>15078329.23</v>
      </c>
      <c r="F14368" s="195">
        <v>25434507.02</v>
      </c>
      <c r="G14368" s="195">
        <v>145453188.72</v>
      </c>
    </row>
    <row r="14369" spans="1:7" x14ac:dyDescent="0.3">
      <c r="A14369" s="197">
        <v>623595</v>
      </c>
      <c r="B14369" s="191" t="s">
        <v>7662</v>
      </c>
      <c r="C14369" s="195">
        <v>120018681.7</v>
      </c>
      <c r="D14369" s="195">
        <v>40512836.25</v>
      </c>
      <c r="E14369" s="195">
        <v>15078329.23</v>
      </c>
      <c r="F14369" s="195">
        <v>25434507.02</v>
      </c>
      <c r="G14369" s="195">
        <v>145453188.72</v>
      </c>
    </row>
    <row r="14370" spans="1:7" x14ac:dyDescent="0.3">
      <c r="A14370" s="198">
        <v>62359502</v>
      </c>
      <c r="B14370" s="192" t="s">
        <v>7663</v>
      </c>
      <c r="C14370" s="196">
        <v>26994844.760000002</v>
      </c>
      <c r="D14370" s="196">
        <v>11188054.75</v>
      </c>
      <c r="E14370" s="196">
        <v>6079353.9500000002</v>
      </c>
      <c r="F14370" s="196">
        <v>5108700.8</v>
      </c>
      <c r="G14370" s="196">
        <v>32103545.559999999</v>
      </c>
    </row>
    <row r="14371" spans="1:7" x14ac:dyDescent="0.3">
      <c r="A14371" s="198">
        <v>901893782</v>
      </c>
      <c r="B14371" s="192" t="s">
        <v>1917</v>
      </c>
      <c r="C14371" s="196">
        <v>26994844.760000002</v>
      </c>
      <c r="D14371" s="196">
        <v>11188054.75</v>
      </c>
      <c r="E14371" s="196">
        <v>6079353.9500000002</v>
      </c>
      <c r="F14371" s="196">
        <v>5108700.8</v>
      </c>
      <c r="G14371" s="196">
        <v>32103545.559999999</v>
      </c>
    </row>
    <row r="14372" spans="1:7" x14ac:dyDescent="0.3">
      <c r="A14372" s="198">
        <v>62359503</v>
      </c>
      <c r="B14372" s="192" t="s">
        <v>7664</v>
      </c>
      <c r="C14372" s="196">
        <v>73861190.239999995</v>
      </c>
      <c r="D14372" s="196">
        <v>23826998.600000001</v>
      </c>
      <c r="E14372" s="196">
        <v>7562164.0999999996</v>
      </c>
      <c r="F14372" s="196">
        <v>16264834.5</v>
      </c>
      <c r="G14372" s="196">
        <v>90126024.739999995</v>
      </c>
    </row>
    <row r="14373" spans="1:7" x14ac:dyDescent="0.3">
      <c r="A14373" s="198">
        <v>900245870</v>
      </c>
      <c r="B14373" s="192" t="s">
        <v>1958</v>
      </c>
      <c r="C14373" s="196">
        <v>73861190.239999995</v>
      </c>
      <c r="D14373" s="196">
        <v>23826998.600000001</v>
      </c>
      <c r="E14373" s="196">
        <v>7562164.0999999996</v>
      </c>
      <c r="F14373" s="196">
        <v>16264834.5</v>
      </c>
      <c r="G14373" s="196">
        <v>90126024.739999995</v>
      </c>
    </row>
    <row r="14374" spans="1:7" x14ac:dyDescent="0.3">
      <c r="A14374" s="198">
        <v>62359598</v>
      </c>
      <c r="B14374" s="192" t="s">
        <v>7665</v>
      </c>
      <c r="C14374" s="196">
        <v>19162646.699999999</v>
      </c>
      <c r="D14374" s="196">
        <v>5497782.9000000004</v>
      </c>
      <c r="E14374" s="196">
        <v>1436811.18</v>
      </c>
      <c r="F14374" s="196">
        <v>4060971.72</v>
      </c>
      <c r="G14374" s="196">
        <v>23223618.420000002</v>
      </c>
    </row>
    <row r="14375" spans="1:7" x14ac:dyDescent="0.3">
      <c r="A14375" s="198">
        <v>901893782</v>
      </c>
      <c r="B14375" s="192" t="s">
        <v>1917</v>
      </c>
      <c r="C14375" s="196">
        <v>5129020.5199999996</v>
      </c>
      <c r="D14375" s="196">
        <v>970653.16</v>
      </c>
      <c r="E14375" s="196">
        <v>0</v>
      </c>
      <c r="F14375" s="196">
        <v>970653.16</v>
      </c>
      <c r="G14375" s="196">
        <v>6099673.6799999997</v>
      </c>
    </row>
    <row r="14376" spans="1:7" x14ac:dyDescent="0.3">
      <c r="A14376" s="198">
        <v>900245870</v>
      </c>
      <c r="B14376" s="192" t="s">
        <v>1958</v>
      </c>
      <c r="C14376" s="196">
        <v>14033626.18</v>
      </c>
      <c r="D14376" s="196">
        <v>4527129.74</v>
      </c>
      <c r="E14376" s="196">
        <v>1436811.18</v>
      </c>
      <c r="F14376" s="196">
        <v>3090318.56</v>
      </c>
      <c r="G14376" s="196">
        <v>17123944.739999998</v>
      </c>
    </row>
    <row r="14377" spans="1:7" x14ac:dyDescent="0.3">
      <c r="A14377" s="197">
        <v>6245</v>
      </c>
      <c r="B14377" s="191" t="s">
        <v>7666</v>
      </c>
      <c r="C14377" s="195">
        <v>1986542208.05</v>
      </c>
      <c r="D14377" s="195">
        <v>400376103.62</v>
      </c>
      <c r="E14377" s="195">
        <v>16415991.550000001</v>
      </c>
      <c r="F14377" s="195">
        <v>383960112.06999999</v>
      </c>
      <c r="G14377" s="195">
        <v>2370502320.1199999</v>
      </c>
    </row>
    <row r="14378" spans="1:7" x14ac:dyDescent="0.3">
      <c r="A14378" s="198">
        <v>62451001</v>
      </c>
      <c r="B14378" s="192" t="s">
        <v>7667</v>
      </c>
      <c r="C14378" s="196">
        <v>233132522.86000001</v>
      </c>
      <c r="D14378" s="196">
        <v>69342467.819999993</v>
      </c>
      <c r="E14378" s="196">
        <v>2356400.46</v>
      </c>
      <c r="F14378" s="196">
        <v>66986067.359999999</v>
      </c>
      <c r="G14378" s="196">
        <v>300118590.22000003</v>
      </c>
    </row>
    <row r="14379" spans="1:7" x14ac:dyDescent="0.3">
      <c r="A14379" s="198">
        <v>901092093</v>
      </c>
      <c r="B14379" s="192" t="s">
        <v>2011</v>
      </c>
      <c r="C14379" s="196">
        <v>840336.15</v>
      </c>
      <c r="D14379" s="196">
        <v>0</v>
      </c>
      <c r="E14379" s="196">
        <v>0</v>
      </c>
      <c r="F14379" s="196">
        <v>0</v>
      </c>
      <c r="G14379" s="196">
        <v>840336.15</v>
      </c>
    </row>
    <row r="14380" spans="1:7" x14ac:dyDescent="0.3">
      <c r="A14380" s="198">
        <v>830064049</v>
      </c>
      <c r="B14380" s="192" t="s">
        <v>1858</v>
      </c>
      <c r="C14380" s="196">
        <v>33170420</v>
      </c>
      <c r="D14380" s="196">
        <v>18900000</v>
      </c>
      <c r="E14380" s="196">
        <v>0</v>
      </c>
      <c r="F14380" s="196">
        <v>18900000</v>
      </c>
      <c r="G14380" s="196">
        <v>52070420</v>
      </c>
    </row>
    <row r="14381" spans="1:7" x14ac:dyDescent="0.3">
      <c r="A14381" s="198">
        <v>900538591</v>
      </c>
      <c r="B14381" s="192" t="s">
        <v>7647</v>
      </c>
      <c r="C14381" s="196">
        <v>100756</v>
      </c>
      <c r="D14381" s="196">
        <v>0</v>
      </c>
      <c r="E14381" s="196">
        <v>0</v>
      </c>
      <c r="F14381" s="196">
        <v>0</v>
      </c>
      <c r="G14381" s="196">
        <v>100756</v>
      </c>
    </row>
    <row r="14382" spans="1:7" x14ac:dyDescent="0.3">
      <c r="A14382" s="198">
        <v>800158193</v>
      </c>
      <c r="B14382" s="192" t="s">
        <v>1628</v>
      </c>
      <c r="C14382" s="196">
        <v>2860470.6</v>
      </c>
      <c r="D14382" s="196">
        <v>1283544</v>
      </c>
      <c r="E14382" s="196">
        <v>0</v>
      </c>
      <c r="F14382" s="196">
        <v>1283544</v>
      </c>
      <c r="G14382" s="196">
        <v>4144014.6</v>
      </c>
    </row>
    <row r="14383" spans="1:7" x14ac:dyDescent="0.3">
      <c r="A14383" s="198">
        <v>900740595</v>
      </c>
      <c r="B14383" s="192" t="s">
        <v>1630</v>
      </c>
      <c r="C14383" s="196">
        <v>2000000.14</v>
      </c>
      <c r="D14383" s="196">
        <v>571428.56000000006</v>
      </c>
      <c r="E14383" s="196">
        <v>0</v>
      </c>
      <c r="F14383" s="196">
        <v>571428.56000000006</v>
      </c>
      <c r="G14383" s="196">
        <v>2571428.7000000002</v>
      </c>
    </row>
    <row r="14384" spans="1:7" x14ac:dyDescent="0.3">
      <c r="A14384" s="198">
        <v>901112882</v>
      </c>
      <c r="B14384" s="192" t="s">
        <v>1864</v>
      </c>
      <c r="C14384" s="196">
        <v>397500</v>
      </c>
      <c r="D14384" s="196">
        <v>0</v>
      </c>
      <c r="E14384" s="196">
        <v>0</v>
      </c>
      <c r="F14384" s="196">
        <v>0</v>
      </c>
      <c r="G14384" s="196">
        <v>397500</v>
      </c>
    </row>
    <row r="14385" spans="1:7" x14ac:dyDescent="0.3">
      <c r="A14385" s="198">
        <v>811042584</v>
      </c>
      <c r="B14385" s="192" t="s">
        <v>1871</v>
      </c>
      <c r="C14385" s="196">
        <v>-357499</v>
      </c>
      <c r="D14385" s="196">
        <v>74000</v>
      </c>
      <c r="E14385" s="196">
        <v>0</v>
      </c>
      <c r="F14385" s="196">
        <v>74000</v>
      </c>
      <c r="G14385" s="196">
        <v>-283499</v>
      </c>
    </row>
    <row r="14386" spans="1:7" x14ac:dyDescent="0.3">
      <c r="A14386" s="198">
        <v>1037583982</v>
      </c>
      <c r="B14386" s="192" t="s">
        <v>1798</v>
      </c>
      <c r="C14386" s="196">
        <v>3116000</v>
      </c>
      <c r="D14386" s="196">
        <v>740000</v>
      </c>
      <c r="E14386" s="196">
        <v>0</v>
      </c>
      <c r="F14386" s="196">
        <v>740000</v>
      </c>
      <c r="G14386" s="196">
        <v>3856000</v>
      </c>
    </row>
    <row r="14387" spans="1:7" x14ac:dyDescent="0.3">
      <c r="A14387" s="198">
        <v>890941663</v>
      </c>
      <c r="B14387" s="192" t="s">
        <v>1879</v>
      </c>
      <c r="C14387" s="196">
        <v>8405</v>
      </c>
      <c r="D14387" s="196">
        <v>0</v>
      </c>
      <c r="E14387" s="196">
        <v>0</v>
      </c>
      <c r="F14387" s="196">
        <v>0</v>
      </c>
      <c r="G14387" s="196">
        <v>8405</v>
      </c>
    </row>
    <row r="14388" spans="1:7" x14ac:dyDescent="0.3">
      <c r="A14388" s="198">
        <v>800131750</v>
      </c>
      <c r="B14388" s="192" t="s">
        <v>1639</v>
      </c>
      <c r="C14388" s="196">
        <v>182928</v>
      </c>
      <c r="D14388" s="196">
        <v>91464</v>
      </c>
      <c r="E14388" s="196">
        <v>0</v>
      </c>
      <c r="F14388" s="196">
        <v>91464</v>
      </c>
      <c r="G14388" s="196">
        <v>274392</v>
      </c>
    </row>
    <row r="14389" spans="1:7" x14ac:dyDescent="0.3">
      <c r="A14389" s="198">
        <v>901007452</v>
      </c>
      <c r="B14389" s="192" t="s">
        <v>2013</v>
      </c>
      <c r="C14389" s="196">
        <v>2470000</v>
      </c>
      <c r="D14389" s="196">
        <v>0</v>
      </c>
      <c r="E14389" s="196">
        <v>0</v>
      </c>
      <c r="F14389" s="196">
        <v>0</v>
      </c>
      <c r="G14389" s="196">
        <v>2470000</v>
      </c>
    </row>
    <row r="14390" spans="1:7" x14ac:dyDescent="0.3">
      <c r="A14390" s="198">
        <v>900467517</v>
      </c>
      <c r="B14390" s="192" t="s">
        <v>1640</v>
      </c>
      <c r="C14390" s="196">
        <v>5600000</v>
      </c>
      <c r="D14390" s="196">
        <v>8400000</v>
      </c>
      <c r="E14390" s="196">
        <v>0</v>
      </c>
      <c r="F14390" s="196">
        <v>8400000</v>
      </c>
      <c r="G14390" s="196">
        <v>14000000</v>
      </c>
    </row>
    <row r="14391" spans="1:7" x14ac:dyDescent="0.3">
      <c r="A14391" s="198">
        <v>901414564</v>
      </c>
      <c r="B14391" s="192" t="s">
        <v>1642</v>
      </c>
      <c r="C14391" s="196">
        <v>1407735</v>
      </c>
      <c r="D14391" s="196">
        <v>591600</v>
      </c>
      <c r="E14391" s="196">
        <v>0</v>
      </c>
      <c r="F14391" s="196">
        <v>591600</v>
      </c>
      <c r="G14391" s="196">
        <v>1999335</v>
      </c>
    </row>
    <row r="14392" spans="1:7" x14ac:dyDescent="0.3">
      <c r="A14392" s="198">
        <v>901776715</v>
      </c>
      <c r="B14392" s="192" t="s">
        <v>7668</v>
      </c>
      <c r="C14392" s="196">
        <v>1189063.02</v>
      </c>
      <c r="D14392" s="196">
        <v>0</v>
      </c>
      <c r="E14392" s="196">
        <v>0</v>
      </c>
      <c r="F14392" s="196">
        <v>0</v>
      </c>
      <c r="G14392" s="196">
        <v>1189063.02</v>
      </c>
    </row>
    <row r="14393" spans="1:7" x14ac:dyDescent="0.3">
      <c r="A14393" s="198">
        <v>900516123</v>
      </c>
      <c r="B14393" s="192" t="s">
        <v>1902</v>
      </c>
      <c r="C14393" s="196">
        <v>4861612.8499999996</v>
      </c>
      <c r="D14393" s="196">
        <v>100473.97</v>
      </c>
      <c r="E14393" s="196">
        <v>41802.46</v>
      </c>
      <c r="F14393" s="196">
        <v>58671.51</v>
      </c>
      <c r="G14393" s="196">
        <v>4920284.3600000003</v>
      </c>
    </row>
    <row r="14394" spans="1:7" x14ac:dyDescent="0.3">
      <c r="A14394" s="198">
        <v>800077635</v>
      </c>
      <c r="B14394" s="192" t="s">
        <v>7648</v>
      </c>
      <c r="C14394" s="196">
        <v>612826.19999999995</v>
      </c>
      <c r="D14394" s="196">
        <v>0</v>
      </c>
      <c r="E14394" s="196">
        <v>0</v>
      </c>
      <c r="F14394" s="196">
        <v>0</v>
      </c>
      <c r="G14394" s="196">
        <v>612826.19999999995</v>
      </c>
    </row>
    <row r="14395" spans="1:7" x14ac:dyDescent="0.3">
      <c r="A14395" s="198">
        <v>860019041</v>
      </c>
      <c r="B14395" s="192" t="s">
        <v>1647</v>
      </c>
      <c r="C14395" s="196">
        <v>89503000</v>
      </c>
      <c r="D14395" s="196">
        <v>12710000</v>
      </c>
      <c r="E14395" s="196">
        <v>0</v>
      </c>
      <c r="F14395" s="196">
        <v>12710000</v>
      </c>
      <c r="G14395" s="196">
        <v>102213000</v>
      </c>
    </row>
    <row r="14396" spans="1:7" x14ac:dyDescent="0.3">
      <c r="A14396" s="198">
        <v>890940259</v>
      </c>
      <c r="B14396" s="192" t="s">
        <v>1648</v>
      </c>
      <c r="C14396" s="196">
        <v>11795710.720000001</v>
      </c>
      <c r="D14396" s="196">
        <v>460000</v>
      </c>
      <c r="E14396" s="196">
        <v>0</v>
      </c>
      <c r="F14396" s="196">
        <v>460000</v>
      </c>
      <c r="G14396" s="196">
        <v>12255710.720000001</v>
      </c>
    </row>
    <row r="14397" spans="1:7" x14ac:dyDescent="0.3">
      <c r="A14397" s="198">
        <v>802017441</v>
      </c>
      <c r="B14397" s="192" t="s">
        <v>1918</v>
      </c>
      <c r="C14397" s="196">
        <v>2098200</v>
      </c>
      <c r="D14397" s="196">
        <v>0</v>
      </c>
      <c r="E14397" s="196">
        <v>0</v>
      </c>
      <c r="F14397" s="196">
        <v>0</v>
      </c>
      <c r="G14397" s="196">
        <v>2098200</v>
      </c>
    </row>
    <row r="14398" spans="1:7" x14ac:dyDescent="0.3">
      <c r="A14398" s="198">
        <v>830142523</v>
      </c>
      <c r="B14398" s="192" t="s">
        <v>1653</v>
      </c>
      <c r="C14398" s="196">
        <v>1620893.77</v>
      </c>
      <c r="D14398" s="196">
        <v>161586</v>
      </c>
      <c r="E14398" s="196">
        <v>0</v>
      </c>
      <c r="F14398" s="196">
        <v>161586</v>
      </c>
      <c r="G14398" s="196">
        <v>1782479.77</v>
      </c>
    </row>
    <row r="14399" spans="1:7" x14ac:dyDescent="0.3">
      <c r="A14399" s="198">
        <v>860002130</v>
      </c>
      <c r="B14399" s="192" t="s">
        <v>1934</v>
      </c>
      <c r="C14399" s="196">
        <v>224286</v>
      </c>
      <c r="D14399" s="196">
        <v>0</v>
      </c>
      <c r="E14399" s="196">
        <v>0</v>
      </c>
      <c r="F14399" s="196">
        <v>0</v>
      </c>
      <c r="G14399" s="196">
        <v>224286</v>
      </c>
    </row>
    <row r="14400" spans="1:7" x14ac:dyDescent="0.3">
      <c r="A14400" s="198">
        <v>901578799</v>
      </c>
      <c r="B14400" s="192" t="s">
        <v>1658</v>
      </c>
      <c r="C14400" s="196">
        <v>10501000</v>
      </c>
      <c r="D14400" s="196">
        <v>941700</v>
      </c>
      <c r="E14400" s="196">
        <v>430000</v>
      </c>
      <c r="F14400" s="196">
        <v>511700</v>
      </c>
      <c r="G14400" s="196">
        <v>11012700</v>
      </c>
    </row>
    <row r="14401" spans="1:7" x14ac:dyDescent="0.3">
      <c r="A14401" s="198">
        <v>900135828</v>
      </c>
      <c r="B14401" s="192" t="s">
        <v>1939</v>
      </c>
      <c r="C14401" s="196">
        <v>5864420</v>
      </c>
      <c r="D14401" s="196">
        <v>1753800</v>
      </c>
      <c r="E14401" s="196">
        <v>436998</v>
      </c>
      <c r="F14401" s="196">
        <v>1316802</v>
      </c>
      <c r="G14401" s="196">
        <v>7181222</v>
      </c>
    </row>
    <row r="14402" spans="1:7" x14ac:dyDescent="0.3">
      <c r="A14402" s="198">
        <v>830062565</v>
      </c>
      <c r="B14402" s="192" t="s">
        <v>1771</v>
      </c>
      <c r="C14402" s="196">
        <v>3793202</v>
      </c>
      <c r="D14402" s="196">
        <v>0</v>
      </c>
      <c r="E14402" s="196">
        <v>0</v>
      </c>
      <c r="F14402" s="196">
        <v>0</v>
      </c>
      <c r="G14402" s="196">
        <v>3793202</v>
      </c>
    </row>
    <row r="14403" spans="1:7" x14ac:dyDescent="0.3">
      <c r="A14403" s="198">
        <v>830011469</v>
      </c>
      <c r="B14403" s="192" t="s">
        <v>1943</v>
      </c>
      <c r="C14403" s="196">
        <v>10128800</v>
      </c>
      <c r="D14403" s="196">
        <v>3059000</v>
      </c>
      <c r="E14403" s="196">
        <v>0</v>
      </c>
      <c r="F14403" s="196">
        <v>3059000</v>
      </c>
      <c r="G14403" s="196">
        <v>13187800</v>
      </c>
    </row>
    <row r="14404" spans="1:7" x14ac:dyDescent="0.3">
      <c r="A14404" s="198">
        <v>830037946</v>
      </c>
      <c r="B14404" s="192" t="s">
        <v>1944</v>
      </c>
      <c r="C14404" s="196">
        <v>211008.41</v>
      </c>
      <c r="D14404" s="196">
        <v>0</v>
      </c>
      <c r="E14404" s="196">
        <v>0</v>
      </c>
      <c r="F14404" s="196">
        <v>0</v>
      </c>
      <c r="G14404" s="196">
        <v>211008.41</v>
      </c>
    </row>
    <row r="14405" spans="1:7" x14ac:dyDescent="0.3">
      <c r="A14405" s="198">
        <v>830110109</v>
      </c>
      <c r="B14405" s="192" t="s">
        <v>1948</v>
      </c>
      <c r="C14405" s="196">
        <v>0</v>
      </c>
      <c r="D14405" s="196">
        <v>8406329.8399999999</v>
      </c>
      <c r="E14405" s="196">
        <v>0</v>
      </c>
      <c r="F14405" s="196">
        <v>8406329.8399999999</v>
      </c>
      <c r="G14405" s="196">
        <v>8406329.8399999999</v>
      </c>
    </row>
    <row r="14406" spans="1:7" x14ac:dyDescent="0.3">
      <c r="A14406" s="198">
        <v>900066601</v>
      </c>
      <c r="B14406" s="192" t="s">
        <v>1949</v>
      </c>
      <c r="C14406" s="196">
        <v>10492350</v>
      </c>
      <c r="D14406" s="196">
        <v>4565150</v>
      </c>
      <c r="E14406" s="196">
        <v>1447600</v>
      </c>
      <c r="F14406" s="196">
        <v>3117550</v>
      </c>
      <c r="G14406" s="196">
        <v>13609900</v>
      </c>
    </row>
    <row r="14407" spans="1:7" x14ac:dyDescent="0.3">
      <c r="A14407" s="198">
        <v>900689727</v>
      </c>
      <c r="B14407" s="192" t="s">
        <v>1953</v>
      </c>
      <c r="C14407" s="196">
        <v>9237633.3100000005</v>
      </c>
      <c r="D14407" s="196">
        <v>1606721</v>
      </c>
      <c r="E14407" s="196">
        <v>0</v>
      </c>
      <c r="F14407" s="196">
        <v>1606721</v>
      </c>
      <c r="G14407" s="196">
        <v>10844354.310000001</v>
      </c>
    </row>
    <row r="14408" spans="1:7" x14ac:dyDescent="0.3">
      <c r="A14408" s="198">
        <v>900895205</v>
      </c>
      <c r="B14408" s="192" t="s">
        <v>1665</v>
      </c>
      <c r="C14408" s="196">
        <v>4522800</v>
      </c>
      <c r="D14408" s="196">
        <v>1354000</v>
      </c>
      <c r="E14408" s="196">
        <v>0</v>
      </c>
      <c r="F14408" s="196">
        <v>1354000</v>
      </c>
      <c r="G14408" s="196">
        <v>5876800</v>
      </c>
    </row>
    <row r="14409" spans="1:7" x14ac:dyDescent="0.3">
      <c r="A14409" s="198">
        <v>890929073</v>
      </c>
      <c r="B14409" s="192" t="s">
        <v>1666</v>
      </c>
      <c r="C14409" s="196">
        <v>37676</v>
      </c>
      <c r="D14409" s="196">
        <v>157521</v>
      </c>
      <c r="E14409" s="196">
        <v>0</v>
      </c>
      <c r="F14409" s="196">
        <v>157521</v>
      </c>
      <c r="G14409" s="196">
        <v>195197</v>
      </c>
    </row>
    <row r="14410" spans="1:7" x14ac:dyDescent="0.3">
      <c r="A14410" s="198">
        <v>900245870</v>
      </c>
      <c r="B14410" s="192" t="s">
        <v>1958</v>
      </c>
      <c r="C14410" s="196">
        <v>8698962.1400000006</v>
      </c>
      <c r="D14410" s="196">
        <v>2798603.24</v>
      </c>
      <c r="E14410" s="196">
        <v>0</v>
      </c>
      <c r="F14410" s="196">
        <v>2798603.24</v>
      </c>
      <c r="G14410" s="196">
        <v>11497565.380000001</v>
      </c>
    </row>
    <row r="14411" spans="1:7" x14ac:dyDescent="0.3">
      <c r="A14411" s="198">
        <v>900181068</v>
      </c>
      <c r="B14411" s="192" t="s">
        <v>1961</v>
      </c>
      <c r="C14411" s="196">
        <v>242994.48</v>
      </c>
      <c r="D14411" s="196">
        <v>0</v>
      </c>
      <c r="E14411" s="196">
        <v>0</v>
      </c>
      <c r="F14411" s="196">
        <v>0</v>
      </c>
      <c r="G14411" s="196">
        <v>242994.48</v>
      </c>
    </row>
    <row r="14412" spans="1:7" x14ac:dyDescent="0.3">
      <c r="A14412" s="198">
        <v>900494362</v>
      </c>
      <c r="B14412" s="192" t="s">
        <v>1672</v>
      </c>
      <c r="C14412" s="196">
        <v>5699032.0700000003</v>
      </c>
      <c r="D14412" s="196">
        <v>615546.21</v>
      </c>
      <c r="E14412" s="196">
        <v>0</v>
      </c>
      <c r="F14412" s="196">
        <v>615546.21</v>
      </c>
      <c r="G14412" s="196">
        <v>6314578.2800000003</v>
      </c>
    </row>
    <row r="14413" spans="1:7" x14ac:dyDescent="0.3">
      <c r="A14413" s="198">
        <v>62451002</v>
      </c>
      <c r="B14413" s="192" t="s">
        <v>7669</v>
      </c>
      <c r="C14413" s="196">
        <v>685092723.80999994</v>
      </c>
      <c r="D14413" s="196">
        <v>103753292.56</v>
      </c>
      <c r="E14413" s="196">
        <v>10484875</v>
      </c>
      <c r="F14413" s="196">
        <v>93268417.560000002</v>
      </c>
      <c r="G14413" s="196">
        <v>778361141.37</v>
      </c>
    </row>
    <row r="14414" spans="1:7" x14ac:dyDescent="0.3">
      <c r="A14414" s="198">
        <v>901598492</v>
      </c>
      <c r="B14414" s="192" t="s">
        <v>1853</v>
      </c>
      <c r="C14414" s="196">
        <v>5550000</v>
      </c>
      <c r="D14414" s="196">
        <v>660000</v>
      </c>
      <c r="E14414" s="196">
        <v>0</v>
      </c>
      <c r="F14414" s="196">
        <v>660000</v>
      </c>
      <c r="G14414" s="196">
        <v>6210000</v>
      </c>
    </row>
    <row r="14415" spans="1:7" x14ac:dyDescent="0.3">
      <c r="A14415" s="198">
        <v>901054145</v>
      </c>
      <c r="B14415" s="192" t="s">
        <v>1622</v>
      </c>
      <c r="C14415" s="196">
        <v>2381496</v>
      </c>
      <c r="D14415" s="196">
        <v>0</v>
      </c>
      <c r="E14415" s="196">
        <v>0</v>
      </c>
      <c r="F14415" s="196">
        <v>0</v>
      </c>
      <c r="G14415" s="196">
        <v>2381496</v>
      </c>
    </row>
    <row r="14416" spans="1:7" x14ac:dyDescent="0.3">
      <c r="A14416" s="198">
        <v>830103910</v>
      </c>
      <c r="B14416" s="192" t="s">
        <v>1859</v>
      </c>
      <c r="C14416" s="196">
        <v>3700080</v>
      </c>
      <c r="D14416" s="196">
        <v>0</v>
      </c>
      <c r="E14416" s="196">
        <v>0</v>
      </c>
      <c r="F14416" s="196">
        <v>0</v>
      </c>
      <c r="G14416" s="196">
        <v>3700080</v>
      </c>
    </row>
    <row r="14417" spans="1:7" x14ac:dyDescent="0.3">
      <c r="A14417" s="198">
        <v>830021262</v>
      </c>
      <c r="B14417" s="192" t="s">
        <v>2012</v>
      </c>
      <c r="C14417" s="196">
        <v>1160000</v>
      </c>
      <c r="D14417" s="196">
        <v>0</v>
      </c>
      <c r="E14417" s="196">
        <v>0</v>
      </c>
      <c r="F14417" s="196">
        <v>0</v>
      </c>
      <c r="G14417" s="196">
        <v>1160000</v>
      </c>
    </row>
    <row r="14418" spans="1:7" x14ac:dyDescent="0.3">
      <c r="A14418" s="198">
        <v>860001942</v>
      </c>
      <c r="B14418" s="192" t="s">
        <v>1863</v>
      </c>
      <c r="C14418" s="196">
        <v>14117814</v>
      </c>
      <c r="D14418" s="196">
        <v>8870694</v>
      </c>
      <c r="E14418" s="196">
        <v>0</v>
      </c>
      <c r="F14418" s="196">
        <v>8870694</v>
      </c>
      <c r="G14418" s="196">
        <v>22988508</v>
      </c>
    </row>
    <row r="14419" spans="1:7" x14ac:dyDescent="0.3">
      <c r="A14419" s="198">
        <v>901112882</v>
      </c>
      <c r="B14419" s="192" t="s">
        <v>1864</v>
      </c>
      <c r="C14419" s="196">
        <v>20259002</v>
      </c>
      <c r="D14419" s="196">
        <v>8998500</v>
      </c>
      <c r="E14419" s="196">
        <v>0</v>
      </c>
      <c r="F14419" s="196">
        <v>8998500</v>
      </c>
      <c r="G14419" s="196">
        <v>29257502</v>
      </c>
    </row>
    <row r="14420" spans="1:7" x14ac:dyDescent="0.3">
      <c r="A14420" s="198">
        <v>890331949</v>
      </c>
      <c r="B14420" s="192" t="s">
        <v>1632</v>
      </c>
      <c r="C14420" s="196">
        <v>14084535</v>
      </c>
      <c r="D14420" s="196">
        <v>3216494</v>
      </c>
      <c r="E14420" s="196">
        <v>0</v>
      </c>
      <c r="F14420" s="196">
        <v>3216494</v>
      </c>
      <c r="G14420" s="196">
        <v>17301029</v>
      </c>
    </row>
    <row r="14421" spans="1:7" x14ac:dyDescent="0.3">
      <c r="A14421" s="198">
        <v>811042584</v>
      </c>
      <c r="B14421" s="192" t="s">
        <v>1871</v>
      </c>
      <c r="C14421" s="196">
        <v>13954256</v>
      </c>
      <c r="D14421" s="196">
        <v>2417300</v>
      </c>
      <c r="E14421" s="196">
        <v>0</v>
      </c>
      <c r="F14421" s="196">
        <v>2417300</v>
      </c>
      <c r="G14421" s="196">
        <v>16371556</v>
      </c>
    </row>
    <row r="14422" spans="1:7" x14ac:dyDescent="0.3">
      <c r="A14422" s="198">
        <v>1037583982</v>
      </c>
      <c r="B14422" s="192" t="s">
        <v>1798</v>
      </c>
      <c r="C14422" s="196">
        <v>0</v>
      </c>
      <c r="D14422" s="196">
        <v>35000</v>
      </c>
      <c r="E14422" s="196">
        <v>0</v>
      </c>
      <c r="F14422" s="196">
        <v>35000</v>
      </c>
      <c r="G14422" s="196">
        <v>35000</v>
      </c>
    </row>
    <row r="14423" spans="1:7" x14ac:dyDescent="0.3">
      <c r="A14423" s="198">
        <v>901289894</v>
      </c>
      <c r="B14423" s="192" t="s">
        <v>7670</v>
      </c>
      <c r="C14423" s="196">
        <v>365000</v>
      </c>
      <c r="D14423" s="196">
        <v>0</v>
      </c>
      <c r="E14423" s="196">
        <v>0</v>
      </c>
      <c r="F14423" s="196">
        <v>0</v>
      </c>
      <c r="G14423" s="196">
        <v>365000</v>
      </c>
    </row>
    <row r="14424" spans="1:7" x14ac:dyDescent="0.3">
      <c r="A14424" s="198">
        <v>811000620</v>
      </c>
      <c r="B14424" s="192" t="s">
        <v>1875</v>
      </c>
      <c r="C14424" s="196">
        <v>177358418.13999999</v>
      </c>
      <c r="D14424" s="196">
        <v>1329047.33</v>
      </c>
      <c r="E14424" s="196">
        <v>0</v>
      </c>
      <c r="F14424" s="196">
        <v>1329047.33</v>
      </c>
      <c r="G14424" s="196">
        <v>178687465.47</v>
      </c>
    </row>
    <row r="14425" spans="1:7" x14ac:dyDescent="0.3">
      <c r="A14425" s="198">
        <v>811028725</v>
      </c>
      <c r="B14425" s="192" t="s">
        <v>7671</v>
      </c>
      <c r="C14425" s="196">
        <v>50854</v>
      </c>
      <c r="D14425" s="196">
        <v>0</v>
      </c>
      <c r="E14425" s="196">
        <v>0</v>
      </c>
      <c r="F14425" s="196">
        <v>0</v>
      </c>
      <c r="G14425" s="196">
        <v>50854</v>
      </c>
    </row>
    <row r="14426" spans="1:7" x14ac:dyDescent="0.3">
      <c r="A14426" s="198">
        <v>800213511</v>
      </c>
      <c r="B14426" s="192" t="s">
        <v>1884</v>
      </c>
      <c r="C14426" s="196">
        <v>3520000</v>
      </c>
      <c r="D14426" s="196">
        <v>2460000</v>
      </c>
      <c r="E14426" s="196">
        <v>0</v>
      </c>
      <c r="F14426" s="196">
        <v>2460000</v>
      </c>
      <c r="G14426" s="196">
        <v>5980000</v>
      </c>
    </row>
    <row r="14427" spans="1:7" x14ac:dyDescent="0.3">
      <c r="A14427" s="198">
        <v>901504270</v>
      </c>
      <c r="B14427" s="192" t="s">
        <v>1885</v>
      </c>
      <c r="C14427" s="196">
        <v>40260718.479999997</v>
      </c>
      <c r="D14427" s="196">
        <v>5694420</v>
      </c>
      <c r="E14427" s="196">
        <v>0</v>
      </c>
      <c r="F14427" s="196">
        <v>5694420</v>
      </c>
      <c r="G14427" s="196">
        <v>45955138.479999997</v>
      </c>
    </row>
    <row r="14428" spans="1:7" x14ac:dyDescent="0.3">
      <c r="A14428" s="198">
        <v>830129327</v>
      </c>
      <c r="B14428" s="192" t="s">
        <v>7672</v>
      </c>
      <c r="C14428" s="196">
        <v>61950</v>
      </c>
      <c r="D14428" s="196">
        <v>0</v>
      </c>
      <c r="E14428" s="196">
        <v>0</v>
      </c>
      <c r="F14428" s="196">
        <v>0</v>
      </c>
      <c r="G14428" s="196">
        <v>61950</v>
      </c>
    </row>
    <row r="14429" spans="1:7" x14ac:dyDescent="0.3">
      <c r="A14429" s="198">
        <v>43431863</v>
      </c>
      <c r="B14429" s="192" t="s">
        <v>1891</v>
      </c>
      <c r="C14429" s="196">
        <v>0</v>
      </c>
      <c r="D14429" s="196">
        <v>765000</v>
      </c>
      <c r="E14429" s="196">
        <v>0</v>
      </c>
      <c r="F14429" s="196">
        <v>765000</v>
      </c>
      <c r="G14429" s="196">
        <v>765000</v>
      </c>
    </row>
    <row r="14430" spans="1:7" x14ac:dyDescent="0.3">
      <c r="A14430" s="198">
        <v>901414564</v>
      </c>
      <c r="B14430" s="192" t="s">
        <v>1642</v>
      </c>
      <c r="C14430" s="196">
        <v>2933428</v>
      </c>
      <c r="D14430" s="196">
        <v>680320</v>
      </c>
      <c r="E14430" s="196">
        <v>0</v>
      </c>
      <c r="F14430" s="196">
        <v>680320</v>
      </c>
      <c r="G14430" s="196">
        <v>3613748</v>
      </c>
    </row>
    <row r="14431" spans="1:7" x14ac:dyDescent="0.3">
      <c r="A14431" s="198">
        <v>900516123</v>
      </c>
      <c r="B14431" s="192" t="s">
        <v>1902</v>
      </c>
      <c r="C14431" s="196">
        <v>43732635.890000001</v>
      </c>
      <c r="D14431" s="196">
        <v>8375236.2300000004</v>
      </c>
      <c r="E14431" s="196">
        <v>49469</v>
      </c>
      <c r="F14431" s="196">
        <v>8325767.2300000004</v>
      </c>
      <c r="G14431" s="196">
        <v>52058403.119999997</v>
      </c>
    </row>
    <row r="14432" spans="1:7" x14ac:dyDescent="0.3">
      <c r="A14432" s="198">
        <v>860019041</v>
      </c>
      <c r="B14432" s="192" t="s">
        <v>1647</v>
      </c>
      <c r="C14432" s="196">
        <v>79114000</v>
      </c>
      <c r="D14432" s="196">
        <v>8175000</v>
      </c>
      <c r="E14432" s="196">
        <v>0</v>
      </c>
      <c r="F14432" s="196">
        <v>8175000</v>
      </c>
      <c r="G14432" s="196">
        <v>87289000</v>
      </c>
    </row>
    <row r="14433" spans="1:7" x14ac:dyDescent="0.3">
      <c r="A14433" s="198">
        <v>900551636</v>
      </c>
      <c r="B14433" s="192" t="s">
        <v>1915</v>
      </c>
      <c r="C14433" s="196">
        <v>2.38</v>
      </c>
      <c r="D14433" s="196">
        <v>0</v>
      </c>
      <c r="E14433" s="196">
        <v>0</v>
      </c>
      <c r="F14433" s="196">
        <v>0</v>
      </c>
      <c r="G14433" s="196">
        <v>2.38</v>
      </c>
    </row>
    <row r="14434" spans="1:7" x14ac:dyDescent="0.3">
      <c r="A14434" s="198">
        <v>890940259</v>
      </c>
      <c r="B14434" s="192" t="s">
        <v>1648</v>
      </c>
      <c r="C14434" s="196">
        <v>23469001</v>
      </c>
      <c r="D14434" s="196">
        <v>9168000</v>
      </c>
      <c r="E14434" s="196">
        <v>1855256</v>
      </c>
      <c r="F14434" s="196">
        <v>7312744</v>
      </c>
      <c r="G14434" s="196">
        <v>30781745</v>
      </c>
    </row>
    <row r="14435" spans="1:7" x14ac:dyDescent="0.3">
      <c r="A14435" s="198">
        <v>802017441</v>
      </c>
      <c r="B14435" s="192" t="s">
        <v>1918</v>
      </c>
      <c r="C14435" s="196">
        <v>1496000</v>
      </c>
      <c r="D14435" s="196">
        <v>0</v>
      </c>
      <c r="E14435" s="196">
        <v>0</v>
      </c>
      <c r="F14435" s="196">
        <v>0</v>
      </c>
      <c r="G14435" s="196">
        <v>1496000</v>
      </c>
    </row>
    <row r="14436" spans="1:7" x14ac:dyDescent="0.3">
      <c r="A14436" s="198">
        <v>901707512</v>
      </c>
      <c r="B14436" s="192" t="s">
        <v>1925</v>
      </c>
      <c r="C14436" s="196">
        <v>14553000</v>
      </c>
      <c r="D14436" s="196">
        <v>1123000</v>
      </c>
      <c r="E14436" s="196">
        <v>0</v>
      </c>
      <c r="F14436" s="196">
        <v>1123000</v>
      </c>
      <c r="G14436" s="196">
        <v>15676000</v>
      </c>
    </row>
    <row r="14437" spans="1:7" x14ac:dyDescent="0.3">
      <c r="A14437" s="198">
        <v>71703610</v>
      </c>
      <c r="B14437" s="192" t="s">
        <v>1651</v>
      </c>
      <c r="C14437" s="196">
        <v>2144000</v>
      </c>
      <c r="D14437" s="196">
        <v>0</v>
      </c>
      <c r="E14437" s="196">
        <v>0</v>
      </c>
      <c r="F14437" s="196">
        <v>0</v>
      </c>
      <c r="G14437" s="196">
        <v>2144000</v>
      </c>
    </row>
    <row r="14438" spans="1:7" x14ac:dyDescent="0.3">
      <c r="A14438" s="198">
        <v>94301641</v>
      </c>
      <c r="B14438" s="192" t="s">
        <v>2014</v>
      </c>
      <c r="C14438" s="196">
        <v>900000</v>
      </c>
      <c r="D14438" s="196">
        <v>0</v>
      </c>
      <c r="E14438" s="196">
        <v>0</v>
      </c>
      <c r="F14438" s="196">
        <v>0</v>
      </c>
      <c r="G14438" s="196">
        <v>900000</v>
      </c>
    </row>
    <row r="14439" spans="1:7" x14ac:dyDescent="0.3">
      <c r="A14439" s="198">
        <v>830142523</v>
      </c>
      <c r="B14439" s="192" t="s">
        <v>1653</v>
      </c>
      <c r="C14439" s="196">
        <v>940108</v>
      </c>
      <c r="D14439" s="196">
        <v>267588</v>
      </c>
      <c r="E14439" s="196">
        <v>0</v>
      </c>
      <c r="F14439" s="196">
        <v>267588</v>
      </c>
      <c r="G14439" s="196">
        <v>1207696</v>
      </c>
    </row>
    <row r="14440" spans="1:7" x14ac:dyDescent="0.3">
      <c r="A14440" s="198">
        <v>860005114</v>
      </c>
      <c r="B14440" s="192" t="s">
        <v>1656</v>
      </c>
      <c r="C14440" s="196">
        <v>4223017.8</v>
      </c>
      <c r="D14440" s="196">
        <v>800256</v>
      </c>
      <c r="E14440" s="196">
        <v>0</v>
      </c>
      <c r="F14440" s="196">
        <v>800256</v>
      </c>
      <c r="G14440" s="196">
        <v>5023273.8</v>
      </c>
    </row>
    <row r="14441" spans="1:7" x14ac:dyDescent="0.3">
      <c r="A14441" s="198">
        <v>860527744</v>
      </c>
      <c r="B14441" s="192" t="s">
        <v>1659</v>
      </c>
      <c r="C14441" s="196">
        <v>2185760</v>
      </c>
      <c r="D14441" s="196">
        <v>464550</v>
      </c>
      <c r="E14441" s="196">
        <v>0</v>
      </c>
      <c r="F14441" s="196">
        <v>464550</v>
      </c>
      <c r="G14441" s="196">
        <v>2650310</v>
      </c>
    </row>
    <row r="14442" spans="1:7" x14ac:dyDescent="0.3">
      <c r="A14442" s="198">
        <v>900135828</v>
      </c>
      <c r="B14442" s="192" t="s">
        <v>1939</v>
      </c>
      <c r="C14442" s="196">
        <v>1103190</v>
      </c>
      <c r="D14442" s="196">
        <v>448500</v>
      </c>
      <c r="E14442" s="196">
        <v>0</v>
      </c>
      <c r="F14442" s="196">
        <v>448500</v>
      </c>
      <c r="G14442" s="196">
        <v>1551690</v>
      </c>
    </row>
    <row r="14443" spans="1:7" x14ac:dyDescent="0.3">
      <c r="A14443" s="198">
        <v>830062565</v>
      </c>
      <c r="B14443" s="192" t="s">
        <v>1771</v>
      </c>
      <c r="C14443" s="196">
        <v>1500000</v>
      </c>
      <c r="D14443" s="196">
        <v>2475000</v>
      </c>
      <c r="E14443" s="196">
        <v>0</v>
      </c>
      <c r="F14443" s="196">
        <v>2475000</v>
      </c>
      <c r="G14443" s="196">
        <v>3975000</v>
      </c>
    </row>
    <row r="14444" spans="1:7" x14ac:dyDescent="0.3">
      <c r="A14444" s="198">
        <v>811015697</v>
      </c>
      <c r="B14444" s="192" t="s">
        <v>2015</v>
      </c>
      <c r="C14444" s="196">
        <v>1655000</v>
      </c>
      <c r="D14444" s="196">
        <v>0</v>
      </c>
      <c r="E14444" s="196">
        <v>0</v>
      </c>
      <c r="F14444" s="196">
        <v>0</v>
      </c>
      <c r="G14444" s="196">
        <v>1655000</v>
      </c>
    </row>
    <row r="14445" spans="1:7" x14ac:dyDescent="0.3">
      <c r="A14445" s="198">
        <v>830011469</v>
      </c>
      <c r="B14445" s="192" t="s">
        <v>1943</v>
      </c>
      <c r="C14445" s="196">
        <v>9748000</v>
      </c>
      <c r="D14445" s="196">
        <v>3193000</v>
      </c>
      <c r="E14445" s="196">
        <v>0</v>
      </c>
      <c r="F14445" s="196">
        <v>3193000</v>
      </c>
      <c r="G14445" s="196">
        <v>12941000</v>
      </c>
    </row>
    <row r="14446" spans="1:7" x14ac:dyDescent="0.3">
      <c r="A14446" s="198">
        <v>830110109</v>
      </c>
      <c r="B14446" s="192" t="s">
        <v>1948</v>
      </c>
      <c r="C14446" s="196">
        <v>47909635.119999997</v>
      </c>
      <c r="D14446" s="196">
        <v>0</v>
      </c>
      <c r="E14446" s="196">
        <v>0</v>
      </c>
      <c r="F14446" s="196">
        <v>0</v>
      </c>
      <c r="G14446" s="196">
        <v>47909635.119999997</v>
      </c>
    </row>
    <row r="14447" spans="1:7" x14ac:dyDescent="0.3">
      <c r="A14447" s="198">
        <v>800245448</v>
      </c>
      <c r="B14447" s="192" t="s">
        <v>2276</v>
      </c>
      <c r="C14447" s="196">
        <v>14000</v>
      </c>
      <c r="D14447" s="196">
        <v>0</v>
      </c>
      <c r="E14447" s="196">
        <v>0</v>
      </c>
      <c r="F14447" s="196">
        <v>0</v>
      </c>
      <c r="G14447" s="196">
        <v>14000</v>
      </c>
    </row>
    <row r="14448" spans="1:7" x14ac:dyDescent="0.3">
      <c r="A14448" s="198">
        <v>900839961</v>
      </c>
      <c r="B14448" s="192" t="s">
        <v>7527</v>
      </c>
      <c r="C14448" s="196">
        <v>279120</v>
      </c>
      <c r="D14448" s="196">
        <v>0</v>
      </c>
      <c r="E14448" s="196">
        <v>0</v>
      </c>
      <c r="F14448" s="196">
        <v>0</v>
      </c>
      <c r="G14448" s="196">
        <v>279120</v>
      </c>
    </row>
    <row r="14449" spans="1:7" x14ac:dyDescent="0.3">
      <c r="A14449" s="198">
        <v>900618986</v>
      </c>
      <c r="B14449" s="192" t="s">
        <v>7673</v>
      </c>
      <c r="C14449" s="196">
        <v>604000</v>
      </c>
      <c r="D14449" s="196">
        <v>0</v>
      </c>
      <c r="E14449" s="196">
        <v>0</v>
      </c>
      <c r="F14449" s="196">
        <v>0</v>
      </c>
      <c r="G14449" s="196">
        <v>604000</v>
      </c>
    </row>
    <row r="14450" spans="1:7" x14ac:dyDescent="0.3">
      <c r="A14450" s="198">
        <v>900689727</v>
      </c>
      <c r="B14450" s="192" t="s">
        <v>1953</v>
      </c>
      <c r="C14450" s="196">
        <v>26904849</v>
      </c>
      <c r="D14450" s="196">
        <v>4230038</v>
      </c>
      <c r="E14450" s="196">
        <v>0</v>
      </c>
      <c r="F14450" s="196">
        <v>4230038</v>
      </c>
      <c r="G14450" s="196">
        <v>31134887</v>
      </c>
    </row>
    <row r="14451" spans="1:7" x14ac:dyDescent="0.3">
      <c r="A14451" s="198">
        <v>811028445</v>
      </c>
      <c r="B14451" s="192" t="s">
        <v>1954</v>
      </c>
      <c r="C14451" s="196">
        <v>85008592</v>
      </c>
      <c r="D14451" s="196">
        <v>28619349</v>
      </c>
      <c r="E14451" s="196">
        <v>8580150</v>
      </c>
      <c r="F14451" s="196">
        <v>20039199</v>
      </c>
      <c r="G14451" s="196">
        <v>105047791</v>
      </c>
    </row>
    <row r="14452" spans="1:7" x14ac:dyDescent="0.3">
      <c r="A14452" s="198">
        <v>900895205</v>
      </c>
      <c r="B14452" s="192" t="s">
        <v>1665</v>
      </c>
      <c r="C14452" s="196">
        <v>2000019</v>
      </c>
      <c r="D14452" s="196">
        <v>0</v>
      </c>
      <c r="E14452" s="196">
        <v>0</v>
      </c>
      <c r="F14452" s="196">
        <v>0</v>
      </c>
      <c r="G14452" s="196">
        <v>2000019</v>
      </c>
    </row>
    <row r="14453" spans="1:7" x14ac:dyDescent="0.3">
      <c r="A14453" s="198">
        <v>890929073</v>
      </c>
      <c r="B14453" s="192" t="s">
        <v>1666</v>
      </c>
      <c r="C14453" s="196">
        <v>821742</v>
      </c>
      <c r="D14453" s="196">
        <v>7700</v>
      </c>
      <c r="E14453" s="196">
        <v>0</v>
      </c>
      <c r="F14453" s="196">
        <v>7700</v>
      </c>
      <c r="G14453" s="196">
        <v>829442</v>
      </c>
    </row>
    <row r="14454" spans="1:7" x14ac:dyDescent="0.3">
      <c r="A14454" s="198">
        <v>900494362</v>
      </c>
      <c r="B14454" s="192" t="s">
        <v>1672</v>
      </c>
      <c r="C14454" s="196">
        <v>1708500</v>
      </c>
      <c r="D14454" s="196">
        <v>1279300</v>
      </c>
      <c r="E14454" s="196">
        <v>0</v>
      </c>
      <c r="F14454" s="196">
        <v>1279300</v>
      </c>
      <c r="G14454" s="196">
        <v>2987800</v>
      </c>
    </row>
    <row r="14455" spans="1:7" x14ac:dyDescent="0.3">
      <c r="A14455" s="198">
        <v>900505356</v>
      </c>
      <c r="B14455" s="192" t="s">
        <v>1968</v>
      </c>
      <c r="C14455" s="196">
        <v>33321000</v>
      </c>
      <c r="D14455" s="196">
        <v>0</v>
      </c>
      <c r="E14455" s="196">
        <v>0</v>
      </c>
      <c r="F14455" s="196">
        <v>0</v>
      </c>
      <c r="G14455" s="196">
        <v>33321000</v>
      </c>
    </row>
    <row r="14456" spans="1:7" x14ac:dyDescent="0.3">
      <c r="A14456" s="198">
        <v>62451006</v>
      </c>
      <c r="B14456" s="192" t="s">
        <v>7674</v>
      </c>
      <c r="C14456" s="196">
        <v>6662704</v>
      </c>
      <c r="D14456" s="196">
        <v>798600</v>
      </c>
      <c r="E14456" s="196">
        <v>0</v>
      </c>
      <c r="F14456" s="196">
        <v>798600</v>
      </c>
      <c r="G14456" s="196">
        <v>7461304</v>
      </c>
    </row>
    <row r="14457" spans="1:7" x14ac:dyDescent="0.3">
      <c r="A14457" s="198">
        <v>901054145</v>
      </c>
      <c r="B14457" s="192" t="s">
        <v>1622</v>
      </c>
      <c r="C14457" s="196">
        <v>6662704</v>
      </c>
      <c r="D14457" s="196">
        <v>798600</v>
      </c>
      <c r="E14457" s="196">
        <v>0</v>
      </c>
      <c r="F14457" s="196">
        <v>798600</v>
      </c>
      <c r="G14457" s="196">
        <v>7461304</v>
      </c>
    </row>
    <row r="14458" spans="1:7" x14ac:dyDescent="0.3">
      <c r="A14458" s="198">
        <v>62451009</v>
      </c>
      <c r="B14458" s="192" t="s">
        <v>7400</v>
      </c>
      <c r="C14458" s="196">
        <v>1021258746</v>
      </c>
      <c r="D14458" s="196">
        <v>215141700</v>
      </c>
      <c r="E14458" s="196">
        <v>3127000</v>
      </c>
      <c r="F14458" s="196">
        <v>212014700</v>
      </c>
      <c r="G14458" s="196">
        <v>1233273446</v>
      </c>
    </row>
    <row r="14459" spans="1:7" x14ac:dyDescent="0.3">
      <c r="A14459" s="198">
        <v>830103910</v>
      </c>
      <c r="B14459" s="192" t="s">
        <v>1859</v>
      </c>
      <c r="C14459" s="196">
        <v>221987500</v>
      </c>
      <c r="D14459" s="196">
        <v>63877500</v>
      </c>
      <c r="E14459" s="196">
        <v>0</v>
      </c>
      <c r="F14459" s="196">
        <v>63877500</v>
      </c>
      <c r="G14459" s="196">
        <v>285865000</v>
      </c>
    </row>
    <row r="14460" spans="1:7" x14ac:dyDescent="0.3">
      <c r="A14460" s="198">
        <v>901112882</v>
      </c>
      <c r="B14460" s="192" t="s">
        <v>1864</v>
      </c>
      <c r="C14460" s="196">
        <v>1008000</v>
      </c>
      <c r="D14460" s="196">
        <v>0</v>
      </c>
      <c r="E14460" s="196">
        <v>0</v>
      </c>
      <c r="F14460" s="196">
        <v>0</v>
      </c>
      <c r="G14460" s="196">
        <v>1008000</v>
      </c>
    </row>
    <row r="14461" spans="1:7" x14ac:dyDescent="0.3">
      <c r="A14461" s="198">
        <v>860019041</v>
      </c>
      <c r="B14461" s="192" t="s">
        <v>1647</v>
      </c>
      <c r="C14461" s="196">
        <v>628861530</v>
      </c>
      <c r="D14461" s="196">
        <v>100099000</v>
      </c>
      <c r="E14461" s="196">
        <v>0</v>
      </c>
      <c r="F14461" s="196">
        <v>100099000</v>
      </c>
      <c r="G14461" s="196">
        <v>728960530</v>
      </c>
    </row>
    <row r="14462" spans="1:7" x14ac:dyDescent="0.3">
      <c r="A14462" s="198">
        <v>900551636</v>
      </c>
      <c r="B14462" s="192" t="s">
        <v>1915</v>
      </c>
      <c r="C14462" s="196">
        <v>3600000</v>
      </c>
      <c r="D14462" s="196">
        <v>0</v>
      </c>
      <c r="E14462" s="196">
        <v>0</v>
      </c>
      <c r="F14462" s="196">
        <v>0</v>
      </c>
      <c r="G14462" s="196">
        <v>3600000</v>
      </c>
    </row>
    <row r="14463" spans="1:7" x14ac:dyDescent="0.3">
      <c r="A14463" s="198">
        <v>890940259</v>
      </c>
      <c r="B14463" s="192" t="s">
        <v>1648</v>
      </c>
      <c r="C14463" s="196">
        <v>138005714</v>
      </c>
      <c r="D14463" s="196">
        <v>36939200</v>
      </c>
      <c r="E14463" s="196">
        <v>0</v>
      </c>
      <c r="F14463" s="196">
        <v>36939200</v>
      </c>
      <c r="G14463" s="196">
        <v>174944914</v>
      </c>
    </row>
    <row r="14464" spans="1:7" x14ac:dyDescent="0.3">
      <c r="A14464" s="198">
        <v>802017441</v>
      </c>
      <c r="B14464" s="192" t="s">
        <v>1918</v>
      </c>
      <c r="C14464" s="196">
        <v>26291002</v>
      </c>
      <c r="D14464" s="196">
        <v>11216000</v>
      </c>
      <c r="E14464" s="196">
        <v>3127000</v>
      </c>
      <c r="F14464" s="196">
        <v>8089000</v>
      </c>
      <c r="G14464" s="196">
        <v>34380002</v>
      </c>
    </row>
    <row r="14465" spans="1:7" x14ac:dyDescent="0.3">
      <c r="A14465" s="198">
        <v>900505356</v>
      </c>
      <c r="B14465" s="192" t="s">
        <v>1968</v>
      </c>
      <c r="C14465" s="196">
        <v>1505000</v>
      </c>
      <c r="D14465" s="196">
        <v>3010000</v>
      </c>
      <c r="E14465" s="196">
        <v>0</v>
      </c>
      <c r="F14465" s="196">
        <v>3010000</v>
      </c>
      <c r="G14465" s="196">
        <v>4515000</v>
      </c>
    </row>
    <row r="14466" spans="1:7" x14ac:dyDescent="0.3">
      <c r="A14466" s="198">
        <v>62451098</v>
      </c>
      <c r="B14466" s="192" t="s">
        <v>7675</v>
      </c>
      <c r="C14466" s="196">
        <v>40395511.380000003</v>
      </c>
      <c r="D14466" s="196">
        <v>11340043.24</v>
      </c>
      <c r="E14466" s="196">
        <v>447716.09</v>
      </c>
      <c r="F14466" s="196">
        <v>10892327.15</v>
      </c>
      <c r="G14466" s="196">
        <v>51287838.530000001</v>
      </c>
    </row>
    <row r="14467" spans="1:7" x14ac:dyDescent="0.3">
      <c r="A14467" s="198">
        <v>901092093</v>
      </c>
      <c r="B14467" s="192" t="s">
        <v>2011</v>
      </c>
      <c r="C14467" s="196">
        <v>159663.87</v>
      </c>
      <c r="D14467" s="196">
        <v>0</v>
      </c>
      <c r="E14467" s="196">
        <v>0</v>
      </c>
      <c r="F14467" s="196">
        <v>0</v>
      </c>
      <c r="G14467" s="196">
        <v>159663.87</v>
      </c>
    </row>
    <row r="14468" spans="1:7" x14ac:dyDescent="0.3">
      <c r="A14468" s="198">
        <v>830064049</v>
      </c>
      <c r="B14468" s="192" t="s">
        <v>1858</v>
      </c>
      <c r="C14468" s="196">
        <v>6302379.7999999998</v>
      </c>
      <c r="D14468" s="196">
        <v>3591000</v>
      </c>
      <c r="E14468" s="196">
        <v>0</v>
      </c>
      <c r="F14468" s="196">
        <v>3591000</v>
      </c>
      <c r="G14468" s="196">
        <v>9893379.8000000007</v>
      </c>
    </row>
    <row r="14469" spans="1:7" x14ac:dyDescent="0.3">
      <c r="A14469" s="198">
        <v>900538591</v>
      </c>
      <c r="B14469" s="192" t="s">
        <v>7647</v>
      </c>
      <c r="C14469" s="196">
        <v>19143.64</v>
      </c>
      <c r="D14469" s="196">
        <v>0</v>
      </c>
      <c r="E14469" s="196">
        <v>0</v>
      </c>
      <c r="F14469" s="196">
        <v>0</v>
      </c>
      <c r="G14469" s="196">
        <v>19143.64</v>
      </c>
    </row>
    <row r="14470" spans="1:7" x14ac:dyDescent="0.3">
      <c r="A14470" s="198">
        <v>800158193</v>
      </c>
      <c r="B14470" s="192" t="s">
        <v>1628</v>
      </c>
      <c r="C14470" s="196">
        <v>543489.43000000005</v>
      </c>
      <c r="D14470" s="196">
        <v>243873.36</v>
      </c>
      <c r="E14470" s="196">
        <v>0</v>
      </c>
      <c r="F14470" s="196">
        <v>243873.36</v>
      </c>
      <c r="G14470" s="196">
        <v>787362.79</v>
      </c>
    </row>
    <row r="14471" spans="1:7" x14ac:dyDescent="0.3">
      <c r="A14471" s="198">
        <v>900740595</v>
      </c>
      <c r="B14471" s="192" t="s">
        <v>1630</v>
      </c>
      <c r="C14471" s="196">
        <v>380000.06</v>
      </c>
      <c r="D14471" s="196">
        <v>108571.44</v>
      </c>
      <c r="E14471" s="196">
        <v>0</v>
      </c>
      <c r="F14471" s="196">
        <v>108571.44</v>
      </c>
      <c r="G14471" s="196">
        <v>488571.5</v>
      </c>
    </row>
    <row r="14472" spans="1:7" x14ac:dyDescent="0.3">
      <c r="A14472" s="198">
        <v>901112882</v>
      </c>
      <c r="B14472" s="192" t="s">
        <v>1864</v>
      </c>
      <c r="C14472" s="196">
        <v>75525</v>
      </c>
      <c r="D14472" s="196">
        <v>0</v>
      </c>
      <c r="E14472" s="196">
        <v>0</v>
      </c>
      <c r="F14472" s="196">
        <v>0</v>
      </c>
      <c r="G14472" s="196">
        <v>75525</v>
      </c>
    </row>
    <row r="14473" spans="1:7" x14ac:dyDescent="0.3">
      <c r="A14473" s="198">
        <v>811042584</v>
      </c>
      <c r="B14473" s="192" t="s">
        <v>1871</v>
      </c>
      <c r="C14473" s="196">
        <v>-67924.81</v>
      </c>
      <c r="D14473" s="196">
        <v>14060</v>
      </c>
      <c r="E14473" s="196">
        <v>0</v>
      </c>
      <c r="F14473" s="196">
        <v>14060</v>
      </c>
      <c r="G14473" s="196">
        <v>-53864.81</v>
      </c>
    </row>
    <row r="14474" spans="1:7" x14ac:dyDescent="0.3">
      <c r="A14474" s="198">
        <v>890941663</v>
      </c>
      <c r="B14474" s="192" t="s">
        <v>1879</v>
      </c>
      <c r="C14474" s="196">
        <v>1596.95</v>
      </c>
      <c r="D14474" s="196">
        <v>0</v>
      </c>
      <c r="E14474" s="196">
        <v>0</v>
      </c>
      <c r="F14474" s="196">
        <v>0</v>
      </c>
      <c r="G14474" s="196">
        <v>1596.95</v>
      </c>
    </row>
    <row r="14475" spans="1:7" x14ac:dyDescent="0.3">
      <c r="A14475" s="198">
        <v>800131750</v>
      </c>
      <c r="B14475" s="192" t="s">
        <v>1639</v>
      </c>
      <c r="C14475" s="196">
        <v>34756.32</v>
      </c>
      <c r="D14475" s="196">
        <v>17378.16</v>
      </c>
      <c r="E14475" s="196">
        <v>0</v>
      </c>
      <c r="F14475" s="196">
        <v>17378.16</v>
      </c>
      <c r="G14475" s="196">
        <v>52134.48</v>
      </c>
    </row>
    <row r="14476" spans="1:7" x14ac:dyDescent="0.3">
      <c r="A14476" s="198">
        <v>901007452</v>
      </c>
      <c r="B14476" s="192" t="s">
        <v>2013</v>
      </c>
      <c r="C14476" s="196">
        <v>469300</v>
      </c>
      <c r="D14476" s="196">
        <v>0</v>
      </c>
      <c r="E14476" s="196">
        <v>0</v>
      </c>
      <c r="F14476" s="196">
        <v>0</v>
      </c>
      <c r="G14476" s="196">
        <v>469300</v>
      </c>
    </row>
    <row r="14477" spans="1:7" x14ac:dyDescent="0.3">
      <c r="A14477" s="198">
        <v>900467517</v>
      </c>
      <c r="B14477" s="192" t="s">
        <v>1640</v>
      </c>
      <c r="C14477" s="196">
        <v>1064000</v>
      </c>
      <c r="D14477" s="196">
        <v>1596000</v>
      </c>
      <c r="E14477" s="196">
        <v>0</v>
      </c>
      <c r="F14477" s="196">
        <v>1596000</v>
      </c>
      <c r="G14477" s="196">
        <v>2660000</v>
      </c>
    </row>
    <row r="14478" spans="1:7" x14ac:dyDescent="0.3">
      <c r="A14478" s="198">
        <v>901414564</v>
      </c>
      <c r="B14478" s="192" t="s">
        <v>1642</v>
      </c>
      <c r="C14478" s="196">
        <v>334875</v>
      </c>
      <c r="D14478" s="196">
        <v>112404</v>
      </c>
      <c r="E14478" s="196">
        <v>0</v>
      </c>
      <c r="F14478" s="196">
        <v>112404</v>
      </c>
      <c r="G14478" s="196">
        <v>447279</v>
      </c>
    </row>
    <row r="14479" spans="1:7" x14ac:dyDescent="0.3">
      <c r="A14479" s="198">
        <v>901776715</v>
      </c>
      <c r="B14479" s="192" t="s">
        <v>7668</v>
      </c>
      <c r="C14479" s="196">
        <v>225921.98</v>
      </c>
      <c r="D14479" s="196">
        <v>0</v>
      </c>
      <c r="E14479" s="196">
        <v>0</v>
      </c>
      <c r="F14479" s="196">
        <v>0</v>
      </c>
      <c r="G14479" s="196">
        <v>225921.98</v>
      </c>
    </row>
    <row r="14480" spans="1:7" x14ac:dyDescent="0.3">
      <c r="A14480" s="198">
        <v>900516123</v>
      </c>
      <c r="B14480" s="192" t="s">
        <v>1902</v>
      </c>
      <c r="C14480" s="196">
        <v>12474.63</v>
      </c>
      <c r="D14480" s="196">
        <v>19090.060000000001</v>
      </c>
      <c r="E14480" s="196">
        <v>7942.47</v>
      </c>
      <c r="F14480" s="196">
        <v>11147.59</v>
      </c>
      <c r="G14480" s="196">
        <v>23622.22</v>
      </c>
    </row>
    <row r="14481" spans="1:7" x14ac:dyDescent="0.3">
      <c r="A14481" s="198">
        <v>860019041</v>
      </c>
      <c r="B14481" s="192" t="s">
        <v>1647</v>
      </c>
      <c r="C14481" s="196">
        <v>15753470</v>
      </c>
      <c r="D14481" s="196">
        <v>2414900</v>
      </c>
      <c r="E14481" s="196">
        <v>0</v>
      </c>
      <c r="F14481" s="196">
        <v>2414900</v>
      </c>
      <c r="G14481" s="196">
        <v>18168370</v>
      </c>
    </row>
    <row r="14482" spans="1:7" x14ac:dyDescent="0.3">
      <c r="A14482" s="198">
        <v>890940259</v>
      </c>
      <c r="B14482" s="192" t="s">
        <v>1648</v>
      </c>
      <c r="C14482" s="196">
        <v>1405042.82</v>
      </c>
      <c r="D14482" s="196">
        <v>87400</v>
      </c>
      <c r="E14482" s="196">
        <v>0</v>
      </c>
      <c r="F14482" s="196">
        <v>87400</v>
      </c>
      <c r="G14482" s="196">
        <v>1492442.82</v>
      </c>
    </row>
    <row r="14483" spans="1:7" x14ac:dyDescent="0.3">
      <c r="A14483" s="198">
        <v>802017441</v>
      </c>
      <c r="B14483" s="192" t="s">
        <v>1918</v>
      </c>
      <c r="C14483" s="196">
        <v>222300</v>
      </c>
      <c r="D14483" s="196">
        <v>0</v>
      </c>
      <c r="E14483" s="196">
        <v>0</v>
      </c>
      <c r="F14483" s="196">
        <v>0</v>
      </c>
      <c r="G14483" s="196">
        <v>222300</v>
      </c>
    </row>
    <row r="14484" spans="1:7" x14ac:dyDescent="0.3">
      <c r="A14484" s="198">
        <v>830142523</v>
      </c>
      <c r="B14484" s="192" t="s">
        <v>1653</v>
      </c>
      <c r="C14484" s="196">
        <v>447488.76</v>
      </c>
      <c r="D14484" s="196">
        <v>30701.34</v>
      </c>
      <c r="E14484" s="196">
        <v>0</v>
      </c>
      <c r="F14484" s="196">
        <v>30701.34</v>
      </c>
      <c r="G14484" s="196">
        <v>478190.1</v>
      </c>
    </row>
    <row r="14485" spans="1:7" x14ac:dyDescent="0.3">
      <c r="A14485" s="198">
        <v>860002130</v>
      </c>
      <c r="B14485" s="192" t="s">
        <v>1934</v>
      </c>
      <c r="C14485" s="196">
        <v>11214.3</v>
      </c>
      <c r="D14485" s="196">
        <v>0</v>
      </c>
      <c r="E14485" s="196">
        <v>0</v>
      </c>
      <c r="F14485" s="196">
        <v>0</v>
      </c>
      <c r="G14485" s="196">
        <v>11214.3</v>
      </c>
    </row>
    <row r="14486" spans="1:7" x14ac:dyDescent="0.3">
      <c r="A14486" s="198">
        <v>901578799</v>
      </c>
      <c r="B14486" s="192" t="s">
        <v>1658</v>
      </c>
      <c r="C14486" s="196">
        <v>1995190</v>
      </c>
      <c r="D14486" s="196">
        <v>81700</v>
      </c>
      <c r="E14486" s="196">
        <v>81700</v>
      </c>
      <c r="F14486" s="196">
        <v>0</v>
      </c>
      <c r="G14486" s="196">
        <v>1995190</v>
      </c>
    </row>
    <row r="14487" spans="1:7" x14ac:dyDescent="0.3">
      <c r="A14487" s="198">
        <v>900135828</v>
      </c>
      <c r="B14487" s="192" t="s">
        <v>1939</v>
      </c>
      <c r="C14487" s="196">
        <v>1182588.5</v>
      </c>
      <c r="D14487" s="196">
        <v>333222</v>
      </c>
      <c r="E14487" s="196">
        <v>83029.62</v>
      </c>
      <c r="F14487" s="196">
        <v>250192.38</v>
      </c>
      <c r="G14487" s="196">
        <v>1432780.88</v>
      </c>
    </row>
    <row r="14488" spans="1:7" x14ac:dyDescent="0.3">
      <c r="A14488" s="198">
        <v>830062565</v>
      </c>
      <c r="B14488" s="192" t="s">
        <v>1771</v>
      </c>
      <c r="C14488" s="196">
        <v>720708.38</v>
      </c>
      <c r="D14488" s="196">
        <v>0</v>
      </c>
      <c r="E14488" s="196">
        <v>0</v>
      </c>
      <c r="F14488" s="196">
        <v>0</v>
      </c>
      <c r="G14488" s="196">
        <v>720708.38</v>
      </c>
    </row>
    <row r="14489" spans="1:7" x14ac:dyDescent="0.3">
      <c r="A14489" s="198">
        <v>830011469</v>
      </c>
      <c r="B14489" s="192" t="s">
        <v>1943</v>
      </c>
      <c r="C14489" s="196">
        <v>1621650</v>
      </c>
      <c r="D14489" s="196">
        <v>581210</v>
      </c>
      <c r="E14489" s="196">
        <v>0</v>
      </c>
      <c r="F14489" s="196">
        <v>581210</v>
      </c>
      <c r="G14489" s="196">
        <v>2202860</v>
      </c>
    </row>
    <row r="14490" spans="1:7" x14ac:dyDescent="0.3">
      <c r="A14490" s="198">
        <v>830037946</v>
      </c>
      <c r="B14490" s="192" t="s">
        <v>1944</v>
      </c>
      <c r="C14490" s="196">
        <v>40091.589999999997</v>
      </c>
      <c r="D14490" s="196">
        <v>0</v>
      </c>
      <c r="E14490" s="196">
        <v>0</v>
      </c>
      <c r="F14490" s="196">
        <v>0</v>
      </c>
      <c r="G14490" s="196">
        <v>40091.589999999997</v>
      </c>
    </row>
    <row r="14491" spans="1:7" x14ac:dyDescent="0.3">
      <c r="A14491" s="198">
        <v>900066601</v>
      </c>
      <c r="B14491" s="192" t="s">
        <v>1949</v>
      </c>
      <c r="C14491" s="196">
        <v>1993546.5</v>
      </c>
      <c r="D14491" s="196">
        <v>867378.5</v>
      </c>
      <c r="E14491" s="196">
        <v>275044</v>
      </c>
      <c r="F14491" s="196">
        <v>592334.5</v>
      </c>
      <c r="G14491" s="196">
        <v>2585881</v>
      </c>
    </row>
    <row r="14492" spans="1:7" x14ac:dyDescent="0.3">
      <c r="A14492" s="198">
        <v>900689727</v>
      </c>
      <c r="B14492" s="192" t="s">
        <v>1953</v>
      </c>
      <c r="C14492" s="196">
        <v>1637553.62</v>
      </c>
      <c r="D14492" s="196">
        <v>305276.99</v>
      </c>
      <c r="E14492" s="196">
        <v>0</v>
      </c>
      <c r="F14492" s="196">
        <v>305276.99</v>
      </c>
      <c r="G14492" s="196">
        <v>1942830.61</v>
      </c>
    </row>
    <row r="14493" spans="1:7" x14ac:dyDescent="0.3">
      <c r="A14493" s="198">
        <v>900895205</v>
      </c>
      <c r="B14493" s="192" t="s">
        <v>1665</v>
      </c>
      <c r="C14493" s="196">
        <v>859332</v>
      </c>
      <c r="D14493" s="196">
        <v>257260</v>
      </c>
      <c r="E14493" s="196">
        <v>0</v>
      </c>
      <c r="F14493" s="196">
        <v>257260</v>
      </c>
      <c r="G14493" s="196">
        <v>1116592</v>
      </c>
    </row>
    <row r="14494" spans="1:7" x14ac:dyDescent="0.3">
      <c r="A14494" s="198">
        <v>890929073</v>
      </c>
      <c r="B14494" s="192" t="s">
        <v>1666</v>
      </c>
      <c r="C14494" s="196">
        <v>7158.44</v>
      </c>
      <c r="D14494" s="196">
        <v>29928.99</v>
      </c>
      <c r="E14494" s="196">
        <v>0</v>
      </c>
      <c r="F14494" s="196">
        <v>29928.99</v>
      </c>
      <c r="G14494" s="196">
        <v>37087.43</v>
      </c>
    </row>
    <row r="14495" spans="1:7" x14ac:dyDescent="0.3">
      <c r="A14495" s="198">
        <v>900245870</v>
      </c>
      <c r="B14495" s="192" t="s">
        <v>1958</v>
      </c>
      <c r="C14495" s="196">
        <v>1813989.54</v>
      </c>
      <c r="D14495" s="196">
        <v>531734.62</v>
      </c>
      <c r="E14495" s="196">
        <v>0</v>
      </c>
      <c r="F14495" s="196">
        <v>531734.62</v>
      </c>
      <c r="G14495" s="196">
        <v>2345724.16</v>
      </c>
    </row>
    <row r="14496" spans="1:7" x14ac:dyDescent="0.3">
      <c r="A14496" s="198">
        <v>900181068</v>
      </c>
      <c r="B14496" s="192" t="s">
        <v>1961</v>
      </c>
      <c r="C14496" s="196">
        <v>46168.95</v>
      </c>
      <c r="D14496" s="196">
        <v>0</v>
      </c>
      <c r="E14496" s="196">
        <v>0</v>
      </c>
      <c r="F14496" s="196">
        <v>0</v>
      </c>
      <c r="G14496" s="196">
        <v>46168.95</v>
      </c>
    </row>
    <row r="14497" spans="1:7" x14ac:dyDescent="0.3">
      <c r="A14497" s="198">
        <v>900494362</v>
      </c>
      <c r="B14497" s="192" t="s">
        <v>1672</v>
      </c>
      <c r="C14497" s="196">
        <v>1082816.1100000001</v>
      </c>
      <c r="D14497" s="196">
        <v>116953.78</v>
      </c>
      <c r="E14497" s="196">
        <v>0</v>
      </c>
      <c r="F14497" s="196">
        <v>116953.78</v>
      </c>
      <c r="G14497" s="196">
        <v>1199769.8899999999</v>
      </c>
    </row>
    <row r="14498" spans="1:7" x14ac:dyDescent="0.3">
      <c r="A14498" s="197">
        <v>7</v>
      </c>
      <c r="B14498" s="191" t="s">
        <v>7676</v>
      </c>
      <c r="C14498" s="195">
        <v>563626192</v>
      </c>
      <c r="D14498" s="195">
        <v>97177395</v>
      </c>
      <c r="E14498" s="195">
        <v>900</v>
      </c>
      <c r="F14498" s="195">
        <v>97176495</v>
      </c>
      <c r="G14498" s="195">
        <v>660802687</v>
      </c>
    </row>
    <row r="14499" spans="1:7" x14ac:dyDescent="0.3">
      <c r="A14499" s="197">
        <v>72</v>
      </c>
      <c r="B14499" s="191" t="s">
        <v>7677</v>
      </c>
      <c r="C14499" s="195">
        <v>563626192</v>
      </c>
      <c r="D14499" s="195">
        <v>97177395</v>
      </c>
      <c r="E14499" s="195">
        <v>900</v>
      </c>
      <c r="F14499" s="195">
        <v>97176495</v>
      </c>
      <c r="G14499" s="195">
        <v>660802687</v>
      </c>
    </row>
    <row r="14500" spans="1:7" x14ac:dyDescent="0.3">
      <c r="A14500" s="197">
        <v>7205</v>
      </c>
      <c r="B14500" s="191" t="s">
        <v>7442</v>
      </c>
      <c r="C14500" s="195">
        <v>563626192</v>
      </c>
      <c r="D14500" s="195">
        <v>97177395</v>
      </c>
      <c r="E14500" s="195">
        <v>900</v>
      </c>
      <c r="F14500" s="195">
        <v>97176495</v>
      </c>
      <c r="G14500" s="195">
        <v>660802687</v>
      </c>
    </row>
    <row r="14501" spans="1:7" x14ac:dyDescent="0.3">
      <c r="A14501" s="197">
        <v>720506</v>
      </c>
      <c r="B14501" s="191" t="s">
        <v>7443</v>
      </c>
      <c r="C14501" s="195">
        <v>360915833</v>
      </c>
      <c r="D14501" s="195">
        <v>65002755</v>
      </c>
      <c r="E14501" s="195">
        <v>0</v>
      </c>
      <c r="F14501" s="195">
        <v>65002755</v>
      </c>
      <c r="G14501" s="195">
        <v>425918588</v>
      </c>
    </row>
    <row r="14502" spans="1:7" x14ac:dyDescent="0.3">
      <c r="A14502" s="198">
        <v>72050601</v>
      </c>
      <c r="B14502" s="192" t="s">
        <v>7444</v>
      </c>
      <c r="C14502" s="196">
        <v>359340018</v>
      </c>
      <c r="D14502" s="196">
        <v>63543667</v>
      </c>
      <c r="E14502" s="196">
        <v>0</v>
      </c>
      <c r="F14502" s="196">
        <v>63543667</v>
      </c>
      <c r="G14502" s="196">
        <v>422883685</v>
      </c>
    </row>
    <row r="14503" spans="1:7" x14ac:dyDescent="0.3">
      <c r="A14503" s="198">
        <v>32391236</v>
      </c>
      <c r="B14503" s="192" t="s">
        <v>2029</v>
      </c>
      <c r="C14503" s="196">
        <v>12000000</v>
      </c>
      <c r="D14503" s="196">
        <v>2000000</v>
      </c>
      <c r="E14503" s="196">
        <v>0</v>
      </c>
      <c r="F14503" s="196">
        <v>2000000</v>
      </c>
      <c r="G14503" s="196">
        <v>14000000</v>
      </c>
    </row>
    <row r="14504" spans="1:7" x14ac:dyDescent="0.3">
      <c r="A14504" s="198">
        <v>1037644962</v>
      </c>
      <c r="B14504" s="192" t="s">
        <v>260</v>
      </c>
      <c r="C14504" s="196">
        <v>16059347</v>
      </c>
      <c r="D14504" s="196">
        <v>2915000</v>
      </c>
      <c r="E14504" s="196">
        <v>0</v>
      </c>
      <c r="F14504" s="196">
        <v>2915000</v>
      </c>
      <c r="G14504" s="196">
        <v>18974347</v>
      </c>
    </row>
    <row r="14505" spans="1:7" x14ac:dyDescent="0.3">
      <c r="A14505" s="198">
        <v>1041229735</v>
      </c>
      <c r="B14505" s="192" t="s">
        <v>2033</v>
      </c>
      <c r="C14505" s="196">
        <v>15370833</v>
      </c>
      <c r="D14505" s="196">
        <v>2915000</v>
      </c>
      <c r="E14505" s="196">
        <v>0</v>
      </c>
      <c r="F14505" s="196">
        <v>2915000</v>
      </c>
      <c r="G14505" s="196">
        <v>18285833</v>
      </c>
    </row>
    <row r="14506" spans="1:7" x14ac:dyDescent="0.3">
      <c r="A14506" s="198">
        <v>1216716838</v>
      </c>
      <c r="B14506" s="192" t="s">
        <v>2036</v>
      </c>
      <c r="C14506" s="196">
        <v>11846667</v>
      </c>
      <c r="D14506" s="196">
        <v>2426667</v>
      </c>
      <c r="E14506" s="196">
        <v>0</v>
      </c>
      <c r="F14506" s="196">
        <v>2426667</v>
      </c>
      <c r="G14506" s="196">
        <v>14273334</v>
      </c>
    </row>
    <row r="14507" spans="1:7" x14ac:dyDescent="0.3">
      <c r="A14507" s="198">
        <v>71526513</v>
      </c>
      <c r="B14507" s="192" t="s">
        <v>1643</v>
      </c>
      <c r="C14507" s="196">
        <v>23866250</v>
      </c>
      <c r="D14507" s="196">
        <v>4280000</v>
      </c>
      <c r="E14507" s="196">
        <v>0</v>
      </c>
      <c r="F14507" s="196">
        <v>4280000</v>
      </c>
      <c r="G14507" s="196">
        <v>28146250</v>
      </c>
    </row>
    <row r="14508" spans="1:7" x14ac:dyDescent="0.3">
      <c r="A14508" s="198">
        <v>1042458852</v>
      </c>
      <c r="B14508" s="192" t="s">
        <v>1711</v>
      </c>
      <c r="C14508" s="196">
        <v>28805334</v>
      </c>
      <c r="D14508" s="196">
        <v>5440000</v>
      </c>
      <c r="E14508" s="196">
        <v>0</v>
      </c>
      <c r="F14508" s="196">
        <v>5440000</v>
      </c>
      <c r="G14508" s="196">
        <v>34245334</v>
      </c>
    </row>
    <row r="14509" spans="1:7" x14ac:dyDescent="0.3">
      <c r="A14509" s="198">
        <v>1152440998</v>
      </c>
      <c r="B14509" s="192" t="s">
        <v>2039</v>
      </c>
      <c r="C14509" s="196">
        <v>31344000</v>
      </c>
      <c r="D14509" s="196">
        <v>5440000</v>
      </c>
      <c r="E14509" s="196">
        <v>0</v>
      </c>
      <c r="F14509" s="196">
        <v>5440000</v>
      </c>
      <c r="G14509" s="196">
        <v>36784000</v>
      </c>
    </row>
    <row r="14510" spans="1:7" x14ac:dyDescent="0.3">
      <c r="A14510" s="198">
        <v>1144039609</v>
      </c>
      <c r="B14510" s="192" t="s">
        <v>2041</v>
      </c>
      <c r="C14510" s="196">
        <v>27893333</v>
      </c>
      <c r="D14510" s="196">
        <v>5440000</v>
      </c>
      <c r="E14510" s="196">
        <v>0</v>
      </c>
      <c r="F14510" s="196">
        <v>5440000</v>
      </c>
      <c r="G14510" s="196">
        <v>33333333</v>
      </c>
    </row>
    <row r="14511" spans="1:7" x14ac:dyDescent="0.3">
      <c r="A14511" s="198">
        <v>1037636353</v>
      </c>
      <c r="B14511" s="192" t="s">
        <v>2042</v>
      </c>
      <c r="C14511" s="196">
        <v>12320000</v>
      </c>
      <c r="D14511" s="196">
        <v>0</v>
      </c>
      <c r="E14511" s="196">
        <v>0</v>
      </c>
      <c r="F14511" s="196">
        <v>0</v>
      </c>
      <c r="G14511" s="196">
        <v>12320000</v>
      </c>
    </row>
    <row r="14512" spans="1:7" x14ac:dyDescent="0.3">
      <c r="A14512" s="198">
        <v>1128385262</v>
      </c>
      <c r="B14512" s="192" t="s">
        <v>1714</v>
      </c>
      <c r="C14512" s="196">
        <v>16580167</v>
      </c>
      <c r="D14512" s="196">
        <v>2915000</v>
      </c>
      <c r="E14512" s="196">
        <v>0</v>
      </c>
      <c r="F14512" s="196">
        <v>2915000</v>
      </c>
      <c r="G14512" s="196">
        <v>19495167</v>
      </c>
    </row>
    <row r="14513" spans="1:7" x14ac:dyDescent="0.3">
      <c r="A14513" s="198">
        <v>1000646763</v>
      </c>
      <c r="B14513" s="192" t="s">
        <v>2044</v>
      </c>
      <c r="C14513" s="196">
        <v>16783333</v>
      </c>
      <c r="D14513" s="196">
        <v>2915000</v>
      </c>
      <c r="E14513" s="196">
        <v>0</v>
      </c>
      <c r="F14513" s="196">
        <v>2915000</v>
      </c>
      <c r="G14513" s="196">
        <v>19698333</v>
      </c>
    </row>
    <row r="14514" spans="1:7" x14ac:dyDescent="0.3">
      <c r="A14514" s="198">
        <v>1036639954</v>
      </c>
      <c r="B14514" s="192" t="s">
        <v>2047</v>
      </c>
      <c r="C14514" s="196">
        <v>13449333</v>
      </c>
      <c r="D14514" s="196">
        <v>2340000</v>
      </c>
      <c r="E14514" s="196">
        <v>0</v>
      </c>
      <c r="F14514" s="196">
        <v>2340000</v>
      </c>
      <c r="G14514" s="196">
        <v>15789333</v>
      </c>
    </row>
    <row r="14515" spans="1:7" x14ac:dyDescent="0.3">
      <c r="A14515" s="198">
        <v>1214732527</v>
      </c>
      <c r="B14515" s="192" t="s">
        <v>1983</v>
      </c>
      <c r="C14515" s="196">
        <v>3828933</v>
      </c>
      <c r="D14515" s="196">
        <v>0</v>
      </c>
      <c r="E14515" s="196">
        <v>0</v>
      </c>
      <c r="F14515" s="196">
        <v>0</v>
      </c>
      <c r="G14515" s="196">
        <v>3828933</v>
      </c>
    </row>
    <row r="14516" spans="1:7" x14ac:dyDescent="0.3">
      <c r="A14516" s="198">
        <v>1028042115</v>
      </c>
      <c r="B14516" s="192" t="s">
        <v>2067</v>
      </c>
      <c r="C14516" s="196">
        <v>13066347</v>
      </c>
      <c r="D14516" s="196">
        <v>2070000</v>
      </c>
      <c r="E14516" s="196">
        <v>0</v>
      </c>
      <c r="F14516" s="196">
        <v>2070000</v>
      </c>
      <c r="G14516" s="196">
        <v>15136347</v>
      </c>
    </row>
    <row r="14517" spans="1:7" x14ac:dyDescent="0.3">
      <c r="A14517" s="198">
        <v>1128423802</v>
      </c>
      <c r="B14517" s="192" t="s">
        <v>2053</v>
      </c>
      <c r="C14517" s="196">
        <v>13117500</v>
      </c>
      <c r="D14517" s="196">
        <v>2915000</v>
      </c>
      <c r="E14517" s="196">
        <v>0</v>
      </c>
      <c r="F14517" s="196">
        <v>2915000</v>
      </c>
      <c r="G14517" s="196">
        <v>16032500</v>
      </c>
    </row>
    <row r="14518" spans="1:7" x14ac:dyDescent="0.3">
      <c r="A14518" s="198">
        <v>1152207950</v>
      </c>
      <c r="B14518" s="192" t="s">
        <v>2056</v>
      </c>
      <c r="C14518" s="196">
        <v>15080000</v>
      </c>
      <c r="D14518" s="196">
        <v>2600000</v>
      </c>
      <c r="E14518" s="196">
        <v>0</v>
      </c>
      <c r="F14518" s="196">
        <v>2600000</v>
      </c>
      <c r="G14518" s="196">
        <v>17680000</v>
      </c>
    </row>
    <row r="14519" spans="1:7" x14ac:dyDescent="0.3">
      <c r="A14519" s="198">
        <v>1001764247</v>
      </c>
      <c r="B14519" s="192" t="s">
        <v>2057</v>
      </c>
      <c r="C14519" s="196">
        <v>16094333</v>
      </c>
      <c r="D14519" s="196">
        <v>2332000</v>
      </c>
      <c r="E14519" s="196">
        <v>0</v>
      </c>
      <c r="F14519" s="196">
        <v>2332000</v>
      </c>
      <c r="G14519" s="196">
        <v>18426333</v>
      </c>
    </row>
    <row r="14520" spans="1:7" x14ac:dyDescent="0.3">
      <c r="A14520" s="198">
        <v>1027616481</v>
      </c>
      <c r="B14520" s="192" t="s">
        <v>2059</v>
      </c>
      <c r="C14520" s="196">
        <v>8400000</v>
      </c>
      <c r="D14520" s="196">
        <v>2400000</v>
      </c>
      <c r="E14520" s="196">
        <v>0</v>
      </c>
      <c r="F14520" s="196">
        <v>2400000</v>
      </c>
      <c r="G14520" s="196">
        <v>10800000</v>
      </c>
    </row>
    <row r="14521" spans="1:7" x14ac:dyDescent="0.3">
      <c r="A14521" s="198">
        <v>32299587</v>
      </c>
      <c r="B14521" s="192" t="s">
        <v>2060</v>
      </c>
      <c r="C14521" s="196">
        <v>13480975</v>
      </c>
      <c r="D14521" s="196">
        <v>2400000</v>
      </c>
      <c r="E14521" s="196">
        <v>0</v>
      </c>
      <c r="F14521" s="196">
        <v>2400000</v>
      </c>
      <c r="G14521" s="196">
        <v>15880975</v>
      </c>
    </row>
    <row r="14522" spans="1:7" x14ac:dyDescent="0.3">
      <c r="A14522" s="198">
        <v>43972279</v>
      </c>
      <c r="B14522" s="192" t="s">
        <v>2061</v>
      </c>
      <c r="C14522" s="196">
        <v>25020000</v>
      </c>
      <c r="D14522" s="196">
        <v>5400000</v>
      </c>
      <c r="E14522" s="196">
        <v>0</v>
      </c>
      <c r="F14522" s="196">
        <v>5400000</v>
      </c>
      <c r="G14522" s="196">
        <v>30420000</v>
      </c>
    </row>
    <row r="14523" spans="1:7" x14ac:dyDescent="0.3">
      <c r="A14523" s="198">
        <v>1001510696</v>
      </c>
      <c r="B14523" s="192" t="s">
        <v>2062</v>
      </c>
      <c r="C14523" s="196">
        <v>24933333</v>
      </c>
      <c r="D14523" s="196">
        <v>4400000</v>
      </c>
      <c r="E14523" s="196">
        <v>0</v>
      </c>
      <c r="F14523" s="196">
        <v>4400000</v>
      </c>
      <c r="G14523" s="196">
        <v>29333333</v>
      </c>
    </row>
    <row r="14524" spans="1:7" x14ac:dyDescent="0.3">
      <c r="A14524" s="198">
        <v>72050602</v>
      </c>
      <c r="B14524" s="192" t="s">
        <v>7678</v>
      </c>
      <c r="C14524" s="196">
        <v>1575815</v>
      </c>
      <c r="D14524" s="196">
        <v>1459088</v>
      </c>
      <c r="E14524" s="196">
        <v>0</v>
      </c>
      <c r="F14524" s="196">
        <v>1459088</v>
      </c>
      <c r="G14524" s="196">
        <v>3034903</v>
      </c>
    </row>
    <row r="14525" spans="1:7" x14ac:dyDescent="0.3">
      <c r="A14525" s="198">
        <v>1037266322</v>
      </c>
      <c r="B14525" s="192" t="s">
        <v>2031</v>
      </c>
      <c r="C14525" s="196">
        <v>1575815</v>
      </c>
      <c r="D14525" s="196">
        <v>0</v>
      </c>
      <c r="E14525" s="196">
        <v>0</v>
      </c>
      <c r="F14525" s="196">
        <v>0</v>
      </c>
      <c r="G14525" s="196">
        <v>1575815</v>
      </c>
    </row>
    <row r="14526" spans="1:7" x14ac:dyDescent="0.3">
      <c r="A14526" s="198">
        <v>1013456905</v>
      </c>
      <c r="B14526" s="192" t="s">
        <v>1932</v>
      </c>
      <c r="C14526" s="196">
        <v>0</v>
      </c>
      <c r="D14526" s="196">
        <v>1459088</v>
      </c>
      <c r="E14526" s="196">
        <v>0</v>
      </c>
      <c r="F14526" s="196">
        <v>1459088</v>
      </c>
      <c r="G14526" s="196">
        <v>1459088</v>
      </c>
    </row>
    <row r="14527" spans="1:7" x14ac:dyDescent="0.3">
      <c r="A14527" s="197">
        <v>720515</v>
      </c>
      <c r="B14527" s="191" t="s">
        <v>7445</v>
      </c>
      <c r="C14527" s="195">
        <v>4933127</v>
      </c>
      <c r="D14527" s="195">
        <v>392749</v>
      </c>
      <c r="E14527" s="195">
        <v>0</v>
      </c>
      <c r="F14527" s="195">
        <v>392749</v>
      </c>
      <c r="G14527" s="195">
        <v>5325876</v>
      </c>
    </row>
    <row r="14528" spans="1:7" x14ac:dyDescent="0.3">
      <c r="A14528" s="198">
        <v>72051501</v>
      </c>
      <c r="B14528" s="192" t="s">
        <v>7445</v>
      </c>
      <c r="C14528" s="196">
        <v>4933127</v>
      </c>
      <c r="D14528" s="196">
        <v>392749</v>
      </c>
      <c r="E14528" s="196">
        <v>0</v>
      </c>
      <c r="F14528" s="196">
        <v>392749</v>
      </c>
      <c r="G14528" s="196">
        <v>5325876</v>
      </c>
    </row>
    <row r="14529" spans="1:7" x14ac:dyDescent="0.3">
      <c r="A14529" s="198">
        <v>1037644962</v>
      </c>
      <c r="B14529" s="192" t="s">
        <v>260</v>
      </c>
      <c r="C14529" s="196">
        <v>611864</v>
      </c>
      <c r="D14529" s="196">
        <v>14575</v>
      </c>
      <c r="E14529" s="196">
        <v>0</v>
      </c>
      <c r="F14529" s="196">
        <v>14575</v>
      </c>
      <c r="G14529" s="196">
        <v>626439</v>
      </c>
    </row>
    <row r="14530" spans="1:7" x14ac:dyDescent="0.3">
      <c r="A14530" s="198">
        <v>1041229735</v>
      </c>
      <c r="B14530" s="192" t="s">
        <v>2033</v>
      </c>
      <c r="C14530" s="196">
        <v>319236</v>
      </c>
      <c r="D14530" s="196">
        <v>4858</v>
      </c>
      <c r="E14530" s="196">
        <v>0</v>
      </c>
      <c r="F14530" s="196">
        <v>4858</v>
      </c>
      <c r="G14530" s="196">
        <v>324094</v>
      </c>
    </row>
    <row r="14531" spans="1:7" x14ac:dyDescent="0.3">
      <c r="A14531" s="198">
        <v>71526513</v>
      </c>
      <c r="B14531" s="192" t="s">
        <v>1643</v>
      </c>
      <c r="C14531" s="196">
        <v>702795</v>
      </c>
      <c r="D14531" s="196">
        <v>103433</v>
      </c>
      <c r="E14531" s="196">
        <v>0</v>
      </c>
      <c r="F14531" s="196">
        <v>103433</v>
      </c>
      <c r="G14531" s="196">
        <v>806228</v>
      </c>
    </row>
    <row r="14532" spans="1:7" x14ac:dyDescent="0.3">
      <c r="A14532" s="198">
        <v>1042458852</v>
      </c>
      <c r="B14532" s="192" t="s">
        <v>1711</v>
      </c>
      <c r="C14532" s="196">
        <v>223828</v>
      </c>
      <c r="D14532" s="196">
        <v>18133</v>
      </c>
      <c r="E14532" s="196">
        <v>0</v>
      </c>
      <c r="F14532" s="196">
        <v>18133</v>
      </c>
      <c r="G14532" s="196">
        <v>241961</v>
      </c>
    </row>
    <row r="14533" spans="1:7" x14ac:dyDescent="0.3">
      <c r="A14533" s="198">
        <v>1152440998</v>
      </c>
      <c r="B14533" s="192" t="s">
        <v>2039</v>
      </c>
      <c r="C14533" s="196">
        <v>64528</v>
      </c>
      <c r="D14533" s="196">
        <v>18133</v>
      </c>
      <c r="E14533" s="196">
        <v>0</v>
      </c>
      <c r="F14533" s="196">
        <v>18133</v>
      </c>
      <c r="G14533" s="196">
        <v>82661</v>
      </c>
    </row>
    <row r="14534" spans="1:7" x14ac:dyDescent="0.3">
      <c r="A14534" s="198">
        <v>1144039609</v>
      </c>
      <c r="B14534" s="192" t="s">
        <v>2041</v>
      </c>
      <c r="C14534" s="196">
        <v>73564</v>
      </c>
      <c r="D14534" s="196">
        <v>9067</v>
      </c>
      <c r="E14534" s="196">
        <v>0</v>
      </c>
      <c r="F14534" s="196">
        <v>9067</v>
      </c>
      <c r="G14534" s="196">
        <v>82631</v>
      </c>
    </row>
    <row r="14535" spans="1:7" x14ac:dyDescent="0.3">
      <c r="A14535" s="198">
        <v>1128385262</v>
      </c>
      <c r="B14535" s="192" t="s">
        <v>1714</v>
      </c>
      <c r="C14535" s="196">
        <v>558457</v>
      </c>
      <c r="D14535" s="196">
        <v>24292</v>
      </c>
      <c r="E14535" s="196">
        <v>0</v>
      </c>
      <c r="F14535" s="196">
        <v>24292</v>
      </c>
      <c r="G14535" s="196">
        <v>582749</v>
      </c>
    </row>
    <row r="14536" spans="1:7" x14ac:dyDescent="0.3">
      <c r="A14536" s="198">
        <v>1000646763</v>
      </c>
      <c r="B14536" s="192" t="s">
        <v>2044</v>
      </c>
      <c r="C14536" s="196">
        <v>646238</v>
      </c>
      <c r="D14536" s="196">
        <v>14575</v>
      </c>
      <c r="E14536" s="196">
        <v>0</v>
      </c>
      <c r="F14536" s="196">
        <v>14575</v>
      </c>
      <c r="G14536" s="196">
        <v>660813</v>
      </c>
    </row>
    <row r="14537" spans="1:7" x14ac:dyDescent="0.3">
      <c r="A14537" s="198">
        <v>1036639954</v>
      </c>
      <c r="B14537" s="192" t="s">
        <v>2047</v>
      </c>
      <c r="C14537" s="196">
        <v>91478</v>
      </c>
      <c r="D14537" s="196">
        <v>0</v>
      </c>
      <c r="E14537" s="196">
        <v>0</v>
      </c>
      <c r="F14537" s="196">
        <v>0</v>
      </c>
      <c r="G14537" s="196">
        <v>91478</v>
      </c>
    </row>
    <row r="14538" spans="1:7" x14ac:dyDescent="0.3">
      <c r="A14538" s="198">
        <v>1214732527</v>
      </c>
      <c r="B14538" s="192" t="s">
        <v>1983</v>
      </c>
      <c r="C14538" s="196">
        <v>258052</v>
      </c>
      <c r="D14538" s="196">
        <v>0</v>
      </c>
      <c r="E14538" s="196">
        <v>0</v>
      </c>
      <c r="F14538" s="196">
        <v>0</v>
      </c>
      <c r="G14538" s="196">
        <v>258052</v>
      </c>
    </row>
    <row r="14539" spans="1:7" x14ac:dyDescent="0.3">
      <c r="A14539" s="198">
        <v>1028042115</v>
      </c>
      <c r="B14539" s="192" t="s">
        <v>2067</v>
      </c>
      <c r="C14539" s="196">
        <v>126521</v>
      </c>
      <c r="D14539" s="196">
        <v>19166</v>
      </c>
      <c r="E14539" s="196">
        <v>0</v>
      </c>
      <c r="F14539" s="196">
        <v>19166</v>
      </c>
      <c r="G14539" s="196">
        <v>145687</v>
      </c>
    </row>
    <row r="14540" spans="1:7" x14ac:dyDescent="0.3">
      <c r="A14540" s="198">
        <v>1128423802</v>
      </c>
      <c r="B14540" s="192" t="s">
        <v>2053</v>
      </c>
      <c r="C14540" s="196">
        <v>268311</v>
      </c>
      <c r="D14540" s="196">
        <v>24292</v>
      </c>
      <c r="E14540" s="196">
        <v>0</v>
      </c>
      <c r="F14540" s="196">
        <v>24292</v>
      </c>
      <c r="G14540" s="196">
        <v>292603</v>
      </c>
    </row>
    <row r="14541" spans="1:7" x14ac:dyDescent="0.3">
      <c r="A14541" s="198">
        <v>1001764247</v>
      </c>
      <c r="B14541" s="192" t="s">
        <v>2057</v>
      </c>
      <c r="C14541" s="196">
        <v>697131</v>
      </c>
      <c r="D14541" s="196">
        <v>43725</v>
      </c>
      <c r="E14541" s="196">
        <v>0</v>
      </c>
      <c r="F14541" s="196">
        <v>43725</v>
      </c>
      <c r="G14541" s="196">
        <v>740856</v>
      </c>
    </row>
    <row r="14542" spans="1:7" x14ac:dyDescent="0.3">
      <c r="A14542" s="198">
        <v>1027616481</v>
      </c>
      <c r="B14542" s="192" t="s">
        <v>2059</v>
      </c>
      <c r="C14542" s="196">
        <v>7636</v>
      </c>
      <c r="D14542" s="196">
        <v>4000</v>
      </c>
      <c r="E14542" s="196">
        <v>0</v>
      </c>
      <c r="F14542" s="196">
        <v>4000</v>
      </c>
      <c r="G14542" s="196">
        <v>11636</v>
      </c>
    </row>
    <row r="14543" spans="1:7" x14ac:dyDescent="0.3">
      <c r="A14543" s="198">
        <v>32299587</v>
      </c>
      <c r="B14543" s="192" t="s">
        <v>2060</v>
      </c>
      <c r="C14543" s="196">
        <v>61397</v>
      </c>
      <c r="D14543" s="196">
        <v>0</v>
      </c>
      <c r="E14543" s="196">
        <v>0</v>
      </c>
      <c r="F14543" s="196">
        <v>0</v>
      </c>
      <c r="G14543" s="196">
        <v>61397</v>
      </c>
    </row>
    <row r="14544" spans="1:7" x14ac:dyDescent="0.3">
      <c r="A14544" s="198">
        <v>43972279</v>
      </c>
      <c r="B14544" s="192" t="s">
        <v>2061</v>
      </c>
      <c r="C14544" s="196">
        <v>197591</v>
      </c>
      <c r="D14544" s="196">
        <v>94500</v>
      </c>
      <c r="E14544" s="196">
        <v>0</v>
      </c>
      <c r="F14544" s="196">
        <v>94500</v>
      </c>
      <c r="G14544" s="196">
        <v>292091</v>
      </c>
    </row>
    <row r="14545" spans="1:7" x14ac:dyDescent="0.3">
      <c r="A14545" s="198">
        <v>1001510696</v>
      </c>
      <c r="B14545" s="192" t="s">
        <v>2062</v>
      </c>
      <c r="C14545" s="196">
        <v>24500</v>
      </c>
      <c r="D14545" s="196">
        <v>0</v>
      </c>
      <c r="E14545" s="196">
        <v>0</v>
      </c>
      <c r="F14545" s="196">
        <v>0</v>
      </c>
      <c r="G14545" s="196">
        <v>24500</v>
      </c>
    </row>
    <row r="14546" spans="1:7" x14ac:dyDescent="0.3">
      <c r="A14546" s="197">
        <v>720524</v>
      </c>
      <c r="B14546" s="191" t="s">
        <v>7438</v>
      </c>
      <c r="C14546" s="195">
        <v>994166</v>
      </c>
      <c r="D14546" s="195">
        <v>319416</v>
      </c>
      <c r="E14546" s="195">
        <v>0</v>
      </c>
      <c r="F14546" s="195">
        <v>319416</v>
      </c>
      <c r="G14546" s="195">
        <v>1313582</v>
      </c>
    </row>
    <row r="14547" spans="1:7" x14ac:dyDescent="0.3">
      <c r="A14547" s="198">
        <v>72052401</v>
      </c>
      <c r="B14547" s="192" t="s">
        <v>7438</v>
      </c>
      <c r="C14547" s="196">
        <v>994166</v>
      </c>
      <c r="D14547" s="196">
        <v>319416</v>
      </c>
      <c r="E14547" s="196">
        <v>0</v>
      </c>
      <c r="F14547" s="196">
        <v>319416</v>
      </c>
      <c r="G14547" s="196">
        <v>1313582</v>
      </c>
    </row>
    <row r="14548" spans="1:7" x14ac:dyDescent="0.3">
      <c r="A14548" s="198">
        <v>1037644962</v>
      </c>
      <c r="B14548" s="192" t="s">
        <v>260</v>
      </c>
      <c r="C14548" s="196">
        <v>194333</v>
      </c>
      <c r="D14548" s="196">
        <v>0</v>
      </c>
      <c r="E14548" s="196">
        <v>0</v>
      </c>
      <c r="F14548" s="196">
        <v>0</v>
      </c>
      <c r="G14548" s="196">
        <v>194333</v>
      </c>
    </row>
    <row r="14549" spans="1:7" x14ac:dyDescent="0.3">
      <c r="A14549" s="198">
        <v>1216716838</v>
      </c>
      <c r="B14549" s="192" t="s">
        <v>2036</v>
      </c>
      <c r="C14549" s="196">
        <v>173333</v>
      </c>
      <c r="D14549" s="196">
        <v>173333</v>
      </c>
      <c r="E14549" s="196">
        <v>0</v>
      </c>
      <c r="F14549" s="196">
        <v>173333</v>
      </c>
      <c r="G14549" s="196">
        <v>346666</v>
      </c>
    </row>
    <row r="14550" spans="1:7" x14ac:dyDescent="0.3">
      <c r="A14550" s="198">
        <v>1028042115</v>
      </c>
      <c r="B14550" s="192" t="s">
        <v>2067</v>
      </c>
      <c r="C14550" s="196">
        <v>138834</v>
      </c>
      <c r="D14550" s="196">
        <v>146083</v>
      </c>
      <c r="E14550" s="196">
        <v>0</v>
      </c>
      <c r="F14550" s="196">
        <v>146083</v>
      </c>
      <c r="G14550" s="196">
        <v>284917</v>
      </c>
    </row>
    <row r="14551" spans="1:7" x14ac:dyDescent="0.3">
      <c r="A14551" s="198">
        <v>1001764247</v>
      </c>
      <c r="B14551" s="192" t="s">
        <v>2057</v>
      </c>
      <c r="C14551" s="196">
        <v>194333</v>
      </c>
      <c r="D14551" s="196">
        <v>0</v>
      </c>
      <c r="E14551" s="196">
        <v>0</v>
      </c>
      <c r="F14551" s="196">
        <v>0</v>
      </c>
      <c r="G14551" s="196">
        <v>194333</v>
      </c>
    </row>
    <row r="14552" spans="1:7" x14ac:dyDescent="0.3">
      <c r="A14552" s="198">
        <v>1001510696</v>
      </c>
      <c r="B14552" s="192" t="s">
        <v>2062</v>
      </c>
      <c r="C14552" s="196">
        <v>293333</v>
      </c>
      <c r="D14552" s="196">
        <v>0</v>
      </c>
      <c r="E14552" s="196">
        <v>0</v>
      </c>
      <c r="F14552" s="196">
        <v>0</v>
      </c>
      <c r="G14552" s="196">
        <v>293333</v>
      </c>
    </row>
    <row r="14553" spans="1:7" x14ac:dyDescent="0.3">
      <c r="A14553" s="197">
        <v>720527</v>
      </c>
      <c r="B14553" s="191" t="s">
        <v>7446</v>
      </c>
      <c r="C14553" s="195">
        <v>19088982</v>
      </c>
      <c r="D14553" s="195">
        <v>3329571</v>
      </c>
      <c r="E14553" s="195">
        <v>0</v>
      </c>
      <c r="F14553" s="195">
        <v>3329571</v>
      </c>
      <c r="G14553" s="195">
        <v>22418553</v>
      </c>
    </row>
    <row r="14554" spans="1:7" x14ac:dyDescent="0.3">
      <c r="A14554" s="198">
        <v>72052701</v>
      </c>
      <c r="B14554" s="192" t="s">
        <v>7446</v>
      </c>
      <c r="C14554" s="196">
        <v>19088982</v>
      </c>
      <c r="D14554" s="196">
        <v>3329571</v>
      </c>
      <c r="E14554" s="196">
        <v>0</v>
      </c>
      <c r="F14554" s="196">
        <v>3329571</v>
      </c>
      <c r="G14554" s="196">
        <v>22418553</v>
      </c>
    </row>
    <row r="14555" spans="1:7" x14ac:dyDescent="0.3">
      <c r="A14555" s="198">
        <v>32391236</v>
      </c>
      <c r="B14555" s="192" t="s">
        <v>2029</v>
      </c>
      <c r="C14555" s="196">
        <v>1494570</v>
      </c>
      <c r="D14555" s="196">
        <v>249095</v>
      </c>
      <c r="E14555" s="196">
        <v>0</v>
      </c>
      <c r="F14555" s="196">
        <v>249095</v>
      </c>
      <c r="G14555" s="196">
        <v>1743665</v>
      </c>
    </row>
    <row r="14556" spans="1:7" x14ac:dyDescent="0.3">
      <c r="A14556" s="198">
        <v>1037644962</v>
      </c>
      <c r="B14556" s="192" t="s">
        <v>260</v>
      </c>
      <c r="C14556" s="196">
        <v>1428145</v>
      </c>
      <c r="D14556" s="196">
        <v>249095</v>
      </c>
      <c r="E14556" s="196">
        <v>0</v>
      </c>
      <c r="F14556" s="196">
        <v>249095</v>
      </c>
      <c r="G14556" s="196">
        <v>1677240</v>
      </c>
    </row>
    <row r="14557" spans="1:7" x14ac:dyDescent="0.3">
      <c r="A14557" s="198">
        <v>1037266322</v>
      </c>
      <c r="B14557" s="192" t="s">
        <v>2031</v>
      </c>
      <c r="C14557" s="196">
        <v>224186</v>
      </c>
      <c r="D14557" s="196">
        <v>0</v>
      </c>
      <c r="E14557" s="196">
        <v>0</v>
      </c>
      <c r="F14557" s="196">
        <v>0</v>
      </c>
      <c r="G14557" s="196">
        <v>224186</v>
      </c>
    </row>
    <row r="14558" spans="1:7" x14ac:dyDescent="0.3">
      <c r="A14558" s="198">
        <v>1041229735</v>
      </c>
      <c r="B14558" s="192" t="s">
        <v>2033</v>
      </c>
      <c r="C14558" s="196">
        <v>1336810</v>
      </c>
      <c r="D14558" s="196">
        <v>249095</v>
      </c>
      <c r="E14558" s="196">
        <v>0</v>
      </c>
      <c r="F14558" s="196">
        <v>249095</v>
      </c>
      <c r="G14558" s="196">
        <v>1585905</v>
      </c>
    </row>
    <row r="14559" spans="1:7" x14ac:dyDescent="0.3">
      <c r="A14559" s="198">
        <v>1216716838</v>
      </c>
      <c r="B14559" s="192" t="s">
        <v>2036</v>
      </c>
      <c r="C14559" s="196">
        <v>1137535</v>
      </c>
      <c r="D14559" s="196">
        <v>232489</v>
      </c>
      <c r="E14559" s="196">
        <v>0</v>
      </c>
      <c r="F14559" s="196">
        <v>232489</v>
      </c>
      <c r="G14559" s="196">
        <v>1370024</v>
      </c>
    </row>
    <row r="14560" spans="1:7" x14ac:dyDescent="0.3">
      <c r="A14560" s="198">
        <v>71526513</v>
      </c>
      <c r="B14560" s="192" t="s">
        <v>1643</v>
      </c>
      <c r="C14560" s="196">
        <v>199276</v>
      </c>
      <c r="D14560" s="196">
        <v>0</v>
      </c>
      <c r="E14560" s="196">
        <v>0</v>
      </c>
      <c r="F14560" s="196">
        <v>0</v>
      </c>
      <c r="G14560" s="196">
        <v>199276</v>
      </c>
    </row>
    <row r="14561" spans="1:7" x14ac:dyDescent="0.3">
      <c r="A14561" s="198">
        <v>1037636353</v>
      </c>
      <c r="B14561" s="192" t="s">
        <v>2042</v>
      </c>
      <c r="C14561" s="196">
        <v>1195656</v>
      </c>
      <c r="D14561" s="196">
        <v>0</v>
      </c>
      <c r="E14561" s="196">
        <v>0</v>
      </c>
      <c r="F14561" s="196">
        <v>0</v>
      </c>
      <c r="G14561" s="196">
        <v>1195656</v>
      </c>
    </row>
    <row r="14562" spans="1:7" x14ac:dyDescent="0.3">
      <c r="A14562" s="198">
        <v>1128385262</v>
      </c>
      <c r="B14562" s="192" t="s">
        <v>1714</v>
      </c>
      <c r="C14562" s="196">
        <v>1436448</v>
      </c>
      <c r="D14562" s="196">
        <v>249095</v>
      </c>
      <c r="E14562" s="196">
        <v>0</v>
      </c>
      <c r="F14562" s="196">
        <v>249095</v>
      </c>
      <c r="G14562" s="196">
        <v>1685543</v>
      </c>
    </row>
    <row r="14563" spans="1:7" x14ac:dyDescent="0.3">
      <c r="A14563" s="198">
        <v>1000646763</v>
      </c>
      <c r="B14563" s="192" t="s">
        <v>2044</v>
      </c>
      <c r="C14563" s="196">
        <v>1453054</v>
      </c>
      <c r="D14563" s="196">
        <v>249095</v>
      </c>
      <c r="E14563" s="196">
        <v>0</v>
      </c>
      <c r="F14563" s="196">
        <v>249095</v>
      </c>
      <c r="G14563" s="196">
        <v>1702149</v>
      </c>
    </row>
    <row r="14564" spans="1:7" x14ac:dyDescent="0.3">
      <c r="A14564" s="198">
        <v>1036639954</v>
      </c>
      <c r="B14564" s="192" t="s">
        <v>2047</v>
      </c>
      <c r="C14564" s="196">
        <v>1486267</v>
      </c>
      <c r="D14564" s="196">
        <v>224186</v>
      </c>
      <c r="E14564" s="196">
        <v>0</v>
      </c>
      <c r="F14564" s="196">
        <v>224186</v>
      </c>
      <c r="G14564" s="196">
        <v>1710453</v>
      </c>
    </row>
    <row r="14565" spans="1:7" x14ac:dyDescent="0.3">
      <c r="A14565" s="198">
        <v>1013456905</v>
      </c>
      <c r="B14565" s="192" t="s">
        <v>1932</v>
      </c>
      <c r="C14565" s="196">
        <v>0</v>
      </c>
      <c r="D14565" s="196">
        <v>207579</v>
      </c>
      <c r="E14565" s="196">
        <v>0</v>
      </c>
      <c r="F14565" s="196">
        <v>207579</v>
      </c>
      <c r="G14565" s="196">
        <v>207579</v>
      </c>
    </row>
    <row r="14566" spans="1:7" x14ac:dyDescent="0.3">
      <c r="A14566" s="198">
        <v>1028042115</v>
      </c>
      <c r="B14566" s="192" t="s">
        <v>2067</v>
      </c>
      <c r="C14566" s="196">
        <v>1428144</v>
      </c>
      <c r="D14566" s="196">
        <v>224186</v>
      </c>
      <c r="E14566" s="196">
        <v>0</v>
      </c>
      <c r="F14566" s="196">
        <v>224186</v>
      </c>
      <c r="G14566" s="196">
        <v>1652330</v>
      </c>
    </row>
    <row r="14567" spans="1:7" x14ac:dyDescent="0.3">
      <c r="A14567" s="198">
        <v>1128423802</v>
      </c>
      <c r="B14567" s="192" t="s">
        <v>2053</v>
      </c>
      <c r="C14567" s="196">
        <v>1120928</v>
      </c>
      <c r="D14567" s="196">
        <v>249095</v>
      </c>
      <c r="E14567" s="196">
        <v>0</v>
      </c>
      <c r="F14567" s="196">
        <v>249095</v>
      </c>
      <c r="G14567" s="196">
        <v>1370023</v>
      </c>
    </row>
    <row r="14568" spans="1:7" x14ac:dyDescent="0.3">
      <c r="A14568" s="198">
        <v>1152207950</v>
      </c>
      <c r="B14568" s="192" t="s">
        <v>2056</v>
      </c>
      <c r="C14568" s="196">
        <v>1461357</v>
      </c>
      <c r="D14568" s="196">
        <v>249095</v>
      </c>
      <c r="E14568" s="196">
        <v>0</v>
      </c>
      <c r="F14568" s="196">
        <v>249095</v>
      </c>
      <c r="G14568" s="196">
        <v>1710452</v>
      </c>
    </row>
    <row r="14569" spans="1:7" x14ac:dyDescent="0.3">
      <c r="A14569" s="198">
        <v>1001764247</v>
      </c>
      <c r="B14569" s="192" t="s">
        <v>2057</v>
      </c>
      <c r="C14569" s="196">
        <v>1394932</v>
      </c>
      <c r="D14569" s="196">
        <v>199276</v>
      </c>
      <c r="E14569" s="196">
        <v>0</v>
      </c>
      <c r="F14569" s="196">
        <v>199276</v>
      </c>
      <c r="G14569" s="196">
        <v>1594208</v>
      </c>
    </row>
    <row r="14570" spans="1:7" x14ac:dyDescent="0.3">
      <c r="A14570" s="198">
        <v>1027616481</v>
      </c>
      <c r="B14570" s="192" t="s">
        <v>2059</v>
      </c>
      <c r="C14570" s="196">
        <v>871833</v>
      </c>
      <c r="D14570" s="196">
        <v>249095</v>
      </c>
      <c r="E14570" s="196">
        <v>0</v>
      </c>
      <c r="F14570" s="196">
        <v>249095</v>
      </c>
      <c r="G14570" s="196">
        <v>1120928</v>
      </c>
    </row>
    <row r="14571" spans="1:7" x14ac:dyDescent="0.3">
      <c r="A14571" s="198">
        <v>32299587</v>
      </c>
      <c r="B14571" s="192" t="s">
        <v>2060</v>
      </c>
      <c r="C14571" s="196">
        <v>1419841</v>
      </c>
      <c r="D14571" s="196">
        <v>249095</v>
      </c>
      <c r="E14571" s="196">
        <v>0</v>
      </c>
      <c r="F14571" s="196">
        <v>249095</v>
      </c>
      <c r="G14571" s="196">
        <v>1668936</v>
      </c>
    </row>
    <row r="14572" spans="1:7" x14ac:dyDescent="0.3">
      <c r="A14572" s="197">
        <v>720530</v>
      </c>
      <c r="B14572" s="191" t="s">
        <v>7447</v>
      </c>
      <c r="C14572" s="195">
        <v>33670937</v>
      </c>
      <c r="D14572" s="195">
        <v>5815034</v>
      </c>
      <c r="E14572" s="195">
        <v>0</v>
      </c>
      <c r="F14572" s="195">
        <v>5815034</v>
      </c>
      <c r="G14572" s="195">
        <v>39485971</v>
      </c>
    </row>
    <row r="14573" spans="1:7" x14ac:dyDescent="0.3">
      <c r="A14573" s="198">
        <v>72053001</v>
      </c>
      <c r="B14573" s="192" t="s">
        <v>7447</v>
      </c>
      <c r="C14573" s="196">
        <v>33670937</v>
      </c>
      <c r="D14573" s="196">
        <v>5815034</v>
      </c>
      <c r="E14573" s="196">
        <v>0</v>
      </c>
      <c r="F14573" s="196">
        <v>5815034</v>
      </c>
      <c r="G14573" s="196">
        <v>39485971</v>
      </c>
    </row>
    <row r="14574" spans="1:7" x14ac:dyDescent="0.3">
      <c r="A14574" s="198">
        <v>32391236</v>
      </c>
      <c r="B14574" s="192" t="s">
        <v>2029</v>
      </c>
      <c r="C14574" s="196">
        <v>1124548</v>
      </c>
      <c r="D14574" s="196">
        <v>187424</v>
      </c>
      <c r="E14574" s="196">
        <v>0</v>
      </c>
      <c r="F14574" s="196">
        <v>187424</v>
      </c>
      <c r="G14574" s="196">
        <v>1311972</v>
      </c>
    </row>
    <row r="14575" spans="1:7" x14ac:dyDescent="0.3">
      <c r="A14575" s="198">
        <v>1037644962</v>
      </c>
      <c r="B14575" s="192" t="s">
        <v>260</v>
      </c>
      <c r="C14575" s="196">
        <v>1633036</v>
      </c>
      <c r="D14575" s="196">
        <v>264889</v>
      </c>
      <c r="E14575" s="196">
        <v>0</v>
      </c>
      <c r="F14575" s="196">
        <v>264889</v>
      </c>
      <c r="G14575" s="196">
        <v>1897925</v>
      </c>
    </row>
    <row r="14576" spans="1:7" x14ac:dyDescent="0.3">
      <c r="A14576" s="198">
        <v>1037266322</v>
      </c>
      <c r="B14576" s="192" t="s">
        <v>2031</v>
      </c>
      <c r="C14576" s="196">
        <v>150000</v>
      </c>
      <c r="D14576" s="196">
        <v>0</v>
      </c>
      <c r="E14576" s="196">
        <v>0</v>
      </c>
      <c r="F14576" s="196">
        <v>0</v>
      </c>
      <c r="G14576" s="196">
        <v>150000</v>
      </c>
    </row>
    <row r="14577" spans="1:7" x14ac:dyDescent="0.3">
      <c r="A14577" s="198">
        <v>1041229735</v>
      </c>
      <c r="B14577" s="192" t="s">
        <v>2033</v>
      </c>
      <c r="C14577" s="196">
        <v>1608651</v>
      </c>
      <c r="D14577" s="196">
        <v>264079</v>
      </c>
      <c r="E14577" s="196">
        <v>0</v>
      </c>
      <c r="F14577" s="196">
        <v>264079</v>
      </c>
      <c r="G14577" s="196">
        <v>1872730</v>
      </c>
    </row>
    <row r="14578" spans="1:7" x14ac:dyDescent="0.3">
      <c r="A14578" s="198">
        <v>1216716838</v>
      </c>
      <c r="B14578" s="192" t="s">
        <v>2036</v>
      </c>
      <c r="C14578" s="196">
        <v>1127280</v>
      </c>
      <c r="D14578" s="196">
        <v>237424</v>
      </c>
      <c r="E14578" s="196">
        <v>0</v>
      </c>
      <c r="F14578" s="196">
        <v>237424</v>
      </c>
      <c r="G14578" s="196">
        <v>1364704</v>
      </c>
    </row>
    <row r="14579" spans="1:7" x14ac:dyDescent="0.3">
      <c r="A14579" s="198">
        <v>71526513</v>
      </c>
      <c r="B14579" s="192" t="s">
        <v>1643</v>
      </c>
      <c r="C14579" s="196">
        <v>2198566</v>
      </c>
      <c r="D14579" s="196">
        <v>365286</v>
      </c>
      <c r="E14579" s="196">
        <v>0</v>
      </c>
      <c r="F14579" s="196">
        <v>365286</v>
      </c>
      <c r="G14579" s="196">
        <v>2563852</v>
      </c>
    </row>
    <row r="14580" spans="1:7" x14ac:dyDescent="0.3">
      <c r="A14580" s="198">
        <v>1042458852</v>
      </c>
      <c r="B14580" s="192" t="s">
        <v>1711</v>
      </c>
      <c r="C14580" s="196">
        <v>2738652</v>
      </c>
      <c r="D14580" s="196">
        <v>454845</v>
      </c>
      <c r="E14580" s="196">
        <v>0</v>
      </c>
      <c r="F14580" s="196">
        <v>454845</v>
      </c>
      <c r="G14580" s="196">
        <v>3193497</v>
      </c>
    </row>
    <row r="14581" spans="1:7" x14ac:dyDescent="0.3">
      <c r="A14581" s="198">
        <v>1152440998</v>
      </c>
      <c r="B14581" s="192" t="s">
        <v>2039</v>
      </c>
      <c r="C14581" s="196">
        <v>2725377</v>
      </c>
      <c r="D14581" s="196">
        <v>454845</v>
      </c>
      <c r="E14581" s="196">
        <v>0</v>
      </c>
      <c r="F14581" s="196">
        <v>454845</v>
      </c>
      <c r="G14581" s="196">
        <v>3180222</v>
      </c>
    </row>
    <row r="14582" spans="1:7" x14ac:dyDescent="0.3">
      <c r="A14582" s="198">
        <v>1144039609</v>
      </c>
      <c r="B14582" s="192" t="s">
        <v>2041</v>
      </c>
      <c r="C14582" s="196">
        <v>2333241</v>
      </c>
      <c r="D14582" s="196">
        <v>454089</v>
      </c>
      <c r="E14582" s="196">
        <v>0</v>
      </c>
      <c r="F14582" s="196">
        <v>454089</v>
      </c>
      <c r="G14582" s="196">
        <v>2787330</v>
      </c>
    </row>
    <row r="14583" spans="1:7" x14ac:dyDescent="0.3">
      <c r="A14583" s="198">
        <v>1037636353</v>
      </c>
      <c r="B14583" s="192" t="s">
        <v>2042</v>
      </c>
      <c r="C14583" s="196">
        <v>1179209</v>
      </c>
      <c r="D14583" s="196">
        <v>0</v>
      </c>
      <c r="E14583" s="196">
        <v>0</v>
      </c>
      <c r="F14583" s="196">
        <v>0</v>
      </c>
      <c r="G14583" s="196">
        <v>1179209</v>
      </c>
    </row>
    <row r="14584" spans="1:7" x14ac:dyDescent="0.3">
      <c r="A14584" s="198">
        <v>1128385262</v>
      </c>
      <c r="B14584" s="192" t="s">
        <v>1714</v>
      </c>
      <c r="C14584" s="196">
        <v>1628586</v>
      </c>
      <c r="D14584" s="196">
        <v>265699</v>
      </c>
      <c r="E14584" s="196">
        <v>0</v>
      </c>
      <c r="F14584" s="196">
        <v>265699</v>
      </c>
      <c r="G14584" s="196">
        <v>1894285</v>
      </c>
    </row>
    <row r="14585" spans="1:7" x14ac:dyDescent="0.3">
      <c r="A14585" s="198">
        <v>1000646763</v>
      </c>
      <c r="B14585" s="192" t="s">
        <v>2044</v>
      </c>
      <c r="C14585" s="196">
        <v>1635901</v>
      </c>
      <c r="D14585" s="196">
        <v>264889</v>
      </c>
      <c r="E14585" s="196">
        <v>0</v>
      </c>
      <c r="F14585" s="196">
        <v>264889</v>
      </c>
      <c r="G14585" s="196">
        <v>1900790</v>
      </c>
    </row>
    <row r="14586" spans="1:7" x14ac:dyDescent="0.3">
      <c r="A14586" s="198">
        <v>1036639954</v>
      </c>
      <c r="B14586" s="192" t="s">
        <v>2047</v>
      </c>
      <c r="C14586" s="196">
        <v>1282171</v>
      </c>
      <c r="D14586" s="196">
        <v>211823</v>
      </c>
      <c r="E14586" s="196">
        <v>0</v>
      </c>
      <c r="F14586" s="196">
        <v>211823</v>
      </c>
      <c r="G14586" s="196">
        <v>1493994</v>
      </c>
    </row>
    <row r="14587" spans="1:7" x14ac:dyDescent="0.3">
      <c r="A14587" s="198">
        <v>1013456905</v>
      </c>
      <c r="B14587" s="192" t="s">
        <v>1932</v>
      </c>
      <c r="C14587" s="196">
        <v>0</v>
      </c>
      <c r="D14587" s="196">
        <v>138889</v>
      </c>
      <c r="E14587" s="196">
        <v>0</v>
      </c>
      <c r="F14587" s="196">
        <v>138889</v>
      </c>
      <c r="G14587" s="196">
        <v>138889</v>
      </c>
    </row>
    <row r="14588" spans="1:7" x14ac:dyDescent="0.3">
      <c r="A14588" s="198">
        <v>1214732527</v>
      </c>
      <c r="B14588" s="192" t="s">
        <v>1983</v>
      </c>
      <c r="C14588" s="196">
        <v>340582</v>
      </c>
      <c r="D14588" s="196">
        <v>0</v>
      </c>
      <c r="E14588" s="196">
        <v>0</v>
      </c>
      <c r="F14588" s="196">
        <v>0</v>
      </c>
      <c r="G14588" s="196">
        <v>340582</v>
      </c>
    </row>
    <row r="14589" spans="1:7" x14ac:dyDescent="0.3">
      <c r="A14589" s="198">
        <v>1028042115</v>
      </c>
      <c r="B14589" s="192" t="s">
        <v>2067</v>
      </c>
      <c r="C14589" s="196">
        <v>1285091</v>
      </c>
      <c r="D14589" s="196">
        <v>214022</v>
      </c>
      <c r="E14589" s="196">
        <v>0</v>
      </c>
      <c r="F14589" s="196">
        <v>214022</v>
      </c>
      <c r="G14589" s="196">
        <v>1499113</v>
      </c>
    </row>
    <row r="14590" spans="1:7" x14ac:dyDescent="0.3">
      <c r="A14590" s="198">
        <v>1128423802</v>
      </c>
      <c r="B14590" s="192" t="s">
        <v>2053</v>
      </c>
      <c r="C14590" s="196">
        <v>1208895</v>
      </c>
      <c r="D14590" s="196">
        <v>265699</v>
      </c>
      <c r="E14590" s="196">
        <v>0</v>
      </c>
      <c r="F14590" s="196">
        <v>265699</v>
      </c>
      <c r="G14590" s="196">
        <v>1474594</v>
      </c>
    </row>
    <row r="14591" spans="1:7" x14ac:dyDescent="0.3">
      <c r="A14591" s="198">
        <v>1152207950</v>
      </c>
      <c r="B14591" s="192" t="s">
        <v>2056</v>
      </c>
      <c r="C14591" s="196">
        <v>1424548</v>
      </c>
      <c r="D14591" s="196">
        <v>237424</v>
      </c>
      <c r="E14591" s="196">
        <v>0</v>
      </c>
      <c r="F14591" s="196">
        <v>237424</v>
      </c>
      <c r="G14591" s="196">
        <v>1661972</v>
      </c>
    </row>
    <row r="14592" spans="1:7" x14ac:dyDescent="0.3">
      <c r="A14592" s="198">
        <v>1001764247</v>
      </c>
      <c r="B14592" s="192" t="s">
        <v>2057</v>
      </c>
      <c r="C14592" s="196">
        <v>1640142</v>
      </c>
      <c r="D14592" s="196">
        <v>267318</v>
      </c>
      <c r="E14592" s="196">
        <v>0</v>
      </c>
      <c r="F14592" s="196">
        <v>267318</v>
      </c>
      <c r="G14592" s="196">
        <v>1907460</v>
      </c>
    </row>
    <row r="14593" spans="1:7" x14ac:dyDescent="0.3">
      <c r="A14593" s="198">
        <v>1027616481</v>
      </c>
      <c r="B14593" s="192" t="s">
        <v>2059</v>
      </c>
      <c r="C14593" s="196">
        <v>773289</v>
      </c>
      <c r="D14593" s="196">
        <v>221091</v>
      </c>
      <c r="E14593" s="196">
        <v>0</v>
      </c>
      <c r="F14593" s="196">
        <v>221091</v>
      </c>
      <c r="G14593" s="196">
        <v>994380</v>
      </c>
    </row>
    <row r="14594" spans="1:7" x14ac:dyDescent="0.3">
      <c r="A14594" s="198">
        <v>32299587</v>
      </c>
      <c r="B14594" s="192" t="s">
        <v>2060</v>
      </c>
      <c r="C14594" s="196">
        <v>1329664</v>
      </c>
      <c r="D14594" s="196">
        <v>220758</v>
      </c>
      <c r="E14594" s="196">
        <v>0</v>
      </c>
      <c r="F14594" s="196">
        <v>220758</v>
      </c>
      <c r="G14594" s="196">
        <v>1550422</v>
      </c>
    </row>
    <row r="14595" spans="1:7" x14ac:dyDescent="0.3">
      <c r="A14595" s="198">
        <v>43972279</v>
      </c>
      <c r="B14595" s="192" t="s">
        <v>2061</v>
      </c>
      <c r="C14595" s="196">
        <v>2101466</v>
      </c>
      <c r="D14595" s="196">
        <v>457875</v>
      </c>
      <c r="E14595" s="196">
        <v>0</v>
      </c>
      <c r="F14595" s="196">
        <v>457875</v>
      </c>
      <c r="G14595" s="196">
        <v>2559341</v>
      </c>
    </row>
    <row r="14596" spans="1:7" x14ac:dyDescent="0.3">
      <c r="A14596" s="198">
        <v>1001510696</v>
      </c>
      <c r="B14596" s="192" t="s">
        <v>2062</v>
      </c>
      <c r="C14596" s="196">
        <v>2202042</v>
      </c>
      <c r="D14596" s="196">
        <v>366666</v>
      </c>
      <c r="E14596" s="196">
        <v>0</v>
      </c>
      <c r="F14596" s="196">
        <v>366666</v>
      </c>
      <c r="G14596" s="196">
        <v>2568708</v>
      </c>
    </row>
    <row r="14597" spans="1:7" x14ac:dyDescent="0.3">
      <c r="A14597" s="197">
        <v>720533</v>
      </c>
      <c r="B14597" s="191" t="s">
        <v>2346</v>
      </c>
      <c r="C14597" s="195">
        <v>1877129</v>
      </c>
      <c r="D14597" s="195">
        <v>694645</v>
      </c>
      <c r="E14597" s="195">
        <v>0</v>
      </c>
      <c r="F14597" s="195">
        <v>694645</v>
      </c>
      <c r="G14597" s="195">
        <v>2571774</v>
      </c>
    </row>
    <row r="14598" spans="1:7" x14ac:dyDescent="0.3">
      <c r="A14598" s="198">
        <v>72053301</v>
      </c>
      <c r="B14598" s="192" t="s">
        <v>7448</v>
      </c>
      <c r="C14598" s="196">
        <v>1877129</v>
      </c>
      <c r="D14598" s="196">
        <v>694645</v>
      </c>
      <c r="E14598" s="196">
        <v>0</v>
      </c>
      <c r="F14598" s="196">
        <v>694645</v>
      </c>
      <c r="G14598" s="196">
        <v>2571774</v>
      </c>
    </row>
    <row r="14599" spans="1:7" x14ac:dyDescent="0.3">
      <c r="A14599" s="198">
        <v>32391236</v>
      </c>
      <c r="B14599" s="192" t="s">
        <v>2029</v>
      </c>
      <c r="C14599" s="196">
        <v>67473</v>
      </c>
      <c r="D14599" s="196">
        <v>24365</v>
      </c>
      <c r="E14599" s="196">
        <v>0</v>
      </c>
      <c r="F14599" s="196">
        <v>24365</v>
      </c>
      <c r="G14599" s="196">
        <v>91838</v>
      </c>
    </row>
    <row r="14600" spans="1:7" x14ac:dyDescent="0.3">
      <c r="A14600" s="198">
        <v>1037644962</v>
      </c>
      <c r="B14600" s="192" t="s">
        <v>260</v>
      </c>
      <c r="C14600" s="196">
        <v>97982</v>
      </c>
      <c r="D14600" s="196">
        <v>34873</v>
      </c>
      <c r="E14600" s="196">
        <v>0</v>
      </c>
      <c r="F14600" s="196">
        <v>34873</v>
      </c>
      <c r="G14600" s="196">
        <v>132855</v>
      </c>
    </row>
    <row r="14601" spans="1:7" x14ac:dyDescent="0.3">
      <c r="A14601" s="198">
        <v>1037266322</v>
      </c>
      <c r="B14601" s="192" t="s">
        <v>2031</v>
      </c>
      <c r="C14601" s="196">
        <v>1350</v>
      </c>
      <c r="D14601" s="196">
        <v>0</v>
      </c>
      <c r="E14601" s="196">
        <v>0</v>
      </c>
      <c r="F14601" s="196">
        <v>0</v>
      </c>
      <c r="G14601" s="196">
        <v>1350</v>
      </c>
    </row>
    <row r="14602" spans="1:7" x14ac:dyDescent="0.3">
      <c r="A14602" s="198">
        <v>1041229735</v>
      </c>
      <c r="B14602" s="192" t="s">
        <v>2033</v>
      </c>
      <c r="C14602" s="196">
        <v>96519</v>
      </c>
      <c r="D14602" s="196">
        <v>34572</v>
      </c>
      <c r="E14602" s="196">
        <v>0</v>
      </c>
      <c r="F14602" s="196">
        <v>34572</v>
      </c>
      <c r="G14602" s="196">
        <v>131091</v>
      </c>
    </row>
    <row r="14603" spans="1:7" x14ac:dyDescent="0.3">
      <c r="A14603" s="198">
        <v>1216716838</v>
      </c>
      <c r="B14603" s="192" t="s">
        <v>2036</v>
      </c>
      <c r="C14603" s="196">
        <v>48235</v>
      </c>
      <c r="D14603" s="196">
        <v>23743</v>
      </c>
      <c r="E14603" s="196">
        <v>0</v>
      </c>
      <c r="F14603" s="196">
        <v>23743</v>
      </c>
      <c r="G14603" s="196">
        <v>71978</v>
      </c>
    </row>
    <row r="14604" spans="1:7" x14ac:dyDescent="0.3">
      <c r="A14604" s="198">
        <v>71526513</v>
      </c>
      <c r="B14604" s="192" t="s">
        <v>1643</v>
      </c>
      <c r="C14604" s="196">
        <v>131914</v>
      </c>
      <c r="D14604" s="196">
        <v>47556</v>
      </c>
      <c r="E14604" s="196">
        <v>0</v>
      </c>
      <c r="F14604" s="196">
        <v>47556</v>
      </c>
      <c r="G14604" s="196">
        <v>179470</v>
      </c>
    </row>
    <row r="14605" spans="1:7" x14ac:dyDescent="0.3">
      <c r="A14605" s="198">
        <v>1042458852</v>
      </c>
      <c r="B14605" s="192" t="s">
        <v>1711</v>
      </c>
      <c r="C14605" s="196">
        <v>164319</v>
      </c>
      <c r="D14605" s="196">
        <v>59226</v>
      </c>
      <c r="E14605" s="196">
        <v>0</v>
      </c>
      <c r="F14605" s="196">
        <v>59226</v>
      </c>
      <c r="G14605" s="196">
        <v>223545</v>
      </c>
    </row>
    <row r="14606" spans="1:7" x14ac:dyDescent="0.3">
      <c r="A14606" s="198">
        <v>1152440998</v>
      </c>
      <c r="B14606" s="192" t="s">
        <v>2039</v>
      </c>
      <c r="C14606" s="196">
        <v>163523</v>
      </c>
      <c r="D14606" s="196">
        <v>59093</v>
      </c>
      <c r="E14606" s="196">
        <v>0</v>
      </c>
      <c r="F14606" s="196">
        <v>59093</v>
      </c>
      <c r="G14606" s="196">
        <v>222616</v>
      </c>
    </row>
    <row r="14607" spans="1:7" x14ac:dyDescent="0.3">
      <c r="A14607" s="198">
        <v>1144039609</v>
      </c>
      <c r="B14607" s="192" t="s">
        <v>2041</v>
      </c>
      <c r="C14607" s="196">
        <v>119773</v>
      </c>
      <c r="D14607" s="196">
        <v>51183</v>
      </c>
      <c r="E14607" s="196">
        <v>0</v>
      </c>
      <c r="F14607" s="196">
        <v>51183</v>
      </c>
      <c r="G14607" s="196">
        <v>170956</v>
      </c>
    </row>
    <row r="14608" spans="1:7" x14ac:dyDescent="0.3">
      <c r="A14608" s="198">
        <v>1037636353</v>
      </c>
      <c r="B14608" s="192" t="s">
        <v>2042</v>
      </c>
      <c r="C14608" s="196">
        <v>58567</v>
      </c>
      <c r="D14608" s="196">
        <v>0</v>
      </c>
      <c r="E14608" s="196">
        <v>0</v>
      </c>
      <c r="F14608" s="196">
        <v>0</v>
      </c>
      <c r="G14608" s="196">
        <v>58567</v>
      </c>
    </row>
    <row r="14609" spans="1:7" x14ac:dyDescent="0.3">
      <c r="A14609" s="198">
        <v>1128385262</v>
      </c>
      <c r="B14609" s="192" t="s">
        <v>1714</v>
      </c>
      <c r="C14609" s="196">
        <v>97715</v>
      </c>
      <c r="D14609" s="196">
        <v>34885</v>
      </c>
      <c r="E14609" s="196">
        <v>0</v>
      </c>
      <c r="F14609" s="196">
        <v>34885</v>
      </c>
      <c r="G14609" s="196">
        <v>132600</v>
      </c>
    </row>
    <row r="14610" spans="1:7" x14ac:dyDescent="0.3">
      <c r="A14610" s="198">
        <v>1000646763</v>
      </c>
      <c r="B14610" s="192" t="s">
        <v>2044</v>
      </c>
      <c r="C14610" s="196">
        <v>98154</v>
      </c>
      <c r="D14610" s="196">
        <v>34901</v>
      </c>
      <c r="E14610" s="196">
        <v>0</v>
      </c>
      <c r="F14610" s="196">
        <v>34901</v>
      </c>
      <c r="G14610" s="196">
        <v>133055</v>
      </c>
    </row>
    <row r="14611" spans="1:7" x14ac:dyDescent="0.3">
      <c r="A14611" s="198">
        <v>1036639954</v>
      </c>
      <c r="B14611" s="192" t="s">
        <v>2047</v>
      </c>
      <c r="C14611" s="196">
        <v>76930</v>
      </c>
      <c r="D14611" s="196">
        <v>27650</v>
      </c>
      <c r="E14611" s="196">
        <v>0</v>
      </c>
      <c r="F14611" s="196">
        <v>27650</v>
      </c>
      <c r="G14611" s="196">
        <v>104580</v>
      </c>
    </row>
    <row r="14612" spans="1:7" x14ac:dyDescent="0.3">
      <c r="A14612" s="198">
        <v>1013456905</v>
      </c>
      <c r="B14612" s="192" t="s">
        <v>1932</v>
      </c>
      <c r="C14612" s="196">
        <v>0</v>
      </c>
      <c r="D14612" s="196">
        <v>1157</v>
      </c>
      <c r="E14612" s="196">
        <v>0</v>
      </c>
      <c r="F14612" s="196">
        <v>1157</v>
      </c>
      <c r="G14612" s="196">
        <v>1157</v>
      </c>
    </row>
    <row r="14613" spans="1:7" x14ac:dyDescent="0.3">
      <c r="A14613" s="198">
        <v>1214732527</v>
      </c>
      <c r="B14613" s="192" t="s">
        <v>1983</v>
      </c>
      <c r="C14613" s="196">
        <v>2952</v>
      </c>
      <c r="D14613" s="196">
        <v>0</v>
      </c>
      <c r="E14613" s="196">
        <v>0</v>
      </c>
      <c r="F14613" s="196">
        <v>0</v>
      </c>
      <c r="G14613" s="196">
        <v>2952</v>
      </c>
    </row>
    <row r="14614" spans="1:7" x14ac:dyDescent="0.3">
      <c r="A14614" s="198">
        <v>1028042115</v>
      </c>
      <c r="B14614" s="192" t="s">
        <v>2067</v>
      </c>
      <c r="C14614" s="196">
        <v>77105</v>
      </c>
      <c r="D14614" s="196">
        <v>27833</v>
      </c>
      <c r="E14614" s="196">
        <v>0</v>
      </c>
      <c r="F14614" s="196">
        <v>27833</v>
      </c>
      <c r="G14614" s="196">
        <v>104938</v>
      </c>
    </row>
    <row r="14615" spans="1:7" x14ac:dyDescent="0.3">
      <c r="A14615" s="198">
        <v>1128423802</v>
      </c>
      <c r="B14615" s="192" t="s">
        <v>2053</v>
      </c>
      <c r="C14615" s="196">
        <v>54400</v>
      </c>
      <c r="D14615" s="196">
        <v>26703</v>
      </c>
      <c r="E14615" s="196">
        <v>0</v>
      </c>
      <c r="F14615" s="196">
        <v>26703</v>
      </c>
      <c r="G14615" s="196">
        <v>81103</v>
      </c>
    </row>
    <row r="14616" spans="1:7" x14ac:dyDescent="0.3">
      <c r="A14616" s="198">
        <v>1152207950</v>
      </c>
      <c r="B14616" s="192" t="s">
        <v>2056</v>
      </c>
      <c r="C14616" s="196">
        <v>85473</v>
      </c>
      <c r="D14616" s="196">
        <v>30865</v>
      </c>
      <c r="E14616" s="196">
        <v>0</v>
      </c>
      <c r="F14616" s="196">
        <v>30865</v>
      </c>
      <c r="G14616" s="196">
        <v>116338</v>
      </c>
    </row>
    <row r="14617" spans="1:7" x14ac:dyDescent="0.3">
      <c r="A14617" s="198">
        <v>1001764247</v>
      </c>
      <c r="B14617" s="192" t="s">
        <v>2057</v>
      </c>
      <c r="C14617" s="196">
        <v>98409</v>
      </c>
      <c r="D14617" s="196">
        <v>35113</v>
      </c>
      <c r="E14617" s="196">
        <v>0</v>
      </c>
      <c r="F14617" s="196">
        <v>35113</v>
      </c>
      <c r="G14617" s="196">
        <v>133522</v>
      </c>
    </row>
    <row r="14618" spans="1:7" x14ac:dyDescent="0.3">
      <c r="A14618" s="198">
        <v>1027616481</v>
      </c>
      <c r="B14618" s="192" t="s">
        <v>2059</v>
      </c>
      <c r="C14618" s="196">
        <v>27065</v>
      </c>
      <c r="D14618" s="196">
        <v>17682</v>
      </c>
      <c r="E14618" s="196">
        <v>0</v>
      </c>
      <c r="F14618" s="196">
        <v>17682</v>
      </c>
      <c r="G14618" s="196">
        <v>44747</v>
      </c>
    </row>
    <row r="14619" spans="1:7" x14ac:dyDescent="0.3">
      <c r="A14619" s="198">
        <v>32299587</v>
      </c>
      <c r="B14619" s="192" t="s">
        <v>2060</v>
      </c>
      <c r="C14619" s="196">
        <v>79780</v>
      </c>
      <c r="D14619" s="196">
        <v>28750</v>
      </c>
      <c r="E14619" s="196">
        <v>0</v>
      </c>
      <c r="F14619" s="196">
        <v>28750</v>
      </c>
      <c r="G14619" s="196">
        <v>108530</v>
      </c>
    </row>
    <row r="14620" spans="1:7" x14ac:dyDescent="0.3">
      <c r="A14620" s="198">
        <v>43972279</v>
      </c>
      <c r="B14620" s="192" t="s">
        <v>2061</v>
      </c>
      <c r="C14620" s="196">
        <v>97368</v>
      </c>
      <c r="D14620" s="196">
        <v>46808</v>
      </c>
      <c r="E14620" s="196">
        <v>0</v>
      </c>
      <c r="F14620" s="196">
        <v>46808</v>
      </c>
      <c r="G14620" s="196">
        <v>144176</v>
      </c>
    </row>
    <row r="14621" spans="1:7" x14ac:dyDescent="0.3">
      <c r="A14621" s="198">
        <v>1001510696</v>
      </c>
      <c r="B14621" s="192" t="s">
        <v>2062</v>
      </c>
      <c r="C14621" s="196">
        <v>132123</v>
      </c>
      <c r="D14621" s="196">
        <v>47687</v>
      </c>
      <c r="E14621" s="196">
        <v>0</v>
      </c>
      <c r="F14621" s="196">
        <v>47687</v>
      </c>
      <c r="G14621" s="196">
        <v>179810</v>
      </c>
    </row>
    <row r="14622" spans="1:7" x14ac:dyDescent="0.3">
      <c r="A14622" s="197">
        <v>720536</v>
      </c>
      <c r="B14622" s="191" t="s">
        <v>2348</v>
      </c>
      <c r="C14622" s="195">
        <v>33289952</v>
      </c>
      <c r="D14622" s="195">
        <v>5840638</v>
      </c>
      <c r="E14622" s="195">
        <v>0</v>
      </c>
      <c r="F14622" s="195">
        <v>5840638</v>
      </c>
      <c r="G14622" s="195">
        <v>39130590</v>
      </c>
    </row>
    <row r="14623" spans="1:7" x14ac:dyDescent="0.3">
      <c r="A14623" s="198">
        <v>72053601</v>
      </c>
      <c r="B14623" s="192" t="s">
        <v>2348</v>
      </c>
      <c r="C14623" s="196">
        <v>33289952</v>
      </c>
      <c r="D14623" s="196">
        <v>5840638</v>
      </c>
      <c r="E14623" s="196">
        <v>0</v>
      </c>
      <c r="F14623" s="196">
        <v>5840638</v>
      </c>
      <c r="G14623" s="196">
        <v>39130590</v>
      </c>
    </row>
    <row r="14624" spans="1:7" x14ac:dyDescent="0.3">
      <c r="A14624" s="198">
        <v>32391236</v>
      </c>
      <c r="B14624" s="192" t="s">
        <v>2029</v>
      </c>
      <c r="C14624" s="196">
        <v>1124548</v>
      </c>
      <c r="D14624" s="196">
        <v>187425</v>
      </c>
      <c r="E14624" s="196">
        <v>0</v>
      </c>
      <c r="F14624" s="196">
        <v>187425</v>
      </c>
      <c r="G14624" s="196">
        <v>1311973</v>
      </c>
    </row>
    <row r="14625" spans="1:7" x14ac:dyDescent="0.3">
      <c r="A14625" s="198">
        <v>1037644962</v>
      </c>
      <c r="B14625" s="192" t="s">
        <v>260</v>
      </c>
      <c r="C14625" s="196">
        <v>1570217</v>
      </c>
      <c r="D14625" s="196">
        <v>264889</v>
      </c>
      <c r="E14625" s="196">
        <v>0</v>
      </c>
      <c r="F14625" s="196">
        <v>264889</v>
      </c>
      <c r="G14625" s="196">
        <v>1835106</v>
      </c>
    </row>
    <row r="14626" spans="1:7" x14ac:dyDescent="0.3">
      <c r="A14626" s="198">
        <v>1037266322</v>
      </c>
      <c r="B14626" s="192" t="s">
        <v>2031</v>
      </c>
      <c r="C14626" s="196">
        <v>150000</v>
      </c>
      <c r="D14626" s="196">
        <v>0</v>
      </c>
      <c r="E14626" s="196">
        <v>0</v>
      </c>
      <c r="F14626" s="196">
        <v>0</v>
      </c>
      <c r="G14626" s="196">
        <v>150000</v>
      </c>
    </row>
    <row r="14627" spans="1:7" x14ac:dyDescent="0.3">
      <c r="A14627" s="198">
        <v>1041229735</v>
      </c>
      <c r="B14627" s="192" t="s">
        <v>2033</v>
      </c>
      <c r="C14627" s="196">
        <v>1582401</v>
      </c>
      <c r="D14627" s="196">
        <v>264079</v>
      </c>
      <c r="E14627" s="196">
        <v>0</v>
      </c>
      <c r="F14627" s="196">
        <v>264079</v>
      </c>
      <c r="G14627" s="196">
        <v>1846480</v>
      </c>
    </row>
    <row r="14628" spans="1:7" x14ac:dyDescent="0.3">
      <c r="A14628" s="198">
        <v>1216716838</v>
      </c>
      <c r="B14628" s="192" t="s">
        <v>2036</v>
      </c>
      <c r="C14628" s="196">
        <v>1124512</v>
      </c>
      <c r="D14628" s="196">
        <v>237425</v>
      </c>
      <c r="E14628" s="196">
        <v>0</v>
      </c>
      <c r="F14628" s="196">
        <v>237425</v>
      </c>
      <c r="G14628" s="196">
        <v>1361937</v>
      </c>
    </row>
    <row r="14629" spans="1:7" x14ac:dyDescent="0.3">
      <c r="A14629" s="198">
        <v>71526513</v>
      </c>
      <c r="B14629" s="192" t="s">
        <v>1643</v>
      </c>
      <c r="C14629" s="196">
        <v>2098754</v>
      </c>
      <c r="D14629" s="196">
        <v>365286</v>
      </c>
      <c r="E14629" s="196">
        <v>0</v>
      </c>
      <c r="F14629" s="196">
        <v>365286</v>
      </c>
      <c r="G14629" s="196">
        <v>2464040</v>
      </c>
    </row>
    <row r="14630" spans="1:7" x14ac:dyDescent="0.3">
      <c r="A14630" s="198">
        <v>1042458852</v>
      </c>
      <c r="B14630" s="192" t="s">
        <v>1711</v>
      </c>
      <c r="C14630" s="196">
        <v>2718652</v>
      </c>
      <c r="D14630" s="196">
        <v>454844</v>
      </c>
      <c r="E14630" s="196">
        <v>0</v>
      </c>
      <c r="F14630" s="196">
        <v>454844</v>
      </c>
      <c r="G14630" s="196">
        <v>3173496</v>
      </c>
    </row>
    <row r="14631" spans="1:7" x14ac:dyDescent="0.3">
      <c r="A14631" s="198">
        <v>1152440998</v>
      </c>
      <c r="B14631" s="192" t="s">
        <v>2039</v>
      </c>
      <c r="C14631" s="196">
        <v>2705377</v>
      </c>
      <c r="D14631" s="196">
        <v>454844</v>
      </c>
      <c r="E14631" s="196">
        <v>0</v>
      </c>
      <c r="F14631" s="196">
        <v>454844</v>
      </c>
      <c r="G14631" s="196">
        <v>3160221</v>
      </c>
    </row>
    <row r="14632" spans="1:7" x14ac:dyDescent="0.3">
      <c r="A14632" s="198">
        <v>1144039609</v>
      </c>
      <c r="B14632" s="192" t="s">
        <v>2041</v>
      </c>
      <c r="C14632" s="196">
        <v>2330575</v>
      </c>
      <c r="D14632" s="196">
        <v>454089</v>
      </c>
      <c r="E14632" s="196">
        <v>0</v>
      </c>
      <c r="F14632" s="196">
        <v>454089</v>
      </c>
      <c r="G14632" s="196">
        <v>2784664</v>
      </c>
    </row>
    <row r="14633" spans="1:7" x14ac:dyDescent="0.3">
      <c r="A14633" s="198">
        <v>1037636353</v>
      </c>
      <c r="B14633" s="192" t="s">
        <v>2042</v>
      </c>
      <c r="C14633" s="196">
        <v>1169764</v>
      </c>
      <c r="D14633" s="196">
        <v>0</v>
      </c>
      <c r="E14633" s="196">
        <v>0</v>
      </c>
      <c r="F14633" s="196">
        <v>0</v>
      </c>
      <c r="G14633" s="196">
        <v>1169764</v>
      </c>
    </row>
    <row r="14634" spans="1:7" x14ac:dyDescent="0.3">
      <c r="A14634" s="198">
        <v>1128385262</v>
      </c>
      <c r="B14634" s="192" t="s">
        <v>1714</v>
      </c>
      <c r="C14634" s="196">
        <v>1606502</v>
      </c>
      <c r="D14634" s="196">
        <v>265699</v>
      </c>
      <c r="E14634" s="196">
        <v>0</v>
      </c>
      <c r="F14634" s="196">
        <v>265699</v>
      </c>
      <c r="G14634" s="196">
        <v>1872201</v>
      </c>
    </row>
    <row r="14635" spans="1:7" x14ac:dyDescent="0.3">
      <c r="A14635" s="198">
        <v>1000646763</v>
      </c>
      <c r="B14635" s="192" t="s">
        <v>2044</v>
      </c>
      <c r="C14635" s="196">
        <v>1613817</v>
      </c>
      <c r="D14635" s="196">
        <v>264889</v>
      </c>
      <c r="E14635" s="196">
        <v>0</v>
      </c>
      <c r="F14635" s="196">
        <v>264889</v>
      </c>
      <c r="G14635" s="196">
        <v>1878706</v>
      </c>
    </row>
    <row r="14636" spans="1:7" x14ac:dyDescent="0.3">
      <c r="A14636" s="198">
        <v>1036639954</v>
      </c>
      <c r="B14636" s="192" t="s">
        <v>2047</v>
      </c>
      <c r="C14636" s="196">
        <v>1259337</v>
      </c>
      <c r="D14636" s="196">
        <v>237425</v>
      </c>
      <c r="E14636" s="196">
        <v>0</v>
      </c>
      <c r="F14636" s="196">
        <v>237425</v>
      </c>
      <c r="G14636" s="196">
        <v>1496762</v>
      </c>
    </row>
    <row r="14637" spans="1:7" x14ac:dyDescent="0.3">
      <c r="A14637" s="198">
        <v>1013456905</v>
      </c>
      <c r="B14637" s="192" t="s">
        <v>1932</v>
      </c>
      <c r="C14637" s="196">
        <v>0</v>
      </c>
      <c r="D14637" s="196">
        <v>138889</v>
      </c>
      <c r="E14637" s="196">
        <v>0</v>
      </c>
      <c r="F14637" s="196">
        <v>138889</v>
      </c>
      <c r="G14637" s="196">
        <v>138889</v>
      </c>
    </row>
    <row r="14638" spans="1:7" x14ac:dyDescent="0.3">
      <c r="A14638" s="198">
        <v>1214732527</v>
      </c>
      <c r="B14638" s="192" t="s">
        <v>1983</v>
      </c>
      <c r="C14638" s="196">
        <v>340582</v>
      </c>
      <c r="D14638" s="196">
        <v>0</v>
      </c>
      <c r="E14638" s="196">
        <v>0</v>
      </c>
      <c r="F14638" s="196">
        <v>0</v>
      </c>
      <c r="G14638" s="196">
        <v>340582</v>
      </c>
    </row>
    <row r="14639" spans="1:7" x14ac:dyDescent="0.3">
      <c r="A14639" s="198">
        <v>1028042115</v>
      </c>
      <c r="B14639" s="192" t="s">
        <v>2067</v>
      </c>
      <c r="C14639" s="196">
        <v>1273522</v>
      </c>
      <c r="D14639" s="196">
        <v>214022</v>
      </c>
      <c r="E14639" s="196">
        <v>0</v>
      </c>
      <c r="F14639" s="196">
        <v>214022</v>
      </c>
      <c r="G14639" s="196">
        <v>1487544</v>
      </c>
    </row>
    <row r="14640" spans="1:7" x14ac:dyDescent="0.3">
      <c r="A14640" s="198">
        <v>1128423802</v>
      </c>
      <c r="B14640" s="192" t="s">
        <v>2053</v>
      </c>
      <c r="C14640" s="196">
        <v>1208895</v>
      </c>
      <c r="D14640" s="196">
        <v>265699</v>
      </c>
      <c r="E14640" s="196">
        <v>0</v>
      </c>
      <c r="F14640" s="196">
        <v>265699</v>
      </c>
      <c r="G14640" s="196">
        <v>1474594</v>
      </c>
    </row>
    <row r="14641" spans="1:7" x14ac:dyDescent="0.3">
      <c r="A14641" s="198">
        <v>1152207950</v>
      </c>
      <c r="B14641" s="192" t="s">
        <v>2056</v>
      </c>
      <c r="C14641" s="196">
        <v>1407881</v>
      </c>
      <c r="D14641" s="196">
        <v>237425</v>
      </c>
      <c r="E14641" s="196">
        <v>0</v>
      </c>
      <c r="F14641" s="196">
        <v>237425</v>
      </c>
      <c r="G14641" s="196">
        <v>1645306</v>
      </c>
    </row>
    <row r="14642" spans="1:7" x14ac:dyDescent="0.3">
      <c r="A14642" s="198">
        <v>1001764247</v>
      </c>
      <c r="B14642" s="192" t="s">
        <v>2057</v>
      </c>
      <c r="C14642" s="196">
        <v>1618058</v>
      </c>
      <c r="D14642" s="196">
        <v>267318</v>
      </c>
      <c r="E14642" s="196">
        <v>0</v>
      </c>
      <c r="F14642" s="196">
        <v>267318</v>
      </c>
      <c r="G14642" s="196">
        <v>1885376</v>
      </c>
    </row>
    <row r="14643" spans="1:7" x14ac:dyDescent="0.3">
      <c r="A14643" s="198">
        <v>1027616481</v>
      </c>
      <c r="B14643" s="192" t="s">
        <v>2059</v>
      </c>
      <c r="C14643" s="196">
        <v>773289</v>
      </c>
      <c r="D14643" s="196">
        <v>221091</v>
      </c>
      <c r="E14643" s="196">
        <v>0</v>
      </c>
      <c r="F14643" s="196">
        <v>221091</v>
      </c>
      <c r="G14643" s="196">
        <v>994380</v>
      </c>
    </row>
    <row r="14644" spans="1:7" x14ac:dyDescent="0.3">
      <c r="A14644" s="198">
        <v>32299587</v>
      </c>
      <c r="B14644" s="192" t="s">
        <v>2060</v>
      </c>
      <c r="C14644" s="196">
        <v>1309761</v>
      </c>
      <c r="D14644" s="196">
        <v>220758</v>
      </c>
      <c r="E14644" s="196">
        <v>0</v>
      </c>
      <c r="F14644" s="196">
        <v>220758</v>
      </c>
      <c r="G14644" s="196">
        <v>1530519</v>
      </c>
    </row>
    <row r="14645" spans="1:7" x14ac:dyDescent="0.3">
      <c r="A14645" s="198">
        <v>43972279</v>
      </c>
      <c r="B14645" s="192" t="s">
        <v>2061</v>
      </c>
      <c r="C14645" s="196">
        <v>2101466</v>
      </c>
      <c r="D14645" s="196">
        <v>457875</v>
      </c>
      <c r="E14645" s="196">
        <v>0</v>
      </c>
      <c r="F14645" s="196">
        <v>457875</v>
      </c>
      <c r="G14645" s="196">
        <v>2559341</v>
      </c>
    </row>
    <row r="14646" spans="1:7" x14ac:dyDescent="0.3">
      <c r="A14646" s="198">
        <v>1001510696</v>
      </c>
      <c r="B14646" s="192" t="s">
        <v>2062</v>
      </c>
      <c r="C14646" s="196">
        <v>2202042</v>
      </c>
      <c r="D14646" s="196">
        <v>366667</v>
      </c>
      <c r="E14646" s="196">
        <v>0</v>
      </c>
      <c r="F14646" s="196">
        <v>366667</v>
      </c>
      <c r="G14646" s="196">
        <v>2568709</v>
      </c>
    </row>
    <row r="14647" spans="1:7" x14ac:dyDescent="0.3">
      <c r="A14647" s="197">
        <v>720539</v>
      </c>
      <c r="B14647" s="191" t="s">
        <v>2359</v>
      </c>
      <c r="C14647" s="195">
        <v>22201187</v>
      </c>
      <c r="D14647" s="195">
        <v>3056205</v>
      </c>
      <c r="E14647" s="195">
        <v>0</v>
      </c>
      <c r="F14647" s="195">
        <v>3056205</v>
      </c>
      <c r="G14647" s="195">
        <v>25257392</v>
      </c>
    </row>
    <row r="14648" spans="1:7" x14ac:dyDescent="0.3">
      <c r="A14648" s="198">
        <v>72053901</v>
      </c>
      <c r="B14648" s="192" t="s">
        <v>2359</v>
      </c>
      <c r="C14648" s="196">
        <v>22201187</v>
      </c>
      <c r="D14648" s="196">
        <v>3056205</v>
      </c>
      <c r="E14648" s="196">
        <v>0</v>
      </c>
      <c r="F14648" s="196">
        <v>3056205</v>
      </c>
      <c r="G14648" s="196">
        <v>25257392</v>
      </c>
    </row>
    <row r="14649" spans="1:7" x14ac:dyDescent="0.3">
      <c r="A14649" s="198">
        <v>32391236</v>
      </c>
      <c r="B14649" s="192" t="s">
        <v>2029</v>
      </c>
      <c r="C14649" s="196">
        <v>500000</v>
      </c>
      <c r="D14649" s="196">
        <v>83333</v>
      </c>
      <c r="E14649" s="196">
        <v>0</v>
      </c>
      <c r="F14649" s="196">
        <v>83333</v>
      </c>
      <c r="G14649" s="196">
        <v>583333</v>
      </c>
    </row>
    <row r="14650" spans="1:7" x14ac:dyDescent="0.3">
      <c r="A14650" s="198">
        <v>1037644962</v>
      </c>
      <c r="B14650" s="192" t="s">
        <v>260</v>
      </c>
      <c r="C14650" s="196">
        <v>901025</v>
      </c>
      <c r="D14650" s="196">
        <v>123775</v>
      </c>
      <c r="E14650" s="196">
        <v>0</v>
      </c>
      <c r="F14650" s="196">
        <v>123775</v>
      </c>
      <c r="G14650" s="196">
        <v>1024800</v>
      </c>
    </row>
    <row r="14651" spans="1:7" x14ac:dyDescent="0.3">
      <c r="A14651" s="198">
        <v>1037266322</v>
      </c>
      <c r="B14651" s="192" t="s">
        <v>2031</v>
      </c>
      <c r="C14651" s="196">
        <v>135232</v>
      </c>
      <c r="D14651" s="196">
        <v>0</v>
      </c>
      <c r="E14651" s="196">
        <v>0</v>
      </c>
      <c r="F14651" s="196">
        <v>0</v>
      </c>
      <c r="G14651" s="196">
        <v>135232</v>
      </c>
    </row>
    <row r="14652" spans="1:7" x14ac:dyDescent="0.3">
      <c r="A14652" s="198">
        <v>1041229735</v>
      </c>
      <c r="B14652" s="192" t="s">
        <v>2033</v>
      </c>
      <c r="C14652" s="196">
        <v>1504490</v>
      </c>
      <c r="D14652" s="196">
        <v>123255</v>
      </c>
      <c r="E14652" s="196">
        <v>0</v>
      </c>
      <c r="F14652" s="196">
        <v>123255</v>
      </c>
      <c r="G14652" s="196">
        <v>1627745</v>
      </c>
    </row>
    <row r="14653" spans="1:7" x14ac:dyDescent="0.3">
      <c r="A14653" s="198">
        <v>1216716838</v>
      </c>
      <c r="B14653" s="192" t="s">
        <v>2036</v>
      </c>
      <c r="C14653" s="196">
        <v>754167</v>
      </c>
      <c r="D14653" s="196">
        <v>108333</v>
      </c>
      <c r="E14653" s="196">
        <v>0</v>
      </c>
      <c r="F14653" s="196">
        <v>108333</v>
      </c>
      <c r="G14653" s="196">
        <v>862500</v>
      </c>
    </row>
    <row r="14654" spans="1:7" x14ac:dyDescent="0.3">
      <c r="A14654" s="198">
        <v>71526513</v>
      </c>
      <c r="B14654" s="192" t="s">
        <v>1643</v>
      </c>
      <c r="C14654" s="196">
        <v>1739489</v>
      </c>
      <c r="D14654" s="196">
        <v>184813</v>
      </c>
      <c r="E14654" s="196">
        <v>0</v>
      </c>
      <c r="F14654" s="196">
        <v>184813</v>
      </c>
      <c r="G14654" s="196">
        <v>1924302</v>
      </c>
    </row>
    <row r="14655" spans="1:7" x14ac:dyDescent="0.3">
      <c r="A14655" s="198">
        <v>1042458852</v>
      </c>
      <c r="B14655" s="192" t="s">
        <v>1711</v>
      </c>
      <c r="C14655" s="196">
        <v>2690464</v>
      </c>
      <c r="D14655" s="196">
        <v>227803</v>
      </c>
      <c r="E14655" s="196">
        <v>0</v>
      </c>
      <c r="F14655" s="196">
        <v>227803</v>
      </c>
      <c r="G14655" s="196">
        <v>2918267</v>
      </c>
    </row>
    <row r="14656" spans="1:7" x14ac:dyDescent="0.3">
      <c r="A14656" s="198">
        <v>1152440998</v>
      </c>
      <c r="B14656" s="192" t="s">
        <v>2039</v>
      </c>
      <c r="C14656" s="196">
        <v>1836421</v>
      </c>
      <c r="D14656" s="196">
        <v>226969</v>
      </c>
      <c r="E14656" s="196">
        <v>0</v>
      </c>
      <c r="F14656" s="196">
        <v>226969</v>
      </c>
      <c r="G14656" s="196">
        <v>2063390</v>
      </c>
    </row>
    <row r="14657" spans="1:7" x14ac:dyDescent="0.3">
      <c r="A14657" s="198">
        <v>1144039609</v>
      </c>
      <c r="B14657" s="192" t="s">
        <v>2041</v>
      </c>
      <c r="C14657" s="196">
        <v>1166621</v>
      </c>
      <c r="D14657" s="196">
        <v>227044</v>
      </c>
      <c r="E14657" s="196">
        <v>0</v>
      </c>
      <c r="F14657" s="196">
        <v>227044</v>
      </c>
      <c r="G14657" s="196">
        <v>1393665</v>
      </c>
    </row>
    <row r="14658" spans="1:7" x14ac:dyDescent="0.3">
      <c r="A14658" s="198">
        <v>1037636353</v>
      </c>
      <c r="B14658" s="192" t="s">
        <v>2042</v>
      </c>
      <c r="C14658" s="196">
        <v>753889</v>
      </c>
      <c r="D14658" s="196">
        <v>0</v>
      </c>
      <c r="E14658" s="196">
        <v>0</v>
      </c>
      <c r="F14658" s="196">
        <v>0</v>
      </c>
      <c r="G14658" s="196">
        <v>753889</v>
      </c>
    </row>
    <row r="14659" spans="1:7" x14ac:dyDescent="0.3">
      <c r="A14659" s="198">
        <v>1128385262</v>
      </c>
      <c r="B14659" s="192" t="s">
        <v>1714</v>
      </c>
      <c r="C14659" s="196">
        <v>1030065</v>
      </c>
      <c r="D14659" s="196">
        <v>122962</v>
      </c>
      <c r="E14659" s="196">
        <v>0</v>
      </c>
      <c r="F14659" s="196">
        <v>122962</v>
      </c>
      <c r="G14659" s="196">
        <v>1153027</v>
      </c>
    </row>
    <row r="14660" spans="1:7" x14ac:dyDescent="0.3">
      <c r="A14660" s="198">
        <v>1000646763</v>
      </c>
      <c r="B14660" s="192" t="s">
        <v>2044</v>
      </c>
      <c r="C14660" s="196">
        <v>1087729</v>
      </c>
      <c r="D14660" s="196">
        <v>124716</v>
      </c>
      <c r="E14660" s="196">
        <v>0</v>
      </c>
      <c r="F14660" s="196">
        <v>124716</v>
      </c>
      <c r="G14660" s="196">
        <v>1212445</v>
      </c>
    </row>
    <row r="14661" spans="1:7" x14ac:dyDescent="0.3">
      <c r="A14661" s="198">
        <v>1036639954</v>
      </c>
      <c r="B14661" s="192" t="s">
        <v>2047</v>
      </c>
      <c r="C14661" s="196">
        <v>594766</v>
      </c>
      <c r="D14661" s="196">
        <v>190214</v>
      </c>
      <c r="E14661" s="196">
        <v>0</v>
      </c>
      <c r="F14661" s="196">
        <v>190214</v>
      </c>
      <c r="G14661" s="196">
        <v>784980</v>
      </c>
    </row>
    <row r="14662" spans="1:7" x14ac:dyDescent="0.3">
      <c r="A14662" s="198">
        <v>1013456905</v>
      </c>
      <c r="B14662" s="192" t="s">
        <v>1932</v>
      </c>
      <c r="C14662" s="196">
        <v>0</v>
      </c>
      <c r="D14662" s="196">
        <v>60795</v>
      </c>
      <c r="E14662" s="196">
        <v>0</v>
      </c>
      <c r="F14662" s="196">
        <v>60795</v>
      </c>
      <c r="G14662" s="196">
        <v>60795</v>
      </c>
    </row>
    <row r="14663" spans="1:7" x14ac:dyDescent="0.3">
      <c r="A14663" s="198">
        <v>1214732527</v>
      </c>
      <c r="B14663" s="192" t="s">
        <v>1983</v>
      </c>
      <c r="C14663" s="196">
        <v>176830</v>
      </c>
      <c r="D14663" s="196">
        <v>0</v>
      </c>
      <c r="E14663" s="196">
        <v>0</v>
      </c>
      <c r="F14663" s="196">
        <v>0</v>
      </c>
      <c r="G14663" s="196">
        <v>176830</v>
      </c>
    </row>
    <row r="14664" spans="1:7" x14ac:dyDescent="0.3">
      <c r="A14664" s="198">
        <v>1028042115</v>
      </c>
      <c r="B14664" s="192" t="s">
        <v>2067</v>
      </c>
      <c r="C14664" s="196">
        <v>782148</v>
      </c>
      <c r="D14664" s="196">
        <v>96533</v>
      </c>
      <c r="E14664" s="196">
        <v>0</v>
      </c>
      <c r="F14664" s="196">
        <v>96533</v>
      </c>
      <c r="G14664" s="196">
        <v>878681</v>
      </c>
    </row>
    <row r="14665" spans="1:7" x14ac:dyDescent="0.3">
      <c r="A14665" s="198">
        <v>1128423802</v>
      </c>
      <c r="B14665" s="192" t="s">
        <v>2053</v>
      </c>
      <c r="C14665" s="196">
        <v>557742</v>
      </c>
      <c r="D14665" s="196">
        <v>122471</v>
      </c>
      <c r="E14665" s="196">
        <v>0</v>
      </c>
      <c r="F14665" s="196">
        <v>122471</v>
      </c>
      <c r="G14665" s="196">
        <v>680213</v>
      </c>
    </row>
    <row r="14666" spans="1:7" x14ac:dyDescent="0.3">
      <c r="A14666" s="198">
        <v>1152207950</v>
      </c>
      <c r="B14666" s="192" t="s">
        <v>2056</v>
      </c>
      <c r="C14666" s="196">
        <v>900000</v>
      </c>
      <c r="D14666" s="196">
        <v>108333</v>
      </c>
      <c r="E14666" s="196">
        <v>0</v>
      </c>
      <c r="F14666" s="196">
        <v>108333</v>
      </c>
      <c r="G14666" s="196">
        <v>1008333</v>
      </c>
    </row>
    <row r="14667" spans="1:7" x14ac:dyDescent="0.3">
      <c r="A14667" s="198">
        <v>1001764247</v>
      </c>
      <c r="B14667" s="192" t="s">
        <v>2057</v>
      </c>
      <c r="C14667" s="196">
        <v>1315884</v>
      </c>
      <c r="D14667" s="196">
        <v>312040</v>
      </c>
      <c r="E14667" s="196">
        <v>0</v>
      </c>
      <c r="F14667" s="196">
        <v>312040</v>
      </c>
      <c r="G14667" s="196">
        <v>1627924</v>
      </c>
    </row>
    <row r="14668" spans="1:7" x14ac:dyDescent="0.3">
      <c r="A14668" s="198">
        <v>1027616481</v>
      </c>
      <c r="B14668" s="192" t="s">
        <v>2059</v>
      </c>
      <c r="C14668" s="196">
        <v>350318</v>
      </c>
      <c r="D14668" s="196">
        <v>100167</v>
      </c>
      <c r="E14668" s="196">
        <v>0</v>
      </c>
      <c r="F14668" s="196">
        <v>100167</v>
      </c>
      <c r="G14668" s="196">
        <v>450485</v>
      </c>
    </row>
    <row r="14669" spans="1:7" x14ac:dyDescent="0.3">
      <c r="A14669" s="198">
        <v>32299587</v>
      </c>
      <c r="B14669" s="192" t="s">
        <v>2060</v>
      </c>
      <c r="C14669" s="196">
        <v>832198</v>
      </c>
      <c r="D14669" s="196">
        <v>100294</v>
      </c>
      <c r="E14669" s="196">
        <v>0</v>
      </c>
      <c r="F14669" s="196">
        <v>100294</v>
      </c>
      <c r="G14669" s="196">
        <v>932492</v>
      </c>
    </row>
    <row r="14670" spans="1:7" x14ac:dyDescent="0.3">
      <c r="A14670" s="198">
        <v>43972279</v>
      </c>
      <c r="B14670" s="192" t="s">
        <v>2061</v>
      </c>
      <c r="C14670" s="196">
        <v>1050733</v>
      </c>
      <c r="D14670" s="196">
        <v>228937</v>
      </c>
      <c r="E14670" s="196">
        <v>0</v>
      </c>
      <c r="F14670" s="196">
        <v>228937</v>
      </c>
      <c r="G14670" s="196">
        <v>1279670</v>
      </c>
    </row>
    <row r="14671" spans="1:7" x14ac:dyDescent="0.3">
      <c r="A14671" s="198">
        <v>1001510696</v>
      </c>
      <c r="B14671" s="192" t="s">
        <v>2062</v>
      </c>
      <c r="C14671" s="196">
        <v>1540976</v>
      </c>
      <c r="D14671" s="196">
        <v>183418</v>
      </c>
      <c r="E14671" s="196">
        <v>0</v>
      </c>
      <c r="F14671" s="196">
        <v>183418</v>
      </c>
      <c r="G14671" s="196">
        <v>1724394</v>
      </c>
    </row>
    <row r="14672" spans="1:7" x14ac:dyDescent="0.3">
      <c r="A14672" s="197">
        <v>720548</v>
      </c>
      <c r="B14672" s="191" t="s">
        <v>7449</v>
      </c>
      <c r="C14672" s="195">
        <v>9511998</v>
      </c>
      <c r="D14672" s="195">
        <v>1411998</v>
      </c>
      <c r="E14672" s="195">
        <v>0</v>
      </c>
      <c r="F14672" s="195">
        <v>1411998</v>
      </c>
      <c r="G14672" s="195">
        <v>10923996</v>
      </c>
    </row>
    <row r="14673" spans="1:7" x14ac:dyDescent="0.3">
      <c r="A14673" s="198">
        <v>72054825</v>
      </c>
      <c r="B14673" s="192" t="s">
        <v>7450</v>
      </c>
      <c r="C14673" s="196">
        <v>9511998</v>
      </c>
      <c r="D14673" s="196">
        <v>1411998</v>
      </c>
      <c r="E14673" s="196">
        <v>0</v>
      </c>
      <c r="F14673" s="196">
        <v>1411998</v>
      </c>
      <c r="G14673" s="196">
        <v>10923996</v>
      </c>
    </row>
    <row r="14674" spans="1:7" x14ac:dyDescent="0.3">
      <c r="A14674" s="198">
        <v>1037644962</v>
      </c>
      <c r="B14674" s="192" t="s">
        <v>260</v>
      </c>
      <c r="C14674" s="196">
        <v>628333</v>
      </c>
      <c r="D14674" s="196">
        <v>123333</v>
      </c>
      <c r="E14674" s="196">
        <v>0</v>
      </c>
      <c r="F14674" s="196">
        <v>123333</v>
      </c>
      <c r="G14674" s="196">
        <v>751666</v>
      </c>
    </row>
    <row r="14675" spans="1:7" x14ac:dyDescent="0.3">
      <c r="A14675" s="198">
        <v>1041229735</v>
      </c>
      <c r="B14675" s="192" t="s">
        <v>2033</v>
      </c>
      <c r="C14675" s="196">
        <v>1048666</v>
      </c>
      <c r="D14675" s="196">
        <v>193333</v>
      </c>
      <c r="E14675" s="196">
        <v>0</v>
      </c>
      <c r="F14675" s="196">
        <v>193333</v>
      </c>
      <c r="G14675" s="196">
        <v>1241999</v>
      </c>
    </row>
    <row r="14676" spans="1:7" x14ac:dyDescent="0.3">
      <c r="A14676" s="198">
        <v>1216716838</v>
      </c>
      <c r="B14676" s="192" t="s">
        <v>2036</v>
      </c>
      <c r="C14676" s="196">
        <v>399000</v>
      </c>
      <c r="D14676" s="196">
        <v>84000</v>
      </c>
      <c r="E14676" s="196">
        <v>0</v>
      </c>
      <c r="F14676" s="196">
        <v>84000</v>
      </c>
      <c r="G14676" s="196">
        <v>483000</v>
      </c>
    </row>
    <row r="14677" spans="1:7" x14ac:dyDescent="0.3">
      <c r="A14677" s="198">
        <v>71526513</v>
      </c>
      <c r="B14677" s="192" t="s">
        <v>1643</v>
      </c>
      <c r="C14677" s="196">
        <v>1272000</v>
      </c>
      <c r="D14677" s="196">
        <v>0</v>
      </c>
      <c r="E14677" s="196">
        <v>0</v>
      </c>
      <c r="F14677" s="196">
        <v>0</v>
      </c>
      <c r="G14677" s="196">
        <v>1272000</v>
      </c>
    </row>
    <row r="14678" spans="1:7" x14ac:dyDescent="0.3">
      <c r="A14678" s="198">
        <v>1037636353</v>
      </c>
      <c r="B14678" s="192" t="s">
        <v>2042</v>
      </c>
      <c r="C14678" s="196">
        <v>443333</v>
      </c>
      <c r="D14678" s="196">
        <v>0</v>
      </c>
      <c r="E14678" s="196">
        <v>0</v>
      </c>
      <c r="F14678" s="196">
        <v>0</v>
      </c>
      <c r="G14678" s="196">
        <v>443333</v>
      </c>
    </row>
    <row r="14679" spans="1:7" x14ac:dyDescent="0.3">
      <c r="A14679" s="198">
        <v>1128385262</v>
      </c>
      <c r="B14679" s="192" t="s">
        <v>1714</v>
      </c>
      <c r="C14679" s="196">
        <v>766666</v>
      </c>
      <c r="D14679" s="196">
        <v>133333</v>
      </c>
      <c r="E14679" s="196">
        <v>0</v>
      </c>
      <c r="F14679" s="196">
        <v>133333</v>
      </c>
      <c r="G14679" s="196">
        <v>899999</v>
      </c>
    </row>
    <row r="14680" spans="1:7" x14ac:dyDescent="0.3">
      <c r="A14680" s="198">
        <v>1000646763</v>
      </c>
      <c r="B14680" s="192" t="s">
        <v>2044</v>
      </c>
      <c r="C14680" s="196">
        <v>717999</v>
      </c>
      <c r="D14680" s="196">
        <v>123333</v>
      </c>
      <c r="E14680" s="196">
        <v>0</v>
      </c>
      <c r="F14680" s="196">
        <v>123333</v>
      </c>
      <c r="G14680" s="196">
        <v>841332</v>
      </c>
    </row>
    <row r="14681" spans="1:7" x14ac:dyDescent="0.3">
      <c r="A14681" s="198">
        <v>1036639954</v>
      </c>
      <c r="B14681" s="192" t="s">
        <v>2047</v>
      </c>
      <c r="C14681" s="196">
        <v>590001</v>
      </c>
      <c r="D14681" s="196">
        <v>90000</v>
      </c>
      <c r="E14681" s="196">
        <v>0</v>
      </c>
      <c r="F14681" s="196">
        <v>90000</v>
      </c>
      <c r="G14681" s="196">
        <v>680001</v>
      </c>
    </row>
    <row r="14682" spans="1:7" x14ac:dyDescent="0.3">
      <c r="A14682" s="198">
        <v>1028042115</v>
      </c>
      <c r="B14682" s="192" t="s">
        <v>2067</v>
      </c>
      <c r="C14682" s="196">
        <v>580000</v>
      </c>
      <c r="D14682" s="196">
        <v>90000</v>
      </c>
      <c r="E14682" s="196">
        <v>0</v>
      </c>
      <c r="F14682" s="196">
        <v>90000</v>
      </c>
      <c r="G14682" s="196">
        <v>670000</v>
      </c>
    </row>
    <row r="14683" spans="1:7" x14ac:dyDescent="0.3">
      <c r="A14683" s="198">
        <v>1128423802</v>
      </c>
      <c r="B14683" s="192" t="s">
        <v>2053</v>
      </c>
      <c r="C14683" s="196">
        <v>504999</v>
      </c>
      <c r="D14683" s="196">
        <v>123333</v>
      </c>
      <c r="E14683" s="196">
        <v>0</v>
      </c>
      <c r="F14683" s="196">
        <v>123333</v>
      </c>
      <c r="G14683" s="196">
        <v>628332</v>
      </c>
    </row>
    <row r="14684" spans="1:7" x14ac:dyDescent="0.3">
      <c r="A14684" s="198">
        <v>1152207950</v>
      </c>
      <c r="B14684" s="192" t="s">
        <v>2056</v>
      </c>
      <c r="C14684" s="196">
        <v>586667</v>
      </c>
      <c r="D14684" s="196">
        <v>100000</v>
      </c>
      <c r="E14684" s="196">
        <v>0</v>
      </c>
      <c r="F14684" s="196">
        <v>100000</v>
      </c>
      <c r="G14684" s="196">
        <v>686667</v>
      </c>
    </row>
    <row r="14685" spans="1:7" x14ac:dyDescent="0.3">
      <c r="A14685" s="198">
        <v>1001764247</v>
      </c>
      <c r="B14685" s="192" t="s">
        <v>2057</v>
      </c>
      <c r="C14685" s="196">
        <v>1086000</v>
      </c>
      <c r="D14685" s="196">
        <v>161333</v>
      </c>
      <c r="E14685" s="196">
        <v>0</v>
      </c>
      <c r="F14685" s="196">
        <v>161333</v>
      </c>
      <c r="G14685" s="196">
        <v>1247333</v>
      </c>
    </row>
    <row r="14686" spans="1:7" x14ac:dyDescent="0.3">
      <c r="A14686" s="198">
        <v>1027616481</v>
      </c>
      <c r="B14686" s="192" t="s">
        <v>2059</v>
      </c>
      <c r="C14686" s="196">
        <v>315000</v>
      </c>
      <c r="D14686" s="196">
        <v>90000</v>
      </c>
      <c r="E14686" s="196">
        <v>0</v>
      </c>
      <c r="F14686" s="196">
        <v>90000</v>
      </c>
      <c r="G14686" s="196">
        <v>405000</v>
      </c>
    </row>
    <row r="14687" spans="1:7" x14ac:dyDescent="0.3">
      <c r="A14687" s="198">
        <v>32299587</v>
      </c>
      <c r="B14687" s="192" t="s">
        <v>2060</v>
      </c>
      <c r="C14687" s="196">
        <v>573334</v>
      </c>
      <c r="D14687" s="196">
        <v>100000</v>
      </c>
      <c r="E14687" s="196">
        <v>0</v>
      </c>
      <c r="F14687" s="196">
        <v>100000</v>
      </c>
      <c r="G14687" s="196">
        <v>673334</v>
      </c>
    </row>
    <row r="14688" spans="1:7" x14ac:dyDescent="0.3">
      <c r="A14688" s="197">
        <v>720560</v>
      </c>
      <c r="B14688" s="191" t="s">
        <v>7455</v>
      </c>
      <c r="C14688" s="195">
        <v>12351793</v>
      </c>
      <c r="D14688" s="195">
        <v>0</v>
      </c>
      <c r="E14688" s="195">
        <v>0</v>
      </c>
      <c r="F14688" s="195">
        <v>0</v>
      </c>
      <c r="G14688" s="195">
        <v>12351793</v>
      </c>
    </row>
    <row r="14689" spans="1:7" x14ac:dyDescent="0.3">
      <c r="A14689" s="198">
        <v>72056001</v>
      </c>
      <c r="B14689" s="192" t="s">
        <v>7455</v>
      </c>
      <c r="C14689" s="196">
        <v>12351793</v>
      </c>
      <c r="D14689" s="196">
        <v>0</v>
      </c>
      <c r="E14689" s="196">
        <v>0</v>
      </c>
      <c r="F14689" s="196">
        <v>0</v>
      </c>
      <c r="G14689" s="196">
        <v>12351793</v>
      </c>
    </row>
    <row r="14690" spans="1:7" x14ac:dyDescent="0.3">
      <c r="A14690" s="198">
        <v>1216716838</v>
      </c>
      <c r="B14690" s="192" t="s">
        <v>2036</v>
      </c>
      <c r="C14690" s="196">
        <v>2400000</v>
      </c>
      <c r="D14690" s="196">
        <v>0</v>
      </c>
      <c r="E14690" s="196">
        <v>0</v>
      </c>
      <c r="F14690" s="196">
        <v>0</v>
      </c>
      <c r="G14690" s="196">
        <v>2400000</v>
      </c>
    </row>
    <row r="14691" spans="1:7" x14ac:dyDescent="0.3">
      <c r="A14691" s="198">
        <v>1037636353</v>
      </c>
      <c r="B14691" s="192" t="s">
        <v>2042</v>
      </c>
      <c r="C14691" s="196">
        <v>2600000</v>
      </c>
      <c r="D14691" s="196">
        <v>0</v>
      </c>
      <c r="E14691" s="196">
        <v>0</v>
      </c>
      <c r="F14691" s="196">
        <v>0</v>
      </c>
      <c r="G14691" s="196">
        <v>2600000</v>
      </c>
    </row>
    <row r="14692" spans="1:7" x14ac:dyDescent="0.3">
      <c r="A14692" s="198">
        <v>1214732527</v>
      </c>
      <c r="B14692" s="192" t="s">
        <v>1983</v>
      </c>
      <c r="C14692" s="196">
        <v>7351793</v>
      </c>
      <c r="D14692" s="196">
        <v>0</v>
      </c>
      <c r="E14692" s="196">
        <v>0</v>
      </c>
      <c r="F14692" s="196">
        <v>0</v>
      </c>
      <c r="G14692" s="196">
        <v>7351793</v>
      </c>
    </row>
    <row r="14693" spans="1:7" x14ac:dyDescent="0.3">
      <c r="A14693" s="197">
        <v>720568</v>
      </c>
      <c r="B14693" s="191" t="s">
        <v>7457</v>
      </c>
      <c r="C14693" s="195">
        <v>3754400</v>
      </c>
      <c r="D14693" s="195">
        <v>671000</v>
      </c>
      <c r="E14693" s="195">
        <v>0</v>
      </c>
      <c r="F14693" s="195">
        <v>671000</v>
      </c>
      <c r="G14693" s="195">
        <v>4425400</v>
      </c>
    </row>
    <row r="14694" spans="1:7" x14ac:dyDescent="0.3">
      <c r="A14694" s="198">
        <v>72056801</v>
      </c>
      <c r="B14694" s="192" t="s">
        <v>7457</v>
      </c>
      <c r="C14694" s="196">
        <v>3754400</v>
      </c>
      <c r="D14694" s="196">
        <v>671000</v>
      </c>
      <c r="E14694" s="196">
        <v>0</v>
      </c>
      <c r="F14694" s="196">
        <v>671000</v>
      </c>
      <c r="G14694" s="196">
        <v>4425400</v>
      </c>
    </row>
    <row r="14695" spans="1:7" x14ac:dyDescent="0.3">
      <c r="A14695" s="198">
        <v>800226175</v>
      </c>
      <c r="B14695" s="192" t="s">
        <v>2069</v>
      </c>
      <c r="C14695" s="196">
        <v>3754400</v>
      </c>
      <c r="D14695" s="196">
        <v>671000</v>
      </c>
      <c r="E14695" s="196">
        <v>0</v>
      </c>
      <c r="F14695" s="196">
        <v>671000</v>
      </c>
      <c r="G14695" s="196">
        <v>4425400</v>
      </c>
    </row>
    <row r="14696" spans="1:7" x14ac:dyDescent="0.3">
      <c r="A14696" s="197">
        <v>720569</v>
      </c>
      <c r="B14696" s="191" t="s">
        <v>7458</v>
      </c>
      <c r="C14696" s="195">
        <v>14144</v>
      </c>
      <c r="D14696" s="195">
        <v>992</v>
      </c>
      <c r="E14696" s="195">
        <v>900</v>
      </c>
      <c r="F14696" s="195">
        <v>92</v>
      </c>
      <c r="G14696" s="195">
        <v>14236</v>
      </c>
    </row>
    <row r="14697" spans="1:7" x14ac:dyDescent="0.3">
      <c r="A14697" s="198">
        <v>72056901</v>
      </c>
      <c r="B14697" s="192" t="s">
        <v>7459</v>
      </c>
      <c r="C14697" s="196">
        <v>14144</v>
      </c>
      <c r="D14697" s="196">
        <v>992</v>
      </c>
      <c r="E14697" s="196">
        <v>900</v>
      </c>
      <c r="F14697" s="196">
        <v>92</v>
      </c>
      <c r="G14697" s="196">
        <v>14236</v>
      </c>
    </row>
    <row r="14698" spans="1:7" x14ac:dyDescent="0.3">
      <c r="A14698" s="198">
        <v>800088702</v>
      </c>
      <c r="B14698" s="192" t="s">
        <v>2032</v>
      </c>
      <c r="C14698" s="196">
        <v>13707</v>
      </c>
      <c r="D14698" s="196">
        <v>937</v>
      </c>
      <c r="E14698" s="196">
        <v>900</v>
      </c>
      <c r="F14698" s="196">
        <v>37</v>
      </c>
      <c r="G14698" s="196">
        <v>13744</v>
      </c>
    </row>
    <row r="14699" spans="1:7" x14ac:dyDescent="0.3">
      <c r="A14699" s="198">
        <v>800251440</v>
      </c>
      <c r="B14699" s="192" t="s">
        <v>2035</v>
      </c>
      <c r="C14699" s="196">
        <v>437</v>
      </c>
      <c r="D14699" s="196">
        <v>55</v>
      </c>
      <c r="E14699" s="196">
        <v>0</v>
      </c>
      <c r="F14699" s="196">
        <v>55</v>
      </c>
      <c r="G14699" s="196">
        <v>492</v>
      </c>
    </row>
    <row r="14700" spans="1:7" x14ac:dyDescent="0.3">
      <c r="A14700" s="197">
        <v>720570</v>
      </c>
      <c r="B14700" s="191" t="s">
        <v>7460</v>
      </c>
      <c r="C14700" s="195">
        <v>45623544</v>
      </c>
      <c r="D14700" s="195">
        <v>7992192</v>
      </c>
      <c r="E14700" s="195">
        <v>0</v>
      </c>
      <c r="F14700" s="195">
        <v>7992192</v>
      </c>
      <c r="G14700" s="195">
        <v>53615736</v>
      </c>
    </row>
    <row r="14701" spans="1:7" x14ac:dyDescent="0.3">
      <c r="A14701" s="198">
        <v>72057001</v>
      </c>
      <c r="B14701" s="192" t="s">
        <v>7461</v>
      </c>
      <c r="C14701" s="196">
        <v>45623544</v>
      </c>
      <c r="D14701" s="196">
        <v>7992192</v>
      </c>
      <c r="E14701" s="196">
        <v>0</v>
      </c>
      <c r="F14701" s="196">
        <v>7992192</v>
      </c>
      <c r="G14701" s="196">
        <v>53615736</v>
      </c>
    </row>
    <row r="14702" spans="1:7" x14ac:dyDescent="0.3">
      <c r="A14702" s="198">
        <v>900336004</v>
      </c>
      <c r="B14702" s="192" t="s">
        <v>2086</v>
      </c>
      <c r="C14702" s="196">
        <v>7440882</v>
      </c>
      <c r="D14702" s="196">
        <v>1234701</v>
      </c>
      <c r="E14702" s="196">
        <v>0</v>
      </c>
      <c r="F14702" s="196">
        <v>1234701</v>
      </c>
      <c r="G14702" s="196">
        <v>8675583</v>
      </c>
    </row>
    <row r="14703" spans="1:7" x14ac:dyDescent="0.3">
      <c r="A14703" s="198">
        <v>800227940</v>
      </c>
      <c r="B14703" s="192" t="s">
        <v>2087</v>
      </c>
      <c r="C14703" s="196">
        <v>9891297</v>
      </c>
      <c r="D14703" s="196">
        <v>1478891</v>
      </c>
      <c r="E14703" s="196">
        <v>0</v>
      </c>
      <c r="F14703" s="196">
        <v>1478891</v>
      </c>
      <c r="G14703" s="196">
        <v>11370188</v>
      </c>
    </row>
    <row r="14704" spans="1:7" x14ac:dyDescent="0.3">
      <c r="A14704" s="198">
        <v>800224808</v>
      </c>
      <c r="B14704" s="192" t="s">
        <v>2084</v>
      </c>
      <c r="C14704" s="196">
        <v>18499939</v>
      </c>
      <c r="D14704" s="196">
        <v>3191599</v>
      </c>
      <c r="E14704" s="196">
        <v>0</v>
      </c>
      <c r="F14704" s="196">
        <v>3191599</v>
      </c>
      <c r="G14704" s="196">
        <v>21691538</v>
      </c>
    </row>
    <row r="14705" spans="1:7" x14ac:dyDescent="0.3">
      <c r="A14705" s="198">
        <v>800229739</v>
      </c>
      <c r="B14705" s="192" t="s">
        <v>2079</v>
      </c>
      <c r="C14705" s="196">
        <v>9791426</v>
      </c>
      <c r="D14705" s="196">
        <v>2087001</v>
      </c>
      <c r="E14705" s="196">
        <v>0</v>
      </c>
      <c r="F14705" s="196">
        <v>2087001</v>
      </c>
      <c r="G14705" s="196">
        <v>11878427</v>
      </c>
    </row>
    <row r="14706" spans="1:7" x14ac:dyDescent="0.3">
      <c r="A14706" s="197">
        <v>720572</v>
      </c>
      <c r="B14706" s="191" t="s">
        <v>7462</v>
      </c>
      <c r="C14706" s="195">
        <v>15399000</v>
      </c>
      <c r="D14706" s="195">
        <v>2650200</v>
      </c>
      <c r="E14706" s="195">
        <v>0</v>
      </c>
      <c r="F14706" s="195">
        <v>2650200</v>
      </c>
      <c r="G14706" s="195">
        <v>18049200</v>
      </c>
    </row>
    <row r="14707" spans="1:7" x14ac:dyDescent="0.3">
      <c r="A14707" s="198">
        <v>72057201</v>
      </c>
      <c r="B14707" s="192" t="s">
        <v>7462</v>
      </c>
      <c r="C14707" s="196">
        <v>15399000</v>
      </c>
      <c r="D14707" s="196">
        <v>2650200</v>
      </c>
      <c r="E14707" s="196">
        <v>0</v>
      </c>
      <c r="F14707" s="196">
        <v>2650200</v>
      </c>
      <c r="G14707" s="196">
        <v>18049200</v>
      </c>
    </row>
    <row r="14708" spans="1:7" x14ac:dyDescent="0.3">
      <c r="A14708" s="198">
        <v>890900841</v>
      </c>
      <c r="B14708" s="192" t="s">
        <v>1866</v>
      </c>
      <c r="C14708" s="196">
        <v>15399000</v>
      </c>
      <c r="D14708" s="196">
        <v>2650200</v>
      </c>
      <c r="E14708" s="196">
        <v>0</v>
      </c>
      <c r="F14708" s="196">
        <v>2650200</v>
      </c>
      <c r="G14708" s="196">
        <v>18049200</v>
      </c>
    </row>
    <row r="14710" spans="1:7" ht="15" customHeight="1" x14ac:dyDescent="0.3">
      <c r="B14710" s="193" t="s">
        <v>7679</v>
      </c>
      <c r="C14710" s="194">
        <v>0</v>
      </c>
      <c r="D14710" s="194">
        <v>8451503096.0600004</v>
      </c>
      <c r="E14710" s="194">
        <v>8451503096.0600004</v>
      </c>
      <c r="F14710" s="194">
        <v>0</v>
      </c>
      <c r="G14710" s="194">
        <v>0</v>
      </c>
    </row>
  </sheetData>
  <mergeCells count="4">
    <mergeCell ref="B1:G1"/>
    <mergeCell ref="B2:G2"/>
    <mergeCell ref="B3:G3"/>
    <mergeCell ref="B4:G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2.ESF</vt:lpstr>
      <vt:lpstr>3.ERI</vt:lpstr>
      <vt:lpstr>BALANCE POR TERCEROS </vt:lpstr>
      <vt:lpstr>'2.ESF'!Área_de_impresión</vt:lpstr>
      <vt:lpstr>'3.ERI'!Área_de_impresión</vt:lpstr>
      <vt:lpstr>ESF.ACTUAL</vt:lpstr>
      <vt:lpstr>ESF.PREVIO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Dorre Tovar</dc:creator>
  <cp:lastModifiedBy>Dorre Tovar</cp:lastModifiedBy>
  <dcterms:created xsi:type="dcterms:W3CDTF">2026-08-14T21:52:41Z</dcterms:created>
  <dcterms:modified xsi:type="dcterms:W3CDTF">2026-08-14T22:06:17Z</dcterms:modified>
</cp:coreProperties>
</file>